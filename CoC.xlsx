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450263A-D774-46CB-9750-12AD4D6FD333}" xr6:coauthVersionLast="47" xr6:coauthVersionMax="47" xr10:uidLastSave="{00000000-0000-0000-0000-000000000000}"/>
  <bookViews>
    <workbookView xWindow="225" yWindow="2340" windowWidth="38175" windowHeight="15240" xr2:uid="{80DABFE5-E9A7-496A-9AA7-416094618565}"/>
  </bookViews>
  <sheets>
    <sheet name="CAPM" sheetId="1" r:id="rId1"/>
    <sheet name="FF5" sheetId="3" r:id="rId2"/>
    <sheet name="Regression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22" i="3"/>
  <c r="F21" i="3"/>
  <c r="F20" i="3"/>
  <c r="F19" i="3"/>
  <c r="F18" i="3"/>
  <c r="F25" i="3"/>
  <c r="F14" i="3"/>
  <c r="F13" i="3"/>
  <c r="F12" i="3"/>
  <c r="F11" i="3"/>
  <c r="F10" i="3"/>
  <c r="F6" i="3"/>
  <c r="B42" i="4"/>
  <c r="H40" i="4"/>
  <c r="H41" i="4" s="1"/>
  <c r="G40" i="4"/>
  <c r="G41" i="4" s="1"/>
  <c r="F40" i="4"/>
  <c r="F41" i="4" s="1"/>
  <c r="E40" i="4"/>
  <c r="E41" i="4" s="1"/>
  <c r="D40" i="4"/>
  <c r="D41" i="4" s="1"/>
  <c r="C40" i="4"/>
  <c r="C41" i="4" s="1"/>
  <c r="B40" i="4"/>
  <c r="B41" i="4" s="1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K3" i="4" a="1"/>
  <c r="O3" i="4" s="1"/>
  <c r="I3" i="4"/>
  <c r="I40" i="4" s="1"/>
  <c r="I41" i="4" s="1"/>
  <c r="F29" i="3"/>
  <c r="F30" i="3" l="1"/>
  <c r="F31" i="3"/>
  <c r="F32" i="3"/>
  <c r="F33" i="3"/>
  <c r="F34" i="3"/>
  <c r="F36" i="3"/>
  <c r="L3" i="4"/>
  <c r="N3" i="4"/>
  <c r="P3" i="4"/>
  <c r="K3" i="4"/>
  <c r="M3" i="4"/>
  <c r="F37" i="1"/>
  <c r="F32" i="1"/>
  <c r="F20" i="1"/>
  <c r="F22" i="1" s="1"/>
  <c r="F41" i="1" l="1"/>
  <c r="J34" i="4"/>
  <c r="J22" i="4"/>
  <c r="J10" i="4"/>
  <c r="J33" i="4"/>
  <c r="J21" i="4"/>
  <c r="J9" i="4"/>
  <c r="J20" i="4"/>
  <c r="J8" i="4"/>
  <c r="J31" i="4"/>
  <c r="J19" i="4"/>
  <c r="J7" i="4"/>
  <c r="J30" i="4"/>
  <c r="J18" i="4"/>
  <c r="J6" i="4"/>
  <c r="J28" i="4"/>
  <c r="J16" i="4"/>
  <c r="J38" i="4"/>
  <c r="J24" i="4"/>
  <c r="J32" i="4"/>
  <c r="J29" i="4"/>
  <c r="J17" i="4"/>
  <c r="J26" i="4"/>
  <c r="J14" i="4"/>
  <c r="J37" i="4"/>
  <c r="J25" i="4"/>
  <c r="J13" i="4"/>
  <c r="J36" i="4"/>
  <c r="J12" i="4"/>
  <c r="J35" i="4"/>
  <c r="J23" i="4"/>
  <c r="J11" i="4"/>
  <c r="J3" i="4"/>
  <c r="J5" i="4"/>
  <c r="J4" i="4"/>
  <c r="J27" i="4"/>
  <c r="J15" i="4"/>
  <c r="N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8" authorId="0" shapeId="0" xr:uid="{4F57CAC0-0E7C-488B-BE44-332C939E095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e.g. 10y US Treasury Yield or Expected Inflation + Real Interest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5" authorId="0" shapeId="0" xr:uid="{059404C3-676D-43CD-9F5A-B5BE4537737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e.g. 10y US Treasury Yield or Expected Inflation + Real Interest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575EA4DB-8D3D-4FCD-BECD-BEB33013D75F}">
      <text>
        <r>
          <rPr>
            <sz val="10"/>
            <rFont val="Arial"/>
            <family val="2"/>
          </rPr>
          <t>Sample/placeholder data. Replace column B with your stock's actual monthly total return, column C with the actual monthly risk-free rate, and columns D:H with the actual Fama-French 5-Factor monthly returns from Kenneth French's Data Library.</t>
        </r>
      </text>
    </comment>
    <comment ref="K3" authorId="0" shapeId="0" xr:uid="{6CB9321E-51C3-4F95-B746-0467AB07CBD2}">
      <text>
        <r>
          <rPr>
            <sz val="10"/>
            <rFont val="Arial"/>
            <family val="2"/>
          </rPr>
          <t>LINEST returns coefficients in reverse order of the x-range columns (D:H = Mkt-RF, SMB, HML, RMW, CMA), with the intercept last: {CMA, RMW, HML, SMB, Mkt-RF, Intercept}. Do not reorder the x-range (D:H) without also updating these headers.</t>
        </r>
      </text>
    </comment>
  </commentList>
</comments>
</file>

<file path=xl/sharedStrings.xml><?xml version="1.0" encoding="utf-8"?>
<sst xmlns="http://schemas.openxmlformats.org/spreadsheetml/2006/main" count="138" uniqueCount="123">
  <si>
    <t>Main</t>
  </si>
  <si>
    <t>Cost of Capital</t>
  </si>
  <si>
    <t>x</t>
  </si>
  <si>
    <t>Cost of Equity (CAPM)</t>
  </si>
  <si>
    <t>Riskfree Rate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</si>
  <si>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</si>
  <si>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</si>
  <si>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</si>
  <si>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</si>
  <si>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</si>
  <si>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</si>
  <si>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</si>
  <si>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</si>
  <si>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</si>
  <si>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</si>
  <si>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</si>
  <si>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</si>
  <si>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</si>
  <si>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</si>
  <si>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</si>
  <si>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</si>
  <si>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</si>
  <si>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</si>
  <si>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</si>
  <si>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</si>
  <si>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</si>
  <si>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</si>
  <si>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</si>
  <si>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</si>
  <si>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</si>
  <si>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</si>
  <si>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</si>
  <si>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</si>
  <si>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</si>
  <si>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</si>
  <si>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</si>
  <si>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Fama-French 5-Factor Model</t>
  </si>
  <si>
    <t>https://mba.tuck.dartmouth.edu/pages/faculty/ken.french/data_library.html</t>
  </si>
  <si>
    <t>Data:</t>
  </si>
  <si>
    <t>Expected Inflation (Kelly Formula)</t>
  </si>
  <si>
    <t>Current Risk-Free Rate</t>
  </si>
  <si>
    <t>Historical Avg. Monthly Rf, annualized</t>
  </si>
  <si>
    <t>Factor Risk Premiums (annualized)</t>
  </si>
  <si>
    <t>Market Risk Premium (Mkt-RF)</t>
  </si>
  <si>
    <t>Size Premium (SMB)</t>
  </si>
  <si>
    <t>Value Premium (HML)</t>
  </si>
  <si>
    <t>Profitability Premium (RMW)</t>
  </si>
  <si>
    <t>Investment Premium (CMA)</t>
  </si>
  <si>
    <t>Estimated Factor Betas</t>
  </si>
  <si>
    <t>Market Beta (β Mkt-RF)</t>
  </si>
  <si>
    <t>Size Beta (β SMB)</t>
  </si>
  <si>
    <t>Value Beta (β HML)</t>
  </si>
  <si>
    <t>Profitability Beta (β RMW)</t>
  </si>
  <si>
    <t>Investment Beta (β CMA)</t>
  </si>
  <si>
    <t>Regression R² (fit quality)</t>
  </si>
  <si>
    <t>Cost of Equity Build-Up</t>
  </si>
  <si>
    <t>Risk-Free Rate</t>
  </si>
  <si>
    <t>Mkt-RF Contribution (β×Premium)</t>
  </si>
  <si>
    <t>SMB Contribution</t>
  </si>
  <si>
    <t>HML Contribution</t>
  </si>
  <si>
    <t>RMW Contribution</t>
  </si>
  <si>
    <t>CMA Contribution</t>
  </si>
  <si>
    <t>COST OF EQUITY</t>
  </si>
  <si>
    <t>Formula: Cost of Equity = Rf + βMkt×(Mkt-RF) + βSMB×SMB + βHML×HML + βRMW×RMW + βCMA×CMA</t>
  </si>
  <si>
    <t>Regression Data — Monthly Returns (sample placeholder data — replace with real data)</t>
  </si>
  <si>
    <t>Multiple Regression (LINEST) — Excess Stock Return on 5 Factors</t>
  </si>
  <si>
    <t>Date</t>
  </si>
  <si>
    <t>Stock Return (Ri)</t>
  </si>
  <si>
    <t>Risk-Free (Rf)</t>
  </si>
  <si>
    <t>Mkt-RF</t>
  </si>
  <si>
    <t>SMB</t>
  </si>
  <si>
    <t>HML</t>
  </si>
  <si>
    <t>RMW</t>
  </si>
  <si>
    <t>CMA</t>
  </si>
  <si>
    <t>Excess Stock Return (Ri - Rf)</t>
  </si>
  <si>
    <t>Fitted Excess Return</t>
  </si>
  <si>
    <t>CMA Beta</t>
  </si>
  <si>
    <t>RMW Beta</t>
  </si>
  <si>
    <t>HML Beta</t>
  </si>
  <si>
    <t>SMB Beta</t>
  </si>
  <si>
    <t>Mkt-RF Beta</t>
  </si>
  <si>
    <t>Alpha (Intercept)</t>
  </si>
  <si>
    <t>2023-01</t>
  </si>
  <si>
    <t>2023-02</t>
  </si>
  <si>
    <t>2023-03</t>
  </si>
  <si>
    <t>R² (fit quality):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</si>
  <si>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</si>
  <si>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</si>
  <si>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</si>
  <si>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</si>
  <si>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</si>
  <si>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</si>
  <si>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</si>
  <si>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</si>
  <si>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</si>
  <si>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</si>
  <si>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</si>
  <si>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</si>
  <si>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</si>
  <si>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</si>
  <si>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</si>
  <si>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</si>
  <si>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</si>
  <si>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</si>
  <si>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</si>
  <si>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</si>
  <si>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</si>
  <si>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</si>
  <si>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</si>
  <si>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</si>
  <si>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</si>
  <si>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</si>
  <si>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</si>
  <si>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</si>
  <si>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</si>
  <si>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</si>
  <si>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</si>
  <si>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</si>
  <si>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</si>
  <si>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Monthly Average</t>
  </si>
  <si>
    <t>Annualized (x12)</t>
  </si>
  <si>
    <t># of Months (N)</t>
  </si>
  <si>
    <r>
      <t xml:space="preserve">or </t>
    </r>
    <r>
      <rPr>
        <sz val="10"/>
        <color theme="1"/>
        <rFont val="Arial"/>
        <family val="2"/>
      </rPr>
      <t>(if not available)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</si>
</sst>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3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rial"/>
      <family val="2"/>
    </font>
    <font>
      <sz val="11"/>
      <color rgb="FF008000"/>
      <name val="Arial"/>
      <family val="2"/>
    </font>
    <font>
      <i/>
      <sz val="10"/>
      <color theme="2" tint="-9.9978637043366805E-2"/>
      <name val="Arial"/>
      <family val="2"/>
    </font>
    <font>
      <i/>
      <sz val="10"/>
      <color theme="2" tint="-0.499984740745262"/>
      <name val="Arial"/>
      <family val="2"/>
    </font>
    <font>
      <b/>
      <sz val="11"/>
      <name val="Arial"/>
      <family val="2"/>
    </font>
    <font>
      <b/>
      <sz val="11"/>
      <color rgb="FF008000"/>
      <name val="Arial"/>
      <family val="2"/>
    </font>
    <font>
      <b/>
      <sz val="11"/>
      <color theme="1"/>
      <name val="Aptos Narrow"/>
      <family val="2"/>
      <scheme val="minor"/>
    </font>
    <font>
      <i/>
      <sz val="9"/>
      <color rgb="FF80808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sz val="10"/>
      <color theme="9" tint="-0.499984740745262"/>
      <name val="Arial"/>
      <family val="2"/>
    </font>
    <font>
      <b/>
      <sz val="10"/>
      <color theme="9" tint="-0.49998474074526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1E9D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472C4"/>
        <bgColor rgb="FF666699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 style="thin">
        <color theme="2" tint="-0.249977111117893"/>
      </bottom>
      <diagonal/>
    </border>
    <border>
      <left/>
      <right style="thin">
        <color rgb="FFB7B7B7"/>
      </right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rgb="FFB7B7B7"/>
      </left>
      <right style="thin">
        <color rgb="FFB7B7B7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7B7B7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rgb="FFB7B7B7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6" fillId="2" borderId="0" xfId="0" applyFont="1" applyFill="1"/>
    <xf numFmtId="0" fontId="8" fillId="0" borderId="0" xfId="0" applyFont="1"/>
    <xf numFmtId="0" fontId="7" fillId="0" borderId="0" xfId="0" applyFont="1"/>
    <xf numFmtId="0" fontId="9" fillId="0" borderId="0" xfId="1" applyFont="1"/>
    <xf numFmtId="0" fontId="3" fillId="0" borderId="0" xfId="0" applyFont="1" applyAlignment="1">
      <alignment horizontal="center"/>
    </xf>
    <xf numFmtId="0" fontId="3" fillId="0" borderId="0" xfId="0" quotePrefix="1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164" fontId="2" fillId="4" borderId="5" xfId="2" applyNumberFormat="1" applyFont="1" applyFill="1" applyBorder="1" applyAlignment="1">
      <alignment horizontal="center"/>
    </xf>
    <xf numFmtId="0" fontId="13" fillId="3" borderId="4" xfId="0" applyFont="1" applyFill="1" applyBorder="1"/>
    <xf numFmtId="10" fontId="14" fillId="0" borderId="4" xfId="0" applyNumberFormat="1" applyFont="1" applyBorder="1" applyAlignment="1">
      <alignment horizontal="center"/>
    </xf>
    <xf numFmtId="0" fontId="2" fillId="0" borderId="0" xfId="0" applyFont="1"/>
    <xf numFmtId="0" fontId="13" fillId="3" borderId="6" xfId="0" applyFont="1" applyFill="1" applyBorder="1"/>
    <xf numFmtId="10" fontId="14" fillId="0" borderId="7" xfId="0" applyNumberFormat="1" applyFont="1" applyBorder="1" applyAlignment="1">
      <alignment horizontal="center"/>
    </xf>
    <xf numFmtId="2" fontId="14" fillId="0" borderId="4" xfId="0" applyNumberFormat="1" applyFont="1" applyBorder="1" applyAlignment="1">
      <alignment horizontal="center"/>
    </xf>
    <xf numFmtId="0" fontId="15" fillId="0" borderId="0" xfId="0" applyFont="1"/>
    <xf numFmtId="0" fontId="13" fillId="3" borderId="8" xfId="0" applyFont="1" applyFill="1" applyBorder="1"/>
    <xf numFmtId="0" fontId="13" fillId="3" borderId="9" xfId="0" applyFont="1" applyFill="1" applyBorder="1"/>
    <xf numFmtId="10" fontId="14" fillId="0" borderId="10" xfId="0" applyNumberFormat="1" applyFont="1" applyBorder="1" applyAlignment="1">
      <alignment horizontal="center"/>
    </xf>
    <xf numFmtId="0" fontId="13" fillId="5" borderId="4" xfId="0" applyFont="1" applyFill="1" applyBorder="1"/>
    <xf numFmtId="10" fontId="14" fillId="6" borderId="4" xfId="0" applyNumberFormat="1" applyFont="1" applyFill="1" applyBorder="1" applyAlignment="1">
      <alignment horizontal="center"/>
    </xf>
    <xf numFmtId="0" fontId="0" fillId="6" borderId="0" xfId="0" applyFill="1"/>
    <xf numFmtId="0" fontId="0" fillId="6" borderId="15" xfId="0" applyFill="1" applyBorder="1"/>
    <xf numFmtId="0" fontId="0" fillId="6" borderId="16" xfId="0" applyFill="1" applyBorder="1"/>
    <xf numFmtId="0" fontId="0" fillId="6" borderId="11" xfId="0" applyFill="1" applyBorder="1"/>
    <xf numFmtId="0" fontId="0" fillId="6" borderId="13" xfId="0" applyFill="1" applyBorder="1"/>
    <xf numFmtId="0" fontId="0" fillId="6" borderId="12" xfId="0" applyFill="1" applyBorder="1"/>
    <xf numFmtId="2" fontId="14" fillId="6" borderId="20" xfId="0" applyNumberFormat="1" applyFont="1" applyFill="1" applyBorder="1" applyAlignment="1">
      <alignment horizontal="center"/>
    </xf>
    <xf numFmtId="0" fontId="0" fillId="6" borderId="21" xfId="0" applyFill="1" applyBorder="1"/>
    <xf numFmtId="0" fontId="13" fillId="5" borderId="6" xfId="0" applyFont="1" applyFill="1" applyBorder="1"/>
    <xf numFmtId="2" fontId="14" fillId="6" borderId="8" xfId="0" applyNumberFormat="1" applyFont="1" applyFill="1" applyBorder="1" applyAlignment="1">
      <alignment horizontal="center"/>
    </xf>
    <xf numFmtId="0" fontId="0" fillId="6" borderId="8" xfId="0" applyFill="1" applyBorder="1"/>
    <xf numFmtId="2" fontId="14" fillId="6" borderId="17" xfId="0" applyNumberFormat="1" applyFont="1" applyFill="1" applyBorder="1" applyAlignment="1">
      <alignment horizontal="center"/>
    </xf>
    <xf numFmtId="2" fontId="14" fillId="6" borderId="18" xfId="0" applyNumberFormat="1" applyFont="1" applyFill="1" applyBorder="1" applyAlignment="1">
      <alignment horizontal="center"/>
    </xf>
    <xf numFmtId="0" fontId="0" fillId="6" borderId="19" xfId="0" applyFill="1" applyBorder="1"/>
    <xf numFmtId="0" fontId="17" fillId="5" borderId="4" xfId="0" applyFont="1" applyFill="1" applyBorder="1"/>
    <xf numFmtId="2" fontId="18" fillId="6" borderId="14" xfId="0" applyNumberFormat="1" applyFont="1" applyFill="1" applyBorder="1" applyAlignment="1">
      <alignment horizontal="center"/>
    </xf>
    <xf numFmtId="0" fontId="19" fillId="6" borderId="15" xfId="0" applyFont="1" applyFill="1" applyBorder="1"/>
    <xf numFmtId="0" fontId="19" fillId="6" borderId="16" xfId="0" applyFont="1" applyFill="1" applyBorder="1"/>
    <xf numFmtId="2" fontId="18" fillId="0" borderId="4" xfId="0" applyNumberFormat="1" applyFont="1" applyBorder="1" applyAlignment="1">
      <alignment horizontal="center"/>
    </xf>
    <xf numFmtId="0" fontId="13" fillId="5" borderId="23" xfId="0" applyFont="1" applyFill="1" applyBorder="1"/>
    <xf numFmtId="0" fontId="0" fillId="6" borderId="9" xfId="0" applyFill="1" applyBorder="1"/>
    <xf numFmtId="0" fontId="17" fillId="5" borderId="23" xfId="0" applyFont="1" applyFill="1" applyBorder="1"/>
    <xf numFmtId="0" fontId="17" fillId="5" borderId="8" xfId="0" applyFont="1" applyFill="1" applyBorder="1"/>
    <xf numFmtId="0" fontId="20" fillId="0" borderId="0" xfId="0" applyFont="1" applyAlignment="1">
      <alignment wrapText="1"/>
    </xf>
    <xf numFmtId="0" fontId="20" fillId="0" borderId="0" xfId="0" applyFont="1" applyAlignment="1"/>
    <xf numFmtId="0" fontId="21" fillId="7" borderId="4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center"/>
    </xf>
    <xf numFmtId="10" fontId="23" fillId="0" borderId="4" xfId="0" applyNumberFormat="1" applyFont="1" applyBorder="1" applyAlignment="1">
      <alignment horizontal="center"/>
    </xf>
    <xf numFmtId="10" fontId="24" fillId="0" borderId="4" xfId="0" applyNumberFormat="1" applyFont="1" applyBorder="1" applyAlignment="1">
      <alignment horizontal="center"/>
    </xf>
    <xf numFmtId="165" fontId="24" fillId="0" borderId="4" xfId="0" applyNumberFormat="1" applyFont="1" applyBorder="1" applyAlignment="1">
      <alignment horizontal="center"/>
    </xf>
    <xf numFmtId="0" fontId="25" fillId="0" borderId="0" xfId="0" applyFont="1" applyAlignment="1">
      <alignment horizontal="right"/>
    </xf>
    <xf numFmtId="165" fontId="24" fillId="0" borderId="0" xfId="0" applyNumberFormat="1" applyFont="1" applyAlignment="1">
      <alignment horizontal="center"/>
    </xf>
    <xf numFmtId="0" fontId="25" fillId="0" borderId="4" xfId="0" applyFont="1" applyBorder="1" applyAlignment="1">
      <alignment horizontal="right"/>
    </xf>
    <xf numFmtId="0" fontId="24" fillId="0" borderId="4" xfId="0" applyFont="1" applyBorder="1" applyAlignment="1">
      <alignment horizontal="center"/>
    </xf>
    <xf numFmtId="0" fontId="16" fillId="0" borderId="23" xfId="0" applyFont="1" applyBorder="1"/>
    <xf numFmtId="0" fontId="15" fillId="0" borderId="8" xfId="0" applyFont="1" applyBorder="1"/>
    <xf numFmtId="0" fontId="15" fillId="0" borderId="9" xfId="0" applyFont="1" applyBorder="1"/>
    <xf numFmtId="164" fontId="26" fillId="0" borderId="7" xfId="2" applyNumberFormat="1" applyFont="1" applyBorder="1" applyAlignment="1">
      <alignment horizontal="center"/>
    </xf>
    <xf numFmtId="164" fontId="5" fillId="0" borderId="7" xfId="2" applyNumberFormat="1" applyFont="1" applyBorder="1" applyAlignment="1">
      <alignment horizontal="center"/>
    </xf>
    <xf numFmtId="164" fontId="17" fillId="5" borderId="22" xfId="2" applyNumberFormat="1" applyFont="1" applyFill="1" applyBorder="1"/>
    <xf numFmtId="0" fontId="3" fillId="6" borderId="0" xfId="0" applyFont="1" applyFill="1"/>
    <xf numFmtId="0" fontId="2" fillId="6" borderId="0" xfId="0" applyFont="1" applyFill="1"/>
    <xf numFmtId="0" fontId="27" fillId="0" borderId="0" xfId="0" applyFont="1"/>
    <xf numFmtId="164" fontId="28" fillId="4" borderId="24" xfId="2" applyNumberFormat="1" applyFont="1" applyFill="1" applyBorder="1" applyAlignment="1">
      <alignment horizontal="center"/>
    </xf>
    <xf numFmtId="164" fontId="1" fillId="4" borderId="24" xfId="2" applyNumberFormat="1" applyFont="1" applyFill="1" applyBorder="1" applyAlignment="1">
      <alignment horizontal="center"/>
    </xf>
    <xf numFmtId="0" fontId="7" fillId="6" borderId="1" xfId="0" applyFont="1" applyFill="1" applyBorder="1"/>
    <xf numFmtId="0" fontId="7" fillId="6" borderId="2" xfId="0" applyFont="1" applyFill="1" applyBorder="1"/>
    <xf numFmtId="0" fontId="29" fillId="6" borderId="3" xfId="0" applyFont="1" applyFill="1" applyBorder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76201</xdr:colOff>
      <xdr:row>1</xdr:row>
      <xdr:rowOff>100012</xdr:rowOff>
    </xdr:from>
    <xdr:to>
      <xdr:col>17</xdr:col>
      <xdr:colOff>500944</xdr:colOff>
      <xdr:row>14</xdr:row>
      <xdr:rowOff>66674</xdr:rowOff>
    </xdr:to>
    <xdr:pic>
      <xdr:nvPicPr>
        <xdr:cNvPr id="2" name="Picture 1" descr="Five-Factor Asset Pricing Model Analysis | by Andrea Chello | The Quant  Journey | Medium">
          <a:extLst>
            <a:ext uri="{FF2B5EF4-FFF2-40B4-BE49-F238E27FC236}">
              <a16:creationId xmlns:a16="http://schemas.microsoft.com/office/drawing/2014/main" id="{4BE43419-B3A6-4199-B71F-B027F09BA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15026" y="290512"/>
          <a:ext cx="4691943" cy="2443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2722-CEEF-4EC0-89E0-483F40976C3D}">
  <dimension ref="A1:BD74"/>
  <sheetViews>
    <sheetView showGridLines="0" tabSelected="1" zoomScale="200" zoomScaleNormal="200" workbookViewId="0">
      <selection activeCell="B41" sqref="B41:F41"/>
    </sheetView>
  </sheetViews>
  <sheetFormatPr defaultRowHeight="15" x14ac:dyDescent="0.25"/>
  <cols>
    <col min="1" max="1" width="5.5703125" customWidth="1"/>
  </cols>
  <sheetData>
    <row r="1" spans="1:56" x14ac:dyDescent="0.25">
      <c r="A1" s="6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x14ac:dyDescent="0.25">
      <c r="A3" s="2"/>
      <c r="B3" s="3" t="s">
        <v>1</v>
      </c>
      <c r="C3" s="3"/>
      <c r="D3" s="3"/>
      <c r="E3" s="3"/>
      <c r="F3" s="3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 x14ac:dyDescent="0.25">
      <c r="A4" s="7" t="s">
        <v>2</v>
      </c>
      <c r="B4" s="67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 x14ac:dyDescent="0.25">
      <c r="A5" s="2"/>
      <c r="B5" s="4" t="s">
        <v>4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 x14ac:dyDescent="0.25">
      <c r="A6" s="2"/>
      <c r="B6" s="65" t="s">
        <v>39</v>
      </c>
      <c r="C6" s="66"/>
      <c r="D6" s="66"/>
      <c r="E6" s="66"/>
      <c r="F6" s="12"/>
      <c r="G6" s="2"/>
      <c r="H6" s="8" t="s">
        <v>5</v>
      </c>
      <c r="I6" s="2"/>
      <c r="J6" s="2"/>
      <c r="K6" s="2"/>
      <c r="L6" s="2"/>
      <c r="M6" s="2"/>
      <c r="N6" s="2"/>
      <c r="O6" s="2"/>
      <c r="P6" s="2"/>
      <c r="Q6" s="2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 x14ac:dyDescent="0.25">
      <c r="A7" s="2"/>
      <c r="B7" s="65" t="s">
        <v>6</v>
      </c>
      <c r="C7" s="66"/>
      <c r="D7" s="66"/>
      <c r="E7" s="66"/>
      <c r="F7" s="12"/>
      <c r="G7" s="2"/>
      <c r="H7" s="8" t="s">
        <v>7</v>
      </c>
      <c r="I7" s="2"/>
      <c r="J7" s="2"/>
      <c r="K7" s="2"/>
      <c r="L7" s="2"/>
      <c r="M7" s="2"/>
      <c r="N7" s="2"/>
      <c r="O7" s="2"/>
      <c r="P7" s="2"/>
      <c r="Q7" s="2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 x14ac:dyDescent="0.25">
      <c r="A8" s="2"/>
      <c r="B8" s="66" t="s">
        <v>40</v>
      </c>
      <c r="C8" s="66"/>
      <c r="D8" s="66"/>
      <c r="E8" s="66"/>
      <c r="F8" s="68">
        <f>+F6+F7</f>
        <v>0</v>
      </c>
      <c r="G8" s="2"/>
      <c r="H8" s="8" t="s">
        <v>8</v>
      </c>
      <c r="I8" s="2"/>
      <c r="J8" s="2"/>
      <c r="K8" s="2"/>
      <c r="L8" s="2"/>
      <c r="M8" s="2"/>
      <c r="N8" s="2"/>
      <c r="O8" s="2"/>
      <c r="P8" s="2"/>
      <c r="Q8" s="2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 x14ac:dyDescent="0.25">
      <c r="A10" s="7" t="s">
        <v>2</v>
      </c>
      <c r="B10" s="67" t="s">
        <v>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 x14ac:dyDescent="0.25">
      <c r="A11" s="2"/>
      <c r="B11" s="65" t="s">
        <v>10</v>
      </c>
      <c r="C11" s="66"/>
      <c r="D11" s="66"/>
      <c r="E11" s="66"/>
      <c r="F11" s="12"/>
      <c r="G11" s="2"/>
      <c r="H11" s="8" t="s">
        <v>11</v>
      </c>
      <c r="I11" s="2"/>
      <c r="J11" s="2"/>
      <c r="K11" s="2"/>
      <c r="L11" s="2"/>
      <c r="M11" s="2"/>
      <c r="N11" s="2"/>
      <c r="O11" s="2"/>
      <c r="P11" s="2"/>
      <c r="Q11" s="2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 x14ac:dyDescent="0.25">
      <c r="A12" s="2"/>
      <c r="B12" s="65" t="s">
        <v>12</v>
      </c>
      <c r="C12" s="66"/>
      <c r="D12" s="66"/>
      <c r="E12" s="66"/>
      <c r="F12" s="12"/>
      <c r="G12" s="2"/>
      <c r="H12" s="8" t="s">
        <v>13</v>
      </c>
      <c r="I12" s="2"/>
      <c r="J12" s="2"/>
      <c r="K12" s="2"/>
      <c r="L12" s="2"/>
      <c r="M12" s="2"/>
      <c r="N12" s="2"/>
      <c r="O12" s="2"/>
      <c r="P12" s="2"/>
      <c r="Q12" s="2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 x14ac:dyDescent="0.25">
      <c r="A13" s="2"/>
      <c r="B13" s="65" t="s">
        <v>14</v>
      </c>
      <c r="C13" s="66"/>
      <c r="D13" s="66"/>
      <c r="E13" s="66"/>
      <c r="F13" s="12"/>
      <c r="G13" s="2"/>
      <c r="H13" s="8" t="s">
        <v>15</v>
      </c>
      <c r="I13" s="2"/>
      <c r="J13" s="2"/>
      <c r="K13" s="2"/>
      <c r="L13" s="2"/>
      <c r="M13" s="2"/>
      <c r="N13" s="2"/>
      <c r="O13" s="2"/>
      <c r="P13" s="2"/>
      <c r="Q13" s="2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 x14ac:dyDescent="0.25">
      <c r="A14" s="2"/>
      <c r="B14" s="65" t="s">
        <v>16</v>
      </c>
      <c r="C14" s="66"/>
      <c r="D14" s="66"/>
      <c r="E14" s="66"/>
      <c r="F14" s="12"/>
      <c r="G14" s="2"/>
      <c r="H14" s="8" t="s">
        <v>17</v>
      </c>
      <c r="I14" s="2"/>
      <c r="J14" s="2"/>
      <c r="K14" s="2"/>
      <c r="L14" s="2"/>
      <c r="M14" s="2"/>
      <c r="N14" s="2"/>
      <c r="O14" s="2"/>
      <c r="P14" s="2"/>
      <c r="Q14" s="2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 x14ac:dyDescent="0.25">
      <c r="A15" s="2"/>
      <c r="B15" s="65" t="s">
        <v>18</v>
      </c>
      <c r="C15" s="66"/>
      <c r="D15" s="66"/>
      <c r="E15" s="66"/>
      <c r="F15" s="69"/>
      <c r="G15" s="2"/>
      <c r="H15" s="8" t="s">
        <v>19</v>
      </c>
      <c r="I15" s="2"/>
      <c r="J15" s="2"/>
      <c r="K15" s="2"/>
      <c r="L15" s="2"/>
      <c r="M15" s="2"/>
      <c r="N15" s="2"/>
      <c r="O15" s="2"/>
      <c r="P15" s="2"/>
      <c r="Q15" s="2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 x14ac:dyDescent="0.25">
      <c r="A17" s="7" t="s">
        <v>2</v>
      </c>
      <c r="B17" s="67" t="s">
        <v>20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 x14ac:dyDescent="0.25">
      <c r="A18" s="2"/>
      <c r="B18" s="65" t="s">
        <v>21</v>
      </c>
      <c r="C18" s="66"/>
      <c r="D18" s="66"/>
      <c r="E18" s="66"/>
      <c r="F18" s="12"/>
      <c r="G18" s="2"/>
      <c r="H18" s="8" t="s">
        <v>22</v>
      </c>
      <c r="I18" s="2"/>
      <c r="J18" s="2"/>
      <c r="K18" s="2"/>
      <c r="L18" s="2"/>
      <c r="M18" s="2"/>
      <c r="N18" s="2"/>
      <c r="O18" s="2"/>
      <c r="P18" s="2"/>
      <c r="Q18" s="2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 x14ac:dyDescent="0.25">
      <c r="A19" s="2"/>
      <c r="B19" s="65" t="s">
        <v>4</v>
      </c>
      <c r="C19" s="66"/>
      <c r="D19" s="66"/>
      <c r="E19" s="66"/>
      <c r="F19" s="1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 x14ac:dyDescent="0.25">
      <c r="A20" s="2"/>
      <c r="B20" s="65" t="s">
        <v>20</v>
      </c>
      <c r="C20" s="66"/>
      <c r="D20" s="66"/>
      <c r="E20" s="66"/>
      <c r="F20" s="68">
        <f>F18-F19</f>
        <v>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 x14ac:dyDescent="0.25">
      <c r="A22" s="7" t="s">
        <v>2</v>
      </c>
      <c r="B22" s="70" t="s">
        <v>3</v>
      </c>
      <c r="C22" s="71"/>
      <c r="D22" s="71"/>
      <c r="E22" s="71"/>
      <c r="F22" s="72">
        <f>F8+F15*F20</f>
        <v>0</v>
      </c>
      <c r="G22" s="2"/>
      <c r="H22" s="8" t="s">
        <v>23</v>
      </c>
      <c r="I22" s="2"/>
      <c r="J22" s="2"/>
      <c r="K22" s="2"/>
      <c r="L22" s="2"/>
      <c r="M22" s="2"/>
      <c r="N22" s="2"/>
      <c r="O22" s="2"/>
      <c r="P22" s="2"/>
      <c r="Q22" s="2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</row>
    <row r="25" spans="1:56" x14ac:dyDescent="0.25">
      <c r="A25" s="7" t="s">
        <v>2</v>
      </c>
      <c r="B25" s="67" t="s">
        <v>24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</row>
    <row r="26" spans="1:56" x14ac:dyDescent="0.25">
      <c r="A26" s="2"/>
      <c r="B26" s="65" t="s">
        <v>25</v>
      </c>
      <c r="C26" s="66"/>
      <c r="D26" s="66"/>
      <c r="E26" s="66"/>
      <c r="F26" s="69"/>
      <c r="G26" s="2"/>
      <c r="H26" s="8" t="s">
        <v>26</v>
      </c>
      <c r="I26" s="2"/>
      <c r="J26" s="2"/>
      <c r="K26" s="2"/>
      <c r="L26" s="2"/>
      <c r="M26" s="2"/>
      <c r="N26" s="2"/>
      <c r="O26" s="2"/>
      <c r="P26" s="2"/>
      <c r="Q26" s="2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</row>
    <row r="27" spans="1:56" x14ac:dyDescent="0.25">
      <c r="A27" s="2"/>
      <c r="B27" s="5" t="s">
        <v>122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</row>
    <row r="28" spans="1:56" x14ac:dyDescent="0.25">
      <c r="A28" s="2"/>
      <c r="B28" s="65" t="s">
        <v>4</v>
      </c>
      <c r="C28" s="66"/>
      <c r="D28" s="66"/>
      <c r="E28" s="66"/>
      <c r="F28" s="69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 x14ac:dyDescent="0.25">
      <c r="A29" s="2"/>
      <c r="B29" s="65" t="s">
        <v>27</v>
      </c>
      <c r="C29" s="66"/>
      <c r="D29" s="66"/>
      <c r="E29" s="66"/>
      <c r="F29" s="69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x14ac:dyDescent="0.25">
      <c r="A30" s="2"/>
      <c r="B30" s="65" t="s">
        <v>28</v>
      </c>
      <c r="C30" s="66"/>
      <c r="D30" s="66"/>
      <c r="E30" s="66"/>
      <c r="F30" s="69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 x14ac:dyDescent="0.25">
      <c r="A32" s="7" t="s">
        <v>2</v>
      </c>
      <c r="B32" s="9" t="s">
        <v>24</v>
      </c>
      <c r="C32" s="10"/>
      <c r="D32" s="10"/>
      <c r="E32" s="10"/>
      <c r="F32" s="11">
        <f>F28+F29+F30</f>
        <v>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 x14ac:dyDescent="0.25">
      <c r="A34" s="7" t="s">
        <v>2</v>
      </c>
      <c r="B34" s="4" t="s">
        <v>29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x14ac:dyDescent="0.25">
      <c r="A35" s="2"/>
      <c r="B35" s="65" t="s">
        <v>30</v>
      </c>
      <c r="C35" s="66"/>
      <c r="D35" s="66"/>
      <c r="E35" s="66"/>
      <c r="F35" s="69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 x14ac:dyDescent="0.25">
      <c r="A36" s="2"/>
      <c r="B36" s="65" t="s">
        <v>31</v>
      </c>
      <c r="C36" s="66"/>
      <c r="D36" s="66"/>
      <c r="E36" s="66"/>
      <c r="F36" s="69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 x14ac:dyDescent="0.25">
      <c r="A37" s="2"/>
      <c r="B37" s="65" t="s">
        <v>32</v>
      </c>
      <c r="C37" s="66"/>
      <c r="D37" s="66"/>
      <c r="E37" s="66"/>
      <c r="F37" s="68">
        <f>F35+F36</f>
        <v>0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 x14ac:dyDescent="0.25">
      <c r="A39" s="2"/>
      <c r="B39" s="65" t="s">
        <v>33</v>
      </c>
      <c r="C39" s="66"/>
      <c r="D39" s="66"/>
      <c r="E39" s="66"/>
      <c r="F39" s="69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 x14ac:dyDescent="0.25">
      <c r="A41" s="7" t="s">
        <v>2</v>
      </c>
      <c r="B41" s="70" t="s">
        <v>34</v>
      </c>
      <c r="C41" s="71"/>
      <c r="D41" s="71"/>
      <c r="E41" s="71"/>
      <c r="F41" s="72" t="e">
        <f>(F32*(F35/F37)*(1-F39))+((F36/F38)*F22)</f>
        <v>#DIV/0!</v>
      </c>
      <c r="G41" s="2"/>
      <c r="H41" s="8" t="s">
        <v>35</v>
      </c>
      <c r="I41" s="2"/>
      <c r="J41" s="2"/>
      <c r="K41" s="2"/>
      <c r="L41" s="2"/>
      <c r="M41" s="2"/>
      <c r="N41" s="2"/>
      <c r="O41" s="2"/>
      <c r="P41" s="2"/>
      <c r="Q41" s="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</sheetData>
  <hyperlinks>
    <hyperlink ref="A1" location="Main!A1" display="Main" xr:uid="{DFE087CC-14AC-4E98-AF83-773D5D95C985}"/>
  </hyperlink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1C662-0B78-40F4-8223-69E7EBC3B0D5}">
  <dimension ref="B2:L38"/>
  <sheetViews>
    <sheetView showGridLines="0" topLeftCell="A16" zoomScale="200" zoomScaleNormal="200" workbookViewId="0">
      <selection activeCell="B25" sqref="B25"/>
    </sheetView>
  </sheetViews>
  <sheetFormatPr defaultRowHeight="15" x14ac:dyDescent="0.25"/>
  <cols>
    <col min="1" max="1" width="5.28515625" customWidth="1"/>
  </cols>
  <sheetData>
    <row r="2" spans="2:12" x14ac:dyDescent="0.25">
      <c r="B2" s="3" t="s">
        <v>36</v>
      </c>
      <c r="C2" s="3"/>
      <c r="D2" s="3"/>
      <c r="E2" s="3"/>
      <c r="F2" s="3"/>
    </row>
    <row r="3" spans="2:12" x14ac:dyDescent="0.25">
      <c r="B3" s="65" t="s">
        <v>39</v>
      </c>
      <c r="C3" s="66"/>
      <c r="D3" s="66"/>
      <c r="E3" s="66"/>
      <c r="F3" s="12"/>
    </row>
    <row r="4" spans="2:12" x14ac:dyDescent="0.25">
      <c r="B4" s="65" t="s">
        <v>6</v>
      </c>
      <c r="C4" s="66"/>
      <c r="D4" s="66"/>
      <c r="E4" s="66"/>
      <c r="F4" s="12"/>
    </row>
    <row r="5" spans="2:12" x14ac:dyDescent="0.25">
      <c r="B5" s="66" t="s">
        <v>40</v>
      </c>
      <c r="C5" s="66"/>
      <c r="D5" s="66"/>
      <c r="E5" s="66"/>
      <c r="F5" s="12">
        <v>4.2000000000000003E-2</v>
      </c>
    </row>
    <row r="6" spans="2:12" x14ac:dyDescent="0.25">
      <c r="B6" s="59" t="s">
        <v>41</v>
      </c>
      <c r="C6" s="60"/>
      <c r="D6" s="60"/>
      <c r="E6" s="61"/>
      <c r="F6" s="14">
        <f>+Regression!C41</f>
        <v>4.5026666666666666E-2</v>
      </c>
    </row>
    <row r="7" spans="2:12" x14ac:dyDescent="0.25">
      <c r="B7" s="19"/>
      <c r="C7" s="19"/>
      <c r="D7" s="19"/>
      <c r="E7" s="19"/>
      <c r="F7" s="15"/>
    </row>
    <row r="9" spans="2:12" x14ac:dyDescent="0.25">
      <c r="B9" s="3" t="s">
        <v>42</v>
      </c>
      <c r="C9" s="3"/>
      <c r="D9" s="3"/>
      <c r="E9" s="3"/>
      <c r="F9" s="3"/>
      <c r="I9" s="2"/>
      <c r="J9" s="2"/>
      <c r="K9" s="2"/>
      <c r="L9" s="2"/>
    </row>
    <row r="10" spans="2:12" x14ac:dyDescent="0.25">
      <c r="B10" s="23" t="s">
        <v>43</v>
      </c>
      <c r="C10" s="24"/>
      <c r="D10" s="25"/>
      <c r="E10" s="25"/>
      <c r="F10" s="14">
        <f>+Regression!D41</f>
        <v>1.3324333333333327E-2</v>
      </c>
      <c r="I10" s="2"/>
      <c r="J10" s="2"/>
      <c r="K10" s="2"/>
      <c r="L10" s="2"/>
    </row>
    <row r="11" spans="2:12" x14ac:dyDescent="0.25">
      <c r="B11" s="13" t="s">
        <v>44</v>
      </c>
      <c r="C11" s="16"/>
      <c r="D11" s="20"/>
      <c r="E11" s="21"/>
      <c r="F11" s="17">
        <f>+Regression!E41</f>
        <v>9.3727000000000005E-2</v>
      </c>
    </row>
    <row r="12" spans="2:12" x14ac:dyDescent="0.25">
      <c r="B12" s="23" t="s">
        <v>45</v>
      </c>
      <c r="C12" s="24"/>
      <c r="D12" s="26"/>
      <c r="E12" s="27"/>
      <c r="F12" s="14">
        <f>+Regression!F41</f>
        <v>2.9592666666666663E-2</v>
      </c>
    </row>
    <row r="13" spans="2:12" x14ac:dyDescent="0.25">
      <c r="B13" s="23" t="s">
        <v>46</v>
      </c>
      <c r="C13" s="24"/>
      <c r="D13" s="28"/>
      <c r="E13" s="29"/>
      <c r="F13" s="22">
        <f>+Regression!G41</f>
        <v>4.4176666666666663E-2</v>
      </c>
    </row>
    <row r="14" spans="2:12" x14ac:dyDescent="0.25">
      <c r="B14" s="23" t="s">
        <v>47</v>
      </c>
      <c r="C14" s="24"/>
      <c r="D14" s="28"/>
      <c r="E14" s="30"/>
      <c r="F14" s="14">
        <f>+Regression!H41</f>
        <v>-1.187566666666668E-2</v>
      </c>
    </row>
    <row r="16" spans="2:12" x14ac:dyDescent="0.25">
      <c r="K16" s="2" t="s">
        <v>38</v>
      </c>
    </row>
    <row r="17" spans="2:11" x14ac:dyDescent="0.25">
      <c r="B17" s="3" t="s">
        <v>48</v>
      </c>
      <c r="C17" s="3"/>
      <c r="D17" s="3"/>
      <c r="E17" s="3"/>
      <c r="F17" s="3"/>
      <c r="K17" s="2" t="s">
        <v>37</v>
      </c>
    </row>
    <row r="18" spans="2:11" x14ac:dyDescent="0.25">
      <c r="B18" s="23" t="s">
        <v>49</v>
      </c>
      <c r="C18" s="31"/>
      <c r="D18" s="32"/>
      <c r="E18" s="30"/>
      <c r="F18" s="18">
        <f>+Regression!O3</f>
        <v>1.1037908294468963</v>
      </c>
    </row>
    <row r="19" spans="2:11" x14ac:dyDescent="0.25">
      <c r="B19" s="33" t="s">
        <v>50</v>
      </c>
      <c r="C19" s="34"/>
      <c r="D19" s="35"/>
      <c r="E19" s="27"/>
      <c r="F19" s="18">
        <f>+Regression!N3</f>
        <v>0.63067092674553216</v>
      </c>
    </row>
    <row r="20" spans="2:11" x14ac:dyDescent="0.25">
      <c r="B20" s="23" t="s">
        <v>51</v>
      </c>
      <c r="C20" s="36"/>
      <c r="D20" s="28"/>
      <c r="E20" s="27"/>
      <c r="F20" s="18">
        <f>+Regression!M3</f>
        <v>-0.48313920841806718</v>
      </c>
    </row>
    <row r="21" spans="2:11" x14ac:dyDescent="0.25">
      <c r="B21" s="23" t="s">
        <v>52</v>
      </c>
      <c r="C21" s="37"/>
      <c r="D21" s="38"/>
      <c r="E21" s="30"/>
      <c r="F21" s="18">
        <f>+Regression!L3</f>
        <v>6.4531444352469505E-2</v>
      </c>
    </row>
    <row r="22" spans="2:11" x14ac:dyDescent="0.25">
      <c r="B22" s="23" t="s">
        <v>53</v>
      </c>
      <c r="C22" s="36"/>
      <c r="D22" s="26"/>
      <c r="E22" s="27"/>
      <c r="F22" s="18">
        <f>+Regression!K3</f>
        <v>8.6466780976376223E-2</v>
      </c>
    </row>
    <row r="25" spans="2:11" x14ac:dyDescent="0.25">
      <c r="B25" s="39" t="s">
        <v>54</v>
      </c>
      <c r="C25" s="40"/>
      <c r="D25" s="41"/>
      <c r="E25" s="42"/>
      <c r="F25" s="43">
        <f>+Regression!N5</f>
        <v>0.61444225726695889</v>
      </c>
    </row>
    <row r="28" spans="2:11" x14ac:dyDescent="0.25">
      <c r="B28" s="3" t="s">
        <v>55</v>
      </c>
      <c r="C28" s="3"/>
      <c r="D28" s="3"/>
      <c r="E28" s="3"/>
      <c r="F28" s="3"/>
    </row>
    <row r="29" spans="2:11" x14ac:dyDescent="0.25">
      <c r="B29" s="44" t="s">
        <v>56</v>
      </c>
      <c r="C29" s="34"/>
      <c r="D29" s="35"/>
      <c r="E29" s="45"/>
      <c r="F29" s="62">
        <f>F5</f>
        <v>4.2000000000000003E-2</v>
      </c>
    </row>
    <row r="30" spans="2:11" x14ac:dyDescent="0.25">
      <c r="B30" s="44" t="s">
        <v>57</v>
      </c>
      <c r="C30" s="34"/>
      <c r="D30" s="35"/>
      <c r="E30" s="45"/>
      <c r="F30" s="63">
        <f>+F18*F10</f>
        <v>1.4707276941826922E-2</v>
      </c>
    </row>
    <row r="31" spans="2:11" x14ac:dyDescent="0.25">
      <c r="B31" s="44" t="s">
        <v>58</v>
      </c>
      <c r="C31" s="34"/>
      <c r="D31" s="35"/>
      <c r="E31" s="45"/>
      <c r="F31" s="63">
        <f>+F11*F19</f>
        <v>5.9110893951078498E-2</v>
      </c>
    </row>
    <row r="32" spans="2:11" x14ac:dyDescent="0.25">
      <c r="B32" s="44" t="s">
        <v>59</v>
      </c>
      <c r="C32" s="34"/>
      <c r="D32" s="35"/>
      <c r="E32" s="45"/>
      <c r="F32" s="63">
        <f>+F12*F20</f>
        <v>-1.4297377548313055E-2</v>
      </c>
    </row>
    <row r="33" spans="2:6" x14ac:dyDescent="0.25">
      <c r="B33" s="44" t="s">
        <v>60</v>
      </c>
      <c r="C33" s="34"/>
      <c r="D33" s="35"/>
      <c r="E33" s="45"/>
      <c r="F33" s="63">
        <f>+F13*F21</f>
        <v>2.8507841066775941E-3</v>
      </c>
    </row>
    <row r="34" spans="2:6" x14ac:dyDescent="0.25">
      <c r="B34" s="44" t="s">
        <v>61</v>
      </c>
      <c r="C34" s="34"/>
      <c r="D34" s="35"/>
      <c r="E34" s="45"/>
      <c r="F34" s="63">
        <f>+F14*F22</f>
        <v>-1.0268506686151198E-3</v>
      </c>
    </row>
    <row r="36" spans="2:6" x14ac:dyDescent="0.25">
      <c r="B36" s="46" t="s">
        <v>62</v>
      </c>
      <c r="C36" s="47"/>
      <c r="D36" s="47"/>
      <c r="E36" s="47"/>
      <c r="F36" s="64">
        <f>SUM(F29:F34)</f>
        <v>0.10334472678265483</v>
      </c>
    </row>
    <row r="38" spans="2:6" ht="15" customHeight="1" x14ac:dyDescent="0.25">
      <c r="B38" s="49" t="s">
        <v>63</v>
      </c>
      <c r="C38" s="49"/>
      <c r="D38" s="49"/>
      <c r="E38" s="49"/>
      <c r="F38" s="49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2F24F-49D4-4BD2-8098-B432CEA3705D}">
  <dimension ref="A1:Q42"/>
  <sheetViews>
    <sheetView showGridLines="0" workbookViewId="0">
      <selection activeCell="F41" sqref="F41"/>
    </sheetView>
  </sheetViews>
  <sheetFormatPr defaultRowHeight="15" x14ac:dyDescent="0.25"/>
  <sheetData>
    <row r="1" spans="1:17" x14ac:dyDescent="0.25">
      <c r="A1" s="3" t="s">
        <v>64</v>
      </c>
      <c r="B1" s="3"/>
      <c r="C1" s="3"/>
      <c r="D1" s="3"/>
      <c r="E1" s="3"/>
      <c r="F1" s="3"/>
      <c r="G1" s="3"/>
      <c r="H1" s="3"/>
      <c r="I1" s="3"/>
      <c r="J1" s="3"/>
      <c r="K1" s="3" t="s">
        <v>65</v>
      </c>
      <c r="L1" s="3"/>
      <c r="M1" s="3"/>
      <c r="N1" s="3"/>
      <c r="O1" s="3"/>
      <c r="P1" s="3"/>
      <c r="Q1" s="3"/>
    </row>
    <row r="2" spans="1:17" ht="51.75" x14ac:dyDescent="0.25">
      <c r="A2" s="50" t="s">
        <v>66</v>
      </c>
      <c r="B2" s="50" t="s">
        <v>67</v>
      </c>
      <c r="C2" s="50" t="s">
        <v>68</v>
      </c>
      <c r="D2" s="50" t="s">
        <v>69</v>
      </c>
      <c r="E2" s="50" t="s">
        <v>70</v>
      </c>
      <c r="F2" s="50" t="s">
        <v>71</v>
      </c>
      <c r="G2" s="50" t="s">
        <v>72</v>
      </c>
      <c r="H2" s="50" t="s">
        <v>73</v>
      </c>
      <c r="I2" s="50" t="s">
        <v>74</v>
      </c>
      <c r="J2" s="50" t="s">
        <v>75</v>
      </c>
      <c r="K2" s="50" t="s">
        <v>76</v>
      </c>
      <c r="L2" s="50" t="s">
        <v>77</v>
      </c>
      <c r="M2" s="50" t="s">
        <v>78</v>
      </c>
      <c r="N2" s="50" t="s">
        <v>79</v>
      </c>
      <c r="O2" s="50" t="s">
        <v>80</v>
      </c>
      <c r="P2" s="50" t="s">
        <v>81</v>
      </c>
    </row>
    <row r="3" spans="1:17" x14ac:dyDescent="0.25">
      <c r="A3" s="51" t="s">
        <v>82</v>
      </c>
      <c r="B3" s="52">
        <v>2.0599999999999999E-4</v>
      </c>
      <c r="C3" s="52">
        <v>3.8349999999999999E-3</v>
      </c>
      <c r="D3" s="52">
        <v>1.1658E-2</v>
      </c>
      <c r="E3" s="52">
        <v>-1.2884E-2</v>
      </c>
      <c r="F3" s="52">
        <v>2.5595E-2</v>
      </c>
      <c r="G3" s="52">
        <v>-3.8503000000000003E-2</v>
      </c>
      <c r="H3" s="52">
        <v>6.6109999999999997E-3</v>
      </c>
      <c r="I3" s="53">
        <f t="shared" ref="I3:I38" si="0">B3-C3</f>
        <v>-3.6289999999999998E-3</v>
      </c>
      <c r="J3" s="53">
        <f t="shared" ref="J3:J38" si="1">$P$3+$O$3*D3+$N$3*E3+$M$3*F3+$L$3*G3+$K$3*H3</f>
        <v>-1.3094518314714166E-2</v>
      </c>
      <c r="K3" s="54">
        <f t="array" ref="K3:P3">LINEST(I3:I38,D3:H38,TRUE(),FALSE())</f>
        <v>8.6466780976376223E-2</v>
      </c>
      <c r="L3" s="54">
        <v>6.4531444352469505E-2</v>
      </c>
      <c r="M3" s="54">
        <v>-0.48313920841806718</v>
      </c>
      <c r="N3" s="54">
        <v>0.63067092674553216</v>
      </c>
      <c r="O3" s="54">
        <v>1.1037908294468963</v>
      </c>
      <c r="P3" s="54">
        <v>-3.5579772318879042E-3</v>
      </c>
    </row>
    <row r="4" spans="1:17" x14ac:dyDescent="0.25">
      <c r="A4" s="51" t="s">
        <v>83</v>
      </c>
      <c r="B4" s="52">
        <v>2.1943000000000001E-2</v>
      </c>
      <c r="C4" s="52">
        <v>3.8570000000000002E-3</v>
      </c>
      <c r="D4" s="52">
        <v>5.5000000000000002E-5</v>
      </c>
      <c r="E4" s="52">
        <v>-1.351E-3</v>
      </c>
      <c r="F4" s="52">
        <v>-1.333E-2</v>
      </c>
      <c r="G4" s="52">
        <v>8.9549999999999994E-3</v>
      </c>
      <c r="H4" s="52">
        <v>-4.2430000000000002E-3</v>
      </c>
      <c r="I4" s="53">
        <f t="shared" si="0"/>
        <v>1.8086000000000001E-2</v>
      </c>
      <c r="J4" s="53">
        <f t="shared" si="1"/>
        <v>2.301941022404897E-3</v>
      </c>
    </row>
    <row r="5" spans="1:17" x14ac:dyDescent="0.25">
      <c r="A5" s="51" t="s">
        <v>84</v>
      </c>
      <c r="B5" s="52">
        <v>3.9668000000000002E-2</v>
      </c>
      <c r="C5" s="52">
        <v>3.5839999999999999E-3</v>
      </c>
      <c r="D5" s="52">
        <v>3.4819000000000003E-2</v>
      </c>
      <c r="E5" s="52">
        <v>1.8747E-2</v>
      </c>
      <c r="F5" s="52">
        <v>4.5227999999999997E-2</v>
      </c>
      <c r="G5" s="52">
        <v>-8.4700000000000001E-3</v>
      </c>
      <c r="H5" s="52">
        <v>-2.8926E-2</v>
      </c>
      <c r="I5" s="53">
        <f t="shared" si="0"/>
        <v>3.6084000000000005E-2</v>
      </c>
      <c r="J5" s="53">
        <f t="shared" si="1"/>
        <v>2.1798963963801665E-2</v>
      </c>
      <c r="K5" s="55" t="s">
        <v>85</v>
      </c>
      <c r="L5" s="55"/>
      <c r="M5" s="55"/>
      <c r="N5" s="56">
        <f>RSQ(J3:J38,I3:I38)</f>
        <v>0.61444225726695889</v>
      </c>
    </row>
    <row r="6" spans="1:17" x14ac:dyDescent="0.25">
      <c r="A6" s="51" t="s">
        <v>86</v>
      </c>
      <c r="B6" s="52">
        <v>2.1443E-2</v>
      </c>
      <c r="C6" s="52">
        <v>3.6979999999999999E-3</v>
      </c>
      <c r="D6" s="52">
        <v>1.0721E-2</v>
      </c>
      <c r="E6" s="52">
        <v>3.4354999999999997E-2</v>
      </c>
      <c r="F6" s="52">
        <v>-3.0190000000000002E-2</v>
      </c>
      <c r="G6" s="52">
        <v>3.967E-3</v>
      </c>
      <c r="H6" s="52">
        <v>-2.43E-4</v>
      </c>
      <c r="I6" s="53">
        <f t="shared" si="0"/>
        <v>1.7745E-2</v>
      </c>
      <c r="J6" s="53">
        <f t="shared" si="1"/>
        <v>4.4763421453065458E-2</v>
      </c>
    </row>
    <row r="7" spans="1:17" x14ac:dyDescent="0.25">
      <c r="A7" s="51" t="s">
        <v>87</v>
      </c>
      <c r="B7" s="52">
        <v>-4.4354999999999999E-2</v>
      </c>
      <c r="C7" s="52">
        <v>3.9550000000000002E-3</v>
      </c>
      <c r="D7" s="52">
        <v>-1.8105E-2</v>
      </c>
      <c r="E7" s="52">
        <v>-2.6199E-2</v>
      </c>
      <c r="F7" s="52">
        <v>-1.4376999999999999E-2</v>
      </c>
      <c r="G7" s="52">
        <v>6.3699999999999998E-4</v>
      </c>
      <c r="H7" s="52">
        <v>-1.136E-2</v>
      </c>
      <c r="I7" s="53">
        <f t="shared" si="0"/>
        <v>-4.8309999999999999E-2</v>
      </c>
      <c r="J7" s="53">
        <f t="shared" si="1"/>
        <v>-3.4060121511242721E-2</v>
      </c>
      <c r="K7" s="48"/>
      <c r="L7" s="48"/>
      <c r="M7" s="48"/>
      <c r="N7" s="48"/>
      <c r="O7" s="48"/>
      <c r="P7" s="48"/>
    </row>
    <row r="8" spans="1:17" x14ac:dyDescent="0.25">
      <c r="A8" s="51" t="s">
        <v>88</v>
      </c>
      <c r="B8" s="52">
        <v>0.115941</v>
      </c>
      <c r="C8" s="52">
        <v>3.7810000000000001E-3</v>
      </c>
      <c r="D8" s="52">
        <v>2.2272E-2</v>
      </c>
      <c r="E8" s="52">
        <v>3.4805999999999997E-2</v>
      </c>
      <c r="F8" s="52">
        <v>2.3941E-2</v>
      </c>
      <c r="G8" s="52">
        <v>5.6379999999999998E-3</v>
      </c>
      <c r="H8" s="52">
        <v>1.8783000000000001E-2</v>
      </c>
      <c r="I8" s="53">
        <f t="shared" si="0"/>
        <v>0.11216</v>
      </c>
      <c r="J8" s="53">
        <f t="shared" si="1"/>
        <v>3.339788243945991E-2</v>
      </c>
      <c r="K8" s="48"/>
      <c r="L8" s="48"/>
      <c r="M8" s="48"/>
      <c r="N8" s="48"/>
      <c r="O8" s="48"/>
      <c r="P8" s="48"/>
    </row>
    <row r="9" spans="1:17" x14ac:dyDescent="0.25">
      <c r="A9" s="51" t="s">
        <v>89</v>
      </c>
      <c r="B9" s="52">
        <v>8.8884000000000005E-2</v>
      </c>
      <c r="C9" s="52">
        <v>3.7889999999999998E-3</v>
      </c>
      <c r="D9" s="52">
        <v>6.4680000000000001E-2</v>
      </c>
      <c r="E9" s="52">
        <v>3.1109000000000001E-2</v>
      </c>
      <c r="F9" s="52">
        <v>2.6770000000000001E-3</v>
      </c>
      <c r="G9" s="52">
        <v>1.4494999999999999E-2</v>
      </c>
      <c r="H9" s="52">
        <v>-3.1199999999999999E-3</v>
      </c>
      <c r="I9" s="53">
        <f t="shared" si="0"/>
        <v>8.5095000000000004E-2</v>
      </c>
      <c r="J9" s="53">
        <f t="shared" si="1"/>
        <v>8.6826998745171718E-2</v>
      </c>
      <c r="K9" s="48"/>
      <c r="L9" s="48"/>
      <c r="M9" s="48"/>
      <c r="N9" s="48"/>
      <c r="O9" s="48"/>
      <c r="P9" s="48"/>
    </row>
    <row r="10" spans="1:17" x14ac:dyDescent="0.25">
      <c r="A10" s="51" t="s">
        <v>90</v>
      </c>
      <c r="B10" s="52">
        <v>5.6979999999999999E-3</v>
      </c>
      <c r="C10" s="52">
        <v>3.5969999999999999E-3</v>
      </c>
      <c r="D10" s="52">
        <v>4.8619000000000002E-2</v>
      </c>
      <c r="E10" s="52">
        <v>1.8689000000000001E-2</v>
      </c>
      <c r="F10" s="52">
        <v>4.9556999999999997E-2</v>
      </c>
      <c r="G10" s="52">
        <v>-1.1651E-2</v>
      </c>
      <c r="H10" s="52">
        <v>2.836E-3</v>
      </c>
      <c r="I10" s="53">
        <f t="shared" si="0"/>
        <v>2.101E-3</v>
      </c>
      <c r="J10" s="53">
        <f t="shared" si="1"/>
        <v>3.7444272236062233E-2</v>
      </c>
    </row>
    <row r="11" spans="1:17" x14ac:dyDescent="0.25">
      <c r="A11" s="51" t="s">
        <v>91</v>
      </c>
      <c r="B11" s="52">
        <v>-3.7461000000000001E-2</v>
      </c>
      <c r="C11" s="52">
        <v>3.7629999999999999E-3</v>
      </c>
      <c r="D11" s="52">
        <v>-2.5668E-2</v>
      </c>
      <c r="E11" s="52">
        <v>7.3179999999999999E-3</v>
      </c>
      <c r="F11" s="52">
        <v>6.0239999999999998E-3</v>
      </c>
      <c r="G11" s="52">
        <v>2.7577999999999998E-2</v>
      </c>
      <c r="H11" s="52">
        <v>-1.2094000000000001E-2</v>
      </c>
      <c r="I11" s="53">
        <f t="shared" si="0"/>
        <v>-4.1224000000000004E-2</v>
      </c>
      <c r="J11" s="53">
        <f t="shared" si="1"/>
        <v>-2.9451342068493359E-2</v>
      </c>
    </row>
    <row r="12" spans="1:17" x14ac:dyDescent="0.25">
      <c r="A12" s="51" t="s">
        <v>92</v>
      </c>
      <c r="B12" s="52">
        <v>-3.4852000000000001E-2</v>
      </c>
      <c r="C12" s="52">
        <v>3.7620000000000002E-3</v>
      </c>
      <c r="D12" s="52">
        <v>-5.0944000000000003E-2</v>
      </c>
      <c r="E12" s="52">
        <v>-5.4060000000000002E-3</v>
      </c>
      <c r="F12" s="52">
        <v>-1.3697000000000001E-2</v>
      </c>
      <c r="G12" s="52">
        <v>1.507E-2</v>
      </c>
      <c r="H12" s="52">
        <v>-6.6699999999999997E-3</v>
      </c>
      <c r="I12" s="53">
        <f t="shared" si="0"/>
        <v>-3.8614000000000002E-2</v>
      </c>
      <c r="J12" s="53">
        <f t="shared" si="1"/>
        <v>-5.6185591102235387E-2</v>
      </c>
    </row>
    <row r="13" spans="1:17" x14ac:dyDescent="0.25">
      <c r="A13" s="51" t="s">
        <v>93</v>
      </c>
      <c r="B13" s="52">
        <v>-1.8262E-2</v>
      </c>
      <c r="C13" s="52">
        <v>3.5439999999999998E-3</v>
      </c>
      <c r="D13" s="52">
        <v>-2.2047000000000001E-2</v>
      </c>
      <c r="E13" s="52">
        <v>3.3576000000000002E-2</v>
      </c>
      <c r="F13" s="52">
        <v>-7.5620000000000001E-3</v>
      </c>
      <c r="G13" s="52">
        <v>1.7187000000000001E-2</v>
      </c>
      <c r="H13" s="52">
        <v>1.315E-3</v>
      </c>
      <c r="I13" s="53">
        <f t="shared" si="0"/>
        <v>-2.1805999999999999E-2</v>
      </c>
      <c r="J13" s="53">
        <f t="shared" si="1"/>
        <v>-1.8415421671683888E-3</v>
      </c>
    </row>
    <row r="14" spans="1:17" x14ac:dyDescent="0.25">
      <c r="A14" s="51" t="s">
        <v>94</v>
      </c>
      <c r="B14" s="52">
        <v>6.9780999999999996E-2</v>
      </c>
      <c r="C14" s="52">
        <v>3.9909999999999998E-3</v>
      </c>
      <c r="D14" s="52">
        <v>7.8600000000000007E-3</v>
      </c>
      <c r="E14" s="52">
        <v>4.4625999999999999E-2</v>
      </c>
      <c r="F14" s="52">
        <v>-2.4688000000000002E-2</v>
      </c>
      <c r="G14" s="52">
        <v>2.2967999999999999E-2</v>
      </c>
      <c r="H14" s="52">
        <v>-2.2266000000000001E-2</v>
      </c>
      <c r="I14" s="53">
        <f t="shared" si="0"/>
        <v>6.5790000000000001E-2</v>
      </c>
      <c r="J14" s="53">
        <f t="shared" si="1"/>
        <v>4.4746769110603594E-2</v>
      </c>
    </row>
    <row r="15" spans="1:17" x14ac:dyDescent="0.25">
      <c r="A15" s="51" t="s">
        <v>95</v>
      </c>
      <c r="B15" s="52">
        <v>-6.1411E-2</v>
      </c>
      <c r="C15" s="52">
        <v>3.7859999999999999E-3</v>
      </c>
      <c r="D15" s="52">
        <v>-9.8626000000000005E-2</v>
      </c>
      <c r="E15" s="52">
        <v>4.1135999999999999E-2</v>
      </c>
      <c r="F15" s="52">
        <v>-2.9163999999999999E-2</v>
      </c>
      <c r="G15" s="52">
        <v>1.6177E-2</v>
      </c>
      <c r="H15" s="52">
        <v>6.3109999999999998E-3</v>
      </c>
      <c r="I15" s="53">
        <f t="shared" si="0"/>
        <v>-6.5197000000000005E-2</v>
      </c>
      <c r="J15" s="53">
        <f t="shared" si="1"/>
        <v>-7.0797283429976973E-2</v>
      </c>
    </row>
    <row r="16" spans="1:17" x14ac:dyDescent="0.25">
      <c r="A16" s="51" t="s">
        <v>96</v>
      </c>
      <c r="B16" s="52">
        <v>5.3070000000000001E-3</v>
      </c>
      <c r="C16" s="52">
        <v>3.503E-3</v>
      </c>
      <c r="D16" s="52">
        <v>-3.846E-3</v>
      </c>
      <c r="E16" s="52">
        <v>3.0432000000000001E-2</v>
      </c>
      <c r="F16" s="52">
        <v>1.6629999999999999E-2</v>
      </c>
      <c r="G16" s="52">
        <v>1.7193E-2</v>
      </c>
      <c r="H16" s="52">
        <v>-1.9699999999999999E-4</v>
      </c>
      <c r="I16" s="53">
        <f t="shared" si="0"/>
        <v>1.804E-3</v>
      </c>
      <c r="J16" s="53">
        <f t="shared" si="1"/>
        <v>4.4472710116865736E-3</v>
      </c>
    </row>
    <row r="17" spans="1:10" x14ac:dyDescent="0.25">
      <c r="A17" s="51" t="s">
        <v>97</v>
      </c>
      <c r="B17" s="52">
        <v>-6.4845E-2</v>
      </c>
      <c r="C17" s="52">
        <v>3.8860000000000001E-3</v>
      </c>
      <c r="D17" s="52">
        <v>-5.0065999999999999E-2</v>
      </c>
      <c r="E17" s="52">
        <v>9.3620000000000005E-3</v>
      </c>
      <c r="F17" s="52">
        <v>1.5448E-2</v>
      </c>
      <c r="G17" s="52">
        <v>3.3609999999999998E-3</v>
      </c>
      <c r="H17" s="52">
        <v>-1.7472000000000001E-2</v>
      </c>
      <c r="I17" s="53">
        <f t="shared" si="0"/>
        <v>-6.8731E-2</v>
      </c>
      <c r="J17" s="53">
        <f t="shared" si="1"/>
        <v>-6.1673419587177439E-2</v>
      </c>
    </row>
    <row r="18" spans="1:10" x14ac:dyDescent="0.25">
      <c r="A18" s="51" t="s">
        <v>98</v>
      </c>
      <c r="B18" s="52">
        <v>-7.0629999999999998E-2</v>
      </c>
      <c r="C18" s="52">
        <v>3.9890000000000004E-3</v>
      </c>
      <c r="D18" s="52">
        <v>-2.6952E-2</v>
      </c>
      <c r="E18" s="52">
        <v>-2.5083000000000001E-2</v>
      </c>
      <c r="F18" s="52">
        <v>3.2569000000000001E-2</v>
      </c>
      <c r="G18" s="52">
        <v>-2.3682000000000002E-2</v>
      </c>
      <c r="H18" s="52">
        <v>-3.6872000000000002E-2</v>
      </c>
      <c r="I18" s="53">
        <f t="shared" si="0"/>
        <v>-7.4619000000000005E-2</v>
      </c>
      <c r="J18" s="53">
        <f t="shared" si="1"/>
        <v>-6.9578264214982991E-2</v>
      </c>
    </row>
    <row r="19" spans="1:10" x14ac:dyDescent="0.25">
      <c r="A19" s="51" t="s">
        <v>99</v>
      </c>
      <c r="B19" s="52">
        <v>-2.9714000000000001E-2</v>
      </c>
      <c r="C19" s="52">
        <v>3.7950000000000002E-3</v>
      </c>
      <c r="D19" s="52">
        <v>-1.8492000000000001E-2</v>
      </c>
      <c r="E19" s="52">
        <v>1.402E-3</v>
      </c>
      <c r="F19" s="52">
        <v>-1.6611000000000001E-2</v>
      </c>
      <c r="G19" s="52">
        <v>-4.3100000000000001E-4</v>
      </c>
      <c r="H19" s="52">
        <v>9.7090000000000006E-3</v>
      </c>
      <c r="I19" s="53">
        <f t="shared" si="0"/>
        <v>-3.3509000000000004E-2</v>
      </c>
      <c r="J19" s="53">
        <f t="shared" si="1"/>
        <v>-1.4247958295706444E-2</v>
      </c>
    </row>
    <row r="20" spans="1:10" x14ac:dyDescent="0.25">
      <c r="A20" s="51" t="s">
        <v>100</v>
      </c>
      <c r="B20" s="52">
        <v>-4.5813E-2</v>
      </c>
      <c r="C20" s="52">
        <v>3.6600000000000001E-3</v>
      </c>
      <c r="D20" s="52">
        <v>-8.234E-3</v>
      </c>
      <c r="E20" s="52">
        <v>1.5942000000000001E-2</v>
      </c>
      <c r="F20" s="52">
        <v>4.2039E-2</v>
      </c>
      <c r="G20" s="52">
        <v>-1.1851E-2</v>
      </c>
      <c r="H20" s="52">
        <v>-3.261E-3</v>
      </c>
      <c r="I20" s="53">
        <f t="shared" si="0"/>
        <v>-4.9473000000000003E-2</v>
      </c>
      <c r="J20" s="53">
        <f t="shared" si="1"/>
        <v>-2.394985450984858E-2</v>
      </c>
    </row>
    <row r="21" spans="1:10" x14ac:dyDescent="0.25">
      <c r="A21" s="51" t="s">
        <v>101</v>
      </c>
      <c r="B21" s="52">
        <v>5.1880000000000003E-2</v>
      </c>
      <c r="C21" s="52">
        <v>3.594E-3</v>
      </c>
      <c r="D21" s="52">
        <v>2.4523E-2</v>
      </c>
      <c r="E21" s="52">
        <v>-2.6844E-2</v>
      </c>
      <c r="F21" s="52">
        <v>-5.3969999999999999E-3</v>
      </c>
      <c r="G21" s="52">
        <v>-2.3609000000000002E-2</v>
      </c>
      <c r="H21" s="52">
        <v>-6.9800000000000001E-3</v>
      </c>
      <c r="I21" s="53">
        <f t="shared" si="0"/>
        <v>4.8286000000000003E-2</v>
      </c>
      <c r="J21" s="53">
        <f t="shared" si="1"/>
        <v>7.0609962279810194E-3</v>
      </c>
    </row>
    <row r="22" spans="1:10" x14ac:dyDescent="0.25">
      <c r="A22" s="51" t="s">
        <v>102</v>
      </c>
      <c r="B22" s="52">
        <v>0.101715</v>
      </c>
      <c r="C22" s="52">
        <v>3.836E-3</v>
      </c>
      <c r="D22" s="52">
        <v>5.2913000000000002E-2</v>
      </c>
      <c r="E22" s="52">
        <v>1.0193000000000001E-2</v>
      </c>
      <c r="F22" s="52">
        <v>3.9286000000000001E-2</v>
      </c>
      <c r="G22" s="52">
        <v>6.6519999999999999E-3</v>
      </c>
      <c r="H22" s="52">
        <v>-2.2780000000000001E-3</v>
      </c>
      <c r="I22" s="53">
        <f t="shared" si="0"/>
        <v>9.7878999999999994E-2</v>
      </c>
      <c r="J22" s="53">
        <f t="shared" si="1"/>
        <v>4.252702058180919E-2</v>
      </c>
    </row>
    <row r="23" spans="1:10" x14ac:dyDescent="0.25">
      <c r="A23" s="51" t="s">
        <v>103</v>
      </c>
      <c r="B23" s="52">
        <v>-2.0240000000000001E-2</v>
      </c>
      <c r="C23" s="52">
        <v>3.5980000000000001E-3</v>
      </c>
      <c r="D23" s="52">
        <v>2.1599999999999999E-4</v>
      </c>
      <c r="E23" s="52">
        <v>1.0957E-2</v>
      </c>
      <c r="F23" s="52">
        <v>-8.8870000000000008E-3</v>
      </c>
      <c r="G23" s="52">
        <v>-8.234E-3</v>
      </c>
      <c r="H23" s="52">
        <v>3.0564000000000001E-2</v>
      </c>
      <c r="I23" s="53">
        <f t="shared" si="0"/>
        <v>-2.3838000000000002E-2</v>
      </c>
      <c r="J23" s="53">
        <f t="shared" si="1"/>
        <v>9.9957798577985126E-3</v>
      </c>
    </row>
    <row r="24" spans="1:10" x14ac:dyDescent="0.25">
      <c r="A24" s="51" t="s">
        <v>104</v>
      </c>
      <c r="B24" s="52">
        <v>6.0358000000000002E-2</v>
      </c>
      <c r="C24" s="52">
        <v>3.7889999999999998E-3</v>
      </c>
      <c r="D24" s="52">
        <v>6.7490999999999995E-2</v>
      </c>
      <c r="E24" s="52">
        <v>1.6813000000000002E-2</v>
      </c>
      <c r="F24" s="52">
        <v>-1.6152E-2</v>
      </c>
      <c r="G24" s="52">
        <v>-1.6535999999999999E-2</v>
      </c>
      <c r="H24" s="52">
        <v>7.0299999999999996E-4</v>
      </c>
      <c r="I24" s="53">
        <f t="shared" si="0"/>
        <v>5.6569000000000001E-2</v>
      </c>
      <c r="J24" s="53">
        <f t="shared" si="1"/>
        <v>8.8338798607267788E-2</v>
      </c>
    </row>
    <row r="25" spans="1:10" x14ac:dyDescent="0.25">
      <c r="A25" s="51" t="s">
        <v>105</v>
      </c>
      <c r="B25" s="52">
        <v>-7.8560000000000005E-2</v>
      </c>
      <c r="C25" s="52">
        <v>3.8010000000000001E-3</v>
      </c>
      <c r="D25" s="52">
        <v>-2.3934E-2</v>
      </c>
      <c r="E25" s="52">
        <v>-2.4551E-2</v>
      </c>
      <c r="F25" s="52">
        <v>7.4949999999999999E-3</v>
      </c>
      <c r="G25" s="52">
        <v>-1.6774000000000001E-2</v>
      </c>
      <c r="H25" s="52">
        <v>2.8860000000000001E-3</v>
      </c>
      <c r="I25" s="53">
        <f t="shared" si="0"/>
        <v>-8.2361000000000004E-2</v>
      </c>
      <c r="J25" s="53">
        <f t="shared" si="1"/>
        <v>-4.9913744551163396E-2</v>
      </c>
    </row>
    <row r="26" spans="1:10" x14ac:dyDescent="0.25">
      <c r="A26" s="51" t="s">
        <v>106</v>
      </c>
      <c r="B26" s="52">
        <v>-4.2770000000000004E-3</v>
      </c>
      <c r="C26" s="52">
        <v>3.9810000000000002E-3</v>
      </c>
      <c r="D26" s="52">
        <v>2.1818000000000001E-2</v>
      </c>
      <c r="E26" s="52">
        <v>-1.3056999999999999E-2</v>
      </c>
      <c r="F26" s="52">
        <v>2.6255000000000001E-2</v>
      </c>
      <c r="G26" s="52">
        <v>6.8320000000000004E-3</v>
      </c>
      <c r="H26" s="52">
        <v>-2.2293E-2</v>
      </c>
      <c r="I26" s="53">
        <f t="shared" si="0"/>
        <v>-8.2580000000000015E-3</v>
      </c>
      <c r="J26" s="53">
        <f t="shared" si="1"/>
        <v>-1.8816842430385695E-3</v>
      </c>
    </row>
    <row r="27" spans="1:10" x14ac:dyDescent="0.25">
      <c r="A27" s="51" t="s">
        <v>107</v>
      </c>
      <c r="B27" s="52">
        <v>-2.1138000000000001E-2</v>
      </c>
      <c r="C27" s="52">
        <v>3.5360000000000001E-3</v>
      </c>
      <c r="D27" s="52">
        <v>4.6656000000000003E-2</v>
      </c>
      <c r="E27" s="52">
        <v>-8.1019999999999998E-3</v>
      </c>
      <c r="F27" s="52">
        <v>5.3639999999999998E-3</v>
      </c>
      <c r="G27" s="52">
        <v>8.456E-3</v>
      </c>
      <c r="H27" s="52">
        <v>2.7857E-2</v>
      </c>
      <c r="I27" s="53">
        <f t="shared" si="0"/>
        <v>-2.4674000000000001E-2</v>
      </c>
      <c r="J27" s="53">
        <f t="shared" si="1"/>
        <v>4.3193616155443072E-2</v>
      </c>
    </row>
    <row r="28" spans="1:10" x14ac:dyDescent="0.25">
      <c r="A28" s="51" t="s">
        <v>108</v>
      </c>
      <c r="B28" s="52">
        <v>-1.4624E-2</v>
      </c>
      <c r="C28" s="52">
        <v>3.7499999999999999E-3</v>
      </c>
      <c r="D28" s="52">
        <v>1.0231000000000001E-2</v>
      </c>
      <c r="E28" s="52">
        <v>-2.4236000000000001E-2</v>
      </c>
      <c r="F28" s="52">
        <v>-1.2553E-2</v>
      </c>
      <c r="G28" s="52">
        <v>2.5804000000000001E-2</v>
      </c>
      <c r="H28" s="52">
        <v>1.618E-2</v>
      </c>
      <c r="I28" s="53">
        <f t="shared" si="0"/>
        <v>-1.8374000000000001E-2</v>
      </c>
      <c r="J28" s="53">
        <f t="shared" si="1"/>
        <v>1.5790145531194625E-3</v>
      </c>
    </row>
    <row r="29" spans="1:10" x14ac:dyDescent="0.25">
      <c r="A29" s="51" t="s">
        <v>109</v>
      </c>
      <c r="B29" s="52">
        <v>2.6877999999999999E-2</v>
      </c>
      <c r="C29" s="52">
        <v>3.872E-3</v>
      </c>
      <c r="D29" s="52">
        <v>-2.7456999999999999E-2</v>
      </c>
      <c r="E29" s="52">
        <v>3.9766000000000003E-2</v>
      </c>
      <c r="F29" s="52">
        <v>-3.0689000000000001E-2</v>
      </c>
      <c r="G29" s="52">
        <v>1.75E-3</v>
      </c>
      <c r="H29" s="52">
        <v>1.8571000000000001E-2</v>
      </c>
      <c r="I29" s="53">
        <f t="shared" si="0"/>
        <v>2.3005999999999999E-2</v>
      </c>
      <c r="J29" s="53">
        <f t="shared" si="1"/>
        <v>7.7602618212226689E-3</v>
      </c>
    </row>
    <row r="30" spans="1:10" x14ac:dyDescent="0.25">
      <c r="A30" s="51" t="s">
        <v>110</v>
      </c>
      <c r="B30" s="52">
        <v>-3.9530000000000003E-2</v>
      </c>
      <c r="C30" s="52">
        <v>3.5890000000000002E-3</v>
      </c>
      <c r="D30" s="52">
        <v>-3.5478000000000003E-2</v>
      </c>
      <c r="E30" s="52">
        <v>-9.41E-3</v>
      </c>
      <c r="F30" s="52">
        <v>-3.2135999999999998E-2</v>
      </c>
      <c r="G30" s="52">
        <v>2.0753000000000001E-2</v>
      </c>
      <c r="H30" s="52">
        <v>2.2629999999999998E-3</v>
      </c>
      <c r="I30" s="53">
        <f t="shared" si="0"/>
        <v>-4.3119000000000005E-2</v>
      </c>
      <c r="J30" s="53">
        <f t="shared" si="1"/>
        <v>-3.1591824707961007E-2</v>
      </c>
    </row>
    <row r="31" spans="1:10" x14ac:dyDescent="0.25">
      <c r="A31" s="51" t="s">
        <v>111</v>
      </c>
      <c r="B31" s="52">
        <v>1.3148999999999999E-2</v>
      </c>
      <c r="C31" s="52">
        <v>3.6939999999999998E-3</v>
      </c>
      <c r="D31" s="52">
        <v>-1.4598E-2</v>
      </c>
      <c r="E31" s="52">
        <v>8.737E-3</v>
      </c>
      <c r="F31" s="52">
        <v>1.3564E-2</v>
      </c>
      <c r="G31" s="52">
        <v>2.7241000000000001E-2</v>
      </c>
      <c r="H31" s="52">
        <v>1.6166E-2</v>
      </c>
      <c r="I31" s="53">
        <f t="shared" si="0"/>
        <v>9.4549999999999999E-3</v>
      </c>
      <c r="J31" s="53">
        <f t="shared" si="1"/>
        <v>-1.7558521039290925E-2</v>
      </c>
    </row>
    <row r="32" spans="1:10" x14ac:dyDescent="0.25">
      <c r="A32" s="51" t="s">
        <v>112</v>
      </c>
      <c r="B32" s="52">
        <v>6.7279999999999996E-3</v>
      </c>
      <c r="C32" s="52">
        <v>3.5309999999999999E-3</v>
      </c>
      <c r="D32" s="52">
        <v>1.5909E-2</v>
      </c>
      <c r="E32" s="52">
        <v>-4.189E-3</v>
      </c>
      <c r="F32" s="52">
        <v>2.5253000000000001E-2</v>
      </c>
      <c r="G32" s="52">
        <v>2.2703000000000001E-2</v>
      </c>
      <c r="H32" s="52">
        <v>7.4349999999999998E-3</v>
      </c>
      <c r="I32" s="53">
        <f t="shared" si="0"/>
        <v>3.1969999999999998E-3</v>
      </c>
      <c r="J32" s="53">
        <f t="shared" si="1"/>
        <v>1.2675740291577565E-3</v>
      </c>
    </row>
    <row r="33" spans="1:10" x14ac:dyDescent="0.25">
      <c r="A33" s="51" t="s">
        <v>113</v>
      </c>
      <c r="B33" s="52">
        <v>1.3246000000000001E-2</v>
      </c>
      <c r="C33" s="52">
        <v>3.8630000000000001E-3</v>
      </c>
      <c r="D33" s="52">
        <v>-3.9433000000000003E-2</v>
      </c>
      <c r="E33" s="52">
        <v>3.6336E-2</v>
      </c>
      <c r="F33" s="52">
        <v>-2.4429999999999999E-3</v>
      </c>
      <c r="G33" s="52">
        <v>-4.0575E-2</v>
      </c>
      <c r="H33" s="52">
        <v>1.1311E-2</v>
      </c>
      <c r="I33" s="53">
        <f t="shared" si="0"/>
        <v>9.3830000000000007E-3</v>
      </c>
      <c r="J33" s="53">
        <f t="shared" si="1"/>
        <v>-2.4627730724054029E-2</v>
      </c>
    </row>
    <row r="34" spans="1:10" x14ac:dyDescent="0.25">
      <c r="A34" s="51" t="s">
        <v>114</v>
      </c>
      <c r="B34" s="52">
        <v>2.3512999999999999E-2</v>
      </c>
      <c r="C34" s="52">
        <v>3.5439999999999998E-3</v>
      </c>
      <c r="D34" s="52">
        <v>-3.4129999999999998E-3</v>
      </c>
      <c r="E34" s="52">
        <v>3.0547999999999999E-2</v>
      </c>
      <c r="F34" s="52">
        <v>-2.4285000000000001E-2</v>
      </c>
      <c r="G34" s="52">
        <v>2.4115999999999999E-2</v>
      </c>
      <c r="H34" s="52">
        <v>-9.3499999999999996E-4</v>
      </c>
      <c r="I34" s="53">
        <f t="shared" si="0"/>
        <v>1.9969000000000001E-2</v>
      </c>
      <c r="J34" s="53">
        <f t="shared" si="1"/>
        <v>2.5148949685656362E-2</v>
      </c>
    </row>
    <row r="35" spans="1:10" x14ac:dyDescent="0.25">
      <c r="A35" s="51" t="s">
        <v>115</v>
      </c>
      <c r="B35" s="52">
        <v>-5.574E-3</v>
      </c>
      <c r="C35" s="52">
        <v>3.6979999999999999E-3</v>
      </c>
      <c r="D35" s="52">
        <v>-1.165E-3</v>
      </c>
      <c r="E35" s="52">
        <v>1.5434E-2</v>
      </c>
      <c r="F35" s="52">
        <v>2.2453000000000001E-2</v>
      </c>
      <c r="G35" s="52">
        <v>8.1130000000000004E-3</v>
      </c>
      <c r="H35" s="52">
        <v>-2.2082000000000001E-2</v>
      </c>
      <c r="I35" s="53">
        <f t="shared" si="0"/>
        <v>-9.271999999999999E-3</v>
      </c>
      <c r="J35" s="53">
        <f t="shared" si="1"/>
        <v>-7.3438589609026118E-3</v>
      </c>
    </row>
    <row r="36" spans="1:10" x14ac:dyDescent="0.25">
      <c r="A36" s="51" t="s">
        <v>116</v>
      </c>
      <c r="B36" s="52">
        <v>9.4900999999999999E-2</v>
      </c>
      <c r="C36" s="52">
        <v>3.9370000000000004E-3</v>
      </c>
      <c r="D36" s="52">
        <v>3.0338E-2</v>
      </c>
      <c r="E36" s="52">
        <v>-4.6976999999999998E-2</v>
      </c>
      <c r="F36" s="52">
        <v>-2.9229000000000002E-2</v>
      </c>
      <c r="G36" s="52">
        <v>9.6279999999999994E-3</v>
      </c>
      <c r="H36" s="52">
        <v>1.7961999999999999E-2</v>
      </c>
      <c r="I36" s="53">
        <f t="shared" si="0"/>
        <v>9.0964000000000003E-2</v>
      </c>
      <c r="J36" s="53">
        <f t="shared" si="1"/>
        <v>1.6597901815122103E-2</v>
      </c>
    </row>
    <row r="37" spans="1:10" x14ac:dyDescent="0.25">
      <c r="A37" s="51" t="s">
        <v>117</v>
      </c>
      <c r="B37" s="52">
        <v>1.8076999999999999E-2</v>
      </c>
      <c r="C37" s="52">
        <v>3.7360000000000002E-3</v>
      </c>
      <c r="D37" s="52">
        <v>1.566E-2</v>
      </c>
      <c r="E37" s="52">
        <v>2.6450000000000002E-3</v>
      </c>
      <c r="F37" s="52">
        <v>-1.5613999999999999E-2</v>
      </c>
      <c r="G37" s="52">
        <v>8.6820000000000005E-3</v>
      </c>
      <c r="H37" s="52">
        <v>-2.9458999999999999E-2</v>
      </c>
      <c r="I37" s="53">
        <f t="shared" si="0"/>
        <v>1.4341E-2</v>
      </c>
      <c r="J37" s="53">
        <f t="shared" si="1"/>
        <v>2.0952284457817195E-2</v>
      </c>
    </row>
    <row r="38" spans="1:10" x14ac:dyDescent="0.25">
      <c r="A38" s="51" t="s">
        <v>118</v>
      </c>
      <c r="B38" s="52">
        <v>2.9970000000000001E-3</v>
      </c>
      <c r="C38" s="52">
        <v>3.9560000000000003E-3</v>
      </c>
      <c r="D38" s="52">
        <v>2.1992000000000001E-2</v>
      </c>
      <c r="E38" s="52">
        <v>1.6541E-2</v>
      </c>
      <c r="F38" s="52">
        <v>1.6403999999999998E-2</v>
      </c>
      <c r="G38" s="52">
        <v>8.8900000000000003E-3</v>
      </c>
      <c r="H38" s="52">
        <v>-2.3389999999999999E-3</v>
      </c>
      <c r="I38" s="53">
        <f t="shared" si="0"/>
        <v>-9.5900000000000022E-4</v>
      </c>
      <c r="J38" s="53">
        <f t="shared" si="1"/>
        <v>2.3594541653305823E-2</v>
      </c>
    </row>
    <row r="40" spans="1:10" x14ac:dyDescent="0.25">
      <c r="A40" s="57" t="s">
        <v>119</v>
      </c>
      <c r="B40" s="53">
        <f t="shared" ref="B40:I40" si="2">AVERAGE(B3:B38)</f>
        <v>5.3063055555555563E-3</v>
      </c>
      <c r="C40" s="53">
        <f t="shared" si="2"/>
        <v>3.7522222222222223E-3</v>
      </c>
      <c r="D40" s="53">
        <f t="shared" si="2"/>
        <v>1.1103611111111106E-3</v>
      </c>
      <c r="E40" s="53">
        <f t="shared" si="2"/>
        <v>7.8105833333333334E-3</v>
      </c>
      <c r="F40" s="53">
        <f t="shared" si="2"/>
        <v>2.4660555555555551E-3</v>
      </c>
      <c r="G40" s="53">
        <f t="shared" si="2"/>
        <v>3.6813888888888886E-3</v>
      </c>
      <c r="H40" s="53">
        <f t="shared" si="2"/>
        <v>-9.8963888888888994E-4</v>
      </c>
      <c r="I40" s="53">
        <f t="shared" si="2"/>
        <v>1.5540833333333322E-3</v>
      </c>
    </row>
    <row r="41" spans="1:10" x14ac:dyDescent="0.25">
      <c r="A41" s="57" t="s">
        <v>120</v>
      </c>
      <c r="B41" s="53">
        <f t="shared" ref="B41:I41" si="3">B40*12</f>
        <v>6.3675666666666672E-2</v>
      </c>
      <c r="C41" s="53">
        <f t="shared" si="3"/>
        <v>4.5026666666666666E-2</v>
      </c>
      <c r="D41" s="53">
        <f t="shared" si="3"/>
        <v>1.3324333333333327E-2</v>
      </c>
      <c r="E41" s="53">
        <f t="shared" si="3"/>
        <v>9.3727000000000005E-2</v>
      </c>
      <c r="F41" s="53">
        <f t="shared" si="3"/>
        <v>2.9592666666666663E-2</v>
      </c>
      <c r="G41" s="53">
        <f t="shared" si="3"/>
        <v>4.4176666666666663E-2</v>
      </c>
      <c r="H41" s="53">
        <f t="shared" si="3"/>
        <v>-1.187566666666668E-2</v>
      </c>
      <c r="I41" s="53">
        <f t="shared" si="3"/>
        <v>1.8648999999999985E-2</v>
      </c>
    </row>
    <row r="42" spans="1:10" x14ac:dyDescent="0.25">
      <c r="A42" s="57" t="s">
        <v>121</v>
      </c>
      <c r="B42" s="58">
        <f>COUNT(B3:B38)</f>
        <v>36</v>
      </c>
    </row>
  </sheetData>
  <mergeCells count="2">
    <mergeCell ref="K5:M5"/>
    <mergeCell ref="K7:P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CAPM</vt:lpstr>
      <vt:lpstr>FF5</vt:lpstr>
      <vt:lpstr>Regression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2025-07-20T11:16:42Z</dcterms:created>
  <dcterms:modified xsi:type="dcterms:W3CDTF">2026-08-03T09:08:38Z</dcterms:modified>
</cp:coreProperties>
</file>