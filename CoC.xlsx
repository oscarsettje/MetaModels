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D1D130DB-5132-488A-B88C-C78C2BCFE700}" xr6:coauthVersionLast="47" xr6:coauthVersionMax="47" xr10:uidLastSave="{00000000-0000-0000-0000-000000000000}"/>
  <bookViews>
    <workbookView xWindow="225" yWindow="4290" windowWidth="38175" windowHeight="15240" activeTab="1" xr2:uid="{80DABFE5-E9A7-496A-9AA7-416094618565}"/>
  </bookViews>
  <sheets>
    <sheet name="CAPM" sheetId="1" r:id="rId1"/>
    <sheet name="FamaFren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F20" i="2"/>
  <c r="F7" i="2"/>
  <c r="I47" i="1"/>
  <c r="F37" i="1"/>
  <c r="F32" i="1"/>
  <c r="F41" i="1" s="1"/>
  <c r="F20" i="1"/>
  <c r="F8" i="1"/>
  <c r="F22" i="1" s="1"/>
</calcChain>
</file>

<file path=xl/sharedStrings.xml><?xml version="1.0" encoding="utf-8"?>
<sst xmlns="http://schemas.openxmlformats.org/spreadsheetml/2006/main" count="81" uniqueCount="54">
  <si>
    <t>Main</t>
  </si>
  <si>
    <t>Cost of Capital</t>
  </si>
  <si>
    <t>x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</si>
  <si>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</si>
  <si>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</si>
  <si>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</si>
  <si>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</si>
  <si>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</si>
  <si>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</si>
  <si>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</si>
  <si>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</si>
  <si>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</si>
  <si>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</si>
  <si>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</si>
  <si>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</si>
  <si>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</si>
  <si>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</si>
  <si>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</si>
  <si>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</si>
  <si>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</si>
  <si>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</si>
  <si>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</si>
  <si>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</si>
  <si>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</si>
  <si>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</si>
  <si>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</si>
  <si>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</si>
  <si>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</si>
  <si>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</si>
  <si>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</si>
  <si>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</si>
  <si>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</si>
  <si>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</si>
  <si>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</si>
  <si>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</si>
  <si>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</si>
  <si>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WACC</t>
  </si>
  <si>
    <t>=&gt; WACC = (D/D+E)*kd * (1-t) + (E/D+E) * ke</t>
  </si>
  <si>
    <t>Change</t>
  </si>
  <si>
    <t xml:space="preserve">5 Factor Model </t>
  </si>
  <si>
    <t xml:space="preserve">Small cap Premium </t>
  </si>
  <si>
    <t>Small Cap Premium beta</t>
  </si>
  <si>
    <t>Value versus  Growth premium</t>
  </si>
  <si>
    <t>Value versus  Growth premium beta</t>
  </si>
  <si>
    <t xml:space="preserve">Profitability premium </t>
  </si>
  <si>
    <t>Porfitability premium beta</t>
  </si>
  <si>
    <t>Conservative investment premiun</t>
  </si>
  <si>
    <t>Conservative investment premiun beta</t>
  </si>
  <si>
    <t>Fama-French 5-Factor Model</t>
  </si>
  <si>
    <t>Cost of Equity 5 Factor Model</t>
  </si>
  <si>
    <t>https://mba.tuck.dartmouth.edu/pages/faculty/ken.french/data_library.html</t>
  </si>
  <si>
    <t>Data:</t>
  </si>
  <si>
    <t>Beta</t>
  </si>
  <si>
    <t>Expected Inflation (Kelly 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</si>
</sst>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 applyFont="1"/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quotePrefix="1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19847</xdr:colOff>
      <xdr:row>2</xdr:row>
      <xdr:rowOff>1</xdr:rowOff>
    </xdr:from>
    <xdr:to>
      <xdr:col>18</xdr:col>
      <xdr:colOff>444590</xdr:colOff>
      <xdr:row>14</xdr:row>
      <xdr:rowOff>157163</xdr:rowOff>
    </xdr:to>
    <xdr:pic>
      <xdr:nvPicPr>
        <xdr:cNvPr id="3" name="Picture 2" descr="Five-Factor Asset Pricing Model Analysis | by Andrea Chello | The Quant  Journey | Medium">
          <a:extLst>
            <a:ext uri="{FF2B5EF4-FFF2-40B4-BE49-F238E27FC236}">
              <a16:creationId xmlns:a16="http://schemas.microsoft.com/office/drawing/2014/main" id="{62DD2DC1-50A9-86B2-B422-72D291D69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397" y="381001"/>
          <a:ext cx="4691943" cy="244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2722-CEEF-4EC0-89E0-483F40976C3D}">
  <dimension ref="A1:BD74"/>
  <sheetViews>
    <sheetView zoomScale="200" zoomScaleNormal="200" workbookViewId="0">
      <selection activeCell="C14" sqref="C14"/>
    </sheetView>
  </sheetViews>
  <sheetFormatPr defaultRowHeight="15" x14ac:dyDescent="0.25"/>
  <cols>
    <col min="1" max="1" width="5.5703125" customWidth="1"/>
  </cols>
  <sheetData>
    <row r="1" spans="1:5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x14ac:dyDescent="0.25">
      <c r="A3" s="2"/>
      <c r="B3" s="3" t="s">
        <v>1</v>
      </c>
      <c r="C3" s="3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25">
      <c r="A4" s="4" t="s">
        <v>2</v>
      </c>
      <c r="B4" s="5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25">
      <c r="A5" s="2"/>
      <c r="B5" s="5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25">
      <c r="A6" s="2"/>
      <c r="B6" s="2" t="s">
        <v>5</v>
      </c>
      <c r="C6" s="2"/>
      <c r="D6" s="2"/>
      <c r="E6" s="2"/>
      <c r="F6" s="2"/>
      <c r="G6" s="2"/>
      <c r="H6" s="6" t="s">
        <v>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x14ac:dyDescent="0.25">
      <c r="A7" s="2"/>
      <c r="B7" s="2" t="s">
        <v>7</v>
      </c>
      <c r="C7" s="2"/>
      <c r="D7" s="2"/>
      <c r="E7" s="2"/>
      <c r="F7" s="2"/>
      <c r="G7" s="2"/>
      <c r="H7" s="6" t="s">
        <v>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x14ac:dyDescent="0.25">
      <c r="A8" s="2"/>
      <c r="B8" s="2" t="s">
        <v>4</v>
      </c>
      <c r="C8" s="2"/>
      <c r="D8" s="2"/>
      <c r="E8" s="2"/>
      <c r="F8" s="2">
        <f>F6+F7</f>
        <v>0</v>
      </c>
      <c r="G8" s="2"/>
      <c r="H8" s="6" t="s">
        <v>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x14ac:dyDescent="0.25">
      <c r="A10" s="4" t="s">
        <v>2</v>
      </c>
      <c r="B10" s="5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x14ac:dyDescent="0.25">
      <c r="A11" s="2"/>
      <c r="B11" s="2" t="s">
        <v>11</v>
      </c>
      <c r="C11" s="2"/>
      <c r="D11" s="2"/>
      <c r="E11" s="2"/>
      <c r="F11" s="2"/>
      <c r="G11" s="2"/>
      <c r="H11" s="6" t="s">
        <v>12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 spans="1:56" x14ac:dyDescent="0.25">
      <c r="A12" s="2"/>
      <c r="B12" s="2" t="s">
        <v>13</v>
      </c>
      <c r="C12" s="2"/>
      <c r="D12" s="2"/>
      <c r="E12" s="2"/>
      <c r="F12" s="2"/>
      <c r="G12" s="2"/>
      <c r="H12" s="6" t="s">
        <v>14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x14ac:dyDescent="0.25">
      <c r="A13" s="2"/>
      <c r="B13" s="2" t="s">
        <v>15</v>
      </c>
      <c r="C13" s="2"/>
      <c r="D13" s="2"/>
      <c r="E13" s="2"/>
      <c r="F13" s="2"/>
      <c r="G13" s="2"/>
      <c r="H13" s="6" t="s">
        <v>16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x14ac:dyDescent="0.25">
      <c r="A14" s="2"/>
      <c r="B14" s="2" t="s">
        <v>17</v>
      </c>
      <c r="C14" s="2"/>
      <c r="D14" s="2"/>
      <c r="E14" s="2"/>
      <c r="F14" s="2"/>
      <c r="G14" s="2"/>
      <c r="H14" s="6" t="s">
        <v>18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1:56" x14ac:dyDescent="0.25">
      <c r="A15" s="2"/>
      <c r="B15" s="2" t="s">
        <v>19</v>
      </c>
      <c r="C15" s="2"/>
      <c r="D15" s="2"/>
      <c r="E15" s="2"/>
      <c r="F15" s="2"/>
      <c r="G15" s="2"/>
      <c r="H15" s="6" t="s">
        <v>20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x14ac:dyDescent="0.25">
      <c r="A17" s="4" t="s">
        <v>2</v>
      </c>
      <c r="B17" s="5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1:56" x14ac:dyDescent="0.25">
      <c r="A18" s="2"/>
      <c r="B18" s="2" t="s">
        <v>22</v>
      </c>
      <c r="C18" s="2"/>
      <c r="D18" s="2"/>
      <c r="E18" s="2"/>
      <c r="F18" s="2"/>
      <c r="G18" s="2"/>
      <c r="H18" s="6" t="s">
        <v>23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x14ac:dyDescent="0.25">
      <c r="A19" s="2"/>
      <c r="B19" s="2" t="s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x14ac:dyDescent="0.25">
      <c r="A20" s="2"/>
      <c r="B20" s="2" t="s">
        <v>21</v>
      </c>
      <c r="C20" s="2"/>
      <c r="D20" s="2"/>
      <c r="E20" s="2"/>
      <c r="F20" s="2">
        <f>F18-F19</f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5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x14ac:dyDescent="0.25">
      <c r="A22" s="4" t="s">
        <v>2</v>
      </c>
      <c r="B22" s="7" t="s">
        <v>3</v>
      </c>
      <c r="C22" s="8"/>
      <c r="D22" s="8"/>
      <c r="E22" s="8"/>
      <c r="F22" s="9">
        <f>F8+F15*F20</f>
        <v>0</v>
      </c>
      <c r="G22" s="2"/>
      <c r="H22" s="6" t="s">
        <v>24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spans="1:5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x14ac:dyDescent="0.25">
      <c r="A25" s="4" t="s">
        <v>2</v>
      </c>
      <c r="B25" s="5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x14ac:dyDescent="0.25">
      <c r="A26" s="2"/>
      <c r="B26" s="2" t="s">
        <v>26</v>
      </c>
      <c r="C26" s="2"/>
      <c r="D26" s="2"/>
      <c r="E26" s="2"/>
      <c r="F26" s="2"/>
      <c r="G26" s="2"/>
      <c r="H26" s="6" t="s">
        <v>27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1:56" x14ac:dyDescent="0.25">
      <c r="A27" s="2"/>
      <c r="B27" s="2" t="s">
        <v>28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x14ac:dyDescent="0.25">
      <c r="A28" s="2"/>
      <c r="B28" s="2" t="s">
        <v>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x14ac:dyDescent="0.25">
      <c r="A29" s="2"/>
      <c r="B29" s="2" t="s">
        <v>29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spans="1:56" x14ac:dyDescent="0.25">
      <c r="A30" s="2"/>
      <c r="B30" s="2" t="s">
        <v>30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x14ac:dyDescent="0.25">
      <c r="A32" s="4" t="s">
        <v>2</v>
      </c>
      <c r="B32" s="7" t="s">
        <v>25</v>
      </c>
      <c r="C32" s="8"/>
      <c r="D32" s="8"/>
      <c r="E32" s="8"/>
      <c r="F32" s="9">
        <f>F28+F29+F30</f>
        <v>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spans="1:5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x14ac:dyDescent="0.25">
      <c r="A34" s="4" t="s">
        <v>2</v>
      </c>
      <c r="B34" s="5" t="s">
        <v>31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x14ac:dyDescent="0.25">
      <c r="A35" s="2"/>
      <c r="B35" s="2" t="s">
        <v>32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 spans="1:56" x14ac:dyDescent="0.25">
      <c r="A36" s="2"/>
      <c r="B36" s="2" t="s">
        <v>33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x14ac:dyDescent="0.25">
      <c r="A37" s="2"/>
      <c r="B37" s="2" t="s">
        <v>34</v>
      </c>
      <c r="C37" s="2"/>
      <c r="D37" s="2"/>
      <c r="E37" s="2"/>
      <c r="F37" s="2">
        <f>F35+F36</f>
        <v>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x14ac:dyDescent="0.25">
      <c r="A39" s="2"/>
      <c r="B39" s="2" t="s">
        <v>35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x14ac:dyDescent="0.25">
      <c r="A41" s="4" t="s">
        <v>2</v>
      </c>
      <c r="B41" s="7" t="s">
        <v>36</v>
      </c>
      <c r="C41" s="8"/>
      <c r="D41" s="8"/>
      <c r="E41" s="8"/>
      <c r="F41" s="9" t="e">
        <f>(F32*(F35/F37)*(1-F39))+((F36/F38)*F22)</f>
        <v>#DIV/0!</v>
      </c>
      <c r="G41" s="2"/>
      <c r="H41" s="6" t="s">
        <v>37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x14ac:dyDescent="0.25">
      <c r="A47" s="2"/>
      <c r="B47" s="2"/>
      <c r="C47" s="2"/>
      <c r="D47" s="2"/>
      <c r="E47" s="2"/>
      <c r="F47" s="2"/>
      <c r="G47" s="2"/>
      <c r="H47" s="2"/>
      <c r="I47" s="2" t="e">
        <f>SLOPE(H48:H52,K48:K52)</f>
        <v>#DIV/0!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x14ac:dyDescent="0.25">
      <c r="A48" s="2"/>
      <c r="B48" s="2"/>
      <c r="C48" s="2"/>
      <c r="D48" s="2"/>
      <c r="E48" s="2"/>
      <c r="F48" s="2"/>
      <c r="G48" s="2"/>
      <c r="H48" s="2" t="s">
        <v>38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 spans="1:5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spans="1:5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spans="1:5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 spans="1:5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 spans="1:5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</sheetData>
  <hyperlinks>
    <hyperlink ref="A1" location="Main!A1" display="Main" xr:uid="{DFE087CC-14AC-4E98-AF83-773D5D95C9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2166-BB37-4D58-9F3F-3EBBE5466A02}">
  <dimension ref="A1:S72"/>
  <sheetViews>
    <sheetView tabSelected="1" zoomScale="200" zoomScaleNormal="200" workbookViewId="0"/>
  </sheetViews>
  <sheetFormatPr defaultRowHeight="15" x14ac:dyDescent="0.25"/>
  <cols>
    <col min="1" max="1" width="3.140625" customWidth="1"/>
  </cols>
  <sheetData>
    <row r="1" spans="1:1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2"/>
      <c r="B2" s="3" t="s">
        <v>48</v>
      </c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/>
      <c r="B3" s="5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"/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2"/>
      <c r="B5" s="2" t="s">
        <v>53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s="2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"/>
      <c r="B7" s="10" t="s">
        <v>4</v>
      </c>
      <c r="C7" s="10"/>
      <c r="D7" s="10"/>
      <c r="E7" s="10"/>
      <c r="F7" s="10">
        <f>F5+F6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5">
      <c r="A9" s="2"/>
      <c r="B9" s="5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/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"/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2"/>
      <c r="B12" s="2" t="s">
        <v>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2"/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2"/>
      <c r="B14" s="2" t="s">
        <v>19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2"/>
      <c r="B15" s="10" t="s">
        <v>52</v>
      </c>
      <c r="C15" s="10"/>
      <c r="D15" s="10"/>
      <c r="E15" s="10"/>
      <c r="F15" s="10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/>
      <c r="B17" s="5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 t="s">
        <v>51</v>
      </c>
      <c r="M17" s="2"/>
      <c r="N17" s="2"/>
      <c r="O17" s="2"/>
      <c r="P17" s="2"/>
      <c r="Q17" s="2"/>
      <c r="R17" s="2"/>
      <c r="S17" s="2"/>
    </row>
    <row r="18" spans="1:19" x14ac:dyDescent="0.25">
      <c r="A18" s="2"/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 t="s">
        <v>50</v>
      </c>
      <c r="M18" s="2"/>
      <c r="N18" s="2"/>
      <c r="O18" s="2"/>
      <c r="P18" s="2"/>
      <c r="Q18" s="2"/>
      <c r="R18" s="2"/>
      <c r="S18" s="2"/>
    </row>
    <row r="19" spans="1:19" x14ac:dyDescent="0.25">
      <c r="A19" s="2"/>
      <c r="B19" s="2" t="s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/>
      <c r="B20" s="10" t="s">
        <v>21</v>
      </c>
      <c r="C20" s="10"/>
      <c r="D20" s="10"/>
      <c r="E20" s="10"/>
      <c r="F20" s="10">
        <f>F18-F19</f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/>
      <c r="B22" s="5" t="s">
        <v>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/>
      <c r="B23" s="2" t="s">
        <v>40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/>
      <c r="B24" s="2" t="s">
        <v>41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/>
      <c r="B25" s="2" t="s">
        <v>42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2"/>
      <c r="B26" s="2" t="s">
        <v>43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2"/>
      <c r="B27" s="2" t="s">
        <v>44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2"/>
      <c r="B28" s="2" t="s">
        <v>45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2"/>
      <c r="B29" s="2" t="s">
        <v>46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2"/>
      <c r="B30" s="2" t="s">
        <v>47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s="2"/>
      <c r="B32" s="11" t="s">
        <v>49</v>
      </c>
      <c r="C32" s="12"/>
      <c r="D32" s="12"/>
      <c r="E32" s="12"/>
      <c r="F32" s="13">
        <f>+F7+F15*(F20-F7)+F23*F24+F25*F26+F27*F28+F29*F30</f>
        <v>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CAPM</vt:lpstr>
      <vt:lpstr>FamaFrench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2025-07-20T11:16:42Z</dcterms:created>
  <dcterms:modified xsi:type="dcterms:W3CDTF">2025-09-01T16:28:36Z</dcterms:modified>
</cp:coreProperties>
</file>