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1.Finance\Anaylsen\MetaModels\"/>
    </mc:Choice>
  </mc:AlternateContent>
  <xr:revisionPtr revIDLastSave="0" documentId="13_ncr:1_{BF900944-EADA-4B73-B6FB-3958FB27CF60}" xr6:coauthVersionLast="47" xr6:coauthVersionMax="47" xr10:uidLastSave="{00000000-0000-0000-0000-000000000000}"/>
  <bookViews>
    <workbookView xWindow="225" yWindow="3510" windowWidth="38175" windowHeight="15240" tabRatio="500" activeTab="1" xr2:uid="{00000000-000D-0000-FFFF-FFFF00000000}"/>
  </bookViews>
  <sheets>
    <sheet name="Kelly Criterion" sheetId="1" r:id="rId1"/>
    <sheet name="Monte Carl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2" l="1"/>
  <c r="C14" i="2"/>
  <c r="C13" i="2"/>
  <c r="C12" i="2"/>
  <c r="C11" i="2"/>
  <c r="C10" i="2"/>
  <c r="D9" i="2"/>
  <c r="C9" i="2"/>
  <c r="G52" i="1"/>
  <c r="F52" i="1"/>
  <c r="E52" i="1"/>
  <c r="D52" i="1"/>
  <c r="C52" i="1"/>
  <c r="B52" i="1"/>
  <c r="G51" i="1"/>
  <c r="F51" i="1"/>
  <c r="E51" i="1"/>
  <c r="D51" i="1"/>
  <c r="C51" i="1"/>
  <c r="B51" i="1"/>
  <c r="G50" i="1"/>
  <c r="F50" i="1"/>
  <c r="E50" i="1"/>
  <c r="D50" i="1"/>
  <c r="C50" i="1"/>
  <c r="B50" i="1"/>
  <c r="G49" i="1"/>
  <c r="F49" i="1"/>
  <c r="E49" i="1"/>
  <c r="D49" i="1"/>
  <c r="C49" i="1"/>
  <c r="B49" i="1"/>
  <c r="G48" i="1"/>
  <c r="F48" i="1"/>
  <c r="E48" i="1"/>
  <c r="D48" i="1"/>
  <c r="C48" i="1"/>
  <c r="B48" i="1"/>
  <c r="G47" i="1"/>
  <c r="F47" i="1"/>
  <c r="E47" i="1"/>
  <c r="D47" i="1"/>
  <c r="C47" i="1"/>
  <c r="B47" i="1"/>
  <c r="G46" i="1"/>
  <c r="F46" i="1"/>
  <c r="E46" i="1"/>
  <c r="D46" i="1"/>
  <c r="C46" i="1"/>
  <c r="B46" i="1"/>
  <c r="G45" i="1"/>
  <c r="F45" i="1"/>
  <c r="E45" i="1"/>
  <c r="D45" i="1"/>
  <c r="C45" i="1"/>
  <c r="B45" i="1"/>
  <c r="G44" i="1"/>
  <c r="F44" i="1"/>
  <c r="E44" i="1"/>
  <c r="D44" i="1"/>
  <c r="C44" i="1"/>
  <c r="B44" i="1"/>
  <c r="B37" i="1"/>
  <c r="B36" i="1"/>
  <c r="B35" i="1"/>
  <c r="B34" i="1"/>
  <c r="B32" i="1"/>
  <c r="B30" i="1"/>
  <c r="B29" i="1"/>
  <c r="B28" i="1"/>
  <c r="B27" i="1"/>
  <c r="B26" i="1"/>
  <c r="B25" i="1"/>
  <c r="B24" i="1"/>
  <c r="B23" i="1"/>
  <c r="B22" i="1"/>
  <c r="B21" i="1"/>
  <c r="B6" i="1"/>
  <c r="B11" i="1" s="1"/>
  <c r="B14" i="1" l="1"/>
  <c r="B15" i="1" s="1"/>
  <c r="B13" i="1"/>
  <c r="B12" i="1"/>
  <c r="B31" i="1"/>
  <c r="B33" i="1"/>
  <c r="B10" i="1"/>
  <c r="B38" i="1"/>
  <c r="B3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B5" authorId="0" shapeId="0" xr:uid="{00000000-0006-0000-0000-000001000000}">
      <text>
        <r>
          <rPr>
            <sz val="10"/>
            <rFont val="Arial"/>
            <family val="2"/>
          </rPr>
          <t>Edit this: probability the bet wins. Hardcoded input from user.</t>
        </r>
      </text>
    </comment>
    <comment ref="B7" authorId="0" shapeId="0" xr:uid="{00000000-0006-0000-0000-000002000000}">
      <text>
        <r>
          <rPr>
            <sz val="10"/>
            <rFont val="Arial"/>
            <family val="2"/>
          </rPr>
          <t>Edit this: net odds on a win, e.g. b=1 means even money, b=2 means win $2 for every $1 risked. Hardcoded input from user.</t>
        </r>
      </text>
    </comment>
  </commentList>
</comments>
</file>

<file path=xl/sharedStrings.xml><?xml version="1.0" encoding="utf-8"?>
<sst xmlns="http://schemas.openxmlformats.org/spreadsheetml/2006/main" count="33" uniqueCount="33">
  <si>
    <t>Kelly Criterion Calculator</t>
  </si>
  <si>
    <t>Optimal bet sizing for a binary wager (win prob. p, payout ratio b)</t>
  </si>
  <si>
    <t>Inputs</t>
  </si>
  <si>
    <t>Win probability, p</t>
  </si>
  <si>
    <t>Loss probability, q = 1-p</t>
  </si>
  <si>
    <t>Payout ratio, b (win $b per $1 staked)</t>
  </si>
  <si>
    <t>Kelly Outputs</t>
  </si>
  <si>
    <t>Edge (b*p - q)</t>
  </si>
  <si>
    <t>Kelly fraction, f* = (b*p - q)/b</t>
  </si>
  <si>
    <t>Half Kelly (f*/2)</t>
  </si>
  <si>
    <t>Quarter Kelly (f*/4)</t>
  </si>
  <si>
    <t>Expected log-growth at f*, g(f*)</t>
  </si>
  <si>
    <t>Bankroll doubling time (# bets, approx.)</t>
  </si>
  <si>
    <t>Note: f* &lt; 0 means there is no positive edge — the model floors it at 0% (don't bet). Formula source: J.L. Kelly Jr., 'A New Interpretation of Information Rate' (1956).</t>
  </si>
  <si>
    <t>Growth Rate vs. Bet Fraction (g(f))</t>
  </si>
  <si>
    <t>Bet fraction, f</t>
  </si>
  <si>
    <t>g(f) = p*LN(1+b*f) + q*LN(1-f)</t>
  </si>
  <si>
    <t>Kelly Fraction f* — Sensitivity to p and b</t>
  </si>
  <si>
    <t>p \ b</t>
  </si>
  <si>
    <t>Grid recomputes f* for each combination of win probability (rows) and payout ratio (columns). Independent of the single-scenario inputs above.</t>
  </si>
  <si>
    <t>Monte Carlo Simulation</t>
  </si>
  <si>
    <t>Mean</t>
  </si>
  <si>
    <t xml:space="preserve">NORM.INV =&gt; Normalverteilung: Umkehr der kumulativen Verteilung </t>
  </si>
  <si>
    <t>Standard Deviation</t>
  </si>
  <si>
    <t>randbetween =&gt; gleichverteilung (ganzzahlig)</t>
  </si>
  <si>
    <t>lower_limit =&gt; gleichverteilung (kontinuierlich)</t>
  </si>
  <si>
    <t>NORMAL.DIST =&gt; Normalverteilung kumulativ</t>
  </si>
  <si>
    <t xml:space="preserve">BINOM.DIST =&gt; Binomale Verteilung </t>
  </si>
  <si>
    <t xml:space="preserve">Poisson.DIST =&gt; Poisson Verteilung </t>
  </si>
  <si>
    <t xml:space="preserve">EXPON.DIST =&gt; exponentielle Verteilung </t>
  </si>
  <si>
    <t xml:space="preserve">Gamma.DIST =&gt; Gamma Verteilung </t>
  </si>
  <si>
    <t xml:space="preserve">Beta:DIST =&gt; Beta Verteilung </t>
  </si>
  <si>
    <t>f9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</si>
</sst>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000"/>
    <numFmt numFmtId="166" formatCode="0.0"/>
  </numFmts>
  <fonts count="12" x14ac:knownFonts="1">
    <font>
      <sz val="11"/>
      <color theme="1"/>
      <name val="Calibri"/>
      <family val="2"/>
      <charset val="1"/>
    </font>
    <font>
      <sz val="10"/>
      <color theme="1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i/>
      <sz val="9"/>
      <name val="Arial"/>
      <family val="2"/>
    </font>
    <font>
      <b/>
      <sz val="11"/>
      <name val="Arial"/>
      <family val="2"/>
    </font>
    <font>
      <sz val="11"/>
      <color rgb="FF000000"/>
      <name val="Arial"/>
      <family val="2"/>
    </font>
    <font>
      <sz val="11"/>
      <color rgb="FF0000FF"/>
      <name val="Arial"/>
      <family val="2"/>
    </font>
    <font>
      <i/>
      <sz val="8"/>
      <color rgb="FF666666"/>
      <name val="Arial"/>
      <family val="2"/>
    </font>
    <font>
      <b/>
      <sz val="11"/>
      <color rgb="FFFFFFFF"/>
      <name val="Arial"/>
      <family val="2"/>
    </font>
    <font>
      <sz val="11"/>
      <color theme="1"/>
      <name val="Calibri"/>
      <family val="2"/>
      <charset val="1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22">
    <xf numFmtId="0" fontId="0" fillId="0" borderId="0" xfId="0"/>
    <xf numFmtId="0" fontId="5" fillId="0" borderId="0" xfId="0" applyFont="1"/>
    <xf numFmtId="0" fontId="6" fillId="0" borderId="0" xfId="0" applyFont="1"/>
    <xf numFmtId="164" fontId="7" fillId="2" borderId="1" xfId="0" applyNumberFormat="1" applyFont="1" applyFill="1" applyBorder="1"/>
    <xf numFmtId="164" fontId="6" fillId="0" borderId="1" xfId="0" applyNumberFormat="1" applyFont="1" applyBorder="1"/>
    <xf numFmtId="2" fontId="7" fillId="2" borderId="1" xfId="0" applyNumberFormat="1" applyFont="1" applyFill="1" applyBorder="1"/>
    <xf numFmtId="10" fontId="6" fillId="0" borderId="1" xfId="0" applyNumberFormat="1" applyFont="1" applyBorder="1"/>
    <xf numFmtId="164" fontId="5" fillId="0" borderId="1" xfId="0" applyNumberFormat="1" applyFont="1" applyBorder="1"/>
    <xf numFmtId="165" fontId="6" fillId="0" borderId="1" xfId="0" applyNumberFormat="1" applyFont="1" applyBorder="1"/>
    <xf numFmtId="166" fontId="6" fillId="0" borderId="1" xfId="0" applyNumberFormat="1" applyFont="1" applyBorder="1"/>
    <xf numFmtId="9" fontId="6" fillId="0" borderId="1" xfId="0" applyNumberFormat="1" applyFont="1" applyBorder="1"/>
    <xf numFmtId="0" fontId="9" fillId="3" borderId="0" xfId="0" applyFont="1" applyFill="1"/>
    <xf numFmtId="2" fontId="9" fillId="3" borderId="1" xfId="0" applyNumberFormat="1" applyFont="1" applyFill="1" applyBorder="1"/>
    <xf numFmtId="9" fontId="5" fillId="0" borderId="1" xfId="0" applyNumberFormat="1" applyFont="1" applyBorder="1"/>
    <xf numFmtId="0" fontId="3" fillId="0" borderId="0" xfId="0" applyFont="1"/>
    <xf numFmtId="0" fontId="4" fillId="0" borderId="0" xfId="0" applyFont="1"/>
    <xf numFmtId="0" fontId="8" fillId="0" borderId="0" xfId="0" applyFont="1" applyAlignment="1">
      <alignment vertical="top" wrapText="1"/>
    </xf>
    <xf numFmtId="0" fontId="8" fillId="0" borderId="0" xfId="0" applyFont="1" applyAlignment="1">
      <alignment wrapText="1"/>
    </xf>
    <xf numFmtId="0" fontId="11" fillId="0" borderId="0" xfId="0" applyFont="1"/>
    <xf numFmtId="0" fontId="1" fillId="0" borderId="0" xfId="0" applyFont="1"/>
    <xf numFmtId="9" fontId="1" fillId="0" borderId="0" xfId="0" applyNumberFormat="1" applyFont="1"/>
    <xf numFmtId="9" fontId="1" fillId="0" borderId="0" xfId="1" applyFont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7EBB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de-DE" sz="1800" b="1" strike="noStrike" spc="-1">
                <a:solidFill>
                  <a:srgbClr val="000000"/>
                </a:solidFill>
                <a:latin typeface="Calibri"/>
              </a:rPr>
              <a:t>Expected Growth Rate g(f) vs. Bet Fraction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'Kelly Criterion'!$B$20</c:f>
              <c:strCache>
                <c:ptCount val="1"/>
                <c:pt idx="0">
                  <c:v>g(f) = p*LN(1+b*f) + q*LN(1-f)</c:v>
                </c:pt>
              </c:strCache>
            </c:strRef>
          </c:tx>
          <c:spPr>
            <a:ln w="20160">
              <a:solidFill>
                <a:srgbClr val="4A7EBB"/>
              </a:solidFill>
              <a:round/>
            </a:ln>
          </c:spPr>
          <c:marker>
            <c:symbol val="circle"/>
            <c:size val="5"/>
            <c:spPr>
              <a:solidFill>
                <a:srgbClr val="4A7EB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de-DE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'Kelly Criterion'!$A$21:$A$39</c:f>
              <c:numCache>
                <c:formatCode>0%</c:formatCode>
                <c:ptCount val="19"/>
                <c:pt idx="0">
                  <c:v>0</c:v>
                </c:pt>
                <c:pt idx="1">
                  <c:v>0.05</c:v>
                </c:pt>
                <c:pt idx="2">
                  <c:v>0.1</c:v>
                </c:pt>
                <c:pt idx="3">
                  <c:v>0.15</c:v>
                </c:pt>
                <c:pt idx="4">
                  <c:v>0.2</c:v>
                </c:pt>
                <c:pt idx="5">
                  <c:v>0.25</c:v>
                </c:pt>
                <c:pt idx="6">
                  <c:v>0.3</c:v>
                </c:pt>
                <c:pt idx="7">
                  <c:v>0.35</c:v>
                </c:pt>
                <c:pt idx="8">
                  <c:v>0.4</c:v>
                </c:pt>
                <c:pt idx="9">
                  <c:v>0.45</c:v>
                </c:pt>
                <c:pt idx="10">
                  <c:v>0.5</c:v>
                </c:pt>
                <c:pt idx="11">
                  <c:v>0.55000000000000004</c:v>
                </c:pt>
                <c:pt idx="12">
                  <c:v>0.6</c:v>
                </c:pt>
                <c:pt idx="13">
                  <c:v>0.65</c:v>
                </c:pt>
                <c:pt idx="14">
                  <c:v>0.7</c:v>
                </c:pt>
                <c:pt idx="15">
                  <c:v>0.75</c:v>
                </c:pt>
                <c:pt idx="16">
                  <c:v>0.8</c:v>
                </c:pt>
                <c:pt idx="17">
                  <c:v>0.85</c:v>
                </c:pt>
                <c:pt idx="18">
                  <c:v>0.9</c:v>
                </c:pt>
              </c:numCache>
            </c:numRef>
          </c:cat>
          <c:val>
            <c:numRef>
              <c:f>'Kelly Criterion'!$B$21:$B$39</c:f>
              <c:numCache>
                <c:formatCode>0.0000</c:formatCode>
                <c:ptCount val="19"/>
                <c:pt idx="0">
                  <c:v>0</c:v>
                </c:pt>
                <c:pt idx="1">
                  <c:v>3.7526078187898708E-3</c:v>
                </c:pt>
                <c:pt idx="2">
                  <c:v>5.0083668463568945E-3</c:v>
                </c:pt>
                <c:pt idx="3">
                  <c:v>3.7355500323385249E-3</c:v>
                </c:pt>
                <c:pt idx="4">
                  <c:v>-1.3774185471931988E-4</c:v>
                </c:pt>
                <c:pt idx="5">
                  <c:v>-6.7279793804860266E-3</c:v>
                </c:pt>
                <c:pt idx="6">
                  <c:v>-1.6203379315309491E-2</c:v>
                </c:pt>
                <c:pt idx="7">
                  <c:v>-2.8794786393918387E-2</c:v>
                </c:pt>
                <c:pt idx="8">
                  <c:v>-4.4811800553028691E-2</c:v>
                </c:pt>
                <c:pt idx="9">
                  <c:v>-6.4666694302163485E-2</c:v>
                </c:pt>
                <c:pt idx="10">
                  <c:v>-8.8910421792484956E-2</c:v>
                </c:pt>
                <c:pt idx="11">
                  <c:v>-0.11828825128586179</c:v>
                </c:pt>
                <c:pt idx="12">
                  <c:v>-0.15382883325821511</c:v>
                </c:pt>
                <c:pt idx="13">
                  <c:v>-0.19699354767253596</c:v>
                </c:pt>
                <c:pt idx="14">
                  <c:v>-0.24994222386247739</c:v>
                </c:pt>
                <c:pt idx="15">
                  <c:v>-0.31604377913946824</c:v>
                </c:pt>
                <c:pt idx="16">
                  <c:v>-0.40096439489917968</c:v>
                </c:pt>
                <c:pt idx="17">
                  <c:v>-0.51535189169901796</c:v>
                </c:pt>
                <c:pt idx="18">
                  <c:v>-0.68314365445250336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C82-4A4E-83F8-8334126714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886550"/>
        <c:axId val="63048630"/>
      </c:lineChart>
      <c:catAx>
        <c:axId val="18886550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Fraction of bankroll bet (f)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63048630"/>
        <c:crosses val="autoZero"/>
        <c:auto val="1"/>
        <c:lblAlgn val="ctr"/>
        <c:lblOffset val="100"/>
        <c:noMultiLvlLbl val="0"/>
      </c:catAx>
      <c:valAx>
        <c:axId val="630486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de-DE" sz="1000" b="1" strike="noStrike" spc="-1">
                    <a:solidFill>
                      <a:srgbClr val="000000"/>
                    </a:solidFill>
                    <a:latin typeface="Calibri"/>
                  </a:rPr>
                  <a:t>Expected log-growth g(f)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de-DE"/>
          </a:p>
        </c:txPr>
        <c:crossAx val="1888655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de-DE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17</xdr:row>
      <xdr:rowOff>160560</xdr:rowOff>
    </xdr:from>
    <xdr:to>
      <xdr:col>9</xdr:col>
      <xdr:colOff>559080</xdr:colOff>
      <xdr:row>36</xdr:row>
      <xdr:rowOff>140760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zoomScaleNormal="100" workbookViewId="0">
      <pane ySplit="3" topLeftCell="A4" activePane="bottomLeft" state="frozen"/>
      <selection pane="bottomLeft" sqref="A1:F1"/>
    </sheetView>
  </sheetViews>
  <sheetFormatPr defaultColWidth="8.7109375" defaultRowHeight="15" x14ac:dyDescent="0.25"/>
  <cols>
    <col min="1" max="1" width="30" customWidth="1"/>
    <col min="2" max="11" width="14" customWidth="1"/>
  </cols>
  <sheetData>
    <row r="1" spans="1:6" ht="18" x14ac:dyDescent="0.25">
      <c r="A1" s="14" t="s">
        <v>0</v>
      </c>
      <c r="B1" s="14"/>
      <c r="C1" s="14"/>
      <c r="D1" s="14"/>
      <c r="E1" s="14"/>
      <c r="F1" s="14"/>
    </row>
    <row r="2" spans="1:6" x14ac:dyDescent="0.25">
      <c r="A2" s="15" t="s">
        <v>1</v>
      </c>
      <c r="B2" s="15"/>
      <c r="C2" s="15"/>
      <c r="D2" s="15"/>
      <c r="E2" s="15"/>
      <c r="F2" s="15"/>
    </row>
    <row r="4" spans="1:6" x14ac:dyDescent="0.25">
      <c r="A4" s="1" t="s">
        <v>2</v>
      </c>
    </row>
    <row r="5" spans="1:6" x14ac:dyDescent="0.25">
      <c r="A5" s="2" t="s">
        <v>3</v>
      </c>
      <c r="B5" s="3">
        <v>0.55000000000000004</v>
      </c>
    </row>
    <row r="6" spans="1:6" x14ac:dyDescent="0.25">
      <c r="A6" s="2" t="s">
        <v>4</v>
      </c>
      <c r="B6" s="4">
        <f>1-B5</f>
        <v>0.44999999999999996</v>
      </c>
    </row>
    <row r="7" spans="1:6" x14ac:dyDescent="0.25">
      <c r="A7" s="2" t="s">
        <v>5</v>
      </c>
      <c r="B7" s="5">
        <v>1</v>
      </c>
    </row>
    <row r="9" spans="1:6" x14ac:dyDescent="0.25">
      <c r="A9" s="1" t="s">
        <v>6</v>
      </c>
    </row>
    <row r="10" spans="1:6" x14ac:dyDescent="0.25">
      <c r="A10" s="2" t="s">
        <v>7</v>
      </c>
      <c r="B10" s="6">
        <f>B7*B5-B6</f>
        <v>0.10000000000000009</v>
      </c>
    </row>
    <row r="11" spans="1:6" x14ac:dyDescent="0.25">
      <c r="A11" s="1" t="s">
        <v>8</v>
      </c>
      <c r="B11" s="7">
        <f>MAX((B7*B5-B6)/B7,0)</f>
        <v>0.10000000000000009</v>
      </c>
    </row>
    <row r="12" spans="1:6" x14ac:dyDescent="0.25">
      <c r="A12" s="2" t="s">
        <v>9</v>
      </c>
      <c r="B12" s="4">
        <f>B11/2</f>
        <v>5.0000000000000044E-2</v>
      </c>
    </row>
    <row r="13" spans="1:6" x14ac:dyDescent="0.25">
      <c r="A13" s="2" t="s">
        <v>10</v>
      </c>
      <c r="B13" s="4">
        <f>B11/4</f>
        <v>2.5000000000000022E-2</v>
      </c>
    </row>
    <row r="14" spans="1:6" x14ac:dyDescent="0.25">
      <c r="A14" s="2" t="s">
        <v>11</v>
      </c>
      <c r="B14" s="8">
        <f>B5*LN(1+B7*B11)+B6*LN(1-B11)</f>
        <v>5.008366846356839E-3</v>
      </c>
    </row>
    <row r="15" spans="1:6" x14ac:dyDescent="0.25">
      <c r="A15" s="2" t="s">
        <v>12</v>
      </c>
      <c r="B15" s="9">
        <f>IF(B14&gt;0,LN(2)/B14,"n/a")</f>
        <v>138.39784541025602</v>
      </c>
    </row>
    <row r="17" spans="1:8" ht="27.75" customHeight="1" x14ac:dyDescent="0.25">
      <c r="A17" s="16" t="s">
        <v>13</v>
      </c>
      <c r="B17" s="16"/>
      <c r="C17" s="16"/>
      <c r="D17" s="16"/>
      <c r="E17" s="16"/>
      <c r="F17" s="16"/>
      <c r="G17" s="16"/>
      <c r="H17" s="16"/>
    </row>
    <row r="19" spans="1:8" x14ac:dyDescent="0.25">
      <c r="A19" s="1" t="s">
        <v>14</v>
      </c>
    </row>
    <row r="20" spans="1:8" x14ac:dyDescent="0.25">
      <c r="A20" s="1" t="s">
        <v>15</v>
      </c>
      <c r="B20" s="1" t="s">
        <v>16</v>
      </c>
    </row>
    <row r="21" spans="1:8" x14ac:dyDescent="0.25">
      <c r="A21" s="10">
        <v>0</v>
      </c>
      <c r="B21" s="8">
        <f>B5*LN(1+B7*A21)+B6*LN(1-A21)</f>
        <v>0</v>
      </c>
    </row>
    <row r="22" spans="1:8" x14ac:dyDescent="0.25">
      <c r="A22" s="10">
        <v>0.05</v>
      </c>
      <c r="B22" s="8">
        <f>B5*LN(1+B7*A22)+B6*LN(1-A22)</f>
        <v>3.7526078187898708E-3</v>
      </c>
    </row>
    <row r="23" spans="1:8" x14ac:dyDescent="0.25">
      <c r="A23" s="10">
        <v>0.1</v>
      </c>
      <c r="B23" s="8">
        <f>B5*LN(1+B7*A23)+B6*LN(1-A23)</f>
        <v>5.0083668463568945E-3</v>
      </c>
    </row>
    <row r="24" spans="1:8" x14ac:dyDescent="0.25">
      <c r="A24" s="10">
        <v>0.15</v>
      </c>
      <c r="B24" s="8">
        <f>B5*LN(1+B7*A24)+B6*LN(1-A24)</f>
        <v>3.7355500323385249E-3</v>
      </c>
    </row>
    <row r="25" spans="1:8" x14ac:dyDescent="0.25">
      <c r="A25" s="10">
        <v>0.2</v>
      </c>
      <c r="B25" s="8">
        <f>B5*LN(1+B7*A25)+B6*LN(1-A25)</f>
        <v>-1.3774185471931988E-4</v>
      </c>
    </row>
    <row r="26" spans="1:8" x14ac:dyDescent="0.25">
      <c r="A26" s="10">
        <v>0.25</v>
      </c>
      <c r="B26" s="8">
        <f>B5*LN(1+B7*A26)+B6*LN(1-A26)</f>
        <v>-6.7279793804860266E-3</v>
      </c>
    </row>
    <row r="27" spans="1:8" x14ac:dyDescent="0.25">
      <c r="A27" s="10">
        <v>0.3</v>
      </c>
      <c r="B27" s="8">
        <f>B5*LN(1+B7*A27)+B6*LN(1-A27)</f>
        <v>-1.6203379315309491E-2</v>
      </c>
    </row>
    <row r="28" spans="1:8" x14ac:dyDescent="0.25">
      <c r="A28" s="10">
        <v>0.35</v>
      </c>
      <c r="B28" s="8">
        <f>B5*LN(1+B7*A28)+B6*LN(1-A28)</f>
        <v>-2.8794786393918387E-2</v>
      </c>
    </row>
    <row r="29" spans="1:8" x14ac:dyDescent="0.25">
      <c r="A29" s="10">
        <v>0.4</v>
      </c>
      <c r="B29" s="8">
        <f>B5*LN(1+B7*A29)+B6*LN(1-A29)</f>
        <v>-4.4811800553028691E-2</v>
      </c>
    </row>
    <row r="30" spans="1:8" x14ac:dyDescent="0.25">
      <c r="A30" s="10">
        <v>0.45</v>
      </c>
      <c r="B30" s="8">
        <f>B5*LN(1+B7*A30)+B6*LN(1-A30)</f>
        <v>-6.4666694302163485E-2</v>
      </c>
    </row>
    <row r="31" spans="1:8" x14ac:dyDescent="0.25">
      <c r="A31" s="10">
        <v>0.5</v>
      </c>
      <c r="B31" s="8">
        <f>B5*LN(1+B7*A31)+B6*LN(1-A31)</f>
        <v>-8.8910421792484956E-2</v>
      </c>
    </row>
    <row r="32" spans="1:8" x14ac:dyDescent="0.25">
      <c r="A32" s="10">
        <v>0.55000000000000004</v>
      </c>
      <c r="B32" s="8">
        <f>B5*LN(1+B7*A32)+B6*LN(1-A32)</f>
        <v>-0.11828825128586179</v>
      </c>
    </row>
    <row r="33" spans="1:7" x14ac:dyDescent="0.25">
      <c r="A33" s="10">
        <v>0.6</v>
      </c>
      <c r="B33" s="8">
        <f>B5*LN(1+B7*A33)+B6*LN(1-A33)</f>
        <v>-0.15382883325821511</v>
      </c>
    </row>
    <row r="34" spans="1:7" x14ac:dyDescent="0.25">
      <c r="A34" s="10">
        <v>0.65</v>
      </c>
      <c r="B34" s="8">
        <f>B5*LN(1+B7*A34)+B6*LN(1-A34)</f>
        <v>-0.19699354767253596</v>
      </c>
    </row>
    <row r="35" spans="1:7" x14ac:dyDescent="0.25">
      <c r="A35" s="10">
        <v>0.7</v>
      </c>
      <c r="B35" s="8">
        <f>B5*LN(1+B7*A35)+B6*LN(1-A35)</f>
        <v>-0.24994222386247739</v>
      </c>
    </row>
    <row r="36" spans="1:7" x14ac:dyDescent="0.25">
      <c r="A36" s="10">
        <v>0.75</v>
      </c>
      <c r="B36" s="8">
        <f>B5*LN(1+B7*A36)+B6*LN(1-A36)</f>
        <v>-0.31604377913946824</v>
      </c>
    </row>
    <row r="37" spans="1:7" x14ac:dyDescent="0.25">
      <c r="A37" s="10">
        <v>0.8</v>
      </c>
      <c r="B37" s="8">
        <f>B5*LN(1+B7*A37)+B6*LN(1-A37)</f>
        <v>-0.40096439489917968</v>
      </c>
    </row>
    <row r="38" spans="1:7" x14ac:dyDescent="0.25">
      <c r="A38" s="10">
        <v>0.85</v>
      </c>
      <c r="B38" s="8">
        <f>B5*LN(1+B7*A38)+B6*LN(1-A38)</f>
        <v>-0.51535189169901796</v>
      </c>
    </row>
    <row r="39" spans="1:7" x14ac:dyDescent="0.25">
      <c r="A39" s="10">
        <v>0.9</v>
      </c>
      <c r="B39" s="8">
        <f>B5*LN(1+B7*A39)+B6*LN(1-A39)</f>
        <v>-0.68314365445250336</v>
      </c>
    </row>
    <row r="42" spans="1:7" x14ac:dyDescent="0.25">
      <c r="A42" s="1" t="s">
        <v>17</v>
      </c>
    </row>
    <row r="43" spans="1:7" x14ac:dyDescent="0.25">
      <c r="A43" s="11" t="s">
        <v>18</v>
      </c>
      <c r="B43" s="12">
        <v>0.5</v>
      </c>
      <c r="C43" s="12">
        <v>1</v>
      </c>
      <c r="D43" s="12">
        <v>1.5</v>
      </c>
      <c r="E43" s="12">
        <v>2</v>
      </c>
      <c r="F43" s="12">
        <v>3</v>
      </c>
      <c r="G43" s="12">
        <v>4</v>
      </c>
    </row>
    <row r="44" spans="1:7" x14ac:dyDescent="0.25">
      <c r="A44" s="13">
        <v>0.3</v>
      </c>
      <c r="B44" s="4">
        <f t="shared" ref="B44:G52" si="0">MAX((B$43*$A44-(1-$A44))/B$43,0)</f>
        <v>0</v>
      </c>
      <c r="C44" s="4">
        <f t="shared" si="0"/>
        <v>0</v>
      </c>
      <c r="D44" s="4">
        <f t="shared" si="0"/>
        <v>0</v>
      </c>
      <c r="E44" s="4">
        <f t="shared" si="0"/>
        <v>0</v>
      </c>
      <c r="F44" s="4">
        <f t="shared" si="0"/>
        <v>6.6666666666666652E-2</v>
      </c>
      <c r="G44" s="4">
        <f t="shared" si="0"/>
        <v>0.125</v>
      </c>
    </row>
    <row r="45" spans="1:7" x14ac:dyDescent="0.25">
      <c r="A45" s="13">
        <v>0.35</v>
      </c>
      <c r="B45" s="4">
        <f t="shared" si="0"/>
        <v>0</v>
      </c>
      <c r="C45" s="4">
        <f t="shared" si="0"/>
        <v>0</v>
      </c>
      <c r="D45" s="4">
        <f t="shared" si="0"/>
        <v>0</v>
      </c>
      <c r="E45" s="4">
        <f t="shared" si="0"/>
        <v>2.4999999999999967E-2</v>
      </c>
      <c r="F45" s="4">
        <f t="shared" si="0"/>
        <v>0.13333333333333328</v>
      </c>
      <c r="G45" s="4">
        <f t="shared" si="0"/>
        <v>0.18749999999999997</v>
      </c>
    </row>
    <row r="46" spans="1:7" x14ac:dyDescent="0.25">
      <c r="A46" s="13">
        <v>0.4</v>
      </c>
      <c r="B46" s="4">
        <f t="shared" si="0"/>
        <v>0</v>
      </c>
      <c r="C46" s="4">
        <f t="shared" si="0"/>
        <v>0</v>
      </c>
      <c r="D46" s="4">
        <f t="shared" si="0"/>
        <v>7.4014868308343765E-17</v>
      </c>
      <c r="E46" s="4">
        <f t="shared" si="0"/>
        <v>0.10000000000000003</v>
      </c>
      <c r="F46" s="4">
        <f t="shared" si="0"/>
        <v>0.20000000000000007</v>
      </c>
      <c r="G46" s="4">
        <f t="shared" si="0"/>
        <v>0.25</v>
      </c>
    </row>
    <row r="47" spans="1:7" x14ac:dyDescent="0.25">
      <c r="A47" s="13">
        <v>0.45</v>
      </c>
      <c r="B47" s="4">
        <f t="shared" si="0"/>
        <v>0</v>
      </c>
      <c r="C47" s="4">
        <f t="shared" si="0"/>
        <v>0</v>
      </c>
      <c r="D47" s="4">
        <f t="shared" si="0"/>
        <v>8.3333333333333329E-2</v>
      </c>
      <c r="E47" s="4">
        <f t="shared" si="0"/>
        <v>0.17499999999999999</v>
      </c>
      <c r="F47" s="4">
        <f t="shared" si="0"/>
        <v>0.26666666666666666</v>
      </c>
      <c r="G47" s="4">
        <f t="shared" si="0"/>
        <v>0.3125</v>
      </c>
    </row>
    <row r="48" spans="1:7" x14ac:dyDescent="0.25">
      <c r="A48" s="13">
        <v>0.5</v>
      </c>
      <c r="B48" s="4">
        <f t="shared" si="0"/>
        <v>0</v>
      </c>
      <c r="C48" s="4">
        <f t="shared" si="0"/>
        <v>0</v>
      </c>
      <c r="D48" s="4">
        <f t="shared" si="0"/>
        <v>0.16666666666666666</v>
      </c>
      <c r="E48" s="4">
        <f t="shared" si="0"/>
        <v>0.25</v>
      </c>
      <c r="F48" s="4">
        <f t="shared" si="0"/>
        <v>0.33333333333333331</v>
      </c>
      <c r="G48" s="4">
        <f t="shared" si="0"/>
        <v>0.375</v>
      </c>
    </row>
    <row r="49" spans="1:8" x14ac:dyDescent="0.25">
      <c r="A49" s="13">
        <v>0.55000000000000004</v>
      </c>
      <c r="B49" s="4">
        <f t="shared" si="0"/>
        <v>0</v>
      </c>
      <c r="C49" s="4">
        <f t="shared" si="0"/>
        <v>0.10000000000000009</v>
      </c>
      <c r="D49" s="4">
        <f t="shared" si="0"/>
        <v>0.25000000000000006</v>
      </c>
      <c r="E49" s="4">
        <f t="shared" si="0"/>
        <v>0.32500000000000007</v>
      </c>
      <c r="F49" s="4">
        <f t="shared" si="0"/>
        <v>0.40000000000000008</v>
      </c>
      <c r="G49" s="4">
        <f t="shared" si="0"/>
        <v>0.43750000000000006</v>
      </c>
    </row>
    <row r="50" spans="1:8" x14ac:dyDescent="0.25">
      <c r="A50" s="13">
        <v>0.6</v>
      </c>
      <c r="B50" s="4">
        <f t="shared" si="0"/>
        <v>0</v>
      </c>
      <c r="C50" s="4">
        <f t="shared" si="0"/>
        <v>0.19999999999999996</v>
      </c>
      <c r="D50" s="4">
        <f t="shared" si="0"/>
        <v>0.33333333333333326</v>
      </c>
      <c r="E50" s="4">
        <f t="shared" si="0"/>
        <v>0.39999999999999997</v>
      </c>
      <c r="F50" s="4">
        <f t="shared" si="0"/>
        <v>0.46666666666666662</v>
      </c>
      <c r="G50" s="4">
        <f t="shared" si="0"/>
        <v>0.5</v>
      </c>
    </row>
    <row r="51" spans="1:8" x14ac:dyDescent="0.25">
      <c r="A51" s="13">
        <v>0.65</v>
      </c>
      <c r="B51" s="4">
        <f t="shared" si="0"/>
        <v>0</v>
      </c>
      <c r="C51" s="4">
        <f t="shared" si="0"/>
        <v>0.30000000000000004</v>
      </c>
      <c r="D51" s="4">
        <f t="shared" si="0"/>
        <v>0.41666666666666674</v>
      </c>
      <c r="E51" s="4">
        <f t="shared" si="0"/>
        <v>0.47500000000000003</v>
      </c>
      <c r="F51" s="4">
        <f t="shared" si="0"/>
        <v>0.53333333333333333</v>
      </c>
      <c r="G51" s="4">
        <f t="shared" si="0"/>
        <v>0.5625</v>
      </c>
    </row>
    <row r="52" spans="1:8" x14ac:dyDescent="0.25">
      <c r="A52" s="13">
        <v>0.7</v>
      </c>
      <c r="B52" s="4">
        <f t="shared" si="0"/>
        <v>9.9999999999999867E-2</v>
      </c>
      <c r="C52" s="4">
        <f t="shared" si="0"/>
        <v>0.39999999999999991</v>
      </c>
      <c r="D52" s="4">
        <f t="shared" si="0"/>
        <v>0.49999999999999983</v>
      </c>
      <c r="E52" s="4">
        <f t="shared" si="0"/>
        <v>0.54999999999999993</v>
      </c>
      <c r="F52" s="4">
        <f t="shared" si="0"/>
        <v>0.59999999999999987</v>
      </c>
      <c r="G52" s="4">
        <f t="shared" si="0"/>
        <v>0.625</v>
      </c>
    </row>
    <row r="54" spans="1:8" ht="15" customHeight="1" x14ac:dyDescent="0.25">
      <c r="A54" s="17" t="s">
        <v>19</v>
      </c>
      <c r="B54" s="17"/>
      <c r="C54" s="17"/>
      <c r="D54" s="17"/>
      <c r="E54" s="17"/>
      <c r="F54" s="17"/>
      <c r="G54" s="17"/>
      <c r="H54" s="17"/>
    </row>
  </sheetData>
  <mergeCells count="4">
    <mergeCell ref="A1:F1"/>
    <mergeCell ref="A2:F2"/>
    <mergeCell ref="A17:H17"/>
    <mergeCell ref="A54:H54"/>
  </mergeCells>
  <pageMargins left="0.75" right="0.75" top="1" bottom="1" header="0.511811023622047" footer="0.511811023622047"/>
  <pageSetup paperSize="9" orientation="portrait" horizontalDpi="300" verticalDpi="300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A2133-BCDD-4B63-9E7C-62AB85B494DC}">
  <dimension ref="A1:G17"/>
  <sheetViews>
    <sheetView tabSelected="1" zoomScale="200" zoomScaleNormal="200" workbookViewId="0"/>
  </sheetViews>
  <sheetFormatPr defaultRowHeight="12.75" x14ac:dyDescent="0.2"/>
  <cols>
    <col min="1" max="1" width="4.42578125" style="19" customWidth="1"/>
    <col min="2" max="2" width="16" style="19" customWidth="1"/>
    <col min="3" max="16384" width="9.140625" style="19"/>
  </cols>
  <sheetData>
    <row r="1" spans="1:7" x14ac:dyDescent="0.2">
      <c r="A1" s="18" t="s">
        <v>20</v>
      </c>
    </row>
    <row r="5" spans="1:7" x14ac:dyDescent="0.2">
      <c r="B5" s="19" t="s">
        <v>21</v>
      </c>
      <c r="C5" s="20">
        <v>0.08</v>
      </c>
      <c r="G5" s="19" t="s">
        <v>22</v>
      </c>
    </row>
    <row r="6" spans="1:7" x14ac:dyDescent="0.2">
      <c r="B6" s="19" t="s">
        <v>23</v>
      </c>
      <c r="C6" s="20">
        <v>0.03</v>
      </c>
      <c r="G6" s="19" t="s">
        <v>24</v>
      </c>
    </row>
    <row r="7" spans="1:7" x14ac:dyDescent="0.2">
      <c r="G7" s="19" t="s">
        <v>25</v>
      </c>
    </row>
    <row r="8" spans="1:7" x14ac:dyDescent="0.2">
      <c r="G8" s="19" t="s">
        <v>26</v>
      </c>
    </row>
    <row r="9" spans="1:7" x14ac:dyDescent="0.2">
      <c r="C9" s="21">
        <f ca="1">_xlfn.NORM.INV(RAND(),$C$5,$C$6)</f>
        <v>0.11810258510857319</v>
      </c>
      <c r="D9" s="19">
        <f ca="1">_xlfn.NORM.INV(RAND(),C5,C6)</f>
        <v>6.3725193522821688E-2</v>
      </c>
      <c r="G9" s="19" t="s">
        <v>27</v>
      </c>
    </row>
    <row r="10" spans="1:7" x14ac:dyDescent="0.2">
      <c r="C10" s="21">
        <f ca="1">_xlfn.NORM.INV(RAND(),$C$5,$C$6)</f>
        <v>8.0051962391997758E-2</v>
      </c>
      <c r="G10" s="19" t="s">
        <v>28</v>
      </c>
    </row>
    <row r="11" spans="1:7" x14ac:dyDescent="0.2">
      <c r="C11" s="21">
        <f ca="1">_xlfn.NORM.INV(RAND(),$C$5,$C$6)</f>
        <v>9.1088786404253164E-2</v>
      </c>
      <c r="G11" s="19" t="s">
        <v>29</v>
      </c>
    </row>
    <row r="12" spans="1:7" x14ac:dyDescent="0.2">
      <c r="C12" s="21">
        <f ca="1">_xlfn.NORM.INV(RAND(),$C$5,$C$6)</f>
        <v>0.11337631698414151</v>
      </c>
      <c r="G12" s="19" t="s">
        <v>30</v>
      </c>
    </row>
    <row r="13" spans="1:7" x14ac:dyDescent="0.2">
      <c r="C13" s="21">
        <f t="shared" ref="C13:C14" ca="1" si="0">_xlfn.NORM.INV(RAND(),$C$5,$C$6)</f>
        <v>0.10317158956313018</v>
      </c>
      <c r="G13" s="19" t="s">
        <v>31</v>
      </c>
    </row>
    <row r="14" spans="1:7" x14ac:dyDescent="0.2">
      <c r="C14" s="21">
        <f t="shared" ca="1" si="0"/>
        <v>0.11435334133734129</v>
      </c>
      <c r="G14" s="19" t="s">
        <v>32</v>
      </c>
    </row>
    <row r="15" spans="1:7" x14ac:dyDescent="0.2">
      <c r="C15" s="21">
        <f ca="1">_xlfn.NORM.INV(RAND(),$C$5,$C$6)</f>
        <v>8.4371823240023264E-2</v>
      </c>
    </row>
    <row r="17" spans="3:3" x14ac:dyDescent="0.2">
      <c r="C17" s="2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Kelly Criterion</vt:lpstr>
      <vt:lpstr>Monte Carlo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Oscar Settje</cp:lastModifiedBy>
  <cp:revision>1</cp:revision>
  <dcterms:created xsi:type="dcterms:W3CDTF">2026-08-27T17:33:19Z</dcterms:created>
  <dcterms:modified xsi:type="dcterms:W3CDTF">2026-08-28T17:06:54Z</dcterms:modified>
  <dc:language>en-US</dc:language>
</cp:coreProperties>
</file>