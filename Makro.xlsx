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42B2D1F-E453-4EFA-9AB0-A3E61FB72D61}" xr6:coauthVersionLast="47" xr6:coauthVersionMax="47" xr10:uidLastSave="{00000000-0000-0000-0000-000000000000}"/>
  <bookViews>
    <workbookView xWindow="225" yWindow="2340" windowWidth="38175" windowHeight="15240" xr2:uid="{3200E5B3-0EFC-4FC5-8F9E-F74C0FC60A47}"/>
  </bookViews>
  <sheets>
    <sheet name="Markets" sheetId="1" r:id="rId1"/>
    <sheet name="S&amp;P" sheetId="5" r:id="rId2"/>
  </sheets>
  <definedNames>
    <definedName name="_xlchart.v1.0" hidden="1">'S&amp;P'!$W$6:$W$1516</definedName>
    <definedName name="_xlchart.v1.1" hidden="1">'S&amp;P'!$J$3:$J$100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5" i="5" l="1"/>
  <c r="U4" i="5"/>
  <c r="U3" i="5"/>
  <c r="U2" i="5"/>
  <c r="W1268" i="5"/>
  <c r="W777" i="5" l="1"/>
  <c r="W779" i="5"/>
  <c r="W795" i="5"/>
  <c r="W796" i="5"/>
  <c r="W801" i="5"/>
  <c r="W860" i="5"/>
  <c r="W861" i="5"/>
  <c r="W863" i="5"/>
  <c r="W864" i="5"/>
  <c r="W865" i="5"/>
  <c r="W1083" i="5"/>
  <c r="W1147" i="5"/>
  <c r="W927" i="5"/>
  <c r="W485" i="5"/>
  <c r="W1148" i="5"/>
  <c r="W492" i="5"/>
  <c r="W1149" i="5"/>
  <c r="W493" i="5"/>
  <c r="W1151" i="5"/>
  <c r="W532" i="5"/>
  <c r="W1153" i="5"/>
  <c r="W533" i="5"/>
  <c r="W1215" i="5"/>
  <c r="W534" i="5"/>
  <c r="W1216" i="5"/>
  <c r="W536" i="5"/>
  <c r="W1217" i="5"/>
  <c r="W547" i="5"/>
  <c r="W1218" i="5"/>
  <c r="W590" i="5"/>
  <c r="W1219" i="5"/>
  <c r="W591" i="5"/>
  <c r="W1453" i="5"/>
  <c r="W592" i="5"/>
  <c r="W1456" i="5"/>
  <c r="W1296" i="5"/>
  <c r="W930" i="5"/>
  <c r="W993" i="5"/>
  <c r="W413" i="5"/>
  <c r="W995" i="5"/>
  <c r="W414" i="5"/>
  <c r="W1363" i="5"/>
  <c r="W651" i="5"/>
  <c r="W997" i="5"/>
  <c r="W417" i="5"/>
  <c r="W1370" i="5"/>
  <c r="W711" i="5"/>
  <c r="W1371" i="5"/>
  <c r="W715" i="5"/>
  <c r="W1064" i="5"/>
  <c r="W1437" i="5"/>
  <c r="W593" i="5"/>
  <c r="W928" i="5"/>
  <c r="W1281" i="5"/>
  <c r="W594" i="5"/>
  <c r="W929" i="5"/>
  <c r="W1283" i="5"/>
  <c r="W595" i="5"/>
  <c r="W647" i="5"/>
  <c r="W931" i="5"/>
  <c r="W1299" i="5"/>
  <c r="W648" i="5"/>
  <c r="W1300" i="5"/>
  <c r="W649" i="5"/>
  <c r="W1362" i="5"/>
  <c r="W650" i="5"/>
  <c r="W996" i="5"/>
  <c r="W416" i="5"/>
  <c r="W1369" i="5"/>
  <c r="W710" i="5"/>
  <c r="W998" i="5"/>
  <c r="W426" i="5"/>
  <c r="W1060" i="5"/>
  <c r="W429" i="5"/>
  <c r="W714" i="5"/>
  <c r="W1061" i="5"/>
  <c r="W1436" i="5"/>
  <c r="W471" i="5"/>
  <c r="W472" i="5"/>
  <c r="W716" i="5"/>
  <c r="W1082" i="5"/>
  <c r="W1440" i="5"/>
  <c r="W494" i="5"/>
  <c r="W551" i="5"/>
  <c r="W652" i="5"/>
  <c r="W866" i="5"/>
  <c r="W932" i="5"/>
  <c r="W999" i="5"/>
  <c r="W1084" i="5"/>
  <c r="W1154" i="5"/>
  <c r="W1457" i="5"/>
  <c r="W495" i="5"/>
  <c r="W606" i="5"/>
  <c r="W737" i="5"/>
  <c r="W804" i="5"/>
  <c r="W1089" i="5"/>
  <c r="W1155" i="5"/>
  <c r="W1458" i="5"/>
  <c r="W496" i="5"/>
  <c r="W497" i="5"/>
  <c r="W612" i="5"/>
  <c r="W869" i="5"/>
  <c r="W1023" i="5"/>
  <c r="W1092" i="5"/>
  <c r="W1463" i="5"/>
  <c r="W441" i="5"/>
  <c r="W498" i="5"/>
  <c r="W613" i="5"/>
  <c r="W872" i="5"/>
  <c r="W951" i="5"/>
  <c r="W1024" i="5"/>
  <c r="W1175" i="5"/>
  <c r="W1464" i="5"/>
  <c r="W499" i="5"/>
  <c r="W556" i="5"/>
  <c r="W677" i="5"/>
  <c r="W954" i="5"/>
  <c r="W1025" i="5"/>
  <c r="W1095" i="5"/>
  <c r="W1176" i="5"/>
  <c r="W1465" i="5"/>
  <c r="W29" i="5"/>
  <c r="W500" i="5"/>
  <c r="W557" i="5"/>
  <c r="W680" i="5"/>
  <c r="W875" i="5"/>
  <c r="W955" i="5"/>
  <c r="W1026" i="5"/>
  <c r="W1106" i="5"/>
  <c r="W1177" i="5"/>
  <c r="W1466" i="5"/>
  <c r="W150" i="5"/>
  <c r="W501" i="5"/>
  <c r="W558" i="5"/>
  <c r="W616" i="5"/>
  <c r="W810" i="5"/>
  <c r="W956" i="5"/>
  <c r="W1027" i="5"/>
  <c r="W1109" i="5"/>
  <c r="W1178" i="5"/>
  <c r="W1467" i="5"/>
  <c r="W204" i="5"/>
  <c r="W503" i="5"/>
  <c r="W560" i="5"/>
  <c r="W617" i="5"/>
  <c r="W891" i="5"/>
  <c r="W962" i="5"/>
  <c r="W1031" i="5"/>
  <c r="W1112" i="5"/>
  <c r="W1468" i="5"/>
  <c r="W206" i="5"/>
  <c r="W504" i="5"/>
  <c r="W561" i="5"/>
  <c r="W686" i="5"/>
  <c r="W892" i="5"/>
  <c r="W963" i="5"/>
  <c r="W1045" i="5"/>
  <c r="W1113" i="5"/>
  <c r="W1180" i="5"/>
  <c r="W1491" i="5"/>
  <c r="W456" i="5"/>
  <c r="W563" i="5"/>
  <c r="W687" i="5"/>
  <c r="W830" i="5"/>
  <c r="W964" i="5"/>
  <c r="U5" i="5"/>
  <c r="W1485" i="5"/>
  <c r="W1455" i="5"/>
  <c r="W1424" i="5"/>
  <c r="W1392" i="5"/>
  <c r="W1361" i="5"/>
  <c r="W1331" i="5"/>
  <c r="W1298" i="5"/>
  <c r="W1267" i="5"/>
  <c r="W1237" i="5"/>
  <c r="W1204" i="5"/>
  <c r="W1171" i="5"/>
  <c r="W1141" i="5"/>
  <c r="W1108" i="5"/>
  <c r="W1077" i="5"/>
  <c r="W1047" i="5"/>
  <c r="W1016" i="5"/>
  <c r="W984" i="5"/>
  <c r="W953" i="5"/>
  <c r="W923" i="5"/>
  <c r="W890" i="5"/>
  <c r="W859" i="5"/>
  <c r="W827" i="5"/>
  <c r="W794" i="5"/>
  <c r="W763" i="5"/>
  <c r="W733" i="5"/>
  <c r="W700" i="5"/>
  <c r="W669" i="5"/>
  <c r="W639" i="5"/>
  <c r="W609" i="5"/>
  <c r="W579" i="5"/>
  <c r="W549" i="5"/>
  <c r="W520" i="5"/>
  <c r="W488" i="5"/>
  <c r="W458" i="5"/>
  <c r="W428" i="5"/>
  <c r="W205" i="5"/>
  <c r="W1516" i="5"/>
  <c r="W1484" i="5"/>
  <c r="W1454" i="5"/>
  <c r="W1421" i="5"/>
  <c r="W1391" i="5"/>
  <c r="W1360" i="5"/>
  <c r="W1329" i="5"/>
  <c r="W1297" i="5"/>
  <c r="W1266" i="5"/>
  <c r="W1236" i="5"/>
  <c r="W1203" i="5"/>
  <c r="W1170" i="5"/>
  <c r="W1140" i="5"/>
  <c r="W1107" i="5"/>
  <c r="W1076" i="5"/>
  <c r="W1046" i="5"/>
  <c r="W1013" i="5"/>
  <c r="W983" i="5"/>
  <c r="W952" i="5"/>
  <c r="W921" i="5"/>
  <c r="W889" i="5"/>
  <c r="W858" i="5"/>
  <c r="W825" i="5"/>
  <c r="W793" i="5"/>
  <c r="W762" i="5"/>
  <c r="W732" i="5"/>
  <c r="W699" i="5"/>
  <c r="W668" i="5"/>
  <c r="W638" i="5"/>
  <c r="W608" i="5"/>
  <c r="W578" i="5"/>
  <c r="W548" i="5"/>
  <c r="W519" i="5"/>
  <c r="W486" i="5"/>
  <c r="W457" i="5"/>
  <c r="W427" i="5"/>
  <c r="W1514" i="5"/>
  <c r="W1482" i="5"/>
  <c r="W1452" i="5"/>
  <c r="W1419" i="5"/>
  <c r="W1388" i="5"/>
  <c r="W1358" i="5"/>
  <c r="W1325" i="5"/>
  <c r="W1295" i="5"/>
  <c r="W1264" i="5"/>
  <c r="W1233" i="5"/>
  <c r="W1199" i="5"/>
  <c r="W1168" i="5"/>
  <c r="W1137" i="5"/>
  <c r="W1105" i="5"/>
  <c r="W1074" i="5"/>
  <c r="W1044" i="5"/>
  <c r="W1011" i="5"/>
  <c r="W980" i="5"/>
  <c r="W950" i="5"/>
  <c r="W917" i="5"/>
  <c r="W887" i="5"/>
  <c r="W854" i="5"/>
  <c r="W821" i="5"/>
  <c r="W791" i="5"/>
  <c r="W760" i="5"/>
  <c r="W729" i="5"/>
  <c r="W697" i="5"/>
  <c r="W666" i="5"/>
  <c r="W636" i="5"/>
  <c r="W605" i="5"/>
  <c r="W576" i="5"/>
  <c r="W546" i="5"/>
  <c r="W515" i="5"/>
  <c r="W484" i="5"/>
  <c r="W455" i="5"/>
  <c r="W425" i="5"/>
  <c r="W149" i="5"/>
  <c r="W1448" i="5"/>
  <c r="W1322" i="5"/>
  <c r="W1226" i="5"/>
  <c r="W1132" i="5"/>
  <c r="W1071" i="5"/>
  <c r="W977" i="5"/>
  <c r="W881" i="5"/>
  <c r="W818" i="5"/>
  <c r="W757" i="5"/>
  <c r="W693" i="5"/>
  <c r="W632" i="5"/>
  <c r="W541" i="5"/>
  <c r="W451" i="5"/>
  <c r="W508" i="5"/>
  <c r="W84" i="5"/>
  <c r="W1443" i="5"/>
  <c r="W1349" i="5"/>
  <c r="W1286" i="5"/>
  <c r="W1223" i="5"/>
  <c r="W1129" i="5"/>
  <c r="W1035" i="5"/>
  <c r="W974" i="5"/>
  <c r="W845" i="5"/>
  <c r="W721" i="5"/>
  <c r="W596" i="5"/>
  <c r="W477" i="5"/>
  <c r="W1442" i="5"/>
  <c r="W1315" i="5"/>
  <c r="W1221" i="5"/>
  <c r="W1128" i="5"/>
  <c r="W1003" i="5"/>
  <c r="W877" i="5"/>
  <c r="W752" i="5"/>
  <c r="W1513" i="5"/>
  <c r="W1481" i="5"/>
  <c r="W1451" i="5"/>
  <c r="W1418" i="5"/>
  <c r="W1387" i="5"/>
  <c r="W1357" i="5"/>
  <c r="W1324" i="5"/>
  <c r="W1293" i="5"/>
  <c r="W1263" i="5"/>
  <c r="W1228" i="5"/>
  <c r="W1197" i="5"/>
  <c r="W1167" i="5"/>
  <c r="W1136" i="5"/>
  <c r="W1104" i="5"/>
  <c r="W1073" i="5"/>
  <c r="W1043" i="5"/>
  <c r="W1010" i="5"/>
  <c r="W979" i="5"/>
  <c r="W949" i="5"/>
  <c r="W916" i="5"/>
  <c r="W883" i="5"/>
  <c r="W853" i="5"/>
  <c r="W820" i="5"/>
  <c r="W789" i="5"/>
  <c r="W759" i="5"/>
  <c r="W728" i="5"/>
  <c r="W696" i="5"/>
  <c r="W665" i="5"/>
  <c r="W635" i="5"/>
  <c r="W604" i="5"/>
  <c r="W575" i="5"/>
  <c r="W543" i="5"/>
  <c r="W513" i="5"/>
  <c r="W483" i="5"/>
  <c r="W453" i="5"/>
  <c r="W424" i="5"/>
  <c r="W148" i="5"/>
  <c r="W1479" i="5"/>
  <c r="W1416" i="5"/>
  <c r="W1385" i="5"/>
  <c r="W1355" i="5"/>
  <c r="W1291" i="5"/>
  <c r="W1259" i="5"/>
  <c r="W1195" i="5"/>
  <c r="W1101" i="5"/>
  <c r="W1008" i="5"/>
  <c r="W912" i="5"/>
  <c r="W787" i="5"/>
  <c r="W663" i="5"/>
  <c r="W570" i="5"/>
  <c r="W481" i="5"/>
  <c r="W87" i="5"/>
  <c r="W479" i="5"/>
  <c r="W1476" i="5"/>
  <c r="W1253" i="5"/>
  <c r="W1098" i="5"/>
  <c r="W908" i="5"/>
  <c r="W753" i="5"/>
  <c r="W628" i="5"/>
  <c r="W507" i="5"/>
  <c r="W419" i="5"/>
  <c r="W1505" i="5"/>
  <c r="W1252" i="5"/>
  <c r="W1097" i="5"/>
  <c r="W938" i="5"/>
  <c r="W813" i="5"/>
  <c r="W720" i="5"/>
  <c r="W1512" i="5"/>
  <c r="W1480" i="5"/>
  <c r="W1449" i="5"/>
  <c r="W1417" i="5"/>
  <c r="W1386" i="5"/>
  <c r="W1356" i="5"/>
  <c r="W1323" i="5"/>
  <c r="W1292" i="5"/>
  <c r="W1262" i="5"/>
  <c r="W1227" i="5"/>
  <c r="W1196" i="5"/>
  <c r="W1166" i="5"/>
  <c r="W1133" i="5"/>
  <c r="W1103" i="5"/>
  <c r="W1072" i="5"/>
  <c r="W1041" i="5"/>
  <c r="W1009" i="5"/>
  <c r="W978" i="5"/>
  <c r="W948" i="5"/>
  <c r="W915" i="5"/>
  <c r="W882" i="5"/>
  <c r="W852" i="5"/>
  <c r="W819" i="5"/>
  <c r="W788" i="5"/>
  <c r="W758" i="5"/>
  <c r="W725" i="5"/>
  <c r="W695" i="5"/>
  <c r="W664" i="5"/>
  <c r="W633" i="5"/>
  <c r="W603" i="5"/>
  <c r="W573" i="5"/>
  <c r="W542" i="5"/>
  <c r="W512" i="5"/>
  <c r="W482" i="5"/>
  <c r="W452" i="5"/>
  <c r="W423" i="5"/>
  <c r="W146" i="5"/>
  <c r="W1509" i="5"/>
  <c r="W1165" i="5"/>
  <c r="W1040" i="5"/>
  <c r="W947" i="5"/>
  <c r="W851" i="5"/>
  <c r="W724" i="5"/>
  <c r="W602" i="5"/>
  <c r="W510" i="5"/>
  <c r="W422" i="5"/>
  <c r="W449" i="5"/>
  <c r="W1506" i="5"/>
  <c r="W1382" i="5"/>
  <c r="W1161" i="5"/>
  <c r="W1004" i="5"/>
  <c r="W878" i="5"/>
  <c r="W815" i="5"/>
  <c r="W690" i="5"/>
  <c r="W567" i="5"/>
  <c r="W448" i="5"/>
  <c r="W1475" i="5"/>
  <c r="W1348" i="5"/>
  <c r="W1191" i="5"/>
  <c r="W1067" i="5"/>
  <c r="W971" i="5"/>
  <c r="W844" i="5"/>
  <c r="W1508" i="5"/>
  <c r="W1478" i="5"/>
  <c r="W1445" i="5"/>
  <c r="W1415" i="5"/>
  <c r="W1384" i="5"/>
  <c r="W1353" i="5"/>
  <c r="W1321" i="5"/>
  <c r="W1290" i="5"/>
  <c r="W1257" i="5"/>
  <c r="W1225" i="5"/>
  <c r="W1194" i="5"/>
  <c r="W1164" i="5"/>
  <c r="W1131" i="5"/>
  <c r="W1100" i="5"/>
  <c r="W1070" i="5"/>
  <c r="W1037" i="5"/>
  <c r="W1007" i="5"/>
  <c r="W976" i="5"/>
  <c r="W945" i="5"/>
  <c r="W911" i="5"/>
  <c r="W880" i="5"/>
  <c r="W849" i="5"/>
  <c r="W817" i="5"/>
  <c r="W786" i="5"/>
  <c r="W756" i="5"/>
  <c r="W723" i="5"/>
  <c r="W692" i="5"/>
  <c r="W662" i="5"/>
  <c r="W630" i="5"/>
  <c r="W601" i="5"/>
  <c r="W569" i="5"/>
  <c r="W540" i="5"/>
  <c r="W509" i="5"/>
  <c r="W480" i="5"/>
  <c r="W450" i="5"/>
  <c r="W421" i="5"/>
  <c r="W85" i="5"/>
  <c r="W1507" i="5"/>
  <c r="W1477" i="5"/>
  <c r="W1444" i="5"/>
  <c r="W1413" i="5"/>
  <c r="W1383" i="5"/>
  <c r="W1352" i="5"/>
  <c r="W1320" i="5"/>
  <c r="W1287" i="5"/>
  <c r="W1256" i="5"/>
  <c r="W1224" i="5"/>
  <c r="W1193" i="5"/>
  <c r="W1163" i="5"/>
  <c r="W1130" i="5"/>
  <c r="W1099" i="5"/>
  <c r="W1069" i="5"/>
  <c r="W1036" i="5"/>
  <c r="W1005" i="5"/>
  <c r="W975" i="5"/>
  <c r="W940" i="5"/>
  <c r="W909" i="5"/>
  <c r="W879" i="5"/>
  <c r="W848" i="5"/>
  <c r="W816" i="5"/>
  <c r="W785" i="5"/>
  <c r="W755" i="5"/>
  <c r="W722" i="5"/>
  <c r="W691" i="5"/>
  <c r="W661" i="5"/>
  <c r="W629" i="5"/>
  <c r="W597" i="5"/>
  <c r="W568" i="5"/>
  <c r="W539" i="5"/>
  <c r="W420" i="5"/>
  <c r="W1412" i="5"/>
  <c r="W1319" i="5"/>
  <c r="W1192" i="5"/>
  <c r="W1068" i="5"/>
  <c r="W939" i="5"/>
  <c r="W784" i="5"/>
  <c r="W660" i="5"/>
  <c r="W537" i="5"/>
  <c r="W83" i="5"/>
  <c r="W1411" i="5"/>
  <c r="W1381" i="5"/>
  <c r="W1285" i="5"/>
  <c r="W1160" i="5"/>
  <c r="W1034" i="5"/>
  <c r="W907" i="5"/>
  <c r="W1504" i="5"/>
  <c r="W1473" i="5"/>
  <c r="W1441" i="5"/>
  <c r="W1410" i="5"/>
  <c r="W1380" i="5"/>
  <c r="W1347" i="5"/>
  <c r="W1314" i="5"/>
  <c r="W1284" i="5"/>
  <c r="W1251" i="5"/>
  <c r="W1220" i="5"/>
  <c r="W1190" i="5"/>
  <c r="W1157" i="5"/>
  <c r="W1127" i="5"/>
  <c r="W1096" i="5"/>
  <c r="W1065" i="5"/>
  <c r="W1033" i="5"/>
  <c r="W1002" i="5"/>
  <c r="W969" i="5"/>
  <c r="W937" i="5"/>
  <c r="W906" i="5"/>
  <c r="W876" i="5"/>
  <c r="W843" i="5"/>
  <c r="W812" i="5"/>
  <c r="W782" i="5"/>
  <c r="W749" i="5"/>
  <c r="W719" i="5"/>
  <c r="W688" i="5"/>
  <c r="W657" i="5"/>
  <c r="W1500" i="5"/>
  <c r="W1439" i="5"/>
  <c r="W1389" i="5"/>
  <c r="W1333" i="5"/>
  <c r="W1272" i="5"/>
  <c r="W1213" i="5"/>
  <c r="W1152" i="5"/>
  <c r="W1093" i="5"/>
  <c r="W1032" i="5"/>
  <c r="W985" i="5"/>
  <c r="W926" i="5"/>
  <c r="W1488" i="5"/>
  <c r="W1429" i="5"/>
  <c r="W1368" i="5"/>
  <c r="W1309" i="5"/>
  <c r="W1248" i="5"/>
  <c r="W1189" i="5"/>
  <c r="W1142" i="5"/>
  <c r="W1081" i="5"/>
  <c r="W1022" i="5"/>
  <c r="W961" i="5"/>
  <c r="W902" i="5"/>
  <c r="W841" i="5"/>
  <c r="W792" i="5"/>
  <c r="W736" i="5"/>
  <c r="W676" i="5"/>
  <c r="W621" i="5"/>
  <c r="W581" i="5"/>
  <c r="W529" i="5"/>
  <c r="W476" i="5"/>
  <c r="W436" i="5"/>
  <c r="W27" i="5"/>
  <c r="W1487" i="5"/>
  <c r="W1428" i="5"/>
  <c r="W1367" i="5"/>
  <c r="W1308" i="5"/>
  <c r="W1247" i="5"/>
  <c r="W1188" i="5"/>
  <c r="W1139" i="5"/>
  <c r="W1080" i="5"/>
  <c r="W1021" i="5"/>
  <c r="W960" i="5"/>
  <c r="W901" i="5"/>
  <c r="W840" i="5"/>
  <c r="W783" i="5"/>
  <c r="W735" i="5"/>
  <c r="W675" i="5"/>
  <c r="W620" i="5"/>
  <c r="W580" i="5"/>
  <c r="W528" i="5"/>
  <c r="W475" i="5"/>
  <c r="W433" i="5"/>
  <c r="W26" i="5"/>
  <c r="W1483" i="5"/>
  <c r="W1427" i="5"/>
  <c r="W1365" i="5"/>
  <c r="W1307" i="5"/>
  <c r="W1245" i="5"/>
  <c r="W1187" i="5"/>
  <c r="W1125" i="5"/>
  <c r="W1079" i="5"/>
  <c r="W1020" i="5"/>
  <c r="W959" i="5"/>
  <c r="W900" i="5"/>
  <c r="W839" i="5"/>
  <c r="W781" i="5"/>
  <c r="W734" i="5"/>
  <c r="W674" i="5"/>
  <c r="W619" i="5"/>
  <c r="W577" i="5"/>
  <c r="W527" i="5"/>
  <c r="W474" i="5"/>
  <c r="W432" i="5"/>
  <c r="W25" i="5"/>
  <c r="W1472" i="5"/>
  <c r="W1425" i="5"/>
  <c r="W1364" i="5"/>
  <c r="W1305" i="5"/>
  <c r="W1244" i="5"/>
  <c r="W1185" i="5"/>
  <c r="W1124" i="5"/>
  <c r="W1075" i="5"/>
  <c r="W1019" i="5"/>
  <c r="W957" i="5"/>
  <c r="W899" i="5"/>
  <c r="W837" i="5"/>
  <c r="W780" i="5"/>
  <c r="W731" i="5"/>
  <c r="W673" i="5"/>
  <c r="W618" i="5"/>
  <c r="W566" i="5"/>
  <c r="W525" i="5"/>
  <c r="W473" i="5"/>
  <c r="W431" i="5"/>
  <c r="W1469" i="5"/>
  <c r="W1420" i="5"/>
  <c r="W738" i="5"/>
  <c r="W1017" i="5"/>
  <c r="W1379" i="5"/>
  <c r="W440" i="5"/>
  <c r="W806" i="5"/>
  <c r="W1169" i="5"/>
  <c r="W672" i="5"/>
  <c r="W1394" i="5"/>
  <c r="W744" i="5"/>
  <c r="W1313" i="5"/>
  <c r="W444" i="5"/>
  <c r="W809" i="5"/>
  <c r="W1243" i="5"/>
  <c r="W445" i="5"/>
  <c r="W888" i="5"/>
  <c r="W1332" i="5"/>
  <c r="W811" i="5"/>
  <c r="W1334" i="5"/>
  <c r="W748" i="5"/>
  <c r="W1335" i="5"/>
  <c r="W207" i="5"/>
  <c r="W761" i="5"/>
  <c r="W1115" i="5"/>
  <c r="W1336" i="5"/>
  <c r="W267" i="5"/>
  <c r="W564" i="5"/>
  <c r="W831" i="5"/>
  <c r="W1118" i="5"/>
  <c r="W1493" i="5"/>
  <c r="W516" i="5"/>
  <c r="W698" i="5"/>
  <c r="W897" i="5"/>
  <c r="W1119" i="5"/>
  <c r="W1496" i="5"/>
  <c r="W464" i="5"/>
  <c r="W582" i="5"/>
  <c r="W701" i="5"/>
  <c r="W833" i="5"/>
  <c r="W1051" i="5"/>
  <c r="W1120" i="5"/>
  <c r="W1273" i="5"/>
  <c r="W1408" i="5"/>
  <c r="W465" i="5"/>
  <c r="W641" i="5"/>
  <c r="W768" i="5"/>
  <c r="W904" i="5"/>
  <c r="W1052" i="5"/>
  <c r="W1274" i="5"/>
  <c r="W1499" i="5"/>
  <c r="W347" i="5"/>
  <c r="W467" i="5"/>
  <c r="W523" i="5"/>
  <c r="W585" i="5"/>
  <c r="W642" i="5"/>
  <c r="W705" i="5"/>
  <c r="W771" i="5"/>
  <c r="W835" i="5"/>
  <c r="W905" i="5"/>
  <c r="W987" i="5"/>
  <c r="W1053" i="5"/>
  <c r="W1122" i="5"/>
  <c r="W1209" i="5"/>
  <c r="W1275" i="5"/>
  <c r="W1341" i="5"/>
  <c r="W1430" i="5"/>
  <c r="W1501" i="5"/>
  <c r="W717" i="5"/>
  <c r="W1301" i="5"/>
  <c r="W552" i="5"/>
  <c r="W933" i="5"/>
  <c r="W1377" i="5"/>
  <c r="W553" i="5"/>
  <c r="W667" i="5"/>
  <c r="W868" i="5"/>
  <c r="W1156" i="5"/>
  <c r="W1310" i="5"/>
  <c r="W554" i="5"/>
  <c r="W936" i="5"/>
  <c r="W1311" i="5"/>
  <c r="W807" i="5"/>
  <c r="W1241" i="5"/>
  <c r="W614" i="5"/>
  <c r="W1395" i="5"/>
  <c r="W615" i="5"/>
  <c r="W1328" i="5"/>
  <c r="W681" i="5"/>
  <c r="W1397" i="5"/>
  <c r="W683" i="5"/>
  <c r="W1250" i="5"/>
  <c r="W623" i="5"/>
  <c r="W1401" i="5"/>
  <c r="W624" i="5"/>
  <c r="W1048" i="5"/>
  <c r="W1492" i="5"/>
  <c r="W459" i="5"/>
  <c r="W625" i="5"/>
  <c r="W764" i="5"/>
  <c r="W896" i="5"/>
  <c r="W1049" i="5"/>
  <c r="W1269" i="5"/>
  <c r="W1337" i="5"/>
  <c r="W268" i="5"/>
  <c r="W565" i="5"/>
  <c r="W765" i="5"/>
  <c r="W968" i="5"/>
  <c r="W1200" i="5"/>
  <c r="W1407" i="5"/>
  <c r="W521" i="5"/>
  <c r="W767" i="5"/>
  <c r="W981" i="5"/>
  <c r="W1205" i="5"/>
  <c r="W1497" i="5"/>
  <c r="W584" i="5"/>
  <c r="W704" i="5"/>
  <c r="W834" i="5"/>
  <c r="W986" i="5"/>
  <c r="W1121" i="5"/>
  <c r="W1208" i="5"/>
  <c r="W1340" i="5"/>
  <c r="W1409" i="5"/>
  <c r="W410" i="5"/>
  <c r="W468" i="5"/>
  <c r="W524" i="5"/>
  <c r="W587" i="5"/>
  <c r="W643" i="5"/>
  <c r="W707" i="5"/>
  <c r="W772" i="5"/>
  <c r="W836" i="5"/>
  <c r="W920" i="5"/>
  <c r="W988" i="5"/>
  <c r="W1055" i="5"/>
  <c r="W1123" i="5"/>
  <c r="W1211" i="5"/>
  <c r="W1276" i="5"/>
  <c r="W1343" i="5"/>
  <c r="W1431" i="5"/>
  <c r="W1502" i="5"/>
  <c r="W1372" i="5"/>
  <c r="W659" i="5"/>
  <c r="W1012" i="5"/>
  <c r="W1304" i="5"/>
  <c r="W611" i="5"/>
  <c r="W935" i="5"/>
  <c r="W1459" i="5"/>
  <c r="W671" i="5"/>
  <c r="W1240" i="5"/>
  <c r="W555" i="5"/>
  <c r="W1312" i="5"/>
  <c r="W443" i="5"/>
  <c r="W873" i="5"/>
  <c r="W1400" i="5"/>
  <c r="W803" i="5"/>
  <c r="W1235" i="5"/>
  <c r="W437" i="5"/>
  <c r="W867" i="5"/>
  <c r="W1238" i="5"/>
  <c r="W438" i="5"/>
  <c r="W805" i="5"/>
  <c r="W1091" i="5"/>
  <c r="W1239" i="5"/>
  <c r="W739" i="5"/>
  <c r="W1393" i="5"/>
  <c r="W743" i="5"/>
  <c r="W1094" i="5"/>
  <c r="W28" i="5"/>
  <c r="W808" i="5"/>
  <c r="W1242" i="5"/>
  <c r="W745" i="5"/>
  <c r="W1396" i="5"/>
  <c r="W746" i="5"/>
  <c r="W1249" i="5"/>
  <c r="W446" i="5"/>
  <c r="W747" i="5"/>
  <c r="W1179" i="5"/>
  <c r="W447" i="5"/>
  <c r="W824" i="5"/>
  <c r="W1265" i="5"/>
  <c r="W505" i="5"/>
  <c r="W893" i="5"/>
  <c r="W1181" i="5"/>
  <c r="W1403" i="5"/>
  <c r="W506" i="5"/>
  <c r="W689" i="5"/>
  <c r="W965" i="5"/>
  <c r="W1184" i="5"/>
  <c r="W1406" i="5"/>
  <c r="W460" i="5"/>
  <c r="W637" i="5"/>
  <c r="W832" i="5"/>
  <c r="W1050" i="5"/>
  <c r="W1271" i="5"/>
  <c r="W1338" i="5"/>
  <c r="W269" i="5"/>
  <c r="W640" i="5"/>
  <c r="W903" i="5"/>
  <c r="W1339" i="5"/>
  <c r="W270" i="5"/>
  <c r="W522" i="5"/>
  <c r="W411" i="5"/>
  <c r="W469" i="5"/>
  <c r="W530" i="5"/>
  <c r="W588" i="5"/>
  <c r="W644" i="5"/>
  <c r="W708" i="5"/>
  <c r="W773" i="5"/>
  <c r="W842" i="5"/>
  <c r="W924" i="5"/>
  <c r="W989" i="5"/>
  <c r="W1056" i="5"/>
  <c r="W1143" i="5"/>
  <c r="W1212" i="5"/>
  <c r="W1277" i="5"/>
  <c r="W1344" i="5"/>
  <c r="W1434" i="5"/>
  <c r="W1503" i="5"/>
  <c r="W412" i="5"/>
  <c r="W470" i="5"/>
  <c r="W531" i="5"/>
  <c r="W589" i="5"/>
  <c r="W645" i="5"/>
  <c r="W709" i="5"/>
  <c r="W776" i="5"/>
  <c r="W855" i="5"/>
  <c r="W925" i="5"/>
  <c r="W992" i="5"/>
  <c r="W1059" i="5"/>
  <c r="W1146" i="5"/>
  <c r="W1214" i="5"/>
  <c r="W1280" i="5"/>
  <c r="W1359" i="5"/>
  <c r="W1435" i="5"/>
  <c r="W1515" i="5"/>
  <c r="W388" i="5"/>
  <c r="U10" i="5"/>
  <c r="W1498" i="5"/>
  <c r="W1474" i="5"/>
  <c r="W1450" i="5"/>
  <c r="W1426" i="5"/>
  <c r="W1402" i="5"/>
  <c r="W1378" i="5"/>
  <c r="W1354" i="5"/>
  <c r="W1330" i="5"/>
  <c r="W1306" i="5"/>
  <c r="W1282" i="5"/>
  <c r="W1258" i="5"/>
  <c r="W1234" i="5"/>
  <c r="W1210" i="5"/>
  <c r="W1186" i="5"/>
  <c r="W1162" i="5"/>
  <c r="W1138" i="5"/>
  <c r="W1114" i="5"/>
  <c r="W1090" i="5"/>
  <c r="W1066" i="5"/>
  <c r="W1042" i="5"/>
  <c r="W1018" i="5"/>
  <c r="W994" i="5"/>
  <c r="W970" i="5"/>
  <c r="W946" i="5"/>
  <c r="W922" i="5"/>
  <c r="W898" i="5"/>
  <c r="W874" i="5"/>
  <c r="W850" i="5"/>
  <c r="W826" i="5"/>
  <c r="W802" i="5"/>
  <c r="W778" i="5"/>
  <c r="W754" i="5"/>
  <c r="W730" i="5"/>
  <c r="W706" i="5"/>
  <c r="W682" i="5"/>
  <c r="W658" i="5"/>
  <c r="W634" i="5"/>
  <c r="W610" i="5"/>
  <c r="W586" i="5"/>
  <c r="W562" i="5"/>
  <c r="W538" i="5"/>
  <c r="W514" i="5"/>
  <c r="W490" i="5"/>
  <c r="W466" i="5"/>
  <c r="W442" i="5"/>
  <c r="W418" i="5"/>
  <c r="W147" i="5"/>
  <c r="U7" i="5"/>
  <c r="W1495" i="5"/>
  <c r="W1471" i="5"/>
  <c r="W1447" i="5"/>
  <c r="W1423" i="5"/>
  <c r="W1399" i="5"/>
  <c r="W1375" i="5"/>
  <c r="W1351" i="5"/>
  <c r="W1327" i="5"/>
  <c r="W1303" i="5"/>
  <c r="W1279" i="5"/>
  <c r="W1255" i="5"/>
  <c r="W1231" i="5"/>
  <c r="W1207" i="5"/>
  <c r="W1183" i="5"/>
  <c r="W1159" i="5"/>
  <c r="W1135" i="5"/>
  <c r="W1111" i="5"/>
  <c r="W1087" i="5"/>
  <c r="W1063" i="5"/>
  <c r="W1039" i="5"/>
  <c r="W1015" i="5"/>
  <c r="W991" i="5"/>
  <c r="W967" i="5"/>
  <c r="W943" i="5"/>
  <c r="W919" i="5"/>
  <c r="W895" i="5"/>
  <c r="W871" i="5"/>
  <c r="W847" i="5"/>
  <c r="W823" i="5"/>
  <c r="W799" i="5"/>
  <c r="W775" i="5"/>
  <c r="W751" i="5"/>
  <c r="W727" i="5"/>
  <c r="W703" i="5"/>
  <c r="W679" i="5"/>
  <c r="W655" i="5"/>
  <c r="W631" i="5"/>
  <c r="W607" i="5"/>
  <c r="W583" i="5"/>
  <c r="W559" i="5"/>
  <c r="W535" i="5"/>
  <c r="W511" i="5"/>
  <c r="W487" i="5"/>
  <c r="W463" i="5"/>
  <c r="W439" i="5"/>
  <c r="W415" i="5"/>
  <c r="W86" i="5"/>
  <c r="U6" i="5"/>
  <c r="W1494" i="5"/>
  <c r="W1470" i="5"/>
  <c r="W1446" i="5"/>
  <c r="W1422" i="5"/>
  <c r="W1398" i="5"/>
  <c r="W1374" i="5"/>
  <c r="W1350" i="5"/>
  <c r="W1326" i="5"/>
  <c r="W1302" i="5"/>
  <c r="W1278" i="5"/>
  <c r="W1254" i="5"/>
  <c r="W1230" i="5"/>
  <c r="W1206" i="5"/>
  <c r="W1182" i="5"/>
  <c r="W1158" i="5"/>
  <c r="W1134" i="5"/>
  <c r="W1110" i="5"/>
  <c r="W1086" i="5"/>
  <c r="W1062" i="5"/>
  <c r="W1038" i="5"/>
  <c r="W1014" i="5"/>
  <c r="W990" i="5"/>
  <c r="W966" i="5"/>
  <c r="W942" i="5"/>
  <c r="W918" i="5"/>
  <c r="W894" i="5"/>
  <c r="W870" i="5"/>
  <c r="W846" i="5"/>
  <c r="W822" i="5"/>
  <c r="W798" i="5"/>
  <c r="W774" i="5"/>
  <c r="W750" i="5"/>
  <c r="W726" i="5"/>
  <c r="W702" i="5"/>
  <c r="W678" i="5"/>
  <c r="W654" i="5"/>
  <c r="W1511" i="5"/>
  <c r="W1510" i="5"/>
  <c r="W1486" i="5"/>
  <c r="W1462" i="5"/>
  <c r="W1438" i="5"/>
  <c r="W1414" i="5"/>
  <c r="W1390" i="5"/>
  <c r="W1366" i="5"/>
  <c r="W1342" i="5"/>
  <c r="W1318" i="5"/>
  <c r="W1294" i="5"/>
  <c r="W1270" i="5"/>
  <c r="W1246" i="5"/>
  <c r="W1222" i="5"/>
  <c r="W1198" i="5"/>
  <c r="W1174" i="5"/>
  <c r="W1150" i="5"/>
  <c r="W1126" i="5"/>
  <c r="W1102" i="5"/>
  <c r="W1078" i="5"/>
  <c r="W1054" i="5"/>
  <c r="W1030" i="5"/>
  <c r="W1006" i="5"/>
  <c r="W982" i="5"/>
  <c r="W958" i="5"/>
  <c r="W934" i="5"/>
  <c r="W910" i="5"/>
  <c r="W886" i="5"/>
  <c r="W862" i="5"/>
  <c r="W838" i="5"/>
  <c r="W814" i="5"/>
  <c r="W790" i="5"/>
  <c r="W766" i="5"/>
  <c r="W742" i="5"/>
  <c r="W718" i="5"/>
  <c r="W694" i="5"/>
  <c r="W670" i="5"/>
  <c r="W646" i="5"/>
  <c r="W622" i="5"/>
  <c r="W598" i="5"/>
  <c r="W574" i="5"/>
  <c r="W550" i="5"/>
  <c r="W526" i="5"/>
  <c r="W502" i="5"/>
  <c r="W478" i="5"/>
  <c r="W454" i="5"/>
  <c r="W430" i="5"/>
  <c r="W326" i="5"/>
  <c r="W327" i="5"/>
  <c r="W434" i="5"/>
  <c r="W461" i="5"/>
  <c r="W489" i="5"/>
  <c r="W517" i="5"/>
  <c r="W544" i="5"/>
  <c r="W571" i="5"/>
  <c r="W599" i="5"/>
  <c r="W626" i="5"/>
  <c r="W653" i="5"/>
  <c r="W684" i="5"/>
  <c r="W712" i="5"/>
  <c r="W740" i="5"/>
  <c r="W769" i="5"/>
  <c r="W797" i="5"/>
  <c r="W828" i="5"/>
  <c r="W856" i="5"/>
  <c r="W884" i="5"/>
  <c r="W913" i="5"/>
  <c r="W941" i="5"/>
  <c r="W972" i="5"/>
  <c r="W1000" i="5"/>
  <c r="W1028" i="5"/>
  <c r="W1057" i="5"/>
  <c r="W1085" i="5"/>
  <c r="W1116" i="5"/>
  <c r="W1144" i="5"/>
  <c r="W1172" i="5"/>
  <c r="W1201" i="5"/>
  <c r="W1229" i="5"/>
  <c r="W1260" i="5"/>
  <c r="W1288" i="5"/>
  <c r="W1316" i="5"/>
  <c r="W1345" i="5"/>
  <c r="W1373" i="5"/>
  <c r="W1404" i="5"/>
  <c r="W1432" i="5"/>
  <c r="W1460" i="5"/>
  <c r="W1489" i="5"/>
  <c r="U8" i="5"/>
  <c r="W328" i="5"/>
  <c r="W435" i="5"/>
  <c r="W462" i="5"/>
  <c r="W491" i="5"/>
  <c r="W518" i="5"/>
  <c r="W545" i="5"/>
  <c r="W572" i="5"/>
  <c r="W600" i="5"/>
  <c r="W627" i="5"/>
  <c r="W656" i="5"/>
  <c r="W685" i="5"/>
  <c r="W713" i="5"/>
  <c r="W741" i="5"/>
  <c r="W770" i="5"/>
  <c r="W800" i="5"/>
  <c r="W829" i="5"/>
  <c r="W857" i="5"/>
  <c r="W885" i="5"/>
  <c r="W914" i="5"/>
  <c r="W944" i="5"/>
  <c r="W973" i="5"/>
  <c r="W1001" i="5"/>
  <c r="W1029" i="5"/>
  <c r="W1058" i="5"/>
  <c r="W1088" i="5"/>
  <c r="W1117" i="5"/>
  <c r="W1145" i="5"/>
  <c r="W1173" i="5"/>
  <c r="W1202" i="5"/>
  <c r="W1232" i="5"/>
  <c r="W1261" i="5"/>
  <c r="W1289" i="5"/>
  <c r="W1317" i="5"/>
  <c r="W1346" i="5"/>
  <c r="W1376" i="5"/>
  <c r="W1405" i="5"/>
  <c r="W1433" i="5"/>
  <c r="W1461" i="5"/>
  <c r="W1490" i="5"/>
  <c r="U9" i="5"/>
  <c r="W208" i="5"/>
  <c r="W289" i="5"/>
  <c r="W348" i="5"/>
  <c r="W42" i="5"/>
  <c r="W105" i="5"/>
  <c r="W163" i="5"/>
  <c r="W226" i="5"/>
  <c r="W290" i="5"/>
  <c r="W349" i="5"/>
  <c r="W107" i="5"/>
  <c r="W228" i="5"/>
  <c r="W292" i="5"/>
  <c r="W50" i="5"/>
  <c r="W171" i="5"/>
  <c r="W293" i="5"/>
  <c r="W109" i="5"/>
  <c r="W294" i="5"/>
  <c r="W110" i="5"/>
  <c r="W231" i="5"/>
  <c r="W354" i="5"/>
  <c r="W53" i="5"/>
  <c r="W174" i="5"/>
  <c r="W355" i="5"/>
  <c r="W54" i="5"/>
  <c r="W175" i="5"/>
  <c r="W233" i="5"/>
  <c r="W297" i="5"/>
  <c r="W55" i="5"/>
  <c r="W298" i="5"/>
  <c r="W235" i="5"/>
  <c r="W178" i="5"/>
  <c r="W241" i="5"/>
  <c r="W300" i="5"/>
  <c r="W377" i="5"/>
  <c r="W58" i="5"/>
  <c r="W179" i="5"/>
  <c r="W378" i="5"/>
  <c r="W76" i="5"/>
  <c r="W197" i="5"/>
  <c r="W319" i="5"/>
  <c r="W14" i="5"/>
  <c r="W135" i="5"/>
  <c r="W256" i="5"/>
  <c r="W320" i="5"/>
  <c r="W78" i="5"/>
  <c r="W199" i="5"/>
  <c r="W257" i="5"/>
  <c r="W386" i="5"/>
  <c r="W137" i="5"/>
  <c r="W322" i="5"/>
  <c r="W17" i="5"/>
  <c r="W138" i="5"/>
  <c r="W259" i="5"/>
  <c r="W408" i="5"/>
  <c r="W384" i="5"/>
  <c r="W360" i="5"/>
  <c r="W336" i="5"/>
  <c r="W312" i="5"/>
  <c r="W288" i="5"/>
  <c r="W264" i="5"/>
  <c r="W240" i="5"/>
  <c r="W216" i="5"/>
  <c r="W192" i="5"/>
  <c r="W168" i="5"/>
  <c r="W144" i="5"/>
  <c r="W120" i="5"/>
  <c r="W96" i="5"/>
  <c r="W72" i="5"/>
  <c r="W48" i="5"/>
  <c r="W24" i="5"/>
  <c r="W407" i="5"/>
  <c r="W383" i="5"/>
  <c r="W359" i="5"/>
  <c r="W335" i="5"/>
  <c r="W311" i="5"/>
  <c r="W287" i="5"/>
  <c r="W263" i="5"/>
  <c r="W239" i="5"/>
  <c r="W215" i="5"/>
  <c r="W191" i="5"/>
  <c r="W167" i="5"/>
  <c r="W143" i="5"/>
  <c r="W119" i="5"/>
  <c r="W95" i="5"/>
  <c r="W71" i="5"/>
  <c r="W47" i="5"/>
  <c r="W23" i="5"/>
  <c r="W406" i="5"/>
  <c r="W382" i="5"/>
  <c r="W358" i="5"/>
  <c r="W334" i="5"/>
  <c r="W310" i="5"/>
  <c r="W286" i="5"/>
  <c r="W262" i="5"/>
  <c r="W238" i="5"/>
  <c r="W214" i="5"/>
  <c r="W190" i="5"/>
  <c r="W166" i="5"/>
  <c r="W142" i="5"/>
  <c r="W118" i="5"/>
  <c r="W94" i="5"/>
  <c r="W70" i="5"/>
  <c r="W46" i="5"/>
  <c r="W22" i="5"/>
  <c r="W405" i="5"/>
  <c r="W381" i="5"/>
  <c r="W357" i="5"/>
  <c r="W333" i="5"/>
  <c r="W309" i="5"/>
  <c r="W285" i="5"/>
  <c r="W261" i="5"/>
  <c r="W237" i="5"/>
  <c r="W213" i="5"/>
  <c r="W189" i="5"/>
  <c r="W165" i="5"/>
  <c r="W141" i="5"/>
  <c r="W117" i="5"/>
  <c r="W93" i="5"/>
  <c r="W69" i="5"/>
  <c r="W45" i="5"/>
  <c r="W21" i="5"/>
  <c r="W404" i="5"/>
  <c r="W380" i="5"/>
  <c r="W356" i="5"/>
  <c r="W332" i="5"/>
  <c r="W308" i="5"/>
  <c r="W284" i="5"/>
  <c r="W260" i="5"/>
  <c r="W236" i="5"/>
  <c r="W212" i="5"/>
  <c r="W188" i="5"/>
  <c r="W164" i="5"/>
  <c r="W140" i="5"/>
  <c r="W116" i="5"/>
  <c r="W92" i="5"/>
  <c r="W68" i="5"/>
  <c r="W44" i="5"/>
  <c r="W20" i="5"/>
  <c r="W409" i="5"/>
  <c r="W375" i="5"/>
  <c r="W346" i="5"/>
  <c r="W317" i="5"/>
  <c r="W283" i="5"/>
  <c r="W254" i="5"/>
  <c r="W225" i="5"/>
  <c r="W196" i="5"/>
  <c r="W162" i="5"/>
  <c r="W133" i="5"/>
  <c r="W104" i="5"/>
  <c r="W75" i="5"/>
  <c r="W41" i="5"/>
  <c r="W12" i="5"/>
  <c r="W403" i="5"/>
  <c r="W374" i="5"/>
  <c r="W345" i="5"/>
  <c r="W316" i="5"/>
  <c r="W282" i="5"/>
  <c r="W253" i="5"/>
  <c r="W224" i="5"/>
  <c r="W195" i="5"/>
  <c r="W161" i="5"/>
  <c r="W132" i="5"/>
  <c r="W103" i="5"/>
  <c r="W74" i="5"/>
  <c r="W40" i="5"/>
  <c r="W11" i="5"/>
  <c r="W9" i="5"/>
  <c r="W400" i="5"/>
  <c r="W342" i="5"/>
  <c r="W313" i="5"/>
  <c r="W279" i="5"/>
  <c r="W221" i="5"/>
  <c r="W187" i="5"/>
  <c r="W129" i="5"/>
  <c r="W66" i="5"/>
  <c r="W8" i="5"/>
  <c r="W370" i="5"/>
  <c r="W307" i="5"/>
  <c r="W249" i="5"/>
  <c r="W186" i="5"/>
  <c r="W128" i="5"/>
  <c r="W65" i="5"/>
  <c r="W7" i="5"/>
  <c r="W369" i="5"/>
  <c r="W340" i="5"/>
  <c r="W277" i="5"/>
  <c r="W248" i="5"/>
  <c r="W185" i="5"/>
  <c r="W127" i="5"/>
  <c r="W64" i="5"/>
  <c r="W6" i="5"/>
  <c r="W368" i="5"/>
  <c r="W305" i="5"/>
  <c r="W247" i="5"/>
  <c r="W184" i="5"/>
  <c r="W126" i="5"/>
  <c r="W63" i="5"/>
  <c r="W367" i="5"/>
  <c r="W246" i="5"/>
  <c r="W183" i="5"/>
  <c r="W125" i="5"/>
  <c r="W62" i="5"/>
  <c r="W366" i="5"/>
  <c r="W303" i="5"/>
  <c r="W245" i="5"/>
  <c r="W211" i="5"/>
  <c r="W182" i="5"/>
  <c r="W124" i="5"/>
  <c r="W90" i="5"/>
  <c r="W32" i="5"/>
  <c r="W365" i="5"/>
  <c r="W210" i="5"/>
  <c r="W123" i="5"/>
  <c r="W60" i="5"/>
  <c r="W364" i="5"/>
  <c r="W330" i="5"/>
  <c r="W272" i="5"/>
  <c r="W209" i="5"/>
  <c r="W151" i="5"/>
  <c r="W88" i="5"/>
  <c r="W30" i="5"/>
  <c r="W392" i="5"/>
  <c r="W329" i="5"/>
  <c r="W402" i="5"/>
  <c r="W373" i="5"/>
  <c r="W344" i="5"/>
  <c r="W315" i="5"/>
  <c r="W281" i="5"/>
  <c r="W252" i="5"/>
  <c r="W223" i="5"/>
  <c r="W194" i="5"/>
  <c r="W160" i="5"/>
  <c r="W131" i="5"/>
  <c r="W102" i="5"/>
  <c r="W73" i="5"/>
  <c r="W39" i="5"/>
  <c r="W10" i="5"/>
  <c r="W401" i="5"/>
  <c r="W372" i="5"/>
  <c r="W343" i="5"/>
  <c r="W314" i="5"/>
  <c r="W280" i="5"/>
  <c r="W251" i="5"/>
  <c r="W222" i="5"/>
  <c r="W193" i="5"/>
  <c r="W159" i="5"/>
  <c r="W130" i="5"/>
  <c r="W101" i="5"/>
  <c r="W67" i="5"/>
  <c r="W38" i="5"/>
  <c r="W371" i="5"/>
  <c r="W250" i="5"/>
  <c r="W158" i="5"/>
  <c r="W100" i="5"/>
  <c r="W37" i="5"/>
  <c r="W399" i="5"/>
  <c r="W341" i="5"/>
  <c r="W278" i="5"/>
  <c r="W220" i="5"/>
  <c r="W157" i="5"/>
  <c r="W99" i="5"/>
  <c r="W36" i="5"/>
  <c r="W398" i="5"/>
  <c r="W306" i="5"/>
  <c r="W219" i="5"/>
  <c r="W156" i="5"/>
  <c r="W98" i="5"/>
  <c r="W35" i="5"/>
  <c r="W397" i="5"/>
  <c r="W339" i="5"/>
  <c r="W276" i="5"/>
  <c r="W218" i="5"/>
  <c r="W155" i="5"/>
  <c r="W97" i="5"/>
  <c r="W34" i="5"/>
  <c r="W396" i="5"/>
  <c r="W338" i="5"/>
  <c r="W275" i="5"/>
  <c r="W217" i="5"/>
  <c r="W154" i="5"/>
  <c r="W91" i="5"/>
  <c r="W33" i="5"/>
  <c r="W395" i="5"/>
  <c r="W337" i="5"/>
  <c r="W274" i="5"/>
  <c r="W153" i="5"/>
  <c r="W61" i="5"/>
  <c r="W394" i="5"/>
  <c r="W331" i="5"/>
  <c r="W302" i="5"/>
  <c r="W273" i="5"/>
  <c r="W244" i="5"/>
  <c r="W181" i="5"/>
  <c r="W152" i="5"/>
  <c r="W89" i="5"/>
  <c r="W31" i="5"/>
  <c r="W393" i="5"/>
  <c r="W301" i="5"/>
  <c r="W243" i="5"/>
  <c r="W180" i="5"/>
  <c r="W122" i="5"/>
  <c r="W59" i="5"/>
  <c r="W363" i="5"/>
  <c r="W271" i="5"/>
  <c r="W304" i="5"/>
  <c r="W391" i="5"/>
  <c r="W43" i="5"/>
  <c r="W106" i="5"/>
  <c r="W169" i="5"/>
  <c r="W227" i="5"/>
  <c r="W291" i="5"/>
  <c r="W350" i="5"/>
  <c r="W49" i="5"/>
  <c r="W170" i="5"/>
  <c r="W351" i="5"/>
  <c r="W108" i="5"/>
  <c r="W229" i="5"/>
  <c r="W352" i="5"/>
  <c r="W51" i="5"/>
  <c r="W172" i="5"/>
  <c r="W230" i="5"/>
  <c r="W353" i="5"/>
  <c r="W52" i="5"/>
  <c r="W173" i="5"/>
  <c r="W295" i="5"/>
  <c r="W111" i="5"/>
  <c r="W232" i="5"/>
  <c r="W296" i="5"/>
  <c r="W112" i="5"/>
  <c r="W361" i="5"/>
  <c r="W113" i="5"/>
  <c r="W176" i="5"/>
  <c r="W234" i="5"/>
  <c r="W362" i="5"/>
  <c r="W56" i="5"/>
  <c r="W114" i="5"/>
  <c r="W177" i="5"/>
  <c r="W299" i="5"/>
  <c r="W376" i="5"/>
  <c r="W57" i="5"/>
  <c r="W121" i="5"/>
  <c r="W242" i="5"/>
  <c r="W318" i="5"/>
  <c r="W13" i="5"/>
  <c r="W134" i="5"/>
  <c r="W255" i="5"/>
  <c r="W379" i="5"/>
  <c r="W77" i="5"/>
  <c r="W198" i="5"/>
  <c r="W385" i="5"/>
  <c r="W15" i="5"/>
  <c r="W136" i="5"/>
  <c r="W321" i="5"/>
  <c r="W16" i="5"/>
  <c r="W79" i="5"/>
  <c r="W200" i="5"/>
  <c r="W258" i="5"/>
  <c r="W387" i="5"/>
  <c r="W80" i="5"/>
  <c r="W201" i="5"/>
  <c r="W323" i="5"/>
  <c r="W18" i="5"/>
  <c r="W81" i="5"/>
  <c r="W139" i="5"/>
  <c r="W202" i="5"/>
  <c r="W265" i="5"/>
  <c r="W324" i="5"/>
  <c r="W389" i="5"/>
  <c r="W19" i="5"/>
  <c r="W82" i="5"/>
  <c r="W145" i="5"/>
  <c r="W203" i="5"/>
  <c r="W266" i="5"/>
  <c r="W325" i="5"/>
  <c r="W390" i="5"/>
  <c r="Y4" i="5" l="1"/>
  <c r="Y3" i="5"/>
  <c r="U12" i="5"/>
  <c r="U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ACF467-4DD8-41E6-88F9-9666E382FC13}" keepAlive="1" name="Query - Document" description="Connection to the 'Document' query in the workbook." type="5" refreshedVersion="0" background="1">
    <dbPr connection="Provider=Microsoft.Mashup.OleDb.1;Data Source=$Workbook$;Location=Document;Extended Properties=&quot;&quot;" command="SELECT * FROM [Document]"/>
  </connection>
</connections>
</file>

<file path=xl/sharedStrings.xml><?xml version="1.0" encoding="utf-8"?>
<sst xmlns="http://schemas.openxmlformats.org/spreadsheetml/2006/main" count="63" uniqueCount="62">
  <si>
    <t>Makro-Sheet</t>
  </si>
  <si>
    <t>Mean</t>
  </si>
  <si>
    <t>Standard.Dev (S)</t>
  </si>
  <si>
    <t>Standard.Dev (P)</t>
  </si>
  <si>
    <t xml:space="preserve">Monte Carl Sim </t>
  </si>
  <si>
    <t>Median</t>
  </si>
  <si>
    <t xml:space="preserve">Hisotical S&amp;P 500 Returns </t>
  </si>
  <si>
    <t>S&amp;P500</t>
  </si>
  <si>
    <t>NASDAQ</t>
  </si>
  <si>
    <t>DAX</t>
  </si>
  <si>
    <t>DOW Jones</t>
  </si>
  <si>
    <t>Russel 2000</t>
  </si>
  <si>
    <t>CAC40</t>
  </si>
  <si>
    <t>FTSE MIB</t>
  </si>
  <si>
    <t>IBEX 35</t>
  </si>
  <si>
    <t xml:space="preserve">Swiss Market Index </t>
  </si>
  <si>
    <t>Max</t>
  </si>
  <si>
    <t>Min</t>
  </si>
  <si>
    <t>1 Sigma low</t>
  </si>
  <si>
    <t>1 Sigma high</t>
  </si>
  <si>
    <t>2 Sigma low</t>
  </si>
  <si>
    <t>2 Sigma high</t>
  </si>
  <si>
    <t>3 Sigma low</t>
  </si>
  <si>
    <t>3 Sigma high</t>
  </si>
  <si>
    <t>Hisotical S&amp;P 500 Returns YoY</t>
  </si>
  <si>
    <t>Stock Indices</t>
  </si>
  <si>
    <t>APAC</t>
  </si>
  <si>
    <t>Europe</t>
  </si>
  <si>
    <t>Americas</t>
  </si>
  <si>
    <t>S&amp;P/TSX Composite index</t>
  </si>
  <si>
    <t>Mexico S&amp;P/BMV IPC</t>
  </si>
  <si>
    <t>Sao Paulo Bovespa Index</t>
  </si>
  <si>
    <t>S&amp;P MERVAL</t>
  </si>
  <si>
    <t>Nikke 225</t>
  </si>
  <si>
    <t>Hang Seng Index</t>
  </si>
  <si>
    <t>Shanghai Composite</t>
  </si>
  <si>
    <t>Taiwan Weighted Index</t>
  </si>
  <si>
    <t>KOSPI</t>
  </si>
  <si>
    <t>FTSE Straits Times Index</t>
  </si>
  <si>
    <t>ASX200</t>
  </si>
  <si>
    <t>Commodities</t>
  </si>
  <si>
    <t>Brent Crude Oil</t>
  </si>
  <si>
    <t>VIX</t>
  </si>
  <si>
    <t>BTC</t>
  </si>
  <si>
    <t>ETH</t>
  </si>
  <si>
    <t>Gold</t>
  </si>
  <si>
    <t>Silver</t>
  </si>
  <si>
    <t>Copper</t>
  </si>
  <si>
    <t xml:space="preserve">Uranium </t>
  </si>
  <si>
    <t>WTI Crude Oil</t>
  </si>
  <si>
    <t>Natural Gas</t>
  </si>
  <si>
    <t>RBOB</t>
  </si>
  <si>
    <t>Baltic Dry Index</t>
  </si>
  <si>
    <t>Lumber</t>
  </si>
  <si>
    <t>Aluminium</t>
  </si>
  <si>
    <t>Iron Ore</t>
  </si>
  <si>
    <t>Coffee</t>
  </si>
  <si>
    <t>Cocoa</t>
  </si>
  <si>
    <t>Cotton</t>
  </si>
  <si>
    <t>Wheat</t>
  </si>
  <si>
    <t>Corn</t>
  </si>
  <si>
    <t>Soyabean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</si>
</sst>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9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19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19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19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19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19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1">
    <xf numFmtId="0" fontId="0" fillId="0" borderId="0" xfId="0"/>
    <xf numFmtId="0" fontId="3" fillId="0" borderId="0" xfId="0" applyFont="1"/>
    <xf numFmtId="9" fontId="0" fillId="0" borderId="0" xfId="1" applyFont="1"/>
    <xf numFmtId="0" fontId="2" fillId="0" borderId="0" xfId="0" applyFont="1"/>
    <xf numFmtId="0" fontId="20" fillId="0" borderId="0" xfId="0" applyFont="1"/>
    <xf numFmtId="0" fontId="21" fillId="0" borderId="0" xfId="0" applyFont="1"/>
    <xf numFmtId="164" fontId="2" fillId="0" borderId="0" xfId="0" applyNumberFormat="1" applyFont="1"/>
    <xf numFmtId="9" fontId="2" fillId="0" borderId="0" xfId="1" applyFont="1"/>
    <xf numFmtId="164" fontId="2" fillId="0" borderId="0" xfId="1" applyNumberFormat="1" applyFont="1"/>
    <xf numFmtId="0" fontId="22" fillId="0" borderId="0" xfId="0" applyFont="1"/>
    <xf numFmtId="0" fontId="1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 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Distribution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'S&amp;P'!$W$512:$W$1516</c:f>
              <c:numCache>
                <c:formatCode>0%</c:formatCode>
                <c:ptCount val="1005"/>
                <c:pt idx="0">
                  <c:v>0.25653893196139765</c:v>
                </c:pt>
                <c:pt idx="1">
                  <c:v>0.15003191193532994</c:v>
                </c:pt>
                <c:pt idx="2">
                  <c:v>4.0099416496491486E-2</c:v>
                </c:pt>
                <c:pt idx="3">
                  <c:v>0.19108975374563666</c:v>
                </c:pt>
                <c:pt idx="4">
                  <c:v>0.3679961954532715</c:v>
                </c:pt>
                <c:pt idx="5">
                  <c:v>0.35095118685538274</c:v>
                </c:pt>
                <c:pt idx="6">
                  <c:v>8.702721550100824E-2</c:v>
                </c:pt>
                <c:pt idx="7">
                  <c:v>-2.5874495403553258E-2</c:v>
                </c:pt>
                <c:pt idx="8">
                  <c:v>0.27409447810293591</c:v>
                </c:pt>
                <c:pt idx="9">
                  <c:v>0.16340435891523805</c:v>
                </c:pt>
                <c:pt idx="10">
                  <c:v>0.13551545516906768</c:v>
                </c:pt>
                <c:pt idx="11">
                  <c:v>0.35066629842780689</c:v>
                </c:pt>
                <c:pt idx="12">
                  <c:v>0.2192138516533155</c:v>
                </c:pt>
                <c:pt idx="13">
                  <c:v>0.26648396989707546</c:v>
                </c:pt>
                <c:pt idx="14">
                  <c:v>0.14658791014382355</c:v>
                </c:pt>
                <c:pt idx="15">
                  <c:v>0.12035874047308982</c:v>
                </c:pt>
                <c:pt idx="16">
                  <c:v>-7.2127910797775599E-2</c:v>
                </c:pt>
                <c:pt idx="17">
                  <c:v>0.20108444330108771</c:v>
                </c:pt>
                <c:pt idx="18">
                  <c:v>-6.4738042614015667E-3</c:v>
                </c:pt>
                <c:pt idx="19">
                  <c:v>2.8545591769948697E-2</c:v>
                </c:pt>
                <c:pt idx="20">
                  <c:v>2.2912430296014169E-3</c:v>
                </c:pt>
                <c:pt idx="21">
                  <c:v>-0.22128855539736098</c:v>
                </c:pt>
                <c:pt idx="22">
                  <c:v>7.1537748605347895E-2</c:v>
                </c:pt>
                <c:pt idx="23">
                  <c:v>0.21840318671442621</c:v>
                </c:pt>
                <c:pt idx="24">
                  <c:v>3.0276914519783205E-2</c:v>
                </c:pt>
                <c:pt idx="25">
                  <c:v>7.1203081417982719E-2</c:v>
                </c:pt>
                <c:pt idx="26">
                  <c:v>0.17089492864351183</c:v>
                </c:pt>
                <c:pt idx="27">
                  <c:v>-5.6890880646336198E-2</c:v>
                </c:pt>
                <c:pt idx="28">
                  <c:v>0.27278505236829848</c:v>
                </c:pt>
                <c:pt idx="29">
                  <c:v>0.11813019871990878</c:v>
                </c:pt>
                <c:pt idx="30">
                  <c:v>0.22087433961620676</c:v>
                </c:pt>
                <c:pt idx="31">
                  <c:v>-0.2420888706141815</c:v>
                </c:pt>
                <c:pt idx="32">
                  <c:v>0.22361742314650657</c:v>
                </c:pt>
                <c:pt idx="33">
                  <c:v>0.10446747127505182</c:v>
                </c:pt>
                <c:pt idx="34">
                  <c:v>0.10330882078092793</c:v>
                </c:pt>
                <c:pt idx="35">
                  <c:v>0.20235630995589587</c:v>
                </c:pt>
                <c:pt idx="36">
                  <c:v>0.48941932853093323</c:v>
                </c:pt>
                <c:pt idx="37">
                  <c:v>-0.11013349374412774</c:v>
                </c:pt>
                <c:pt idx="38">
                  <c:v>0.18410938725358403</c:v>
                </c:pt>
                <c:pt idx="39">
                  <c:v>-3.0299725896223026E-2</c:v>
                </c:pt>
                <c:pt idx="40">
                  <c:v>0.42751312630547378</c:v>
                </c:pt>
                <c:pt idx="41">
                  <c:v>0.33321125510378813</c:v>
                </c:pt>
                <c:pt idx="42">
                  <c:v>0.26576295118075649</c:v>
                </c:pt>
                <c:pt idx="43">
                  <c:v>5.8337662061596719E-2</c:v>
                </c:pt>
                <c:pt idx="44">
                  <c:v>0.27922092596262543</c:v>
                </c:pt>
                <c:pt idx="45">
                  <c:v>7.1807087608235495E-2</c:v>
                </c:pt>
                <c:pt idx="46">
                  <c:v>0.25151386767758349</c:v>
                </c:pt>
                <c:pt idx="47">
                  <c:v>-0.14258862837901604</c:v>
                </c:pt>
                <c:pt idx="48">
                  <c:v>0.1561113754368556</c:v>
                </c:pt>
                <c:pt idx="49">
                  <c:v>-0.10035937456254528</c:v>
                </c:pt>
                <c:pt idx="50">
                  <c:v>0.31242833642099976</c:v>
                </c:pt>
                <c:pt idx="51">
                  <c:v>0.32731605062132779</c:v>
                </c:pt>
                <c:pt idx="52">
                  <c:v>-6.925779423878177E-2</c:v>
                </c:pt>
                <c:pt idx="53">
                  <c:v>0.3343290369666202</c:v>
                </c:pt>
                <c:pt idx="54">
                  <c:v>0.11035880719254201</c:v>
                </c:pt>
                <c:pt idx="55">
                  <c:v>0.13505645559902729</c:v>
                </c:pt>
                <c:pt idx="56">
                  <c:v>-8.0375287611566773E-2</c:v>
                </c:pt>
                <c:pt idx="57">
                  <c:v>8.6965491327305897E-2</c:v>
                </c:pt>
                <c:pt idx="58">
                  <c:v>5.2236903523520353E-2</c:v>
                </c:pt>
                <c:pt idx="59">
                  <c:v>4.3437864653030234E-2</c:v>
                </c:pt>
                <c:pt idx="60">
                  <c:v>-0.19178447721725722</c:v>
                </c:pt>
                <c:pt idx="61">
                  <c:v>5.8265149337386607E-3</c:v>
                </c:pt>
                <c:pt idx="62">
                  <c:v>0.12232695967543716</c:v>
                </c:pt>
                <c:pt idx="63">
                  <c:v>0.27226455971102043</c:v>
                </c:pt>
                <c:pt idx="64">
                  <c:v>0.40629256279464815</c:v>
                </c:pt>
                <c:pt idx="65">
                  <c:v>-0.11157679774697286</c:v>
                </c:pt>
                <c:pt idx="66">
                  <c:v>7.1333012110700311E-2</c:v>
                </c:pt>
                <c:pt idx="67">
                  <c:v>7.595345858297721E-2</c:v>
                </c:pt>
                <c:pt idx="68">
                  <c:v>0.11644172539666113</c:v>
                </c:pt>
                <c:pt idx="69">
                  <c:v>6.6715087170103507E-2</c:v>
                </c:pt>
                <c:pt idx="70">
                  <c:v>0.31293212943144572</c:v>
                </c:pt>
                <c:pt idx="71">
                  <c:v>5.8491744164722907E-2</c:v>
                </c:pt>
                <c:pt idx="72">
                  <c:v>0.10112437209417136</c:v>
                </c:pt>
                <c:pt idx="73">
                  <c:v>0.16448029608427017</c:v>
                </c:pt>
                <c:pt idx="74">
                  <c:v>0.25986646000193414</c:v>
                </c:pt>
                <c:pt idx="75">
                  <c:v>-6.2919602308645767E-3</c:v>
                </c:pt>
                <c:pt idx="76">
                  <c:v>6.2249433792466453E-2</c:v>
                </c:pt>
                <c:pt idx="77">
                  <c:v>7.6753099795082436E-2</c:v>
                </c:pt>
                <c:pt idx="78">
                  <c:v>0.24935321066766059</c:v>
                </c:pt>
                <c:pt idx="79">
                  <c:v>0.33224148950073784</c:v>
                </c:pt>
                <c:pt idx="80">
                  <c:v>0.43978221505457848</c:v>
                </c:pt>
                <c:pt idx="81">
                  <c:v>0.4396076247750918</c:v>
                </c:pt>
                <c:pt idx="82">
                  <c:v>-1.6995165433139128E-2</c:v>
                </c:pt>
                <c:pt idx="83">
                  <c:v>0.10009853854709046</c:v>
                </c:pt>
                <c:pt idx="84">
                  <c:v>0.38398567338852269</c:v>
                </c:pt>
                <c:pt idx="85">
                  <c:v>-0.11911281761757657</c:v>
                </c:pt>
                <c:pt idx="86">
                  <c:v>1.7908362975874698E-2</c:v>
                </c:pt>
                <c:pt idx="87">
                  <c:v>2.4361999109065141E-2</c:v>
                </c:pt>
                <c:pt idx="88">
                  <c:v>3.4342581646335663E-2</c:v>
                </c:pt>
                <c:pt idx="89">
                  <c:v>1.836031051495271E-2</c:v>
                </c:pt>
                <c:pt idx="90">
                  <c:v>-0.10648443853052737</c:v>
                </c:pt>
                <c:pt idx="91">
                  <c:v>4.8484332872281891E-2</c:v>
                </c:pt>
                <c:pt idx="92">
                  <c:v>0.16096197154364403</c:v>
                </c:pt>
                <c:pt idx="93">
                  <c:v>0.14435758280688893</c:v>
                </c:pt>
                <c:pt idx="94">
                  <c:v>-7.0093413949460087E-3</c:v>
                </c:pt>
                <c:pt idx="95">
                  <c:v>9.1574167382775698E-2</c:v>
                </c:pt>
                <c:pt idx="96">
                  <c:v>0.14193710872296184</c:v>
                </c:pt>
                <c:pt idx="97">
                  <c:v>-0.1605119566538486</c:v>
                </c:pt>
                <c:pt idx="98">
                  <c:v>0.25449787892344405</c:v>
                </c:pt>
                <c:pt idx="99">
                  <c:v>0.11710504676905148</c:v>
                </c:pt>
                <c:pt idx="100">
                  <c:v>-2.5940815726601854E-2</c:v>
                </c:pt>
                <c:pt idx="101">
                  <c:v>0.30145906439426501</c:v>
                </c:pt>
                <c:pt idx="102">
                  <c:v>0.1756197055673695</c:v>
                </c:pt>
                <c:pt idx="103">
                  <c:v>0.13799133157105278</c:v>
                </c:pt>
                <c:pt idx="104">
                  <c:v>0.16669715453201731</c:v>
                </c:pt>
                <c:pt idx="105">
                  <c:v>5.5847903493695623E-2</c:v>
                </c:pt>
                <c:pt idx="106">
                  <c:v>0.12068406385628765</c:v>
                </c:pt>
                <c:pt idx="107">
                  <c:v>1.4230647325482418E-2</c:v>
                </c:pt>
                <c:pt idx="108">
                  <c:v>0.32863569889851829</c:v>
                </c:pt>
                <c:pt idx="109">
                  <c:v>-5.2895128803038399E-3</c:v>
                </c:pt>
                <c:pt idx="110">
                  <c:v>5.140966457989754E-2</c:v>
                </c:pt>
                <c:pt idx="111">
                  <c:v>0.15350036707162071</c:v>
                </c:pt>
                <c:pt idx="112">
                  <c:v>0.35697941616747686</c:v>
                </c:pt>
                <c:pt idx="113">
                  <c:v>-0.19998783583725338</c:v>
                </c:pt>
                <c:pt idx="114">
                  <c:v>0.14850561725285344</c:v>
                </c:pt>
                <c:pt idx="115">
                  <c:v>0.33128177228422739</c:v>
                </c:pt>
                <c:pt idx="116">
                  <c:v>0.24154628129237926</c:v>
                </c:pt>
                <c:pt idx="117">
                  <c:v>8.9386827584106585E-2</c:v>
                </c:pt>
                <c:pt idx="118">
                  <c:v>0.22182074692419701</c:v>
                </c:pt>
                <c:pt idx="119">
                  <c:v>0.12384242901558075</c:v>
                </c:pt>
                <c:pt idx="120">
                  <c:v>0.12709415336377677</c:v>
                </c:pt>
                <c:pt idx="121">
                  <c:v>-1.3517603960819233E-2</c:v>
                </c:pt>
                <c:pt idx="122">
                  <c:v>-5.0206516958848271E-2</c:v>
                </c:pt>
                <c:pt idx="123">
                  <c:v>0.15443482086802571</c:v>
                </c:pt>
                <c:pt idx="124">
                  <c:v>0.25202809625815475</c:v>
                </c:pt>
                <c:pt idx="125">
                  <c:v>0.15562494458933684</c:v>
                </c:pt>
                <c:pt idx="126">
                  <c:v>0.11061666950122143</c:v>
                </c:pt>
                <c:pt idx="127">
                  <c:v>0.31635779717020718</c:v>
                </c:pt>
                <c:pt idx="128">
                  <c:v>-7.4523805955976033E-2</c:v>
                </c:pt>
                <c:pt idx="129">
                  <c:v>6.1495276283142088E-2</c:v>
                </c:pt>
                <c:pt idx="130">
                  <c:v>0.17540639957475829</c:v>
                </c:pt>
                <c:pt idx="131">
                  <c:v>-0.37543063119032899</c:v>
                </c:pt>
                <c:pt idx="132">
                  <c:v>0.10777080433398373</c:v>
                </c:pt>
                <c:pt idx="133">
                  <c:v>0.10710638168480341</c:v>
                </c:pt>
                <c:pt idx="134">
                  <c:v>0.27920514695027121</c:v>
                </c:pt>
                <c:pt idx="135">
                  <c:v>0.39310953227776507</c:v>
                </c:pt>
                <c:pt idx="136">
                  <c:v>0.12355227841344447</c:v>
                </c:pt>
                <c:pt idx="137">
                  <c:v>0.21732084824397169</c:v>
                </c:pt>
                <c:pt idx="138">
                  <c:v>0.1106124326245065</c:v>
                </c:pt>
                <c:pt idx="139">
                  <c:v>0.30635205780115887</c:v>
                </c:pt>
                <c:pt idx="140">
                  <c:v>0.24768620246171019</c:v>
                </c:pt>
                <c:pt idx="141">
                  <c:v>0.48105359025715838</c:v>
                </c:pt>
                <c:pt idx="142">
                  <c:v>-0.23691439356218136</c:v>
                </c:pt>
                <c:pt idx="143">
                  <c:v>1.6667779838146601E-2</c:v>
                </c:pt>
                <c:pt idx="144">
                  <c:v>-0.20450861034024598</c:v>
                </c:pt>
                <c:pt idx="145">
                  <c:v>0.28569848428115396</c:v>
                </c:pt>
                <c:pt idx="146">
                  <c:v>0.15779221368417373</c:v>
                </c:pt>
                <c:pt idx="147">
                  <c:v>9.5961958108893422E-2</c:v>
                </c:pt>
                <c:pt idx="148">
                  <c:v>0.20887099853396821</c:v>
                </c:pt>
                <c:pt idx="149">
                  <c:v>0.32800809822130889</c:v>
                </c:pt>
                <c:pt idx="150">
                  <c:v>0.34907364643590866</c:v>
                </c:pt>
                <c:pt idx="151">
                  <c:v>0.13523946032935491</c:v>
                </c:pt>
                <c:pt idx="152">
                  <c:v>0.12466125990456374</c:v>
                </c:pt>
                <c:pt idx="153">
                  <c:v>0.1660972268141101</c:v>
                </c:pt>
                <c:pt idx="154">
                  <c:v>5.1601376557764048E-2</c:v>
                </c:pt>
                <c:pt idx="155">
                  <c:v>0.15525148422033422</c:v>
                </c:pt>
                <c:pt idx="156">
                  <c:v>0.34203716070570139</c:v>
                </c:pt>
                <c:pt idx="157">
                  <c:v>-1.0358517635563128E-2</c:v>
                </c:pt>
                <c:pt idx="158">
                  <c:v>-0.14537193555549632</c:v>
                </c:pt>
                <c:pt idx="159">
                  <c:v>0.12815167609862629</c:v>
                </c:pt>
                <c:pt idx="160">
                  <c:v>0.17235819814516395</c:v>
                </c:pt>
                <c:pt idx="161">
                  <c:v>-0.39745586306290359</c:v>
                </c:pt>
                <c:pt idx="162">
                  <c:v>0.14456771153081074</c:v>
                </c:pt>
                <c:pt idx="163">
                  <c:v>0.2899327573014947</c:v>
                </c:pt>
                <c:pt idx="164">
                  <c:v>0.11197999674248407</c:v>
                </c:pt>
                <c:pt idx="165">
                  <c:v>6.7754708051186233E-2</c:v>
                </c:pt>
                <c:pt idx="166">
                  <c:v>0.17635534492607913</c:v>
                </c:pt>
                <c:pt idx="167">
                  <c:v>0.55813858471723632</c:v>
                </c:pt>
                <c:pt idx="168">
                  <c:v>3.5991867301214578E-2</c:v>
                </c:pt>
                <c:pt idx="169">
                  <c:v>0.26292290309340161</c:v>
                </c:pt>
                <c:pt idx="170">
                  <c:v>3.4571428459818518E-2</c:v>
                </c:pt>
                <c:pt idx="171">
                  <c:v>2.235617441407052E-2</c:v>
                </c:pt>
                <c:pt idx="172">
                  <c:v>0.35196504419141805</c:v>
                </c:pt>
                <c:pt idx="173">
                  <c:v>8.1114981680073389E-2</c:v>
                </c:pt>
                <c:pt idx="174">
                  <c:v>0.1410199973368968</c:v>
                </c:pt>
                <c:pt idx="175">
                  <c:v>0.40129336661877768</c:v>
                </c:pt>
                <c:pt idx="176">
                  <c:v>0.25356487684329154</c:v>
                </c:pt>
                <c:pt idx="177">
                  <c:v>0.15884208705806563</c:v>
                </c:pt>
                <c:pt idx="178">
                  <c:v>0.38270777014919227</c:v>
                </c:pt>
                <c:pt idx="179">
                  <c:v>-0.13162720389971316</c:v>
                </c:pt>
                <c:pt idx="180">
                  <c:v>0.27582883988068035</c:v>
                </c:pt>
                <c:pt idx="181">
                  <c:v>0.19786896603240683</c:v>
                </c:pt>
                <c:pt idx="182">
                  <c:v>0.143000795404364</c:v>
                </c:pt>
                <c:pt idx="183">
                  <c:v>0.30530695215142334</c:v>
                </c:pt>
                <c:pt idx="184">
                  <c:v>-8.5245826738002864E-2</c:v>
                </c:pt>
                <c:pt idx="185">
                  <c:v>6.7287160361574699E-2</c:v>
                </c:pt>
                <c:pt idx="186">
                  <c:v>1.2948915242724623E-2</c:v>
                </c:pt>
                <c:pt idx="187">
                  <c:v>7.0699104992484496E-2</c:v>
                </c:pt>
                <c:pt idx="188">
                  <c:v>0.11003538211752641</c:v>
                </c:pt>
                <c:pt idx="189">
                  <c:v>-0.29954089983937593</c:v>
                </c:pt>
                <c:pt idx="190">
                  <c:v>0.13771845276462041</c:v>
                </c:pt>
                <c:pt idx="191">
                  <c:v>-5.2151798276933017E-2</c:v>
                </c:pt>
                <c:pt idx="192">
                  <c:v>2.5004179285382636E-2</c:v>
                </c:pt>
                <c:pt idx="193">
                  <c:v>0.2992929517505174</c:v>
                </c:pt>
                <c:pt idx="194">
                  <c:v>0.11651688234229317</c:v>
                </c:pt>
                <c:pt idx="195">
                  <c:v>-9.9205964096501328E-2</c:v>
                </c:pt>
                <c:pt idx="196">
                  <c:v>-0.13592715401204941</c:v>
                </c:pt>
                <c:pt idx="197">
                  <c:v>-4.3539359266917418E-2</c:v>
                </c:pt>
                <c:pt idx="198">
                  <c:v>0.22260657681042334</c:v>
                </c:pt>
                <c:pt idx="199">
                  <c:v>0.1322373972844203</c:v>
                </c:pt>
                <c:pt idx="200">
                  <c:v>-0.26113416324683991</c:v>
                </c:pt>
                <c:pt idx="201">
                  <c:v>-7.3315448209796533E-2</c:v>
                </c:pt>
                <c:pt idx="202">
                  <c:v>-2.7036717518241424E-2</c:v>
                </c:pt>
                <c:pt idx="203">
                  <c:v>0.1937106018721293</c:v>
                </c:pt>
                <c:pt idx="204">
                  <c:v>-4.2468331664713005E-3</c:v>
                </c:pt>
                <c:pt idx="205">
                  <c:v>0.25232216753519626</c:v>
                </c:pt>
                <c:pt idx="206">
                  <c:v>0.1909352481892132</c:v>
                </c:pt>
                <c:pt idx="207">
                  <c:v>0.15768924033190296</c:v>
                </c:pt>
                <c:pt idx="208">
                  <c:v>9.2765145976336033E-2</c:v>
                </c:pt>
                <c:pt idx="209">
                  <c:v>8.96282354854889E-2</c:v>
                </c:pt>
                <c:pt idx="210">
                  <c:v>-4.8288258984309287E-2</c:v>
                </c:pt>
                <c:pt idx="211">
                  <c:v>0.25438609369519916</c:v>
                </c:pt>
                <c:pt idx="212">
                  <c:v>0.30735850587337671</c:v>
                </c:pt>
                <c:pt idx="213">
                  <c:v>0.10155867644888635</c:v>
                </c:pt>
                <c:pt idx="214">
                  <c:v>0.2587282846164633</c:v>
                </c:pt>
                <c:pt idx="215">
                  <c:v>0.20351969429640721</c:v>
                </c:pt>
                <c:pt idx="216">
                  <c:v>-0.14571162979805774</c:v>
                </c:pt>
                <c:pt idx="217">
                  <c:v>-0.16628636830950594</c:v>
                </c:pt>
                <c:pt idx="218">
                  <c:v>-0.11816109152149505</c:v>
                </c:pt>
                <c:pt idx="219">
                  <c:v>0.18360443593555315</c:v>
                </c:pt>
                <c:pt idx="220">
                  <c:v>9.5666344060467395E-2</c:v>
                </c:pt>
                <c:pt idx="221">
                  <c:v>0.11988964932383159</c:v>
                </c:pt>
                <c:pt idx="222">
                  <c:v>0.24312927450216198</c:v>
                </c:pt>
                <c:pt idx="223">
                  <c:v>0.29202547631360104</c:v>
                </c:pt>
                <c:pt idx="224">
                  <c:v>0.16100466262867719</c:v>
                </c:pt>
                <c:pt idx="225">
                  <c:v>0.34235869774795774</c:v>
                </c:pt>
                <c:pt idx="226">
                  <c:v>0.30827487018285959</c:v>
                </c:pt>
                <c:pt idx="227">
                  <c:v>0.17891438047665109</c:v>
                </c:pt>
                <c:pt idx="228">
                  <c:v>0.13894912665946946</c:v>
                </c:pt>
                <c:pt idx="229">
                  <c:v>0.20151489041207538</c:v>
                </c:pt>
                <c:pt idx="230">
                  <c:v>0.25098762364824118</c:v>
                </c:pt>
                <c:pt idx="231">
                  <c:v>-0.12329197416272077</c:v>
                </c:pt>
                <c:pt idx="232">
                  <c:v>0.2246767980797155</c:v>
                </c:pt>
                <c:pt idx="233">
                  <c:v>0.15081268633607225</c:v>
                </c:pt>
                <c:pt idx="234">
                  <c:v>-0.19892556417574747</c:v>
                </c:pt>
                <c:pt idx="235">
                  <c:v>0.20520488476019527</c:v>
                </c:pt>
                <c:pt idx="236">
                  <c:v>5.4572638377250168E-2</c:v>
                </c:pt>
                <c:pt idx="237">
                  <c:v>-0.10857111957762756</c:v>
                </c:pt>
                <c:pt idx="238">
                  <c:v>0.27293421838757387</c:v>
                </c:pt>
                <c:pt idx="239">
                  <c:v>-7.1085189147357536E-3</c:v>
                </c:pt>
                <c:pt idx="240">
                  <c:v>0.23996184048156383</c:v>
                </c:pt>
                <c:pt idx="241">
                  <c:v>0.56559317157640376</c:v>
                </c:pt>
                <c:pt idx="242">
                  <c:v>-7.1613813770195447E-2</c:v>
                </c:pt>
                <c:pt idx="243">
                  <c:v>0.12968446249839105</c:v>
                </c:pt>
                <c:pt idx="244">
                  <c:v>1.5794750208125347E-2</c:v>
                </c:pt>
                <c:pt idx="245">
                  <c:v>-2.2970948993783533E-2</c:v>
                </c:pt>
                <c:pt idx="246">
                  <c:v>-6.7791822213327593E-2</c:v>
                </c:pt>
                <c:pt idx="247">
                  <c:v>0.25826484022177698</c:v>
                </c:pt>
                <c:pt idx="248">
                  <c:v>-0.22350820380962627</c:v>
                </c:pt>
                <c:pt idx="249">
                  <c:v>0.35736510831817142</c:v>
                </c:pt>
                <c:pt idx="250">
                  <c:v>-2.5538568834947636E-2</c:v>
                </c:pt>
                <c:pt idx="251">
                  <c:v>0.27388549493758896</c:v>
                </c:pt>
                <c:pt idx="252">
                  <c:v>9.6054817951808466E-2</c:v>
                </c:pt>
                <c:pt idx="253">
                  <c:v>0.42933298321832214</c:v>
                </c:pt>
                <c:pt idx="254">
                  <c:v>-0.17821204327557683</c:v>
                </c:pt>
                <c:pt idx="255">
                  <c:v>-3.2473718355305672E-2</c:v>
                </c:pt>
                <c:pt idx="256">
                  <c:v>-0.30232778461672655</c:v>
                </c:pt>
                <c:pt idx="257">
                  <c:v>9.2179312661902602E-2</c:v>
                </c:pt>
                <c:pt idx="258">
                  <c:v>-9.0060710614509973E-2</c:v>
                </c:pt>
                <c:pt idx="259">
                  <c:v>0.35416686084480276</c:v>
                </c:pt>
                <c:pt idx="260">
                  <c:v>4.9364212162315929E-2</c:v>
                </c:pt>
                <c:pt idx="261">
                  <c:v>-0.20683209264508667</c:v>
                </c:pt>
                <c:pt idx="262">
                  <c:v>0.1988695590071575</c:v>
                </c:pt>
                <c:pt idx="263">
                  <c:v>-0.14505837581849024</c:v>
                </c:pt>
                <c:pt idx="264">
                  <c:v>0.10729556207667397</c:v>
                </c:pt>
                <c:pt idx="265">
                  <c:v>0.16375404857183251</c:v>
                </c:pt>
                <c:pt idx="266">
                  <c:v>6.8655361672622373E-2</c:v>
                </c:pt>
                <c:pt idx="267">
                  <c:v>2.0706777885307365E-2</c:v>
                </c:pt>
                <c:pt idx="268">
                  <c:v>4.7512366886444279E-2</c:v>
                </c:pt>
                <c:pt idx="269">
                  <c:v>-0.107902539285906</c:v>
                </c:pt>
                <c:pt idx="270">
                  <c:v>0.24775198065809512</c:v>
                </c:pt>
                <c:pt idx="271">
                  <c:v>-0.16990983313177588</c:v>
                </c:pt>
                <c:pt idx="272">
                  <c:v>-7.9832703563304588E-2</c:v>
                </c:pt>
                <c:pt idx="273">
                  <c:v>-0.18615347050454401</c:v>
                </c:pt>
                <c:pt idx="274">
                  <c:v>-0.2217338643298975</c:v>
                </c:pt>
                <c:pt idx="275">
                  <c:v>0.2314128691983835</c:v>
                </c:pt>
                <c:pt idx="276">
                  <c:v>0.27727817110524317</c:v>
                </c:pt>
                <c:pt idx="277">
                  <c:v>1.7815894333499685E-2</c:v>
                </c:pt>
                <c:pt idx="278">
                  <c:v>0.31643346338969636</c:v>
                </c:pt>
                <c:pt idx="279">
                  <c:v>0.16798602200709967</c:v>
                </c:pt>
                <c:pt idx="280">
                  <c:v>-0.23327503865802113</c:v>
                </c:pt>
                <c:pt idx="281">
                  <c:v>0.21998327768827236</c:v>
                </c:pt>
                <c:pt idx="282">
                  <c:v>0.22517417841270185</c:v>
                </c:pt>
                <c:pt idx="283">
                  <c:v>-1.7603757589952918E-3</c:v>
                </c:pt>
                <c:pt idx="284">
                  <c:v>-6.9710839143420425E-2</c:v>
                </c:pt>
                <c:pt idx="285">
                  <c:v>-0.24382547512522806</c:v>
                </c:pt>
                <c:pt idx="286">
                  <c:v>-0.11864533778415333</c:v>
                </c:pt>
                <c:pt idx="287">
                  <c:v>0.21898644126376932</c:v>
                </c:pt>
                <c:pt idx="288">
                  <c:v>0.12268908287893879</c:v>
                </c:pt>
                <c:pt idx="289">
                  <c:v>-8.9150617504686766E-2</c:v>
                </c:pt>
                <c:pt idx="290">
                  <c:v>8.384711767106337E-2</c:v>
                </c:pt>
                <c:pt idx="291">
                  <c:v>0.44779245311414601</c:v>
                </c:pt>
                <c:pt idx="292">
                  <c:v>5.8409899994876037E-2</c:v>
                </c:pt>
                <c:pt idx="293">
                  <c:v>0.14097668344860512</c:v>
                </c:pt>
                <c:pt idx="294">
                  <c:v>9.3218960079963178E-2</c:v>
                </c:pt>
                <c:pt idx="295">
                  <c:v>0.26665214073093452</c:v>
                </c:pt>
                <c:pt idx="296">
                  <c:v>0.2214856728713126</c:v>
                </c:pt>
                <c:pt idx="297">
                  <c:v>0.3831154043261209</c:v>
                </c:pt>
                <c:pt idx="298">
                  <c:v>-0.27096088852523909</c:v>
                </c:pt>
                <c:pt idx="299">
                  <c:v>9.0668484815080344E-2</c:v>
                </c:pt>
                <c:pt idx="300">
                  <c:v>0.33788378294174931</c:v>
                </c:pt>
                <c:pt idx="301">
                  <c:v>-0.22313859552399223</c:v>
                </c:pt>
                <c:pt idx="302">
                  <c:v>7.7429501022971123E-2</c:v>
                </c:pt>
                <c:pt idx="303">
                  <c:v>0.11117680750985988</c:v>
                </c:pt>
                <c:pt idx="304">
                  <c:v>5.9037857258657546E-2</c:v>
                </c:pt>
                <c:pt idx="305">
                  <c:v>0.19772892429853511</c:v>
                </c:pt>
                <c:pt idx="306">
                  <c:v>0.39375291945548768</c:v>
                </c:pt>
                <c:pt idx="307">
                  <c:v>-1.459974050735062E-2</c:v>
                </c:pt>
                <c:pt idx="308">
                  <c:v>0.16323130281142284</c:v>
                </c:pt>
                <c:pt idx="309">
                  <c:v>-0.16654379039546297</c:v>
                </c:pt>
                <c:pt idx="310">
                  <c:v>0.23141627270893877</c:v>
                </c:pt>
                <c:pt idx="311">
                  <c:v>-1.8401430527721543E-2</c:v>
                </c:pt>
                <c:pt idx="312">
                  <c:v>0.15526935143348466</c:v>
                </c:pt>
                <c:pt idx="313">
                  <c:v>6.1643139855154065E-2</c:v>
                </c:pt>
                <c:pt idx="314">
                  <c:v>9.823940330870605E-2</c:v>
                </c:pt>
                <c:pt idx="315">
                  <c:v>1.3536715835263599E-2</c:v>
                </c:pt>
                <c:pt idx="316">
                  <c:v>0.19386868061048851</c:v>
                </c:pt>
                <c:pt idx="317">
                  <c:v>-5.5501293347056627E-2</c:v>
                </c:pt>
                <c:pt idx="318">
                  <c:v>0.50698243994539294</c:v>
                </c:pt>
                <c:pt idx="319">
                  <c:v>0.11629711647497155</c:v>
                </c:pt>
                <c:pt idx="320">
                  <c:v>-6.4122074169019327E-4</c:v>
                </c:pt>
                <c:pt idx="321">
                  <c:v>2.3053400383949374E-2</c:v>
                </c:pt>
                <c:pt idx="322">
                  <c:v>0.49838112369515936</c:v>
                </c:pt>
                <c:pt idx="323">
                  <c:v>0.11398634212167173</c:v>
                </c:pt>
                <c:pt idx="324">
                  <c:v>-0.11875492158626418</c:v>
                </c:pt>
                <c:pt idx="325">
                  <c:v>6.3579133885407368E-2</c:v>
                </c:pt>
                <c:pt idx="326">
                  <c:v>0.1969535303158674</c:v>
                </c:pt>
                <c:pt idx="327">
                  <c:v>0.13346485520967752</c:v>
                </c:pt>
                <c:pt idx="328">
                  <c:v>0.10395353055453836</c:v>
                </c:pt>
                <c:pt idx="329">
                  <c:v>0.29557350649756658</c:v>
                </c:pt>
                <c:pt idx="330">
                  <c:v>0.30064687907308452</c:v>
                </c:pt>
                <c:pt idx="331">
                  <c:v>0.28679815511574092</c:v>
                </c:pt>
                <c:pt idx="332">
                  <c:v>-0.10048973011892019</c:v>
                </c:pt>
                <c:pt idx="333">
                  <c:v>-0.36974349065707168</c:v>
                </c:pt>
                <c:pt idx="334">
                  <c:v>0.21293007036309297</c:v>
                </c:pt>
                <c:pt idx="335">
                  <c:v>0.40752544985039357</c:v>
                </c:pt>
                <c:pt idx="336">
                  <c:v>-2.4001914290906409E-2</c:v>
                </c:pt>
                <c:pt idx="337">
                  <c:v>0.11557161681496092</c:v>
                </c:pt>
                <c:pt idx="338">
                  <c:v>9.2590258941500692E-2</c:v>
                </c:pt>
                <c:pt idx="339">
                  <c:v>0.19437991130050164</c:v>
                </c:pt>
                <c:pt idx="340">
                  <c:v>-4.2724288899298954E-2</c:v>
                </c:pt>
                <c:pt idx="341">
                  <c:v>-4.7033234688711276E-2</c:v>
                </c:pt>
                <c:pt idx="342">
                  <c:v>0.16625123071649756</c:v>
                </c:pt>
                <c:pt idx="343">
                  <c:v>7.3163368643574339E-2</c:v>
                </c:pt>
                <c:pt idx="344">
                  <c:v>0.31003319533491192</c:v>
                </c:pt>
                <c:pt idx="345">
                  <c:v>-7.7043272406972022E-2</c:v>
                </c:pt>
                <c:pt idx="346">
                  <c:v>0.12003659109538771</c:v>
                </c:pt>
                <c:pt idx="347">
                  <c:v>0.12063797054994914</c:v>
                </c:pt>
                <c:pt idx="348">
                  <c:v>7.8812947236178849E-3</c:v>
                </c:pt>
                <c:pt idx="349">
                  <c:v>6.8816790954186802E-2</c:v>
                </c:pt>
                <c:pt idx="350">
                  <c:v>0.15158924298966248</c:v>
                </c:pt>
                <c:pt idx="351">
                  <c:v>2.3931768262056285E-2</c:v>
                </c:pt>
                <c:pt idx="352">
                  <c:v>-8.1101108056713944E-3</c:v>
                </c:pt>
                <c:pt idx="353">
                  <c:v>0.32224907831067778</c:v>
                </c:pt>
                <c:pt idx="354">
                  <c:v>0.17570704642556845</c:v>
                </c:pt>
                <c:pt idx="355">
                  <c:v>-6.0697239651270565E-2</c:v>
                </c:pt>
                <c:pt idx="356">
                  <c:v>0.3065914665757703</c:v>
                </c:pt>
                <c:pt idx="357">
                  <c:v>0.54387370558347226</c:v>
                </c:pt>
                <c:pt idx="358">
                  <c:v>1.5690859789736875E-2</c:v>
                </c:pt>
                <c:pt idx="359">
                  <c:v>2.6579751186613751E-2</c:v>
                </c:pt>
                <c:pt idx="360">
                  <c:v>-0.22384640751598156</c:v>
                </c:pt>
                <c:pt idx="361">
                  <c:v>-0.30661043708703223</c:v>
                </c:pt>
                <c:pt idx="362">
                  <c:v>0.41878047220166748</c:v>
                </c:pt>
                <c:pt idx="363">
                  <c:v>-7.1446192953637258E-2</c:v>
                </c:pt>
                <c:pt idx="364">
                  <c:v>0.1671313488345752</c:v>
                </c:pt>
                <c:pt idx="365">
                  <c:v>-0.19960870746595261</c:v>
                </c:pt>
                <c:pt idx="366">
                  <c:v>3.2322688371613881E-2</c:v>
                </c:pt>
                <c:pt idx="367">
                  <c:v>0.38957562139468105</c:v>
                </c:pt>
                <c:pt idx="368">
                  <c:v>0.10545042389272542</c:v>
                </c:pt>
                <c:pt idx="369">
                  <c:v>0.14378127796165968</c:v>
                </c:pt>
                <c:pt idx="370">
                  <c:v>-4.6117889531207448E-2</c:v>
                </c:pt>
                <c:pt idx="371">
                  <c:v>0.31689647285153877</c:v>
                </c:pt>
                <c:pt idx="372">
                  <c:v>0.15730020050116844</c:v>
                </c:pt>
                <c:pt idx="373">
                  <c:v>0.22600667621268306</c:v>
                </c:pt>
                <c:pt idx="374">
                  <c:v>7.2380354453721818E-2</c:v>
                </c:pt>
                <c:pt idx="375">
                  <c:v>7.2758423160038777E-2</c:v>
                </c:pt>
                <c:pt idx="376">
                  <c:v>0.18838862418743033</c:v>
                </c:pt>
                <c:pt idx="377">
                  <c:v>-5.1784899811958926E-2</c:v>
                </c:pt>
                <c:pt idx="378">
                  <c:v>2.584562117943906E-2</c:v>
                </c:pt>
                <c:pt idx="379">
                  <c:v>0.1643936389677054</c:v>
                </c:pt>
                <c:pt idx="380">
                  <c:v>-6.4610315127733853E-3</c:v>
                </c:pt>
                <c:pt idx="381">
                  <c:v>-0.26288795548895888</c:v>
                </c:pt>
                <c:pt idx="382">
                  <c:v>1.5919877033451352E-3</c:v>
                </c:pt>
                <c:pt idx="383">
                  <c:v>-3.7707855172082125E-2</c:v>
                </c:pt>
                <c:pt idx="384">
                  <c:v>-0.13113325796470887</c:v>
                </c:pt>
                <c:pt idx="385">
                  <c:v>-0.14338716504283389</c:v>
                </c:pt>
                <c:pt idx="386">
                  <c:v>0.20658823291354605</c:v>
                </c:pt>
                <c:pt idx="387">
                  <c:v>0.14173340766305761</c:v>
                </c:pt>
                <c:pt idx="388">
                  <c:v>0.38975772111973095</c:v>
                </c:pt>
                <c:pt idx="389">
                  <c:v>0.1809249417363375</c:v>
                </c:pt>
                <c:pt idx="390">
                  <c:v>0.15308169651509856</c:v>
                </c:pt>
                <c:pt idx="391">
                  <c:v>7.1524578713485942E-2</c:v>
                </c:pt>
                <c:pt idx="392">
                  <c:v>0.33872657698405384</c:v>
                </c:pt>
                <c:pt idx="393">
                  <c:v>0.18439284901159597</c:v>
                </c:pt>
                <c:pt idx="394">
                  <c:v>0.41404078665719485</c:v>
                </c:pt>
                <c:pt idx="395">
                  <c:v>0.25281954195490314</c:v>
                </c:pt>
                <c:pt idx="396">
                  <c:v>0.40078782582549433</c:v>
                </c:pt>
                <c:pt idx="397">
                  <c:v>0.17553659701403707</c:v>
                </c:pt>
                <c:pt idx="398">
                  <c:v>-0.36860579290908446</c:v>
                </c:pt>
                <c:pt idx="399">
                  <c:v>0.29967966261901097</c:v>
                </c:pt>
                <c:pt idx="400">
                  <c:v>0.25381002095683119</c:v>
                </c:pt>
                <c:pt idx="401">
                  <c:v>4.285061804568599E-2</c:v>
                </c:pt>
                <c:pt idx="402">
                  <c:v>0.10508379006676796</c:v>
                </c:pt>
                <c:pt idx="403">
                  <c:v>0.32140789177658963</c:v>
                </c:pt>
                <c:pt idx="404">
                  <c:v>0.2679615318329539</c:v>
                </c:pt>
                <c:pt idx="405">
                  <c:v>0.19481597804778941</c:v>
                </c:pt>
                <c:pt idx="406">
                  <c:v>0.37813451159718203</c:v>
                </c:pt>
                <c:pt idx="407">
                  <c:v>7.4291758126802582E-2</c:v>
                </c:pt>
                <c:pt idx="408">
                  <c:v>-0.15990888238727363</c:v>
                </c:pt>
                <c:pt idx="409">
                  <c:v>-5.0674858324621472E-2</c:v>
                </c:pt>
                <c:pt idx="410">
                  <c:v>0.23307117032616514</c:v>
                </c:pt>
                <c:pt idx="411">
                  <c:v>9.492801858434749E-3</c:v>
                </c:pt>
                <c:pt idx="412">
                  <c:v>0.12523493327877869</c:v>
                </c:pt>
                <c:pt idx="413">
                  <c:v>-3.045948486467169E-2</c:v>
                </c:pt>
                <c:pt idx="414">
                  <c:v>-9.6368906688295272E-2</c:v>
                </c:pt>
                <c:pt idx="415">
                  <c:v>0.25992787443893473</c:v>
                </c:pt>
                <c:pt idx="416">
                  <c:v>-2.8191351809268156E-3</c:v>
                </c:pt>
                <c:pt idx="417">
                  <c:v>-0.10757768080507786</c:v>
                </c:pt>
                <c:pt idx="418">
                  <c:v>-5.4146635217077507E-2</c:v>
                </c:pt>
                <c:pt idx="419">
                  <c:v>0.10247911096262161</c:v>
                </c:pt>
                <c:pt idx="420">
                  <c:v>0.59525290512791507</c:v>
                </c:pt>
                <c:pt idx="421">
                  <c:v>4.2317300160032947E-2</c:v>
                </c:pt>
                <c:pt idx="422">
                  <c:v>9.1250109091165627E-2</c:v>
                </c:pt>
                <c:pt idx="423">
                  <c:v>-0.35323002515760465</c:v>
                </c:pt>
                <c:pt idx="424">
                  <c:v>0.20340996150727497</c:v>
                </c:pt>
                <c:pt idx="425">
                  <c:v>8.1561366286771644E-2</c:v>
                </c:pt>
                <c:pt idx="426">
                  <c:v>0.31053564030412345</c:v>
                </c:pt>
                <c:pt idx="427">
                  <c:v>0.41052963642779278</c:v>
                </c:pt>
                <c:pt idx="428">
                  <c:v>8.9043633999743091E-2</c:v>
                </c:pt>
                <c:pt idx="429">
                  <c:v>0.12276287881167722</c:v>
                </c:pt>
                <c:pt idx="430">
                  <c:v>0.24692736795976261</c:v>
                </c:pt>
                <c:pt idx="431">
                  <c:v>4.0889742028901693E-2</c:v>
                </c:pt>
                <c:pt idx="432">
                  <c:v>0.21457086224981861</c:v>
                </c:pt>
                <c:pt idx="433">
                  <c:v>-0.16750455062106734</c:v>
                </c:pt>
                <c:pt idx="434">
                  <c:v>9.6324089966468601E-2</c:v>
                </c:pt>
                <c:pt idx="435">
                  <c:v>0.17868328995539773</c:v>
                </c:pt>
                <c:pt idx="436">
                  <c:v>0.30067119236697637</c:v>
                </c:pt>
                <c:pt idx="437">
                  <c:v>-5.6859531464834592E-2</c:v>
                </c:pt>
                <c:pt idx="438">
                  <c:v>0.39968981594020525</c:v>
                </c:pt>
                <c:pt idx="439">
                  <c:v>0.24494526463802069</c:v>
                </c:pt>
                <c:pt idx="440">
                  <c:v>0.12394220368392064</c:v>
                </c:pt>
                <c:pt idx="441">
                  <c:v>-3.7591200503254582E-2</c:v>
                </c:pt>
                <c:pt idx="442">
                  <c:v>-3.648083675092785E-2</c:v>
                </c:pt>
                <c:pt idx="443">
                  <c:v>0.20325931056791721</c:v>
                </c:pt>
                <c:pt idx="444">
                  <c:v>-0.40548332705130241</c:v>
                </c:pt>
                <c:pt idx="445">
                  <c:v>-8.7705801286392937E-3</c:v>
                </c:pt>
                <c:pt idx="446">
                  <c:v>0.2258302095227023</c:v>
                </c:pt>
                <c:pt idx="447">
                  <c:v>-0.12713790159632449</c:v>
                </c:pt>
                <c:pt idx="448">
                  <c:v>-0.14527951541944117</c:v>
                </c:pt>
                <c:pt idx="449">
                  <c:v>0.2413473518951606</c:v>
                </c:pt>
                <c:pt idx="450">
                  <c:v>-3.089669395976509E-2</c:v>
                </c:pt>
                <c:pt idx="451">
                  <c:v>-0.23393826200565043</c:v>
                </c:pt>
                <c:pt idx="452">
                  <c:v>0.50169360383791972</c:v>
                </c:pt>
                <c:pt idx="453">
                  <c:v>-0.24089564889139897</c:v>
                </c:pt>
                <c:pt idx="454">
                  <c:v>-0.34235619879790663</c:v>
                </c:pt>
                <c:pt idx="455">
                  <c:v>0.15731988651253276</c:v>
                </c:pt>
                <c:pt idx="456">
                  <c:v>2.570749204408071E-3</c:v>
                </c:pt>
                <c:pt idx="457">
                  <c:v>0.11661178693701274</c:v>
                </c:pt>
                <c:pt idx="458">
                  <c:v>0.44660047968354127</c:v>
                </c:pt>
                <c:pt idx="459">
                  <c:v>-2.7930420252297319E-2</c:v>
                </c:pt>
                <c:pt idx="460">
                  <c:v>-0.18309543284867924</c:v>
                </c:pt>
                <c:pt idx="461">
                  <c:v>7.4610356366678371E-2</c:v>
                </c:pt>
                <c:pt idx="462">
                  <c:v>0.13278600343296842</c:v>
                </c:pt>
                <c:pt idx="463">
                  <c:v>6.0417636933098463E-2</c:v>
                </c:pt>
                <c:pt idx="464">
                  <c:v>-0.31829056187752347</c:v>
                </c:pt>
                <c:pt idx="465">
                  <c:v>0.18323832979272309</c:v>
                </c:pt>
                <c:pt idx="466">
                  <c:v>-0.21288570606192148</c:v>
                </c:pt>
                <c:pt idx="467">
                  <c:v>6.1177907322467445E-2</c:v>
                </c:pt>
                <c:pt idx="468">
                  <c:v>0.27953375745451398</c:v>
                </c:pt>
                <c:pt idx="469">
                  <c:v>0.37726956214857255</c:v>
                </c:pt>
                <c:pt idx="470">
                  <c:v>7.0380867005429643E-2</c:v>
                </c:pt>
                <c:pt idx="471">
                  <c:v>-0.21499195173377195</c:v>
                </c:pt>
                <c:pt idx="472">
                  <c:v>7.5883598605381214E-2</c:v>
                </c:pt>
                <c:pt idx="473">
                  <c:v>0.35333368350546956</c:v>
                </c:pt>
                <c:pt idx="474">
                  <c:v>4.4990068205809586E-2</c:v>
                </c:pt>
                <c:pt idx="475">
                  <c:v>0.30295269697141441</c:v>
                </c:pt>
                <c:pt idx="476">
                  <c:v>0.3016018761599818</c:v>
                </c:pt>
                <c:pt idx="477">
                  <c:v>4.075491488056554E-2</c:v>
                </c:pt>
                <c:pt idx="478">
                  <c:v>0.20081834004096519</c:v>
                </c:pt>
                <c:pt idx="479">
                  <c:v>-3.2397711600340162E-3</c:v>
                </c:pt>
                <c:pt idx="480">
                  <c:v>0.43693883311840781</c:v>
                </c:pt>
                <c:pt idx="481">
                  <c:v>6.7699171013779549E-2</c:v>
                </c:pt>
                <c:pt idx="482">
                  <c:v>0.13972111360863995</c:v>
                </c:pt>
                <c:pt idx="483">
                  <c:v>0.21028330342661389</c:v>
                </c:pt>
                <c:pt idx="484">
                  <c:v>-7.3796439364619867E-2</c:v>
                </c:pt>
                <c:pt idx="485">
                  <c:v>0.38275440494430013</c:v>
                </c:pt>
                <c:pt idx="486">
                  <c:v>-3.6686594004405451E-2</c:v>
                </c:pt>
                <c:pt idx="487">
                  <c:v>0.14885824188060623</c:v>
                </c:pt>
                <c:pt idx="488">
                  <c:v>0.11152561478918253</c:v>
                </c:pt>
                <c:pt idx="489">
                  <c:v>-2.8169060140613392E-2</c:v>
                </c:pt>
                <c:pt idx="490">
                  <c:v>9.9976879638128763E-2</c:v>
                </c:pt>
                <c:pt idx="491">
                  <c:v>0.21762986505031484</c:v>
                </c:pt>
                <c:pt idx="492">
                  <c:v>0.10461323729453947</c:v>
                </c:pt>
                <c:pt idx="493">
                  <c:v>-8.6407244248459344E-2</c:v>
                </c:pt>
                <c:pt idx="494">
                  <c:v>0.11256220636318912</c:v>
                </c:pt>
                <c:pt idx="495">
                  <c:v>0.11524705989758961</c:v>
                </c:pt>
                <c:pt idx="496">
                  <c:v>0.2643796738611599</c:v>
                </c:pt>
                <c:pt idx="497">
                  <c:v>0.36022740589581626</c:v>
                </c:pt>
                <c:pt idx="498">
                  <c:v>-7.7932464605307963E-2</c:v>
                </c:pt>
                <c:pt idx="499">
                  <c:v>0.35866613960207389</c:v>
                </c:pt>
                <c:pt idx="500">
                  <c:v>0.36327198851072384</c:v>
                </c:pt>
                <c:pt idx="501">
                  <c:v>0.19814673568437022</c:v>
                </c:pt>
                <c:pt idx="502">
                  <c:v>8.9738141789028003E-2</c:v>
                </c:pt>
                <c:pt idx="503">
                  <c:v>-0.20002148420909238</c:v>
                </c:pt>
                <c:pt idx="504">
                  <c:v>3.6356370623491091E-2</c:v>
                </c:pt>
                <c:pt idx="505">
                  <c:v>0.34972123904843533</c:v>
                </c:pt>
                <c:pt idx="506">
                  <c:v>0.12252590195489432</c:v>
                </c:pt>
                <c:pt idx="507">
                  <c:v>0.29302043266778161</c:v>
                </c:pt>
                <c:pt idx="508">
                  <c:v>0.3818883402319363</c:v>
                </c:pt>
                <c:pt idx="509">
                  <c:v>-1.6605403182825731E-2</c:v>
                </c:pt>
                <c:pt idx="510">
                  <c:v>8.8733961742895426E-2</c:v>
                </c:pt>
                <c:pt idx="511">
                  <c:v>0.1656745735222632</c:v>
                </c:pt>
                <c:pt idx="512">
                  <c:v>0.50893103729364353</c:v>
                </c:pt>
                <c:pt idx="513">
                  <c:v>9.6426529397569724E-2</c:v>
                </c:pt>
                <c:pt idx="514">
                  <c:v>1.7599906400336873E-2</c:v>
                </c:pt>
                <c:pt idx="515">
                  <c:v>9.0205404238196299E-2</c:v>
                </c:pt>
                <c:pt idx="516">
                  <c:v>0.14768824248755733</c:v>
                </c:pt>
                <c:pt idx="517">
                  <c:v>-0.12046747780960355</c:v>
                </c:pt>
                <c:pt idx="518">
                  <c:v>-0.14124406317538063</c:v>
                </c:pt>
                <c:pt idx="519">
                  <c:v>4.6921143148246081E-3</c:v>
                </c:pt>
                <c:pt idx="520">
                  <c:v>7.6175739301896667E-2</c:v>
                </c:pt>
                <c:pt idx="521">
                  <c:v>-7.8428188976700078E-2</c:v>
                </c:pt>
                <c:pt idx="522">
                  <c:v>1.6487041233818708E-2</c:v>
                </c:pt>
                <c:pt idx="523">
                  <c:v>-9.7744234464966231E-2</c:v>
                </c:pt>
                <c:pt idx="524">
                  <c:v>-9.3916909101067911E-2</c:v>
                </c:pt>
                <c:pt idx="525">
                  <c:v>8.4288412011534197E-2</c:v>
                </c:pt>
                <c:pt idx="526">
                  <c:v>3.7973184058025605E-2</c:v>
                </c:pt>
                <c:pt idx="527">
                  <c:v>-3.5484951330446574E-3</c:v>
                </c:pt>
                <c:pt idx="528">
                  <c:v>0.22340858514073786</c:v>
                </c:pt>
                <c:pt idx="529">
                  <c:v>7.431980669496957E-2</c:v>
                </c:pt>
                <c:pt idx="530">
                  <c:v>9.5177391161736236E-3</c:v>
                </c:pt>
                <c:pt idx="531">
                  <c:v>0.42878796672685981</c:v>
                </c:pt>
                <c:pt idx="532">
                  <c:v>-0.23859434662131246</c:v>
                </c:pt>
                <c:pt idx="533">
                  <c:v>8.2371825267835846E-3</c:v>
                </c:pt>
                <c:pt idx="534">
                  <c:v>-0.16662968555777097</c:v>
                </c:pt>
                <c:pt idx="535">
                  <c:v>0.19830403027765303</c:v>
                </c:pt>
                <c:pt idx="536">
                  <c:v>-5.0802648413497825E-3</c:v>
                </c:pt>
                <c:pt idx="537">
                  <c:v>0.29193324307043328</c:v>
                </c:pt>
                <c:pt idx="538">
                  <c:v>0.28591429197367113</c:v>
                </c:pt>
                <c:pt idx="539">
                  <c:v>0.20451098560173492</c:v>
                </c:pt>
                <c:pt idx="540">
                  <c:v>0.31550675244911608</c:v>
                </c:pt>
                <c:pt idx="541">
                  <c:v>-4.1334193981031622E-2</c:v>
                </c:pt>
                <c:pt idx="542">
                  <c:v>0.4786461824529063</c:v>
                </c:pt>
                <c:pt idx="543">
                  <c:v>0.12053292447219978</c:v>
                </c:pt>
                <c:pt idx="544">
                  <c:v>-0.10346976200024978</c:v>
                </c:pt>
                <c:pt idx="545">
                  <c:v>0.21538990383495354</c:v>
                </c:pt>
                <c:pt idx="546">
                  <c:v>0.19386368127184239</c:v>
                </c:pt>
                <c:pt idx="547">
                  <c:v>-0.10797065983145497</c:v>
                </c:pt>
                <c:pt idx="548">
                  <c:v>0.1034491960863483</c:v>
                </c:pt>
                <c:pt idx="549">
                  <c:v>-2.5592827994785725E-2</c:v>
                </c:pt>
                <c:pt idx="550">
                  <c:v>8.0281920096432924E-2</c:v>
                </c:pt>
                <c:pt idx="551">
                  <c:v>0.14854894452358933</c:v>
                </c:pt>
                <c:pt idx="552">
                  <c:v>1.8213270406667814E-2</c:v>
                </c:pt>
                <c:pt idx="553">
                  <c:v>6.0550909508965182E-2</c:v>
                </c:pt>
                <c:pt idx="554">
                  <c:v>-0.15580839033076876</c:v>
                </c:pt>
                <c:pt idx="555">
                  <c:v>0.17109188303867354</c:v>
                </c:pt>
                <c:pt idx="556">
                  <c:v>-0.11855189791905109</c:v>
                </c:pt>
                <c:pt idx="557">
                  <c:v>0.14435557209734184</c:v>
                </c:pt>
                <c:pt idx="558">
                  <c:v>-5.120828653828402E-3</c:v>
                </c:pt>
                <c:pt idx="559">
                  <c:v>0.28898964935906363</c:v>
                </c:pt>
                <c:pt idx="560">
                  <c:v>-1.2001168683929989E-2</c:v>
                </c:pt>
                <c:pt idx="561">
                  <c:v>0.20276185942177982</c:v>
                </c:pt>
                <c:pt idx="562">
                  <c:v>0.37069183001452516</c:v>
                </c:pt>
                <c:pt idx="563">
                  <c:v>-0.22337526368231214</c:v>
                </c:pt>
                <c:pt idx="564">
                  <c:v>1.3280267934990819E-3</c:v>
                </c:pt>
                <c:pt idx="565">
                  <c:v>0.18686152676364706</c:v>
                </c:pt>
                <c:pt idx="566">
                  <c:v>3.9512227955431495E-3</c:v>
                </c:pt>
                <c:pt idx="567">
                  <c:v>4.5065777934175211E-2</c:v>
                </c:pt>
                <c:pt idx="568">
                  <c:v>0.2276088685127424</c:v>
                </c:pt>
                <c:pt idx="569">
                  <c:v>5.4090328523373268E-2</c:v>
                </c:pt>
                <c:pt idx="570">
                  <c:v>-2.1107052512930394E-2</c:v>
                </c:pt>
                <c:pt idx="571">
                  <c:v>8.6620333605937197E-2</c:v>
                </c:pt>
                <c:pt idx="572">
                  <c:v>-0.14941243585828706</c:v>
                </c:pt>
                <c:pt idx="573">
                  <c:v>-7.9702178141119198E-2</c:v>
                </c:pt>
                <c:pt idx="574">
                  <c:v>0.18357663490504311</c:v>
                </c:pt>
                <c:pt idx="575">
                  <c:v>0.1702499483108626</c:v>
                </c:pt>
                <c:pt idx="576">
                  <c:v>-2.2722307362634322E-2</c:v>
                </c:pt>
                <c:pt idx="577">
                  <c:v>-0.16633681401672923</c:v>
                </c:pt>
                <c:pt idx="578">
                  <c:v>9.3593579138973038E-3</c:v>
                </c:pt>
                <c:pt idx="579">
                  <c:v>0.21250757357917929</c:v>
                </c:pt>
                <c:pt idx="580">
                  <c:v>0.23397366035830378</c:v>
                </c:pt>
                <c:pt idx="581">
                  <c:v>0.12334822321923393</c:v>
                </c:pt>
                <c:pt idx="582">
                  <c:v>0.44473209704928696</c:v>
                </c:pt>
                <c:pt idx="583">
                  <c:v>0.1853454422778637</c:v>
                </c:pt>
                <c:pt idx="584">
                  <c:v>0.16269130248551206</c:v>
                </c:pt>
                <c:pt idx="585">
                  <c:v>3.0887475320990634E-2</c:v>
                </c:pt>
                <c:pt idx="586">
                  <c:v>-6.1938094240654648E-2</c:v>
                </c:pt>
                <c:pt idx="587">
                  <c:v>0.11304985543107786</c:v>
                </c:pt>
                <c:pt idx="588">
                  <c:v>-3.6022954464083781E-2</c:v>
                </c:pt>
                <c:pt idx="589">
                  <c:v>-0.1527229761789925</c:v>
                </c:pt>
                <c:pt idx="590">
                  <c:v>0.24424765079927313</c:v>
                </c:pt>
                <c:pt idx="591">
                  <c:v>0.37697573124148515</c:v>
                </c:pt>
                <c:pt idx="592">
                  <c:v>0.10286295128025713</c:v>
                </c:pt>
                <c:pt idx="593">
                  <c:v>0.12153626562442187</c:v>
                </c:pt>
                <c:pt idx="594">
                  <c:v>-1.0769536682257233E-2</c:v>
                </c:pt>
                <c:pt idx="595">
                  <c:v>0.13768633173246186</c:v>
                </c:pt>
                <c:pt idx="596">
                  <c:v>8.390894435379076E-2</c:v>
                </c:pt>
                <c:pt idx="597">
                  <c:v>2.4314332317072751E-3</c:v>
                </c:pt>
                <c:pt idx="598">
                  <c:v>-7.3931489466359107E-3</c:v>
                </c:pt>
                <c:pt idx="599">
                  <c:v>-5.4750816501910007E-2</c:v>
                </c:pt>
                <c:pt idx="600">
                  <c:v>5.6840585293012606E-2</c:v>
                </c:pt>
                <c:pt idx="601">
                  <c:v>-1.7865965620266808E-2</c:v>
                </c:pt>
                <c:pt idx="602">
                  <c:v>0.45182719246548103</c:v>
                </c:pt>
                <c:pt idx="603">
                  <c:v>1.8650878697455367E-2</c:v>
                </c:pt>
                <c:pt idx="604">
                  <c:v>-0.11446988398218112</c:v>
                </c:pt>
                <c:pt idx="605">
                  <c:v>0.25098631392203297</c:v>
                </c:pt>
                <c:pt idx="606">
                  <c:v>4.7337604169887207E-2</c:v>
                </c:pt>
                <c:pt idx="607">
                  <c:v>-7.9142708992635216E-2</c:v>
                </c:pt>
                <c:pt idx="608">
                  <c:v>6.8022982379977448E-2</c:v>
                </c:pt>
                <c:pt idx="609">
                  <c:v>0.17754064556279936</c:v>
                </c:pt>
                <c:pt idx="610">
                  <c:v>0.20077324024751375</c:v>
                </c:pt>
                <c:pt idx="611">
                  <c:v>0.23409667021727593</c:v>
                </c:pt>
                <c:pt idx="612">
                  <c:v>8.4141199753663215E-2</c:v>
                </c:pt>
                <c:pt idx="613">
                  <c:v>9.9912364663241438E-2</c:v>
                </c:pt>
                <c:pt idx="614">
                  <c:v>6.4587853028044429E-2</c:v>
                </c:pt>
                <c:pt idx="615">
                  <c:v>0.28598552150368883</c:v>
                </c:pt>
                <c:pt idx="616">
                  <c:v>1.2024079229678825E-2</c:v>
                </c:pt>
                <c:pt idx="617">
                  <c:v>-0.32131326378172564</c:v>
                </c:pt>
                <c:pt idx="618">
                  <c:v>-0.13872614707942871</c:v>
                </c:pt>
                <c:pt idx="619">
                  <c:v>0.17934170222909962</c:v>
                </c:pt>
                <c:pt idx="620">
                  <c:v>-0.11575814184103479</c:v>
                </c:pt>
                <c:pt idx="621">
                  <c:v>-0.22821223148586606</c:v>
                </c:pt>
                <c:pt idx="622">
                  <c:v>3.4488576201138835E-2</c:v>
                </c:pt>
                <c:pt idx="623">
                  <c:v>0.31976785521937384</c:v>
                </c:pt>
                <c:pt idx="624">
                  <c:v>4.5107918054834717E-2</c:v>
                </c:pt>
                <c:pt idx="625">
                  <c:v>3.470696381245239E-2</c:v>
                </c:pt>
                <c:pt idx="626">
                  <c:v>0.20853916385952226</c:v>
                </c:pt>
                <c:pt idx="627">
                  <c:v>0.51443873093346026</c:v>
                </c:pt>
                <c:pt idx="628">
                  <c:v>-9.871495420909919E-2</c:v>
                </c:pt>
                <c:pt idx="629">
                  <c:v>0.24280004461178434</c:v>
                </c:pt>
                <c:pt idx="630">
                  <c:v>-9.6471125549102296E-2</c:v>
                </c:pt>
                <c:pt idx="631">
                  <c:v>0.23404294140786142</c:v>
                </c:pt>
                <c:pt idx="632">
                  <c:v>-0.47166306376410594</c:v>
                </c:pt>
                <c:pt idx="633">
                  <c:v>-9.0272433598969457E-2</c:v>
                </c:pt>
                <c:pt idx="634">
                  <c:v>0.31403130616123393</c:v>
                </c:pt>
                <c:pt idx="635">
                  <c:v>-0.37251397067854419</c:v>
                </c:pt>
                <c:pt idx="636">
                  <c:v>-0.14760207564131067</c:v>
                </c:pt>
                <c:pt idx="637">
                  <c:v>-2.5244362317333055E-2</c:v>
                </c:pt>
                <c:pt idx="638">
                  <c:v>0.21314871103568797</c:v>
                </c:pt>
                <c:pt idx="639">
                  <c:v>0.15845199040424829</c:v>
                </c:pt>
                <c:pt idx="640">
                  <c:v>9.2407183032494622E-2</c:v>
                </c:pt>
                <c:pt idx="641">
                  <c:v>-4.3694175510719482E-2</c:v>
                </c:pt>
                <c:pt idx="642">
                  <c:v>-1.9560963299678283E-2</c:v>
                </c:pt>
                <c:pt idx="643">
                  <c:v>-7.6033188714420274E-3</c:v>
                </c:pt>
                <c:pt idx="644">
                  <c:v>0.28043894534248215</c:v>
                </c:pt>
                <c:pt idx="645">
                  <c:v>5.7504499662748176E-2</c:v>
                </c:pt>
                <c:pt idx="646">
                  <c:v>0.10440649125486888</c:v>
                </c:pt>
                <c:pt idx="647">
                  <c:v>-0.13273836092617797</c:v>
                </c:pt>
                <c:pt idx="648">
                  <c:v>-0.28359821463010415</c:v>
                </c:pt>
                <c:pt idx="649">
                  <c:v>0.42149050399771854</c:v>
                </c:pt>
                <c:pt idx="650">
                  <c:v>9.2309799643737256E-2</c:v>
                </c:pt>
                <c:pt idx="651">
                  <c:v>0.23121710793651362</c:v>
                </c:pt>
                <c:pt idx="652">
                  <c:v>9.4363421012499962E-2</c:v>
                </c:pt>
                <c:pt idx="653">
                  <c:v>-4.6591651377890134E-2</c:v>
                </c:pt>
                <c:pt idx="654">
                  <c:v>0.12137415042089018</c:v>
                </c:pt>
                <c:pt idx="655">
                  <c:v>0.20676099883580085</c:v>
                </c:pt>
                <c:pt idx="656">
                  <c:v>0.34498464588370059</c:v>
                </c:pt>
                <c:pt idx="657">
                  <c:v>0.13641105873337311</c:v>
                </c:pt>
                <c:pt idx="658">
                  <c:v>5.4191079338328015E-2</c:v>
                </c:pt>
                <c:pt idx="659">
                  <c:v>0.45255111990764546</c:v>
                </c:pt>
                <c:pt idx="660">
                  <c:v>-0.11307051849958651</c:v>
                </c:pt>
                <c:pt idx="661">
                  <c:v>0.43723174936766546</c:v>
                </c:pt>
                <c:pt idx="662">
                  <c:v>-4.4524199374884985E-2</c:v>
                </c:pt>
                <c:pt idx="663">
                  <c:v>8.7770615004103603E-2</c:v>
                </c:pt>
                <c:pt idx="664">
                  <c:v>0.36218083585460481</c:v>
                </c:pt>
                <c:pt idx="665">
                  <c:v>0.26707216425917413</c:v>
                </c:pt>
                <c:pt idx="666">
                  <c:v>2.9303870074954871E-2</c:v>
                </c:pt>
                <c:pt idx="667">
                  <c:v>8.3842336438577719E-2</c:v>
                </c:pt>
                <c:pt idx="668">
                  <c:v>0.33243429690904019</c:v>
                </c:pt>
                <c:pt idx="669">
                  <c:v>4.5074963607690824E-2</c:v>
                </c:pt>
                <c:pt idx="670">
                  <c:v>0.13780316353874777</c:v>
                </c:pt>
                <c:pt idx="671">
                  <c:v>0.1933169246297062</c:v>
                </c:pt>
                <c:pt idx="672">
                  <c:v>0.14580862962182567</c:v>
                </c:pt>
                <c:pt idx="673">
                  <c:v>0.1479417162660803</c:v>
                </c:pt>
                <c:pt idx="674">
                  <c:v>0.301368397585971</c:v>
                </c:pt>
                <c:pt idx="675">
                  <c:v>0.14972792647360175</c:v>
                </c:pt>
                <c:pt idx="676">
                  <c:v>0.14613716741112934</c:v>
                </c:pt>
                <c:pt idx="677">
                  <c:v>4.5174114384760586E-2</c:v>
                </c:pt>
                <c:pt idx="678">
                  <c:v>0.16961637927286327</c:v>
                </c:pt>
                <c:pt idx="679">
                  <c:v>0.11594587295731704</c:v>
                </c:pt>
                <c:pt idx="680">
                  <c:v>0.15765520304470107</c:v>
                </c:pt>
                <c:pt idx="681">
                  <c:v>0.21410000496321371</c:v>
                </c:pt>
                <c:pt idx="682">
                  <c:v>0.26461300126308179</c:v>
                </c:pt>
                <c:pt idx="683">
                  <c:v>0.4523045132975923</c:v>
                </c:pt>
                <c:pt idx="684">
                  <c:v>9.0312826075307134E-2</c:v>
                </c:pt>
                <c:pt idx="685">
                  <c:v>-7.7007907171231946E-2</c:v>
                </c:pt>
                <c:pt idx="686">
                  <c:v>-0.21016209555567378</c:v>
                </c:pt>
                <c:pt idx="687">
                  <c:v>0.29010049782925262</c:v>
                </c:pt>
                <c:pt idx="688">
                  <c:v>5.3805308839406311E-2</c:v>
                </c:pt>
                <c:pt idx="689">
                  <c:v>0.43622629762993659</c:v>
                </c:pt>
                <c:pt idx="690">
                  <c:v>0.27633536844845424</c:v>
                </c:pt>
                <c:pt idx="691">
                  <c:v>2.911589387487841E-2</c:v>
                </c:pt>
                <c:pt idx="692">
                  <c:v>0.51025963317543799</c:v>
                </c:pt>
                <c:pt idx="693">
                  <c:v>-2.8570335899296417E-3</c:v>
                </c:pt>
                <c:pt idx="694">
                  <c:v>3.1167219773734017E-2</c:v>
                </c:pt>
                <c:pt idx="695">
                  <c:v>4.6675161791736461E-2</c:v>
                </c:pt>
                <c:pt idx="696">
                  <c:v>5.6310336835090548E-2</c:v>
                </c:pt>
                <c:pt idx="697">
                  <c:v>-3.1088806908229058E-2</c:v>
                </c:pt>
                <c:pt idx="698">
                  <c:v>0.17234994836407394</c:v>
                </c:pt>
                <c:pt idx="699">
                  <c:v>5.7814651278407528E-2</c:v>
                </c:pt>
                <c:pt idx="700">
                  <c:v>7.4812882120541019E-2</c:v>
                </c:pt>
                <c:pt idx="701">
                  <c:v>0.75522119145379496</c:v>
                </c:pt>
                <c:pt idx="702">
                  <c:v>0.25784738675892127</c:v>
                </c:pt>
                <c:pt idx="703">
                  <c:v>-9.1939568477039671E-2</c:v>
                </c:pt>
                <c:pt idx="704">
                  <c:v>0.1101662527206317</c:v>
                </c:pt>
                <c:pt idx="705">
                  <c:v>2.1194281090388997E-2</c:v>
                </c:pt>
                <c:pt idx="706">
                  <c:v>9.3708072286636385E-2</c:v>
                </c:pt>
                <c:pt idx="707">
                  <c:v>0.33017781259165357</c:v>
                </c:pt>
                <c:pt idx="708">
                  <c:v>-0.12934891640667651</c:v>
                </c:pt>
                <c:pt idx="709">
                  <c:v>0.14090968826571082</c:v>
                </c:pt>
                <c:pt idx="710">
                  <c:v>0.12043703008437728</c:v>
                </c:pt>
                <c:pt idx="711">
                  <c:v>0.44346355196861309</c:v>
                </c:pt>
                <c:pt idx="712">
                  <c:v>0.15226107797117852</c:v>
                </c:pt>
                <c:pt idx="713">
                  <c:v>0.10937896656553739</c:v>
                </c:pt>
                <c:pt idx="714">
                  <c:v>0.20242030053248658</c:v>
                </c:pt>
                <c:pt idx="715">
                  <c:v>0.23891741274682748</c:v>
                </c:pt>
                <c:pt idx="716">
                  <c:v>-6.4650437641800493E-2</c:v>
                </c:pt>
                <c:pt idx="717">
                  <c:v>-3.8901056828370931E-2</c:v>
                </c:pt>
                <c:pt idx="718">
                  <c:v>-0.12772846238837504</c:v>
                </c:pt>
                <c:pt idx="719">
                  <c:v>-2.3375198918648463E-2</c:v>
                </c:pt>
                <c:pt idx="720">
                  <c:v>0.39737480968542288</c:v>
                </c:pt>
                <c:pt idx="721">
                  <c:v>3.4344003262319775E-2</c:v>
                </c:pt>
                <c:pt idx="722">
                  <c:v>0.21983556060312026</c:v>
                </c:pt>
                <c:pt idx="723">
                  <c:v>-4.4004886840731158E-2</c:v>
                </c:pt>
                <c:pt idx="724">
                  <c:v>0.23971918102217693</c:v>
                </c:pt>
                <c:pt idx="725">
                  <c:v>1.8615392083975724E-2</c:v>
                </c:pt>
                <c:pt idx="726">
                  <c:v>1.4100906574847152E-2</c:v>
                </c:pt>
                <c:pt idx="727">
                  <c:v>-4.287071892791941E-3</c:v>
                </c:pt>
                <c:pt idx="728">
                  <c:v>-0.11448870825081693</c:v>
                </c:pt>
                <c:pt idx="729">
                  <c:v>-7.5008731578079593E-2</c:v>
                </c:pt>
                <c:pt idx="730">
                  <c:v>-5.6464284117261052E-2</c:v>
                </c:pt>
                <c:pt idx="731">
                  <c:v>0.13292493173800127</c:v>
                </c:pt>
                <c:pt idx="732">
                  <c:v>0.27759748364346748</c:v>
                </c:pt>
                <c:pt idx="733">
                  <c:v>0.22588805185410021</c:v>
                </c:pt>
                <c:pt idx="734">
                  <c:v>0.32874820964245022</c:v>
                </c:pt>
                <c:pt idx="735">
                  <c:v>-6.5729072800488245E-2</c:v>
                </c:pt>
                <c:pt idx="736">
                  <c:v>0.21390091518436721</c:v>
                </c:pt>
                <c:pt idx="737">
                  <c:v>3.4051689616324668E-2</c:v>
                </c:pt>
                <c:pt idx="738">
                  <c:v>0.42107291175990985</c:v>
                </c:pt>
                <c:pt idx="739">
                  <c:v>3.9684322020679119E-4</c:v>
                </c:pt>
                <c:pt idx="740">
                  <c:v>-0.14160200598366462</c:v>
                </c:pt>
                <c:pt idx="741">
                  <c:v>-8.7745531915104716E-2</c:v>
                </c:pt>
                <c:pt idx="742">
                  <c:v>1.4971936843258121E-2</c:v>
                </c:pt>
                <c:pt idx="743">
                  <c:v>1.5227520652047674E-2</c:v>
                </c:pt>
                <c:pt idx="744">
                  <c:v>-7.5157729619271793E-2</c:v>
                </c:pt>
                <c:pt idx="745">
                  <c:v>2.9391535309913758E-3</c:v>
                </c:pt>
                <c:pt idx="746">
                  <c:v>0.30791854299208826</c:v>
                </c:pt>
                <c:pt idx="747">
                  <c:v>0.34354789282141684</c:v>
                </c:pt>
                <c:pt idx="748">
                  <c:v>-0.32117212089626845</c:v>
                </c:pt>
                <c:pt idx="749">
                  <c:v>-1.7805232878310803E-2</c:v>
                </c:pt>
                <c:pt idx="750">
                  <c:v>0.12131045612914668</c:v>
                </c:pt>
                <c:pt idx="751">
                  <c:v>6.428424042005422E-2</c:v>
                </c:pt>
                <c:pt idx="752">
                  <c:v>1.3807224654682065E-3</c:v>
                </c:pt>
                <c:pt idx="753">
                  <c:v>0.16001189107822597</c:v>
                </c:pt>
                <c:pt idx="754">
                  <c:v>6.0193360040004855E-2</c:v>
                </c:pt>
                <c:pt idx="755">
                  <c:v>0.23706176354527769</c:v>
                </c:pt>
                <c:pt idx="756">
                  <c:v>-9.6024339768351757E-3</c:v>
                </c:pt>
                <c:pt idx="757">
                  <c:v>0.16478245189099042</c:v>
                </c:pt>
                <c:pt idx="758">
                  <c:v>0.36223091839482857</c:v>
                </c:pt>
                <c:pt idx="759">
                  <c:v>6.7272492263987724E-2</c:v>
                </c:pt>
                <c:pt idx="760">
                  <c:v>0.30280614998465094</c:v>
                </c:pt>
                <c:pt idx="761">
                  <c:v>0.26664652353736534</c:v>
                </c:pt>
                <c:pt idx="762">
                  <c:v>0.2369930382534845</c:v>
                </c:pt>
                <c:pt idx="763">
                  <c:v>0.26926397644866001</c:v>
                </c:pt>
                <c:pt idx="764">
                  <c:v>0.21508799036574566</c:v>
                </c:pt>
                <c:pt idx="765">
                  <c:v>0.51173256369137943</c:v>
                </c:pt>
                <c:pt idx="766">
                  <c:v>0.25154651376652953</c:v>
                </c:pt>
                <c:pt idx="767">
                  <c:v>0.13243981768965818</c:v>
                </c:pt>
                <c:pt idx="768">
                  <c:v>0.22193465254187766</c:v>
                </c:pt>
                <c:pt idx="769">
                  <c:v>-0.20673260441461239</c:v>
                </c:pt>
                <c:pt idx="770">
                  <c:v>0.42263882963200722</c:v>
                </c:pt>
                <c:pt idx="771">
                  <c:v>0.12944276123334936</c:v>
                </c:pt>
                <c:pt idx="772">
                  <c:v>0.25338201596900417</c:v>
                </c:pt>
                <c:pt idx="773">
                  <c:v>0.2802869820286133</c:v>
                </c:pt>
                <c:pt idx="774">
                  <c:v>0.26049894729009471</c:v>
                </c:pt>
                <c:pt idx="775">
                  <c:v>0.23779478685814648</c:v>
                </c:pt>
                <c:pt idx="776">
                  <c:v>9.1540862127281256E-2</c:v>
                </c:pt>
                <c:pt idx="777">
                  <c:v>0.23591545507765849</c:v>
                </c:pt>
                <c:pt idx="778">
                  <c:v>0.38804148479809969</c:v>
                </c:pt>
                <c:pt idx="779">
                  <c:v>2.6623730468390019E-2</c:v>
                </c:pt>
                <c:pt idx="780">
                  <c:v>0.18651434126469474</c:v>
                </c:pt>
                <c:pt idx="781">
                  <c:v>7.1837962729763408E-2</c:v>
                </c:pt>
                <c:pt idx="782">
                  <c:v>0.21995274617823998</c:v>
                </c:pt>
                <c:pt idx="783">
                  <c:v>8.5761635252623369E-2</c:v>
                </c:pt>
                <c:pt idx="784">
                  <c:v>0.25676865279031386</c:v>
                </c:pt>
                <c:pt idx="785">
                  <c:v>5.1497135526025042E-2</c:v>
                </c:pt>
                <c:pt idx="786">
                  <c:v>0.19284917746863836</c:v>
                </c:pt>
                <c:pt idx="787">
                  <c:v>0.197928896801707</c:v>
                </c:pt>
                <c:pt idx="788">
                  <c:v>0.20078899727266719</c:v>
                </c:pt>
                <c:pt idx="789">
                  <c:v>0.1903643484824584</c:v>
                </c:pt>
                <c:pt idx="790">
                  <c:v>5.874534474616646E-2</c:v>
                </c:pt>
                <c:pt idx="791">
                  <c:v>-5.8950218163911869E-2</c:v>
                </c:pt>
                <c:pt idx="792">
                  <c:v>-0.14293335843535743</c:v>
                </c:pt>
                <c:pt idx="793">
                  <c:v>0.16848619967429485</c:v>
                </c:pt>
                <c:pt idx="794">
                  <c:v>-0.16877374607887041</c:v>
                </c:pt>
                <c:pt idx="795">
                  <c:v>3.4588065733334269E-2</c:v>
                </c:pt>
                <c:pt idx="796">
                  <c:v>0.14390950066396135</c:v>
                </c:pt>
                <c:pt idx="797">
                  <c:v>0.160608112614951</c:v>
                </c:pt>
                <c:pt idx="798">
                  <c:v>0.21795825852214651</c:v>
                </c:pt>
                <c:pt idx="799">
                  <c:v>-0.12329262748867954</c:v>
                </c:pt>
                <c:pt idx="800">
                  <c:v>0.22620671121407404</c:v>
                </c:pt>
                <c:pt idx="801">
                  <c:v>0.35929613909861002</c:v>
                </c:pt>
                <c:pt idx="802">
                  <c:v>0.28978142837012821</c:v>
                </c:pt>
                <c:pt idx="803">
                  <c:v>0.21427583943338502</c:v>
                </c:pt>
                <c:pt idx="804">
                  <c:v>0.13530762286941181</c:v>
                </c:pt>
                <c:pt idx="805">
                  <c:v>0.20330573428639098</c:v>
                </c:pt>
                <c:pt idx="806">
                  <c:v>-0.11015511871995064</c:v>
                </c:pt>
                <c:pt idx="807">
                  <c:v>0.12832932477397926</c:v>
                </c:pt>
                <c:pt idx="808">
                  <c:v>-4.1770384785723383E-2</c:v>
                </c:pt>
                <c:pt idx="809">
                  <c:v>0.33363391328136455</c:v>
                </c:pt>
                <c:pt idx="810">
                  <c:v>9.4239270836991115E-2</c:v>
                </c:pt>
                <c:pt idx="811">
                  <c:v>-9.1081744659757866E-2</c:v>
                </c:pt>
                <c:pt idx="812">
                  <c:v>0.28584879611271319</c:v>
                </c:pt>
                <c:pt idx="813">
                  <c:v>0.19495709240904452</c:v>
                </c:pt>
                <c:pt idx="814">
                  <c:v>8.7164070015691764E-2</c:v>
                </c:pt>
                <c:pt idx="815">
                  <c:v>-1.2207574819259312E-2</c:v>
                </c:pt>
                <c:pt idx="816">
                  <c:v>-0.16833061548362721</c:v>
                </c:pt>
                <c:pt idx="817">
                  <c:v>0.39157659863729471</c:v>
                </c:pt>
                <c:pt idx="818">
                  <c:v>3.1997280029823882E-2</c:v>
                </c:pt>
                <c:pt idx="819">
                  <c:v>0.15610436784098733</c:v>
                </c:pt>
                <c:pt idx="820">
                  <c:v>2.9996428514143678E-2</c:v>
                </c:pt>
                <c:pt idx="821">
                  <c:v>0.24692890696440062</c:v>
                </c:pt>
                <c:pt idx="822">
                  <c:v>0.12206452498198593</c:v>
                </c:pt>
                <c:pt idx="823">
                  <c:v>0.23666536530777058</c:v>
                </c:pt>
                <c:pt idx="824">
                  <c:v>-1.2798792300045728E-2</c:v>
                </c:pt>
                <c:pt idx="825">
                  <c:v>-2.5444522040768677E-2</c:v>
                </c:pt>
                <c:pt idx="826">
                  <c:v>0.58736675678564487</c:v>
                </c:pt>
                <c:pt idx="827">
                  <c:v>0.35159853510805383</c:v>
                </c:pt>
                <c:pt idx="828">
                  <c:v>-5.2270223624325943E-2</c:v>
                </c:pt>
                <c:pt idx="829">
                  <c:v>0.41862338741860639</c:v>
                </c:pt>
                <c:pt idx="830">
                  <c:v>0.34571501116079489</c:v>
                </c:pt>
                <c:pt idx="831">
                  <c:v>0.23685985318996008</c:v>
                </c:pt>
                <c:pt idx="832">
                  <c:v>0.12765635411841747</c:v>
                </c:pt>
                <c:pt idx="833">
                  <c:v>-5.9932008368953557E-2</c:v>
                </c:pt>
                <c:pt idx="834">
                  <c:v>0.15636803159960638</c:v>
                </c:pt>
                <c:pt idx="835">
                  <c:v>0.37281458345043972</c:v>
                </c:pt>
                <c:pt idx="836">
                  <c:v>3.2051152206887298E-2</c:v>
                </c:pt>
                <c:pt idx="837">
                  <c:v>0.2588214768574722</c:v>
                </c:pt>
                <c:pt idx="838">
                  <c:v>0.19926500185390505</c:v>
                </c:pt>
                <c:pt idx="839">
                  <c:v>0.2965020996560393</c:v>
                </c:pt>
                <c:pt idx="840">
                  <c:v>1.5766497232750282E-2</c:v>
                </c:pt>
                <c:pt idx="841">
                  <c:v>0.32770577439081139</c:v>
                </c:pt>
                <c:pt idx="842">
                  <c:v>-0.13155062196114919</c:v>
                </c:pt>
                <c:pt idx="843">
                  <c:v>1.5033457341006626E-2</c:v>
                </c:pt>
                <c:pt idx="844">
                  <c:v>-0.23502365153065502</c:v>
                </c:pt>
                <c:pt idx="845">
                  <c:v>-0.10381178551611796</c:v>
                </c:pt>
                <c:pt idx="846">
                  <c:v>0.34038021282525599</c:v>
                </c:pt>
                <c:pt idx="847">
                  <c:v>0.44884559917146583</c:v>
                </c:pt>
                <c:pt idx="848">
                  <c:v>8.6407933347696017E-2</c:v>
                </c:pt>
                <c:pt idx="849">
                  <c:v>0.2541240376401584</c:v>
                </c:pt>
                <c:pt idx="850">
                  <c:v>0.32244184461773467</c:v>
                </c:pt>
                <c:pt idx="851">
                  <c:v>-2.7963540015265367E-2</c:v>
                </c:pt>
                <c:pt idx="852">
                  <c:v>-0.24565576592558985</c:v>
                </c:pt>
                <c:pt idx="853">
                  <c:v>0.15717085978685574</c:v>
                </c:pt>
                <c:pt idx="854">
                  <c:v>0.16651551160336042</c:v>
                </c:pt>
                <c:pt idx="855">
                  <c:v>0.19706230530762409</c:v>
                </c:pt>
                <c:pt idx="856">
                  <c:v>4.3813762488600555E-2</c:v>
                </c:pt>
                <c:pt idx="857">
                  <c:v>7.23847765367895E-2</c:v>
                </c:pt>
                <c:pt idx="858">
                  <c:v>0.26022431753431008</c:v>
                </c:pt>
                <c:pt idx="859">
                  <c:v>-0.30548310841945087</c:v>
                </c:pt>
                <c:pt idx="860">
                  <c:v>0.26206700178750009</c:v>
                </c:pt>
                <c:pt idx="861">
                  <c:v>0.24982600257428883</c:v>
                </c:pt>
                <c:pt idx="862">
                  <c:v>-6.9204210988130191E-2</c:v>
                </c:pt>
                <c:pt idx="863">
                  <c:v>-3.46902330139333E-2</c:v>
                </c:pt>
                <c:pt idx="864">
                  <c:v>-8.9768807214882687E-2</c:v>
                </c:pt>
                <c:pt idx="865">
                  <c:v>7.1338451559656541E-2</c:v>
                </c:pt>
                <c:pt idx="866">
                  <c:v>2.5858765125400127E-2</c:v>
                </c:pt>
                <c:pt idx="867">
                  <c:v>6.3486783724428925E-2</c:v>
                </c:pt>
                <c:pt idx="868">
                  <c:v>-7.8251832224513346E-3</c:v>
                </c:pt>
                <c:pt idx="869">
                  <c:v>0.22509463795350429</c:v>
                </c:pt>
                <c:pt idx="870">
                  <c:v>0.27435216767832016</c:v>
                </c:pt>
                <c:pt idx="871">
                  <c:v>6.6388041492197666E-2</c:v>
                </c:pt>
                <c:pt idx="872">
                  <c:v>0.12858142438192885</c:v>
                </c:pt>
                <c:pt idx="873">
                  <c:v>5.4118327050869074E-2</c:v>
                </c:pt>
                <c:pt idx="874">
                  <c:v>0.12687238110069751</c:v>
                </c:pt>
                <c:pt idx="875">
                  <c:v>-0.12212825094760883</c:v>
                </c:pt>
                <c:pt idx="876">
                  <c:v>5.0406618811082646E-2</c:v>
                </c:pt>
                <c:pt idx="877">
                  <c:v>0.54279138722191256</c:v>
                </c:pt>
                <c:pt idx="878">
                  <c:v>0.29133760075111381</c:v>
                </c:pt>
                <c:pt idx="879">
                  <c:v>0.26629736097010087</c:v>
                </c:pt>
                <c:pt idx="880">
                  <c:v>0.45399144955817583</c:v>
                </c:pt>
                <c:pt idx="881">
                  <c:v>0.41109262738303193</c:v>
                </c:pt>
                <c:pt idx="882">
                  <c:v>0.27963489415551046</c:v>
                </c:pt>
                <c:pt idx="883">
                  <c:v>5.1207491072899299E-2</c:v>
                </c:pt>
                <c:pt idx="884">
                  <c:v>0.30290783228155227</c:v>
                </c:pt>
                <c:pt idx="885">
                  <c:v>-2.9968624849562434E-2</c:v>
                </c:pt>
                <c:pt idx="886">
                  <c:v>0.13297477088904774</c:v>
                </c:pt>
                <c:pt idx="887">
                  <c:v>0.14318773254343983</c:v>
                </c:pt>
                <c:pt idx="888">
                  <c:v>2.4921170172631221E-2</c:v>
                </c:pt>
                <c:pt idx="889">
                  <c:v>6.9449367439493093E-2</c:v>
                </c:pt>
                <c:pt idx="890">
                  <c:v>5.5042827504615199E-2</c:v>
                </c:pt>
                <c:pt idx="891">
                  <c:v>-0.21969513078769976</c:v>
                </c:pt>
                <c:pt idx="892">
                  <c:v>0.23011778457775894</c:v>
                </c:pt>
                <c:pt idx="893">
                  <c:v>0.2772400677446562</c:v>
                </c:pt>
                <c:pt idx="894">
                  <c:v>8.7725886244098564E-2</c:v>
                </c:pt>
                <c:pt idx="895">
                  <c:v>0.18552174561632651</c:v>
                </c:pt>
                <c:pt idx="896">
                  <c:v>0.1897274243630459</c:v>
                </c:pt>
                <c:pt idx="897">
                  <c:v>0.17863746158816252</c:v>
                </c:pt>
                <c:pt idx="898">
                  <c:v>8.6270968193550512E-2</c:v>
                </c:pt>
                <c:pt idx="899">
                  <c:v>-2.4671624621958307E-2</c:v>
                </c:pt>
                <c:pt idx="900">
                  <c:v>5.4405873980663585E-2</c:v>
                </c:pt>
                <c:pt idx="901">
                  <c:v>0.14129540287003675</c:v>
                </c:pt>
                <c:pt idx="902">
                  <c:v>0.20923063909353584</c:v>
                </c:pt>
                <c:pt idx="903">
                  <c:v>-6.9186840827512155E-2</c:v>
                </c:pt>
                <c:pt idx="904">
                  <c:v>0.13989173825853674</c:v>
                </c:pt>
                <c:pt idx="905">
                  <c:v>0.13629491104478017</c:v>
                </c:pt>
                <c:pt idx="906">
                  <c:v>0.39149862182636147</c:v>
                </c:pt>
                <c:pt idx="907">
                  <c:v>-1.8017929499682395E-3</c:v>
                </c:pt>
                <c:pt idx="908">
                  <c:v>5.128958534407068E-2</c:v>
                </c:pt>
                <c:pt idx="909">
                  <c:v>0.13362861610572702</c:v>
                </c:pt>
                <c:pt idx="910">
                  <c:v>0.22370129355600463</c:v>
                </c:pt>
                <c:pt idx="911">
                  <c:v>-0.18798898487997162</c:v>
                </c:pt>
                <c:pt idx="912">
                  <c:v>0.13657995091205027</c:v>
                </c:pt>
                <c:pt idx="913">
                  <c:v>0.13315466042328505</c:v>
                </c:pt>
                <c:pt idx="914">
                  <c:v>0.36414647895789326</c:v>
                </c:pt>
                <c:pt idx="915">
                  <c:v>-0.32828134952713278</c:v>
                </c:pt>
                <c:pt idx="916">
                  <c:v>0.18553675236233991</c:v>
                </c:pt>
                <c:pt idx="917">
                  <c:v>0.25834867449125043</c:v>
                </c:pt>
                <c:pt idx="918">
                  <c:v>0.27418635222062587</c:v>
                </c:pt>
                <c:pt idx="919">
                  <c:v>-0.14898590647692289</c:v>
                </c:pt>
                <c:pt idx="920">
                  <c:v>-0.14803319703961182</c:v>
                </c:pt>
                <c:pt idx="921">
                  <c:v>0.34901859406661534</c:v>
                </c:pt>
                <c:pt idx="922">
                  <c:v>0.20418519603404206</c:v>
                </c:pt>
                <c:pt idx="923">
                  <c:v>-2.2118502679110266E-2</c:v>
                </c:pt>
                <c:pt idx="924">
                  <c:v>-0.35755574784659144</c:v>
                </c:pt>
                <c:pt idx="925">
                  <c:v>0.36515600945080934</c:v>
                </c:pt>
                <c:pt idx="926">
                  <c:v>-9.9815668048036515E-3</c:v>
                </c:pt>
                <c:pt idx="927">
                  <c:v>-0.19311010462530864</c:v>
                </c:pt>
                <c:pt idx="928">
                  <c:v>6.5323049107186698E-3</c:v>
                </c:pt>
                <c:pt idx="929">
                  <c:v>2.4958984446656923E-2</c:v>
                </c:pt>
                <c:pt idx="930">
                  <c:v>0.24800236933965791</c:v>
                </c:pt>
                <c:pt idx="931">
                  <c:v>-0.13149611324314253</c:v>
                </c:pt>
                <c:pt idx="932">
                  <c:v>-0.10992955715884033</c:v>
                </c:pt>
                <c:pt idx="933">
                  <c:v>0.64511644236842447</c:v>
                </c:pt>
                <c:pt idx="934">
                  <c:v>0.38632216122984858</c:v>
                </c:pt>
                <c:pt idx="935">
                  <c:v>0.20229144031898555</c:v>
                </c:pt>
                <c:pt idx="936">
                  <c:v>9.50338234842662E-2</c:v>
                </c:pt>
                <c:pt idx="937">
                  <c:v>-0.11861649746317159</c:v>
                </c:pt>
                <c:pt idx="938">
                  <c:v>0.28960911253409205</c:v>
                </c:pt>
                <c:pt idx="939">
                  <c:v>0.19279326715102124</c:v>
                </c:pt>
                <c:pt idx="940">
                  <c:v>1.2979114770856129E-2</c:v>
                </c:pt>
                <c:pt idx="941">
                  <c:v>0.3930443034152219</c:v>
                </c:pt>
                <c:pt idx="942">
                  <c:v>0.25058130802792533</c:v>
                </c:pt>
                <c:pt idx="943">
                  <c:v>0.48460503205011163</c:v>
                </c:pt>
                <c:pt idx="944">
                  <c:v>0.14366001063312756</c:v>
                </c:pt>
                <c:pt idx="945">
                  <c:v>6.4809470513053302E-2</c:v>
                </c:pt>
                <c:pt idx="946">
                  <c:v>-9.4769763093057444E-2</c:v>
                </c:pt>
                <c:pt idx="947">
                  <c:v>0.55259038545023631</c:v>
                </c:pt>
                <c:pt idx="948">
                  <c:v>7.1774652967765945E-2</c:v>
                </c:pt>
                <c:pt idx="949">
                  <c:v>0.1861738040062223</c:v>
                </c:pt>
                <c:pt idx="950">
                  <c:v>0.25150572546811267</c:v>
                </c:pt>
                <c:pt idx="951">
                  <c:v>0.11444529302196348</c:v>
                </c:pt>
                <c:pt idx="952">
                  <c:v>0.23872416625696163</c:v>
                </c:pt>
                <c:pt idx="953">
                  <c:v>0.1945170366635548</c:v>
                </c:pt>
                <c:pt idx="954">
                  <c:v>0.13099835541832014</c:v>
                </c:pt>
                <c:pt idx="955">
                  <c:v>0.18500289526637348</c:v>
                </c:pt>
                <c:pt idx="956">
                  <c:v>0.18701044766561617</c:v>
                </c:pt>
                <c:pt idx="957">
                  <c:v>0.52572769623969762</c:v>
                </c:pt>
                <c:pt idx="958">
                  <c:v>0.12464083527192929</c:v>
                </c:pt>
                <c:pt idx="959">
                  <c:v>-0.18484113124992968</c:v>
                </c:pt>
                <c:pt idx="960">
                  <c:v>0.21115751816302464</c:v>
                </c:pt>
                <c:pt idx="961">
                  <c:v>0.12215838459846655</c:v>
                </c:pt>
                <c:pt idx="962">
                  <c:v>0.28168238117189348</c:v>
                </c:pt>
                <c:pt idx="963">
                  <c:v>0.11622759308360872</c:v>
                </c:pt>
                <c:pt idx="964">
                  <c:v>1.0478624085608609E-2</c:v>
                </c:pt>
                <c:pt idx="965">
                  <c:v>0.10466453974828296</c:v>
                </c:pt>
                <c:pt idx="966">
                  <c:v>0.13292878643959602</c:v>
                </c:pt>
                <c:pt idx="967">
                  <c:v>0.25988485380268722</c:v>
                </c:pt>
                <c:pt idx="968">
                  <c:v>-3.2570106612311703E-2</c:v>
                </c:pt>
                <c:pt idx="969">
                  <c:v>-0.16903428645429719</c:v>
                </c:pt>
                <c:pt idx="970">
                  <c:v>0.10575855001507216</c:v>
                </c:pt>
                <c:pt idx="971">
                  <c:v>0.16356071631003172</c:v>
                </c:pt>
                <c:pt idx="972">
                  <c:v>0.12883253544033146</c:v>
                </c:pt>
                <c:pt idx="973">
                  <c:v>-8.3613772219066809E-2</c:v>
                </c:pt>
                <c:pt idx="974">
                  <c:v>-5.7839898396007519E-2</c:v>
                </c:pt>
                <c:pt idx="975">
                  <c:v>-0.39314740660281167</c:v>
                </c:pt>
                <c:pt idx="976">
                  <c:v>0.28572108598253709</c:v>
                </c:pt>
                <c:pt idx="977">
                  <c:v>-0.15274590623347833</c:v>
                </c:pt>
                <c:pt idx="978">
                  <c:v>0.17192460534121648</c:v>
                </c:pt>
                <c:pt idx="979">
                  <c:v>0.16453465501668849</c:v>
                </c:pt>
                <c:pt idx="980">
                  <c:v>0.36335280244897605</c:v>
                </c:pt>
                <c:pt idx="981">
                  <c:v>0.43547177402634818</c:v>
                </c:pt>
                <c:pt idx="982">
                  <c:v>0.46624365449194988</c:v>
                </c:pt>
                <c:pt idx="983">
                  <c:v>-2.5920043803011925E-2</c:v>
                </c:pt>
                <c:pt idx="984">
                  <c:v>8.7052671567961898E-2</c:v>
                </c:pt>
                <c:pt idx="985">
                  <c:v>0.13029077483791776</c:v>
                </c:pt>
                <c:pt idx="986">
                  <c:v>0.17410491738949524</c:v>
                </c:pt>
                <c:pt idx="987">
                  <c:v>0.19158165969794183</c:v>
                </c:pt>
                <c:pt idx="988">
                  <c:v>0.22416332185419854</c:v>
                </c:pt>
                <c:pt idx="989">
                  <c:v>-8.4537267268859365E-2</c:v>
                </c:pt>
                <c:pt idx="990">
                  <c:v>9.6172813676329544E-2</c:v>
                </c:pt>
                <c:pt idx="991">
                  <c:v>7.6369667624363424E-2</c:v>
                </c:pt>
                <c:pt idx="992">
                  <c:v>-8.2400491497387221E-2</c:v>
                </c:pt>
                <c:pt idx="993">
                  <c:v>0.34369222611448846</c:v>
                </c:pt>
                <c:pt idx="994">
                  <c:v>0.25902722665755418</c:v>
                </c:pt>
                <c:pt idx="995">
                  <c:v>1.0261066444820638E-3</c:v>
                </c:pt>
                <c:pt idx="996">
                  <c:v>-5.1427654062645309E-2</c:v>
                </c:pt>
                <c:pt idx="997">
                  <c:v>-6.0237594603101782E-2</c:v>
                </c:pt>
                <c:pt idx="998">
                  <c:v>-0.11016396382400319</c:v>
                </c:pt>
                <c:pt idx="999">
                  <c:v>0.40638893176050911</c:v>
                </c:pt>
                <c:pt idx="1000">
                  <c:v>0.30636230661302793</c:v>
                </c:pt>
                <c:pt idx="1001">
                  <c:v>-0.20813926413937772</c:v>
                </c:pt>
                <c:pt idx="1002">
                  <c:v>4.9778711729667455E-2</c:v>
                </c:pt>
                <c:pt idx="1003">
                  <c:v>-0.17435454827031927</c:v>
                </c:pt>
                <c:pt idx="1004">
                  <c:v>0.29044594846863442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DC-4B23-AA51-4AB623CC6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545967"/>
        <c:axId val="1518539247"/>
      </c:scatterChart>
      <c:valAx>
        <c:axId val="151854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8539247"/>
        <c:crosses val="autoZero"/>
        <c:crossBetween val="midCat"/>
      </c:valAx>
      <c:valAx>
        <c:axId val="1518539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854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Historical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'S&amp;P'!$I$3:$I$100</c:f>
              <c:numCache>
                <c:formatCode>General</c:formatCode>
                <c:ptCount val="98"/>
                <c:pt idx="0">
                  <c:v>1928</c:v>
                </c:pt>
                <c:pt idx="1">
                  <c:v>1929</c:v>
                </c:pt>
                <c:pt idx="2">
                  <c:v>1930</c:v>
                </c:pt>
                <c:pt idx="3">
                  <c:v>1931</c:v>
                </c:pt>
                <c:pt idx="4">
                  <c:v>1932</c:v>
                </c:pt>
                <c:pt idx="5">
                  <c:v>1933</c:v>
                </c:pt>
                <c:pt idx="6">
                  <c:v>1934</c:v>
                </c:pt>
                <c:pt idx="7">
                  <c:v>1935</c:v>
                </c:pt>
                <c:pt idx="8">
                  <c:v>1936</c:v>
                </c:pt>
                <c:pt idx="9">
                  <c:v>1937</c:v>
                </c:pt>
                <c:pt idx="10">
                  <c:v>1938</c:v>
                </c:pt>
                <c:pt idx="11">
                  <c:v>1939</c:v>
                </c:pt>
                <c:pt idx="12">
                  <c:v>1940</c:v>
                </c:pt>
                <c:pt idx="13">
                  <c:v>1941</c:v>
                </c:pt>
                <c:pt idx="14">
                  <c:v>1942</c:v>
                </c:pt>
                <c:pt idx="15">
                  <c:v>1943</c:v>
                </c:pt>
                <c:pt idx="16">
                  <c:v>1944</c:v>
                </c:pt>
                <c:pt idx="17">
                  <c:v>1945</c:v>
                </c:pt>
                <c:pt idx="18">
                  <c:v>1946</c:v>
                </c:pt>
                <c:pt idx="19">
                  <c:v>1947</c:v>
                </c:pt>
                <c:pt idx="20">
                  <c:v>1948</c:v>
                </c:pt>
                <c:pt idx="21">
                  <c:v>1949</c:v>
                </c:pt>
                <c:pt idx="22">
                  <c:v>1950</c:v>
                </c:pt>
                <c:pt idx="23">
                  <c:v>1951</c:v>
                </c:pt>
                <c:pt idx="24">
                  <c:v>1952</c:v>
                </c:pt>
                <c:pt idx="25">
                  <c:v>1953</c:v>
                </c:pt>
                <c:pt idx="26">
                  <c:v>1954</c:v>
                </c:pt>
                <c:pt idx="27">
                  <c:v>1955</c:v>
                </c:pt>
                <c:pt idx="28">
                  <c:v>1956</c:v>
                </c:pt>
                <c:pt idx="29">
                  <c:v>1957</c:v>
                </c:pt>
                <c:pt idx="30">
                  <c:v>1958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1979</c:v>
                </c:pt>
                <c:pt idx="52">
                  <c:v>1980</c:v>
                </c:pt>
                <c:pt idx="53">
                  <c:v>1981</c:v>
                </c:pt>
                <c:pt idx="54">
                  <c:v>1982</c:v>
                </c:pt>
                <c:pt idx="55">
                  <c:v>1983</c:v>
                </c:pt>
                <c:pt idx="56">
                  <c:v>1984</c:v>
                </c:pt>
                <c:pt idx="57">
                  <c:v>1985</c:v>
                </c:pt>
                <c:pt idx="58">
                  <c:v>1986</c:v>
                </c:pt>
                <c:pt idx="59">
                  <c:v>1987</c:v>
                </c:pt>
                <c:pt idx="60">
                  <c:v>1988</c:v>
                </c:pt>
                <c:pt idx="61">
                  <c:v>1989</c:v>
                </c:pt>
                <c:pt idx="62">
                  <c:v>1990</c:v>
                </c:pt>
                <c:pt idx="63">
                  <c:v>1991</c:v>
                </c:pt>
                <c:pt idx="64">
                  <c:v>1992</c:v>
                </c:pt>
                <c:pt idx="65">
                  <c:v>1993</c:v>
                </c:pt>
                <c:pt idx="66">
                  <c:v>1994</c:v>
                </c:pt>
                <c:pt idx="67">
                  <c:v>1995</c:v>
                </c:pt>
                <c:pt idx="68">
                  <c:v>1996</c:v>
                </c:pt>
                <c:pt idx="69">
                  <c:v>1997</c:v>
                </c:pt>
                <c:pt idx="70">
                  <c:v>1998</c:v>
                </c:pt>
                <c:pt idx="71">
                  <c:v>1999</c:v>
                </c:pt>
                <c:pt idx="72">
                  <c:v>2000</c:v>
                </c:pt>
                <c:pt idx="73">
                  <c:v>2001</c:v>
                </c:pt>
                <c:pt idx="74">
                  <c:v>2002</c:v>
                </c:pt>
                <c:pt idx="75">
                  <c:v>2003</c:v>
                </c:pt>
                <c:pt idx="76">
                  <c:v>2004</c:v>
                </c:pt>
                <c:pt idx="77">
                  <c:v>2005</c:v>
                </c:pt>
                <c:pt idx="78">
                  <c:v>2006</c:v>
                </c:pt>
                <c:pt idx="79">
                  <c:v>2007</c:v>
                </c:pt>
                <c:pt idx="80">
                  <c:v>2008</c:v>
                </c:pt>
                <c:pt idx="81">
                  <c:v>2009</c:v>
                </c:pt>
                <c:pt idx="82">
                  <c:v>2010</c:v>
                </c:pt>
                <c:pt idx="83">
                  <c:v>2011</c:v>
                </c:pt>
                <c:pt idx="84">
                  <c:v>2012</c:v>
                </c:pt>
                <c:pt idx="85">
                  <c:v>2013</c:v>
                </c:pt>
                <c:pt idx="86">
                  <c:v>2014</c:v>
                </c:pt>
                <c:pt idx="87">
                  <c:v>2015</c:v>
                </c:pt>
                <c:pt idx="88">
                  <c:v>2016</c:v>
                </c:pt>
                <c:pt idx="89">
                  <c:v>2017</c:v>
                </c:pt>
                <c:pt idx="90">
                  <c:v>2018</c:v>
                </c:pt>
                <c:pt idx="91">
                  <c:v>2019</c:v>
                </c:pt>
                <c:pt idx="92">
                  <c:v>2020</c:v>
                </c:pt>
                <c:pt idx="93">
                  <c:v>2021</c:v>
                </c:pt>
                <c:pt idx="94">
                  <c:v>2022</c:v>
                </c:pt>
                <c:pt idx="95">
                  <c:v>2023</c:v>
                </c:pt>
                <c:pt idx="96">
                  <c:v>2024</c:v>
                </c:pt>
                <c:pt idx="97">
                  <c:v>2025</c:v>
                </c:pt>
              </c:numCache>
            </c:numRef>
          </c:cat>
          <c:val>
            <c:numRef>
              <c:f>'S&amp;P'!$J$3:$J$100</c:f>
              <c:numCache>
                <c:formatCode>0%</c:formatCode>
                <c:ptCount val="98"/>
                <c:pt idx="0">
                  <c:v>0.37880000000000003</c:v>
                </c:pt>
                <c:pt idx="1">
                  <c:v>-0.1191</c:v>
                </c:pt>
                <c:pt idx="2">
                  <c:v>-0.2848</c:v>
                </c:pt>
                <c:pt idx="3">
                  <c:v>-0.47070000000000001</c:v>
                </c:pt>
                <c:pt idx="4">
                  <c:v>-0.1515</c:v>
                </c:pt>
                <c:pt idx="5">
                  <c:v>0.46590000000000004</c:v>
                </c:pt>
                <c:pt idx="6">
                  <c:v>-5.9400000000000001E-2</c:v>
                </c:pt>
                <c:pt idx="7">
                  <c:v>0.41369999999999996</c:v>
                </c:pt>
                <c:pt idx="8">
                  <c:v>0.2792</c:v>
                </c:pt>
                <c:pt idx="9">
                  <c:v>-0.38590000000000002</c:v>
                </c:pt>
                <c:pt idx="10">
                  <c:v>0.25209999999999999</c:v>
                </c:pt>
                <c:pt idx="11">
                  <c:v>-5.45E-2</c:v>
                </c:pt>
                <c:pt idx="12">
                  <c:v>-0.15289999999999998</c:v>
                </c:pt>
                <c:pt idx="13">
                  <c:v>-0.17859999999999998</c:v>
                </c:pt>
                <c:pt idx="14">
                  <c:v>0.12429999999999999</c:v>
                </c:pt>
                <c:pt idx="15">
                  <c:v>0.19450000000000001</c:v>
                </c:pt>
                <c:pt idx="16">
                  <c:v>0.13800000000000001</c:v>
                </c:pt>
                <c:pt idx="17">
                  <c:v>0.30719999999999997</c:v>
                </c:pt>
                <c:pt idx="18">
                  <c:v>0.11869999999999999</c:v>
                </c:pt>
                <c:pt idx="19">
                  <c:v>-0.31</c:v>
                </c:pt>
                <c:pt idx="20">
                  <c:v>-6.5000000000000006E-3</c:v>
                </c:pt>
                <c:pt idx="21">
                  <c:v>0.1026</c:v>
                </c:pt>
                <c:pt idx="22">
                  <c:v>0.21780000000000002</c:v>
                </c:pt>
                <c:pt idx="23">
                  <c:v>0.1646</c:v>
                </c:pt>
                <c:pt idx="24">
                  <c:v>0.11779999999999999</c:v>
                </c:pt>
                <c:pt idx="25">
                  <c:v>-6.6199999999999995E-2</c:v>
                </c:pt>
                <c:pt idx="26">
                  <c:v>0.45020000000000004</c:v>
                </c:pt>
                <c:pt idx="27">
                  <c:v>0.26400000000000001</c:v>
                </c:pt>
                <c:pt idx="28">
                  <c:v>2.6200000000000001E-2</c:v>
                </c:pt>
                <c:pt idx="29">
                  <c:v>0.1431</c:v>
                </c:pt>
                <c:pt idx="30">
                  <c:v>0.38060000000000005</c:v>
                </c:pt>
                <c:pt idx="31">
                  <c:v>8.48E-2</c:v>
                </c:pt>
                <c:pt idx="32">
                  <c:v>-2.9700000000000001E-2</c:v>
                </c:pt>
                <c:pt idx="33">
                  <c:v>0.23129999999999998</c:v>
                </c:pt>
                <c:pt idx="34">
                  <c:v>0.11810000000000001</c:v>
                </c:pt>
                <c:pt idx="35">
                  <c:v>0.18890000000000001</c:v>
                </c:pt>
                <c:pt idx="36">
                  <c:v>0.12970000000000001</c:v>
                </c:pt>
                <c:pt idx="37">
                  <c:v>9.06E-2</c:v>
                </c:pt>
                <c:pt idx="38">
                  <c:v>0.13089999999999999</c:v>
                </c:pt>
                <c:pt idx="39">
                  <c:v>0.2009</c:v>
                </c:pt>
                <c:pt idx="40">
                  <c:v>7.6600000000000001E-2</c:v>
                </c:pt>
                <c:pt idx="41">
                  <c:v>0.11359999999999999</c:v>
                </c:pt>
                <c:pt idx="42">
                  <c:v>1E-3</c:v>
                </c:pt>
                <c:pt idx="43">
                  <c:v>0.1079</c:v>
                </c:pt>
                <c:pt idx="44">
                  <c:v>0.15629999999999999</c:v>
                </c:pt>
                <c:pt idx="45">
                  <c:v>0.17370000000000002</c:v>
                </c:pt>
                <c:pt idx="46">
                  <c:v>0.29719999999999996</c:v>
                </c:pt>
                <c:pt idx="47">
                  <c:v>0.3155</c:v>
                </c:pt>
                <c:pt idx="48">
                  <c:v>0.19149999999999998</c:v>
                </c:pt>
                <c:pt idx="49">
                  <c:v>-0.115</c:v>
                </c:pt>
                <c:pt idx="50">
                  <c:v>1.06E-2</c:v>
                </c:pt>
                <c:pt idx="51">
                  <c:v>0.1231</c:v>
                </c:pt>
                <c:pt idx="52">
                  <c:v>0.25769999999999998</c:v>
                </c:pt>
                <c:pt idx="53">
                  <c:v>-9.7299999999999998E-2</c:v>
                </c:pt>
                <c:pt idx="54">
                  <c:v>0.14760000000000001</c:v>
                </c:pt>
                <c:pt idx="55">
                  <c:v>0.17269999999999999</c:v>
                </c:pt>
                <c:pt idx="56">
                  <c:v>1.3999999999999999E-2</c:v>
                </c:pt>
                <c:pt idx="57">
                  <c:v>0.26329999999999998</c:v>
                </c:pt>
                <c:pt idx="58">
                  <c:v>0.1462</c:v>
                </c:pt>
                <c:pt idx="59">
                  <c:v>2.0299999999999999E-2</c:v>
                </c:pt>
                <c:pt idx="60">
                  <c:v>0.124</c:v>
                </c:pt>
                <c:pt idx="61">
                  <c:v>0.27250000000000002</c:v>
                </c:pt>
                <c:pt idx="62">
                  <c:v>-6.5599999999999992E-2</c:v>
                </c:pt>
                <c:pt idx="63">
                  <c:v>0.2631</c:v>
                </c:pt>
                <c:pt idx="64">
                  <c:v>4.4600000000000001E-2</c:v>
                </c:pt>
                <c:pt idx="65">
                  <c:v>7.0599999999999996E-2</c:v>
                </c:pt>
                <c:pt idx="66">
                  <c:v>-1.54E-2</c:v>
                </c:pt>
                <c:pt idx="67">
                  <c:v>0.34110000000000001</c:v>
                </c:pt>
                <c:pt idx="68">
                  <c:v>0.2026</c:v>
                </c:pt>
                <c:pt idx="69">
                  <c:v>0.31010000000000004</c:v>
                </c:pt>
                <c:pt idx="70">
                  <c:v>0.26669999999999999</c:v>
                </c:pt>
                <c:pt idx="71">
                  <c:v>0.1953</c:v>
                </c:pt>
                <c:pt idx="72">
                  <c:v>0.1014</c:v>
                </c:pt>
                <c:pt idx="73">
                  <c:v>0.13039999999999999</c:v>
                </c:pt>
                <c:pt idx="74">
                  <c:v>0.23370000000000002</c:v>
                </c:pt>
                <c:pt idx="75">
                  <c:v>0.26379999999999998</c:v>
                </c:pt>
                <c:pt idx="76">
                  <c:v>8.9900000000000008E-2</c:v>
                </c:pt>
                <c:pt idx="77">
                  <c:v>-0.30299999999999999</c:v>
                </c:pt>
                <c:pt idx="78">
                  <c:v>0.13619999999999999</c:v>
                </c:pt>
                <c:pt idx="79">
                  <c:v>3.5299999999999998E-2</c:v>
                </c:pt>
                <c:pt idx="80">
                  <c:v>0.38490000000000002</c:v>
                </c:pt>
                <c:pt idx="81">
                  <c:v>0.23449999999999999</c:v>
                </c:pt>
                <c:pt idx="82">
                  <c:v>0.1278</c:v>
                </c:pt>
                <c:pt idx="83">
                  <c:v>-0.3</c:v>
                </c:pt>
                <c:pt idx="84">
                  <c:v>0.1341</c:v>
                </c:pt>
                <c:pt idx="85">
                  <c:v>0.29600000000000004</c:v>
                </c:pt>
                <c:pt idx="86">
                  <c:v>0.1139</c:v>
                </c:pt>
                <c:pt idx="87">
                  <c:v>-7.3000000000000001E-3</c:v>
                </c:pt>
                <c:pt idx="88">
                  <c:v>9.5399999999999985E-2</c:v>
                </c:pt>
                <c:pt idx="89">
                  <c:v>0.19420000000000001</c:v>
                </c:pt>
                <c:pt idx="90">
                  <c:v>-6.2400000000000004E-2</c:v>
                </c:pt>
                <c:pt idx="91">
                  <c:v>0.2888</c:v>
                </c:pt>
                <c:pt idx="92">
                  <c:v>0.16260000000000002</c:v>
                </c:pt>
                <c:pt idx="93">
                  <c:v>0.26890000000000003</c:v>
                </c:pt>
                <c:pt idx="94">
                  <c:v>0.19440000000000002</c:v>
                </c:pt>
                <c:pt idx="95">
                  <c:v>0.24230000000000002</c:v>
                </c:pt>
                <c:pt idx="96">
                  <c:v>0.23309999999999997</c:v>
                </c:pt>
                <c:pt idx="97">
                  <c:v>-9.300000000000001E-3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C6-4F6C-8403-193F4F9A4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1021232"/>
        <c:axId val="581018352"/>
      </c:lineChart>
      <c:catAx>
        <c:axId val="58102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1018352"/>
        <c:crosses val="autoZero"/>
        <c:auto val="1"/>
        <c:lblAlgn val="ctr"/>
        <c:lblOffset val="100"/>
        <c:noMultiLvlLbl val="0"/>
      </c:catAx>
      <c:valAx>
        <c:axId val="58101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102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Distribution</a:t>
          </a:r>
        </a:p>
      </cx:txPr>
    </cx:title>
    <cx:plotArea>
      <cx:plotAreaRegion>
        <cx:series layoutId="clusteredColumn" uniqueId="{0DB86561-8B39-4755-B968-070F79FC119B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Historical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Historical Distribution</a:t>
          </a:r>
        </a:p>
      </cx:txPr>
    </cx:title>
    <cx:plotArea>
      <cx:plotAreaRegion>
        <cx:series layoutId="clusteredColumn" uniqueId="{4D8B95CD-1ECC-4D14-A83E-20215D3DE40A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252412</xdr:colOff>
      <xdr:row>4</xdr:row>
      <xdr:rowOff>186119</xdr:rowOff>
    </xdr:from>
    <xdr:to>
      <xdr:col>34</xdr:col>
      <xdr:colOff>525517</xdr:colOff>
      <xdr:row>24</xdr:row>
      <xdr:rowOff>120430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DE602E-65CE-4E4F-AA68-3912F6900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294290</xdr:colOff>
      <xdr:row>25</xdr:row>
      <xdr:rowOff>20062</xdr:rowOff>
    </xdr:from>
    <xdr:to>
      <xdr:col>34</xdr:col>
      <xdr:colOff>558362</xdr:colOff>
      <xdr:row>45</xdr:row>
      <xdr:rowOff>109483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A687053-1AAF-32D0-A458-7C16064621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43140" y="4782562"/>
              <a:ext cx="6969672" cy="3899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330638</xdr:colOff>
      <xdr:row>1</xdr:row>
      <xdr:rowOff>155684</xdr:rowOff>
    </xdr:from>
    <xdr:to>
      <xdr:col>17</xdr:col>
      <xdr:colOff>610914</xdr:colOff>
      <xdr:row>16</xdr:row>
      <xdr:rowOff>107074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9DF5D37-2D0F-B93A-3464-E2D8DB9D1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571500</xdr:colOff>
      <xdr:row>17</xdr:row>
      <xdr:rowOff>24304</xdr:rowOff>
    </xdr:from>
    <xdr:to>
      <xdr:col>18</xdr:col>
      <xdr:colOff>238672</xdr:colOff>
      <xdr:row>31</xdr:row>
      <xdr:rowOff>161815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B1469A09-F9C4-65D5-E063-6DF51C1ED1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0" y="3262804"/>
              <a:ext cx="4543972" cy="28045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2D50D-2B71-4AB6-853B-4212B0707310}">
  <dimension ref="A1:AW30"/>
  <sheetViews>
    <sheetView tabSelected="1" zoomScale="200" zoomScaleNormal="200" workbookViewId="0">
      <selection activeCell="J21" sqref="J21"/>
    </sheetView>
  </sheetViews>
  <sheetFormatPr defaultRowHeight="15" x14ac:dyDescent="0.25"/>
  <cols>
    <col min="1" max="1" width="3.42578125" style="10" customWidth="1"/>
    <col min="2" max="49" width="9.140625" style="10"/>
  </cols>
  <sheetData>
    <row r="1" spans="1:13" x14ac:dyDescent="0.25">
      <c r="A1" s="10" t="s">
        <v>0</v>
      </c>
    </row>
    <row r="4" spans="1:13" x14ac:dyDescent="0.25">
      <c r="B4" s="4" t="s">
        <v>25</v>
      </c>
      <c r="J4" s="4" t="s">
        <v>40</v>
      </c>
    </row>
    <row r="6" spans="1:13" x14ac:dyDescent="0.25">
      <c r="B6" s="9" t="s">
        <v>28</v>
      </c>
      <c r="J6" s="10" t="s">
        <v>41</v>
      </c>
      <c r="M6" s="10" t="s">
        <v>42</v>
      </c>
    </row>
    <row r="7" spans="1:13" x14ac:dyDescent="0.25">
      <c r="B7" s="10" t="s">
        <v>7</v>
      </c>
      <c r="J7" s="10" t="s">
        <v>49</v>
      </c>
      <c r="M7" s="10" t="s">
        <v>43</v>
      </c>
    </row>
    <row r="8" spans="1:13" x14ac:dyDescent="0.25">
      <c r="B8" s="10" t="s">
        <v>8</v>
      </c>
      <c r="J8" s="10" t="s">
        <v>50</v>
      </c>
      <c r="M8" s="10" t="s">
        <v>44</v>
      </c>
    </row>
    <row r="9" spans="1:13" x14ac:dyDescent="0.25">
      <c r="B9" s="10" t="s">
        <v>10</v>
      </c>
      <c r="J9" s="10" t="s">
        <v>51</v>
      </c>
    </row>
    <row r="10" spans="1:13" x14ac:dyDescent="0.25">
      <c r="B10" s="10" t="s">
        <v>11</v>
      </c>
    </row>
    <row r="11" spans="1:13" x14ac:dyDescent="0.25">
      <c r="B11" s="10" t="s">
        <v>29</v>
      </c>
      <c r="J11" s="10" t="s">
        <v>54</v>
      </c>
    </row>
    <row r="12" spans="1:13" x14ac:dyDescent="0.25">
      <c r="B12" s="10" t="s">
        <v>30</v>
      </c>
      <c r="J12" s="10" t="s">
        <v>47</v>
      </c>
    </row>
    <row r="13" spans="1:13" x14ac:dyDescent="0.25">
      <c r="B13" s="10" t="s">
        <v>31</v>
      </c>
      <c r="J13" s="10" t="s">
        <v>55</v>
      </c>
    </row>
    <row r="14" spans="1:13" x14ac:dyDescent="0.25">
      <c r="B14" s="10" t="s">
        <v>32</v>
      </c>
    </row>
    <row r="15" spans="1:13" x14ac:dyDescent="0.25">
      <c r="J15" s="10" t="s">
        <v>45</v>
      </c>
    </row>
    <row r="16" spans="1:13" x14ac:dyDescent="0.25">
      <c r="B16" s="9" t="s">
        <v>27</v>
      </c>
      <c r="J16" s="10" t="s">
        <v>46</v>
      </c>
    </row>
    <row r="17" spans="2:10" x14ac:dyDescent="0.25">
      <c r="B17" s="10" t="s">
        <v>9</v>
      </c>
    </row>
    <row r="18" spans="2:10" x14ac:dyDescent="0.25">
      <c r="B18" s="10" t="s">
        <v>12</v>
      </c>
      <c r="J18" s="10" t="s">
        <v>59</v>
      </c>
    </row>
    <row r="19" spans="2:10" x14ac:dyDescent="0.25">
      <c r="B19" s="10" t="s">
        <v>13</v>
      </c>
      <c r="J19" s="10" t="s">
        <v>60</v>
      </c>
    </row>
    <row r="20" spans="2:10" x14ac:dyDescent="0.25">
      <c r="B20" s="10" t="s">
        <v>14</v>
      </c>
      <c r="J20" s="10" t="s">
        <v>61</v>
      </c>
    </row>
    <row r="21" spans="2:10" x14ac:dyDescent="0.25">
      <c r="B21" s="10" t="s">
        <v>15</v>
      </c>
      <c r="J21" s="10" t="s">
        <v>56</v>
      </c>
    </row>
    <row r="22" spans="2:10" x14ac:dyDescent="0.25">
      <c r="J22" s="10" t="s">
        <v>57</v>
      </c>
    </row>
    <row r="23" spans="2:10" x14ac:dyDescent="0.25">
      <c r="B23" s="9" t="s">
        <v>26</v>
      </c>
      <c r="J23" s="10" t="s">
        <v>58</v>
      </c>
    </row>
    <row r="24" spans="2:10" x14ac:dyDescent="0.25">
      <c r="B24" s="10" t="s">
        <v>33</v>
      </c>
    </row>
    <row r="25" spans="2:10" x14ac:dyDescent="0.25">
      <c r="B25" s="10" t="s">
        <v>34</v>
      </c>
      <c r="J25" s="10" t="s">
        <v>48</v>
      </c>
    </row>
    <row r="26" spans="2:10" x14ac:dyDescent="0.25">
      <c r="B26" s="10" t="s">
        <v>35</v>
      </c>
      <c r="J26" s="10" t="s">
        <v>52</v>
      </c>
    </row>
    <row r="27" spans="2:10" x14ac:dyDescent="0.25">
      <c r="B27" s="10" t="s">
        <v>36</v>
      </c>
      <c r="J27" s="10" t="s">
        <v>53</v>
      </c>
    </row>
    <row r="28" spans="2:10" x14ac:dyDescent="0.25">
      <c r="B28" s="10" t="s">
        <v>37</v>
      </c>
    </row>
    <row r="29" spans="2:10" x14ac:dyDescent="0.25">
      <c r="B29" s="10" t="s">
        <v>38</v>
      </c>
    </row>
    <row r="30" spans="2:10" x14ac:dyDescent="0.25">
      <c r="B30" s="10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2AB5-D5F9-489A-965F-DE8701D7E8F8}">
  <dimension ref="A1:AX1624"/>
  <sheetViews>
    <sheetView topLeftCell="H1" zoomScale="87" zoomScaleNormal="87" workbookViewId="0">
      <selection activeCell="H1" sqref="H1"/>
    </sheetView>
  </sheetViews>
  <sheetFormatPr defaultRowHeight="15" x14ac:dyDescent="0.25"/>
  <cols>
    <col min="1" max="1" width="4.7109375" hidden="1" customWidth="1"/>
    <col min="2" max="7" width="0" hidden="1" customWidth="1"/>
    <col min="8" max="8" width="4" style="5" customWidth="1"/>
    <col min="9" max="19" width="9.140625" style="5"/>
    <col min="20" max="20" width="15.7109375" style="5" bestFit="1" customWidth="1"/>
    <col min="21" max="16384" width="9.140625" style="5"/>
  </cols>
  <sheetData>
    <row r="1" spans="1:50" x14ac:dyDescent="0.25">
      <c r="A1" s="1" t="s">
        <v>6</v>
      </c>
      <c r="H1" s="3"/>
      <c r="I1" s="4" t="s">
        <v>24</v>
      </c>
      <c r="J1" s="3"/>
      <c r="K1" s="3"/>
      <c r="L1" s="3"/>
      <c r="M1" s="3"/>
      <c r="N1" s="3"/>
      <c r="O1" s="3"/>
      <c r="P1" s="3"/>
      <c r="Q1" s="3"/>
      <c r="R1" s="3"/>
      <c r="S1" s="3"/>
      <c r="T1" s="4" t="s">
        <v>4</v>
      </c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 spans="1:50" x14ac:dyDescent="0.25"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 t="s">
        <v>1</v>
      </c>
      <c r="U2" s="6">
        <f>+AVERAGE(J3:J100)</f>
        <v>0.11337142857142855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</row>
    <row r="3" spans="1:50" x14ac:dyDescent="0.25">
      <c r="B3">
        <v>1928</v>
      </c>
      <c r="C3" s="2">
        <v>0.37880000000000003</v>
      </c>
      <c r="H3" s="3"/>
      <c r="I3" s="3">
        <v>1928</v>
      </c>
      <c r="J3" s="7">
        <v>0.37880000000000003</v>
      </c>
      <c r="K3" s="3"/>
      <c r="L3" s="3"/>
      <c r="M3" s="3"/>
      <c r="N3" s="3"/>
      <c r="O3" s="3"/>
      <c r="P3" s="3"/>
      <c r="Q3" s="3"/>
      <c r="R3" s="3"/>
      <c r="S3" s="3"/>
      <c r="T3" s="3" t="s">
        <v>3</v>
      </c>
      <c r="U3" s="3">
        <f>+_xlfn.STDEV.P(J3:J100)</f>
        <v>0.17927227098147991</v>
      </c>
      <c r="V3" s="3"/>
      <c r="W3" s="3"/>
      <c r="X3" s="3" t="s">
        <v>1</v>
      </c>
      <c r="Y3" s="6">
        <f ca="1">+AVERAGE(W6:W1516)</f>
        <v>0.11032300705872466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 spans="1:50" x14ac:dyDescent="0.25">
      <c r="B4">
        <v>1929</v>
      </c>
      <c r="C4" s="2">
        <v>-0.1191</v>
      </c>
      <c r="H4" s="3"/>
      <c r="I4" s="3">
        <v>1929</v>
      </c>
      <c r="J4" s="7">
        <v>-0.1191</v>
      </c>
      <c r="K4" s="7"/>
      <c r="L4" s="7"/>
      <c r="M4" s="7"/>
      <c r="N4" s="7"/>
      <c r="O4" s="7"/>
      <c r="P4" s="7"/>
      <c r="Q4" s="7"/>
      <c r="R4" s="7"/>
      <c r="S4" s="3"/>
      <c r="T4" s="3" t="s">
        <v>2</v>
      </c>
      <c r="U4" s="3">
        <f>+_xlfn.STDEV.S(J3:J100)</f>
        <v>0.18019398539111686</v>
      </c>
      <c r="V4" s="3"/>
      <c r="W4" s="3"/>
      <c r="X4" s="3" t="s">
        <v>5</v>
      </c>
      <c r="Y4" s="6">
        <f ca="1">+MEDIAN(W6:W1516)</f>
        <v>0.11304985543107786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</row>
    <row r="5" spans="1:50" x14ac:dyDescent="0.25">
      <c r="B5">
        <v>1930</v>
      </c>
      <c r="C5" s="2">
        <v>-0.2848</v>
      </c>
      <c r="H5" s="3"/>
      <c r="I5" s="3">
        <v>1930</v>
      </c>
      <c r="J5" s="7">
        <v>-0.2848</v>
      </c>
      <c r="K5" s="7"/>
      <c r="L5" s="7"/>
      <c r="M5" s="7"/>
      <c r="N5" s="7"/>
      <c r="O5" s="7"/>
      <c r="P5" s="7"/>
      <c r="Q5" s="7"/>
      <c r="R5" s="7"/>
      <c r="S5" s="3"/>
      <c r="T5" s="3" t="s">
        <v>18</v>
      </c>
      <c r="U5" s="8">
        <f>+U2-U3</f>
        <v>-6.5900842410051355E-2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</row>
    <row r="6" spans="1:50" x14ac:dyDescent="0.25">
      <c r="B6">
        <v>1931</v>
      </c>
      <c r="C6" s="2">
        <v>-0.47070000000000001</v>
      </c>
      <c r="H6" s="3"/>
      <c r="I6" s="3">
        <v>1931</v>
      </c>
      <c r="J6" s="7">
        <v>-0.47070000000000001</v>
      </c>
      <c r="K6" s="7"/>
      <c r="L6" s="7"/>
      <c r="M6" s="7"/>
      <c r="N6" s="7"/>
      <c r="O6" s="7"/>
      <c r="P6" s="7"/>
      <c r="Q6" s="7"/>
      <c r="R6" s="7"/>
      <c r="S6" s="3"/>
      <c r="T6" s="3" t="s">
        <v>19</v>
      </c>
      <c r="U6" s="8">
        <f>+U2+U3</f>
        <v>0.29264369955290848</v>
      </c>
      <c r="V6" s="3"/>
      <c r="W6" s="7">
        <f t="shared" ref="W6:W69" ca="1" si="0">+NORMINV(RAND(),$U$2,$U$3)</f>
        <v>-1.3171906452299945E-2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</row>
    <row r="7" spans="1:50" x14ac:dyDescent="0.25">
      <c r="B7">
        <v>1932</v>
      </c>
      <c r="C7" s="2">
        <v>-0.1515</v>
      </c>
      <c r="H7" s="3"/>
      <c r="I7" s="3">
        <v>1932</v>
      </c>
      <c r="J7" s="7">
        <v>-0.1515</v>
      </c>
      <c r="K7" s="7"/>
      <c r="L7" s="7"/>
      <c r="M7" s="7"/>
      <c r="N7" s="7"/>
      <c r="O7" s="7"/>
      <c r="P7" s="7"/>
      <c r="Q7" s="7"/>
      <c r="R7" s="7"/>
      <c r="S7" s="3"/>
      <c r="T7" s="3" t="s">
        <v>20</v>
      </c>
      <c r="U7" s="8">
        <f>+U2-2*U3</f>
        <v>-0.24517311339153125</v>
      </c>
      <c r="V7" s="3"/>
      <c r="W7" s="7">
        <f t="shared" ca="1" si="0"/>
        <v>0.35990492601544721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</row>
    <row r="8" spans="1:50" x14ac:dyDescent="0.25">
      <c r="B8">
        <v>1933</v>
      </c>
      <c r="C8" s="2">
        <v>0.46590000000000004</v>
      </c>
      <c r="H8" s="3"/>
      <c r="I8" s="3">
        <v>1933</v>
      </c>
      <c r="J8" s="7">
        <v>0.46590000000000004</v>
      </c>
      <c r="K8" s="7"/>
      <c r="L8" s="7"/>
      <c r="M8" s="7"/>
      <c r="N8" s="7"/>
      <c r="O8" s="7"/>
      <c r="P8" s="7"/>
      <c r="Q8" s="7"/>
      <c r="R8" s="7"/>
      <c r="S8" s="3"/>
      <c r="T8" s="3" t="s">
        <v>21</v>
      </c>
      <c r="U8" s="8">
        <f>+U2+2*U3</f>
        <v>0.47191597053438838</v>
      </c>
      <c r="V8" s="3"/>
      <c r="W8" s="7">
        <f t="shared" ca="1" si="0"/>
        <v>-2.096309776268164E-2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 spans="1:50" x14ac:dyDescent="0.25">
      <c r="B9">
        <v>1934</v>
      </c>
      <c r="C9" s="2">
        <v>-5.9400000000000001E-2</v>
      </c>
      <c r="H9" s="3"/>
      <c r="I9" s="3">
        <v>1934</v>
      </c>
      <c r="J9" s="7">
        <v>-5.9400000000000001E-2</v>
      </c>
      <c r="K9" s="7"/>
      <c r="L9" s="7"/>
      <c r="M9" s="7"/>
      <c r="N9" s="7"/>
      <c r="O9" s="7"/>
      <c r="P9" s="7"/>
      <c r="Q9" s="7"/>
      <c r="R9" s="7"/>
      <c r="S9" s="3"/>
      <c r="T9" s="3" t="s">
        <v>22</v>
      </c>
      <c r="U9" s="8">
        <f>+U2-3*U3</f>
        <v>-0.42444538437301116</v>
      </c>
      <c r="V9" s="3"/>
      <c r="W9" s="7">
        <f t="shared" ca="1" si="0"/>
        <v>0.24490025796624537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</row>
    <row r="10" spans="1:50" x14ac:dyDescent="0.25">
      <c r="B10">
        <v>1935</v>
      </c>
      <c r="C10" s="2">
        <v>0.41369999999999996</v>
      </c>
      <c r="H10" s="3"/>
      <c r="I10" s="3">
        <v>1935</v>
      </c>
      <c r="J10" s="7">
        <v>0.41369999999999996</v>
      </c>
      <c r="K10" s="7"/>
      <c r="L10" s="7"/>
      <c r="M10" s="7"/>
      <c r="N10" s="7"/>
      <c r="O10" s="7"/>
      <c r="P10" s="7"/>
      <c r="Q10" s="7"/>
      <c r="R10" s="7"/>
      <c r="S10" s="3"/>
      <c r="T10" s="3" t="s">
        <v>23</v>
      </c>
      <c r="U10" s="8">
        <f>+U2+3*U3</f>
        <v>0.65118824151586829</v>
      </c>
      <c r="V10" s="3"/>
      <c r="W10" s="7">
        <f t="shared" ca="1" si="0"/>
        <v>-5.2739001473238054E-2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 spans="1:50" x14ac:dyDescent="0.25">
      <c r="B11">
        <v>1936</v>
      </c>
      <c r="C11" s="2">
        <v>0.2792</v>
      </c>
      <c r="H11" s="3"/>
      <c r="I11" s="3">
        <v>1936</v>
      </c>
      <c r="J11" s="7">
        <v>0.2792</v>
      </c>
      <c r="K11" s="7"/>
      <c r="L11" s="7"/>
      <c r="M11" s="7"/>
      <c r="N11" s="7"/>
      <c r="O11" s="7"/>
      <c r="P11" s="7"/>
      <c r="Q11" s="7"/>
      <c r="R11" s="7"/>
      <c r="S11" s="3"/>
      <c r="T11" s="3" t="s">
        <v>16</v>
      </c>
      <c r="U11" s="6">
        <f ca="1">+MAX(W6:W1516)</f>
        <v>0.75522119145379496</v>
      </c>
      <c r="V11" s="3"/>
      <c r="W11" s="7">
        <f t="shared" ca="1" si="0"/>
        <v>9.5202677814764103E-2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 spans="1:50" x14ac:dyDescent="0.25">
      <c r="B12">
        <v>1937</v>
      </c>
      <c r="C12" s="2">
        <v>-0.38590000000000002</v>
      </c>
      <c r="H12" s="3"/>
      <c r="I12" s="3">
        <v>1937</v>
      </c>
      <c r="J12" s="7">
        <v>-0.38590000000000002</v>
      </c>
      <c r="K12" s="7"/>
      <c r="L12" s="7"/>
      <c r="M12" s="7"/>
      <c r="N12" s="7"/>
      <c r="O12" s="7"/>
      <c r="P12" s="7"/>
      <c r="Q12" s="7"/>
      <c r="R12" s="7"/>
      <c r="S12" s="3"/>
      <c r="T12" s="3" t="s">
        <v>17</v>
      </c>
      <c r="U12" s="6">
        <f ca="1">+MIN(W6:W1516)</f>
        <v>-0.47166306376410594</v>
      </c>
      <c r="V12" s="3"/>
      <c r="W12" s="7">
        <f t="shared" ca="1" si="0"/>
        <v>0.26483942777968383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 spans="1:50" x14ac:dyDescent="0.25">
      <c r="B13">
        <v>1938</v>
      </c>
      <c r="C13" s="2">
        <v>0.25209999999999999</v>
      </c>
      <c r="H13" s="3"/>
      <c r="I13" s="3">
        <v>1938</v>
      </c>
      <c r="J13" s="7">
        <v>0.25209999999999999</v>
      </c>
      <c r="K13" s="7"/>
      <c r="L13" s="7"/>
      <c r="M13" s="7"/>
      <c r="N13" s="7"/>
      <c r="O13" s="7"/>
      <c r="P13" s="7"/>
      <c r="Q13" s="7"/>
      <c r="R13" s="7"/>
      <c r="S13" s="3"/>
      <c r="T13" s="3"/>
      <c r="U13" s="3"/>
      <c r="V13" s="3"/>
      <c r="W13" s="7">
        <f t="shared" ca="1" si="0"/>
        <v>0.23438078809679233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 spans="1:50" x14ac:dyDescent="0.25">
      <c r="B14">
        <v>1939</v>
      </c>
      <c r="C14" s="2">
        <v>-5.45E-2</v>
      </c>
      <c r="H14" s="3"/>
      <c r="I14" s="3">
        <v>1939</v>
      </c>
      <c r="J14" s="7">
        <v>-5.45E-2</v>
      </c>
      <c r="K14" s="7"/>
      <c r="L14" s="7"/>
      <c r="M14" s="7"/>
      <c r="N14" s="7"/>
      <c r="O14" s="7"/>
      <c r="P14" s="7"/>
      <c r="Q14" s="7"/>
      <c r="R14" s="7"/>
      <c r="S14" s="3"/>
      <c r="T14" s="3"/>
      <c r="U14" s="3"/>
      <c r="V14" s="3"/>
      <c r="W14" s="7">
        <f t="shared" ca="1" si="0"/>
        <v>0.29841832036953636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 spans="1:50" x14ac:dyDescent="0.25">
      <c r="B15">
        <v>1940</v>
      </c>
      <c r="C15" s="2">
        <v>-0.15289999999999998</v>
      </c>
      <c r="H15" s="3"/>
      <c r="I15" s="3">
        <v>1940</v>
      </c>
      <c r="J15" s="7">
        <v>-0.15289999999999998</v>
      </c>
      <c r="K15" s="7"/>
      <c r="L15" s="7"/>
      <c r="M15" s="7"/>
      <c r="N15" s="7"/>
      <c r="O15" s="7"/>
      <c r="P15" s="7"/>
      <c r="Q15" s="7"/>
      <c r="R15" s="7"/>
      <c r="S15" s="3"/>
      <c r="T15" s="3"/>
      <c r="U15" s="3"/>
      <c r="V15" s="3"/>
      <c r="W15" s="7">
        <f t="shared" ca="1" si="0"/>
        <v>-0.15163622226266654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 spans="1:50" x14ac:dyDescent="0.25">
      <c r="B16">
        <v>1941</v>
      </c>
      <c r="C16" s="2">
        <v>-0.17859999999999998</v>
      </c>
      <c r="H16" s="3"/>
      <c r="I16" s="3">
        <v>1941</v>
      </c>
      <c r="J16" s="7">
        <v>-0.17859999999999998</v>
      </c>
      <c r="K16" s="7"/>
      <c r="L16" s="7"/>
      <c r="M16" s="7"/>
      <c r="N16" s="7"/>
      <c r="O16" s="7"/>
      <c r="P16" s="7"/>
      <c r="Q16" s="7"/>
      <c r="R16" s="7"/>
      <c r="S16" s="3"/>
      <c r="T16" s="3"/>
      <c r="U16" s="3"/>
      <c r="V16" s="3"/>
      <c r="W16" s="7">
        <f t="shared" ca="1" si="0"/>
        <v>9.1488238634229155E-2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 spans="2:50" x14ac:dyDescent="0.25">
      <c r="B17">
        <v>1942</v>
      </c>
      <c r="C17" s="2">
        <v>0.12429999999999999</v>
      </c>
      <c r="H17" s="3"/>
      <c r="I17" s="3">
        <v>1942</v>
      </c>
      <c r="J17" s="7">
        <v>0.12429999999999999</v>
      </c>
      <c r="K17" s="7"/>
      <c r="L17" s="7"/>
      <c r="M17" s="7"/>
      <c r="N17" s="7"/>
      <c r="O17" s="7"/>
      <c r="P17" s="7"/>
      <c r="Q17" s="7"/>
      <c r="R17" s="7"/>
      <c r="S17" s="3"/>
      <c r="T17" s="3"/>
      <c r="U17" s="3"/>
      <c r="V17" s="3"/>
      <c r="W17" s="7">
        <f t="shared" ca="1" si="0"/>
        <v>0.26131687519661378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 spans="2:50" x14ac:dyDescent="0.25">
      <c r="B18">
        <v>1943</v>
      </c>
      <c r="C18" s="2">
        <v>0.19450000000000001</v>
      </c>
      <c r="H18" s="3"/>
      <c r="I18" s="3">
        <v>1943</v>
      </c>
      <c r="J18" s="7">
        <v>0.19450000000000001</v>
      </c>
      <c r="K18" s="7"/>
      <c r="L18" s="7"/>
      <c r="M18" s="7"/>
      <c r="N18" s="7"/>
      <c r="O18" s="7"/>
      <c r="P18" s="7"/>
      <c r="Q18" s="7"/>
      <c r="R18" s="7"/>
      <c r="S18" s="3"/>
      <c r="T18" s="3"/>
      <c r="U18" s="3"/>
      <c r="V18" s="3"/>
      <c r="W18" s="7">
        <f t="shared" ca="1" si="0"/>
        <v>0.17750602804373489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 spans="2:50" x14ac:dyDescent="0.25">
      <c r="B19">
        <v>1944</v>
      </c>
      <c r="C19" s="2">
        <v>0.13800000000000001</v>
      </c>
      <c r="H19" s="3"/>
      <c r="I19" s="3">
        <v>1944</v>
      </c>
      <c r="J19" s="7">
        <v>0.13800000000000001</v>
      </c>
      <c r="K19" s="7"/>
      <c r="L19" s="7"/>
      <c r="M19" s="7"/>
      <c r="N19" s="7"/>
      <c r="O19" s="7"/>
      <c r="P19" s="7"/>
      <c r="Q19" s="7"/>
      <c r="R19" s="7"/>
      <c r="S19" s="3"/>
      <c r="T19" s="3"/>
      <c r="U19" s="3"/>
      <c r="V19" s="3"/>
      <c r="W19" s="7">
        <f t="shared" ca="1" si="0"/>
        <v>0.1111748038601956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 spans="2:50" x14ac:dyDescent="0.25">
      <c r="B20">
        <v>1945</v>
      </c>
      <c r="C20" s="2">
        <v>0.30719999999999997</v>
      </c>
      <c r="H20" s="3"/>
      <c r="I20" s="3">
        <v>1945</v>
      </c>
      <c r="J20" s="7">
        <v>0.30719999999999997</v>
      </c>
      <c r="K20" s="7"/>
      <c r="L20" s="7"/>
      <c r="M20" s="7"/>
      <c r="N20" s="7"/>
      <c r="O20" s="7"/>
      <c r="P20" s="7"/>
      <c r="Q20" s="7"/>
      <c r="R20" s="7"/>
      <c r="S20" s="3"/>
      <c r="T20" s="3"/>
      <c r="U20" s="3"/>
      <c r="V20" s="3"/>
      <c r="W20" s="7">
        <f t="shared" ca="1" si="0"/>
        <v>0.38513500309868537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 spans="2:50" x14ac:dyDescent="0.25">
      <c r="B21">
        <v>1946</v>
      </c>
      <c r="C21" s="2">
        <v>0.11869999999999999</v>
      </c>
      <c r="H21" s="3"/>
      <c r="I21" s="3">
        <v>1946</v>
      </c>
      <c r="J21" s="7">
        <v>0.11869999999999999</v>
      </c>
      <c r="K21" s="7"/>
      <c r="L21" s="7"/>
      <c r="M21" s="7"/>
      <c r="N21" s="7"/>
      <c r="O21" s="7"/>
      <c r="P21" s="7"/>
      <c r="Q21" s="7"/>
      <c r="R21" s="7"/>
      <c r="S21" s="3"/>
      <c r="T21" s="3"/>
      <c r="U21" s="3"/>
      <c r="V21" s="3"/>
      <c r="W21" s="7">
        <f t="shared" ca="1" si="0"/>
        <v>0.29386410074806757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 spans="2:50" x14ac:dyDescent="0.25">
      <c r="B22">
        <v>1947</v>
      </c>
      <c r="C22" s="2">
        <v>-0.31</v>
      </c>
      <c r="H22" s="3"/>
      <c r="I22" s="3">
        <v>1947</v>
      </c>
      <c r="J22" s="7">
        <v>-0.31</v>
      </c>
      <c r="K22" s="7"/>
      <c r="L22" s="7"/>
      <c r="M22" s="7"/>
      <c r="N22" s="7"/>
      <c r="O22" s="7"/>
      <c r="P22" s="7"/>
      <c r="Q22" s="7"/>
      <c r="R22" s="7"/>
      <c r="S22" s="3"/>
      <c r="T22" s="3"/>
      <c r="U22" s="3"/>
      <c r="V22" s="3"/>
      <c r="W22" s="7">
        <f t="shared" ca="1" si="0"/>
        <v>0.12878323991036178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  <row r="23" spans="2:50" x14ac:dyDescent="0.25">
      <c r="B23">
        <v>1948</v>
      </c>
      <c r="C23" s="2">
        <v>-6.5000000000000006E-3</v>
      </c>
      <c r="H23" s="3"/>
      <c r="I23" s="3">
        <v>1948</v>
      </c>
      <c r="J23" s="7">
        <v>-6.5000000000000006E-3</v>
      </c>
      <c r="K23" s="7"/>
      <c r="L23" s="7"/>
      <c r="M23" s="7"/>
      <c r="N23" s="7"/>
      <c r="O23" s="7"/>
      <c r="P23" s="7"/>
      <c r="Q23" s="7"/>
      <c r="R23" s="7"/>
      <c r="S23" s="3"/>
      <c r="T23" s="3"/>
      <c r="U23" s="3"/>
      <c r="V23" s="3"/>
      <c r="W23" s="7">
        <f t="shared" ca="1" si="0"/>
        <v>-0.18708475672804248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</row>
    <row r="24" spans="2:50" x14ac:dyDescent="0.25">
      <c r="B24">
        <v>1949</v>
      </c>
      <c r="C24" s="2">
        <v>0.1026</v>
      </c>
      <c r="H24" s="3"/>
      <c r="I24" s="3">
        <v>1949</v>
      </c>
      <c r="J24" s="7">
        <v>0.1026</v>
      </c>
      <c r="K24" s="7"/>
      <c r="L24" s="7"/>
      <c r="M24" s="7"/>
      <c r="N24" s="7"/>
      <c r="O24" s="7"/>
      <c r="P24" s="7"/>
      <c r="Q24" s="7"/>
      <c r="R24" s="7"/>
      <c r="S24" s="3"/>
      <c r="T24" s="3"/>
      <c r="U24" s="3"/>
      <c r="V24" s="3"/>
      <c r="W24" s="7">
        <f t="shared" ca="1" si="0"/>
        <v>-4.6754452749602562E-2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 spans="2:50" x14ac:dyDescent="0.25">
      <c r="B25">
        <v>1950</v>
      </c>
      <c r="C25" s="2">
        <v>0.21780000000000002</v>
      </c>
      <c r="H25" s="3"/>
      <c r="I25" s="3">
        <v>1950</v>
      </c>
      <c r="J25" s="7">
        <v>0.21780000000000002</v>
      </c>
      <c r="K25" s="7"/>
      <c r="L25" s="7"/>
      <c r="M25" s="7"/>
      <c r="N25" s="7"/>
      <c r="O25" s="7"/>
      <c r="P25" s="7"/>
      <c r="Q25" s="7"/>
      <c r="R25" s="7"/>
      <c r="S25" s="3"/>
      <c r="T25" s="3"/>
      <c r="U25" s="3"/>
      <c r="V25" s="3"/>
      <c r="W25" s="7">
        <f t="shared" ca="1" si="0"/>
        <v>8.4464485021560634E-2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 spans="2:50" x14ac:dyDescent="0.25">
      <c r="B26">
        <v>1951</v>
      </c>
      <c r="C26" s="2">
        <v>0.1646</v>
      </c>
      <c r="H26" s="3"/>
      <c r="I26" s="3">
        <v>1951</v>
      </c>
      <c r="J26" s="7">
        <v>0.1646</v>
      </c>
      <c r="K26" s="7"/>
      <c r="L26" s="7"/>
      <c r="M26" s="7"/>
      <c r="N26" s="7"/>
      <c r="O26" s="7"/>
      <c r="P26" s="7"/>
      <c r="Q26" s="7"/>
      <c r="R26" s="7"/>
      <c r="S26" s="3"/>
      <c r="T26" s="3"/>
      <c r="U26" s="3"/>
      <c r="V26" s="3"/>
      <c r="W26" s="7">
        <f t="shared" ca="1" si="0"/>
        <v>0.14562455913644817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 spans="2:50" x14ac:dyDescent="0.25">
      <c r="B27">
        <v>1952</v>
      </c>
      <c r="C27" s="2">
        <v>0.11779999999999999</v>
      </c>
      <c r="H27" s="3"/>
      <c r="I27" s="3">
        <v>1952</v>
      </c>
      <c r="J27" s="7">
        <v>0.11779999999999999</v>
      </c>
      <c r="K27" s="7"/>
      <c r="L27" s="7"/>
      <c r="M27" s="7"/>
      <c r="N27" s="7"/>
      <c r="O27" s="7"/>
      <c r="P27" s="7"/>
      <c r="Q27" s="7"/>
      <c r="R27" s="7"/>
      <c r="S27" s="3"/>
      <c r="T27" s="3"/>
      <c r="U27" s="3"/>
      <c r="V27" s="3"/>
      <c r="W27" s="7">
        <f t="shared" ca="1" si="0"/>
        <v>9.8610134490340659E-2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 spans="2:50" x14ac:dyDescent="0.25">
      <c r="B28">
        <v>1953</v>
      </c>
      <c r="C28" s="2">
        <v>-6.6199999999999995E-2</v>
      </c>
      <c r="H28" s="3"/>
      <c r="I28" s="3">
        <v>1953</v>
      </c>
      <c r="J28" s="7">
        <v>-6.6199999999999995E-2</v>
      </c>
      <c r="K28" s="7"/>
      <c r="L28" s="7"/>
      <c r="M28" s="7"/>
      <c r="N28" s="7"/>
      <c r="O28" s="7"/>
      <c r="P28" s="7"/>
      <c r="Q28" s="7"/>
      <c r="R28" s="7"/>
      <c r="S28" s="3"/>
      <c r="T28" s="3"/>
      <c r="U28" s="3"/>
      <c r="V28" s="3"/>
      <c r="W28" s="7">
        <f t="shared" ca="1" si="0"/>
        <v>0.39555734086849098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 spans="2:50" x14ac:dyDescent="0.25">
      <c r="B29">
        <v>1954</v>
      </c>
      <c r="C29" s="2">
        <v>0.45020000000000004</v>
      </c>
      <c r="H29" s="3"/>
      <c r="I29" s="3">
        <v>1954</v>
      </c>
      <c r="J29" s="7">
        <v>0.45020000000000004</v>
      </c>
      <c r="K29" s="7"/>
      <c r="L29" s="7"/>
      <c r="M29" s="7"/>
      <c r="N29" s="7"/>
      <c r="O29" s="7"/>
      <c r="P29" s="7"/>
      <c r="Q29" s="7"/>
      <c r="R29" s="7"/>
      <c r="S29" s="3"/>
      <c r="T29" s="3"/>
      <c r="U29" s="3"/>
      <c r="V29" s="3"/>
      <c r="W29" s="7">
        <f t="shared" ca="1" si="0"/>
        <v>-5.9828010946636492E-2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 spans="2:50" x14ac:dyDescent="0.25">
      <c r="B30">
        <v>1955</v>
      </c>
      <c r="C30" s="2">
        <v>0.26400000000000001</v>
      </c>
      <c r="H30" s="3"/>
      <c r="I30" s="3">
        <v>1955</v>
      </c>
      <c r="J30" s="7">
        <v>0.26400000000000001</v>
      </c>
      <c r="K30" s="7"/>
      <c r="L30" s="7"/>
      <c r="M30" s="7"/>
      <c r="N30" s="7"/>
      <c r="O30" s="7"/>
      <c r="P30" s="7"/>
      <c r="Q30" s="7"/>
      <c r="R30" s="7"/>
      <c r="S30" s="3"/>
      <c r="T30" s="3"/>
      <c r="U30" s="3"/>
      <c r="V30" s="3"/>
      <c r="W30" s="7">
        <f t="shared" ca="1" si="0"/>
        <v>0.26883268392712478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 spans="2:50" x14ac:dyDescent="0.25">
      <c r="B31">
        <v>1956</v>
      </c>
      <c r="C31" s="2">
        <v>2.6200000000000001E-2</v>
      </c>
      <c r="H31" s="3"/>
      <c r="I31" s="3">
        <v>1956</v>
      </c>
      <c r="J31" s="7">
        <v>2.6200000000000001E-2</v>
      </c>
      <c r="K31" s="7"/>
      <c r="L31" s="7"/>
      <c r="M31" s="7"/>
      <c r="N31" s="7"/>
      <c r="O31" s="7"/>
      <c r="P31" s="7"/>
      <c r="Q31" s="7"/>
      <c r="R31" s="7"/>
      <c r="S31" s="3"/>
      <c r="T31" s="3"/>
      <c r="U31" s="3"/>
      <c r="V31" s="3"/>
      <c r="W31" s="7">
        <f t="shared" ca="1" si="0"/>
        <v>9.691622229490135E-2</v>
      </c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 spans="2:50" x14ac:dyDescent="0.25">
      <c r="B32">
        <v>1957</v>
      </c>
      <c r="C32" s="2">
        <v>0.1431</v>
      </c>
      <c r="H32" s="3"/>
      <c r="I32" s="3">
        <v>1957</v>
      </c>
      <c r="J32" s="7">
        <v>0.1431</v>
      </c>
      <c r="K32" s="7"/>
      <c r="L32" s="7"/>
      <c r="M32" s="7"/>
      <c r="N32" s="7"/>
      <c r="O32" s="7"/>
      <c r="P32" s="7"/>
      <c r="Q32" s="7"/>
      <c r="R32" s="7"/>
      <c r="S32" s="3"/>
      <c r="T32" s="3"/>
      <c r="U32" s="3"/>
      <c r="V32" s="3"/>
      <c r="W32" s="7">
        <f t="shared" ca="1" si="0"/>
        <v>0.41246257722915675</v>
      </c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 spans="2:50" x14ac:dyDescent="0.25">
      <c r="B33">
        <v>1958</v>
      </c>
      <c r="C33" s="2">
        <v>0.38060000000000005</v>
      </c>
      <c r="H33" s="3"/>
      <c r="I33" s="3">
        <v>1958</v>
      </c>
      <c r="J33" s="7">
        <v>0.38060000000000005</v>
      </c>
      <c r="K33" s="7"/>
      <c r="L33" s="7"/>
      <c r="M33" s="7"/>
      <c r="N33" s="7"/>
      <c r="O33" s="7"/>
      <c r="P33" s="7"/>
      <c r="Q33" s="7"/>
      <c r="R33" s="7"/>
      <c r="S33" s="3"/>
      <c r="T33" s="3"/>
      <c r="U33" s="3"/>
      <c r="V33" s="3"/>
      <c r="W33" s="7">
        <f t="shared" ca="1" si="0"/>
        <v>-5.2071361618898498E-3</v>
      </c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 spans="2:50" x14ac:dyDescent="0.25">
      <c r="B34">
        <v>1959</v>
      </c>
      <c r="C34" s="2">
        <v>8.48E-2</v>
      </c>
      <c r="H34" s="3"/>
      <c r="I34" s="3">
        <v>1959</v>
      </c>
      <c r="J34" s="7">
        <v>8.48E-2</v>
      </c>
      <c r="K34" s="7"/>
      <c r="L34" s="7"/>
      <c r="M34" s="7"/>
      <c r="N34" s="7"/>
      <c r="O34" s="7"/>
      <c r="P34" s="7"/>
      <c r="Q34" s="7"/>
      <c r="R34" s="7"/>
      <c r="S34" s="3"/>
      <c r="T34" s="3"/>
      <c r="U34" s="3"/>
      <c r="V34" s="3"/>
      <c r="W34" s="7">
        <f t="shared" ca="1" si="0"/>
        <v>2.6455661322783347E-2</v>
      </c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 spans="2:50" x14ac:dyDescent="0.25">
      <c r="B35">
        <v>1960</v>
      </c>
      <c r="C35" s="2">
        <v>-2.9700000000000001E-2</v>
      </c>
      <c r="H35" s="3"/>
      <c r="I35" s="3">
        <v>1960</v>
      </c>
      <c r="J35" s="7">
        <v>-2.9700000000000001E-2</v>
      </c>
      <c r="K35" s="7"/>
      <c r="L35" s="7"/>
      <c r="M35" s="7"/>
      <c r="N35" s="7"/>
      <c r="O35" s="7"/>
      <c r="P35" s="7"/>
      <c r="Q35" s="7"/>
      <c r="R35" s="7"/>
      <c r="S35" s="3"/>
      <c r="T35" s="3"/>
      <c r="U35" s="3"/>
      <c r="V35" s="3"/>
      <c r="W35" s="7">
        <f t="shared" ca="1" si="0"/>
        <v>-0.23201478620001725</v>
      </c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 spans="2:50" x14ac:dyDescent="0.25">
      <c r="B36">
        <v>1961</v>
      </c>
      <c r="C36" s="2">
        <v>0.23129999999999998</v>
      </c>
      <c r="H36" s="3"/>
      <c r="I36" s="3">
        <v>1961</v>
      </c>
      <c r="J36" s="7">
        <v>0.23129999999999998</v>
      </c>
      <c r="K36" s="7"/>
      <c r="L36" s="7"/>
      <c r="M36" s="7"/>
      <c r="N36" s="7"/>
      <c r="O36" s="7"/>
      <c r="P36" s="7"/>
      <c r="Q36" s="7"/>
      <c r="R36" s="7"/>
      <c r="S36" s="3"/>
      <c r="T36" s="3"/>
      <c r="U36" s="3"/>
      <c r="V36" s="3"/>
      <c r="W36" s="7">
        <f t="shared" ca="1" si="0"/>
        <v>1.9747523577937603E-2</v>
      </c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 spans="2:50" x14ac:dyDescent="0.25">
      <c r="B37">
        <v>1962</v>
      </c>
      <c r="C37" s="2">
        <v>0.11810000000000001</v>
      </c>
      <c r="H37" s="3"/>
      <c r="I37" s="3">
        <v>1962</v>
      </c>
      <c r="J37" s="7">
        <v>0.11810000000000001</v>
      </c>
      <c r="K37" s="7"/>
      <c r="L37" s="7"/>
      <c r="M37" s="7"/>
      <c r="N37" s="7"/>
      <c r="O37" s="7"/>
      <c r="P37" s="7"/>
      <c r="Q37" s="7"/>
      <c r="R37" s="7"/>
      <c r="S37" s="3"/>
      <c r="T37" s="3"/>
      <c r="U37" s="3"/>
      <c r="V37" s="3"/>
      <c r="W37" s="7">
        <f t="shared" ca="1" si="0"/>
        <v>0.22003494530287726</v>
      </c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 spans="2:50" x14ac:dyDescent="0.25">
      <c r="B38">
        <v>1963</v>
      </c>
      <c r="C38" s="2">
        <v>0.18890000000000001</v>
      </c>
      <c r="H38" s="3"/>
      <c r="I38" s="3">
        <v>1963</v>
      </c>
      <c r="J38" s="7">
        <v>0.18890000000000001</v>
      </c>
      <c r="K38" s="7"/>
      <c r="L38" s="7"/>
      <c r="M38" s="7"/>
      <c r="N38" s="7"/>
      <c r="O38" s="7"/>
      <c r="P38" s="7"/>
      <c r="Q38" s="7"/>
      <c r="R38" s="7"/>
      <c r="S38" s="3"/>
      <c r="T38" s="3"/>
      <c r="U38" s="3"/>
      <c r="V38" s="3"/>
      <c r="W38" s="7">
        <f t="shared" ca="1" si="0"/>
        <v>-0.12241706793875588</v>
      </c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 spans="2:50" x14ac:dyDescent="0.25">
      <c r="B39">
        <v>1964</v>
      </c>
      <c r="C39" s="2">
        <v>0.12970000000000001</v>
      </c>
      <c r="H39" s="3"/>
      <c r="I39" s="3">
        <v>1964</v>
      </c>
      <c r="J39" s="7">
        <v>0.12970000000000001</v>
      </c>
      <c r="K39" s="7"/>
      <c r="L39" s="7"/>
      <c r="M39" s="7"/>
      <c r="N39" s="7"/>
      <c r="O39" s="7"/>
      <c r="P39" s="7"/>
      <c r="Q39" s="7"/>
      <c r="R39" s="7"/>
      <c r="S39" s="3"/>
      <c r="T39" s="3"/>
      <c r="U39" s="3"/>
      <c r="V39" s="3"/>
      <c r="W39" s="7">
        <f t="shared" ca="1" si="0"/>
        <v>-0.20593424022809548</v>
      </c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 spans="2:50" x14ac:dyDescent="0.25">
      <c r="B40">
        <v>1965</v>
      </c>
      <c r="C40" s="2">
        <v>9.06E-2</v>
      </c>
      <c r="H40" s="3"/>
      <c r="I40" s="3">
        <v>1965</v>
      </c>
      <c r="J40" s="7">
        <v>9.06E-2</v>
      </c>
      <c r="K40" s="7"/>
      <c r="L40" s="7"/>
      <c r="M40" s="7"/>
      <c r="N40" s="7"/>
      <c r="O40" s="7"/>
      <c r="P40" s="7"/>
      <c r="Q40" s="7"/>
      <c r="R40" s="7"/>
      <c r="S40" s="3"/>
      <c r="T40" s="3"/>
      <c r="U40" s="3"/>
      <c r="V40" s="3"/>
      <c r="W40" s="7">
        <f t="shared" ca="1" si="0"/>
        <v>-7.852032846413988E-2</v>
      </c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 spans="2:50" x14ac:dyDescent="0.25">
      <c r="B41">
        <v>1966</v>
      </c>
      <c r="C41" s="2">
        <v>0.13089999999999999</v>
      </c>
      <c r="H41" s="3"/>
      <c r="I41" s="3">
        <v>1966</v>
      </c>
      <c r="J41" s="7">
        <v>0.13089999999999999</v>
      </c>
      <c r="K41" s="7"/>
      <c r="L41" s="7"/>
      <c r="M41" s="7"/>
      <c r="N41" s="7"/>
      <c r="O41" s="7"/>
      <c r="P41" s="7"/>
      <c r="Q41" s="7"/>
      <c r="R41" s="7"/>
      <c r="S41" s="3"/>
      <c r="T41" s="3"/>
      <c r="U41" s="3"/>
      <c r="V41" s="3"/>
      <c r="W41" s="7">
        <f t="shared" ca="1" si="0"/>
        <v>0.32739180347307867</v>
      </c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 spans="2:50" x14ac:dyDescent="0.25">
      <c r="B42">
        <v>1967</v>
      </c>
      <c r="C42" s="2">
        <v>0.2009</v>
      </c>
      <c r="H42" s="3"/>
      <c r="I42" s="3">
        <v>1967</v>
      </c>
      <c r="J42" s="7">
        <v>0.2009</v>
      </c>
      <c r="K42" s="7"/>
      <c r="L42" s="7"/>
      <c r="M42" s="7"/>
      <c r="N42" s="7"/>
      <c r="O42" s="7"/>
      <c r="P42" s="7"/>
      <c r="Q42" s="7"/>
      <c r="R42" s="7"/>
      <c r="S42" s="3"/>
      <c r="T42" s="3"/>
      <c r="U42" s="3"/>
      <c r="V42" s="3"/>
      <c r="W42" s="7">
        <f t="shared" ca="1" si="0"/>
        <v>-4.5190240053203781E-2</v>
      </c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 spans="2:50" x14ac:dyDescent="0.25">
      <c r="B43">
        <v>1968</v>
      </c>
      <c r="C43" s="2">
        <v>7.6600000000000001E-2</v>
      </c>
      <c r="H43" s="3"/>
      <c r="I43" s="3">
        <v>1968</v>
      </c>
      <c r="J43" s="7">
        <v>7.6600000000000001E-2</v>
      </c>
      <c r="K43" s="7"/>
      <c r="L43" s="7"/>
      <c r="M43" s="7"/>
      <c r="N43" s="7"/>
      <c r="O43" s="7"/>
      <c r="P43" s="7"/>
      <c r="Q43" s="7"/>
      <c r="R43" s="7"/>
      <c r="S43" s="3"/>
      <c r="T43" s="3"/>
      <c r="U43" s="3"/>
      <c r="V43" s="3"/>
      <c r="W43" s="7">
        <f t="shared" ca="1" si="0"/>
        <v>0.17654446265353765</v>
      </c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 spans="2:50" x14ac:dyDescent="0.25">
      <c r="B44">
        <v>1969</v>
      </c>
      <c r="C44" s="2">
        <v>0.11359999999999999</v>
      </c>
      <c r="H44" s="3"/>
      <c r="I44" s="3">
        <v>1969</v>
      </c>
      <c r="J44" s="7">
        <v>0.11359999999999999</v>
      </c>
      <c r="K44" s="7"/>
      <c r="L44" s="7"/>
      <c r="M44" s="7"/>
      <c r="N44" s="7"/>
      <c r="O44" s="7"/>
      <c r="P44" s="7"/>
      <c r="Q44" s="7"/>
      <c r="R44" s="7"/>
      <c r="S44" s="3"/>
      <c r="T44" s="3"/>
      <c r="U44" s="3"/>
      <c r="V44" s="3"/>
      <c r="W44" s="7">
        <f t="shared" ca="1" si="0"/>
        <v>0.29600885818145828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 spans="2:50" x14ac:dyDescent="0.25">
      <c r="B45">
        <v>1970</v>
      </c>
      <c r="C45" s="2">
        <v>1E-3</v>
      </c>
      <c r="H45" s="3"/>
      <c r="I45" s="3">
        <v>1970</v>
      </c>
      <c r="J45" s="7">
        <v>1E-3</v>
      </c>
      <c r="K45" s="7"/>
      <c r="L45" s="7"/>
      <c r="M45" s="7"/>
      <c r="N45" s="7"/>
      <c r="O45" s="7"/>
      <c r="P45" s="7"/>
      <c r="Q45" s="7"/>
      <c r="R45" s="7"/>
      <c r="S45" s="3"/>
      <c r="T45" s="3"/>
      <c r="U45" s="3"/>
      <c r="V45" s="3"/>
      <c r="W45" s="7">
        <f t="shared" ca="1" si="0"/>
        <v>8.2372589326956416E-2</v>
      </c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 spans="2:50" x14ac:dyDescent="0.25">
      <c r="B46">
        <v>1971</v>
      </c>
      <c r="C46" s="2">
        <v>0.1079</v>
      </c>
      <c r="H46" s="3"/>
      <c r="I46" s="3">
        <v>1971</v>
      </c>
      <c r="J46" s="7">
        <v>0.1079</v>
      </c>
      <c r="K46" s="7"/>
      <c r="L46" s="7"/>
      <c r="M46" s="7"/>
      <c r="N46" s="7"/>
      <c r="O46" s="7"/>
      <c r="P46" s="7"/>
      <c r="Q46" s="7"/>
      <c r="R46" s="7"/>
      <c r="S46" s="3"/>
      <c r="T46" s="3"/>
      <c r="U46" s="3"/>
      <c r="V46" s="3"/>
      <c r="W46" s="7">
        <f t="shared" ca="1" si="0"/>
        <v>0.19310404782286728</v>
      </c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 spans="2:50" x14ac:dyDescent="0.25">
      <c r="B47">
        <v>1972</v>
      </c>
      <c r="C47" s="2">
        <v>0.15629999999999999</v>
      </c>
      <c r="H47" s="3"/>
      <c r="I47" s="3">
        <v>1972</v>
      </c>
      <c r="J47" s="7">
        <v>0.15629999999999999</v>
      </c>
      <c r="K47" s="7"/>
      <c r="L47" s="7"/>
      <c r="M47" s="7"/>
      <c r="N47" s="7"/>
      <c r="O47" s="7"/>
      <c r="P47" s="7"/>
      <c r="Q47" s="7"/>
      <c r="R47" s="7"/>
      <c r="S47" s="3"/>
      <c r="T47" s="3"/>
      <c r="U47" s="3"/>
      <c r="V47" s="3"/>
      <c r="W47" s="7">
        <f t="shared" ca="1" si="0"/>
        <v>0.19462190957581893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 spans="2:50" x14ac:dyDescent="0.25">
      <c r="B48">
        <v>1973</v>
      </c>
      <c r="C48" s="2">
        <v>0.17370000000000002</v>
      </c>
      <c r="H48" s="3"/>
      <c r="I48" s="3">
        <v>1973</v>
      </c>
      <c r="J48" s="7">
        <v>0.17370000000000002</v>
      </c>
      <c r="K48" s="7"/>
      <c r="L48" s="7"/>
      <c r="M48" s="7"/>
      <c r="N48" s="7"/>
      <c r="O48" s="7"/>
      <c r="P48" s="7"/>
      <c r="Q48" s="7"/>
      <c r="R48" s="7"/>
      <c r="S48" s="3"/>
      <c r="T48" s="3"/>
      <c r="U48" s="3"/>
      <c r="V48" s="3"/>
      <c r="W48" s="7">
        <f t="shared" ca="1" si="0"/>
        <v>0.39169112405894507</v>
      </c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 spans="2:50" x14ac:dyDescent="0.25">
      <c r="B49">
        <v>1974</v>
      </c>
      <c r="C49" s="2">
        <v>0.29719999999999996</v>
      </c>
      <c r="H49" s="3"/>
      <c r="I49" s="3">
        <v>1974</v>
      </c>
      <c r="J49" s="7">
        <v>0.29719999999999996</v>
      </c>
      <c r="K49" s="7"/>
      <c r="L49" s="7"/>
      <c r="M49" s="7"/>
      <c r="N49" s="7"/>
      <c r="O49" s="7"/>
      <c r="P49" s="7"/>
      <c r="Q49" s="7"/>
      <c r="R49" s="7"/>
      <c r="S49" s="3"/>
      <c r="T49" s="3"/>
      <c r="U49" s="3"/>
      <c r="V49" s="3"/>
      <c r="W49" s="7">
        <f t="shared" ca="1" si="0"/>
        <v>0.19777347968674885</v>
      </c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 spans="2:50" x14ac:dyDescent="0.25">
      <c r="B50">
        <v>1975</v>
      </c>
      <c r="C50" s="2">
        <v>0.3155</v>
      </c>
      <c r="H50" s="3"/>
      <c r="I50" s="3">
        <v>1975</v>
      </c>
      <c r="J50" s="7">
        <v>0.3155</v>
      </c>
      <c r="K50" s="7"/>
      <c r="L50" s="7"/>
      <c r="M50" s="7"/>
      <c r="N50" s="7"/>
      <c r="O50" s="7"/>
      <c r="P50" s="7"/>
      <c r="Q50" s="7"/>
      <c r="R50" s="7"/>
      <c r="S50" s="3"/>
      <c r="T50" s="3"/>
      <c r="U50" s="3"/>
      <c r="V50" s="3"/>
      <c r="W50" s="7">
        <f t="shared" ca="1" si="0"/>
        <v>-0.30215845667822311</v>
      </c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 spans="2:50" x14ac:dyDescent="0.25">
      <c r="B51">
        <v>1976</v>
      </c>
      <c r="C51" s="2">
        <v>0.19149999999999998</v>
      </c>
      <c r="H51" s="3"/>
      <c r="I51" s="3">
        <v>1976</v>
      </c>
      <c r="J51" s="7">
        <v>0.19149999999999998</v>
      </c>
      <c r="K51" s="7"/>
      <c r="L51" s="7"/>
      <c r="M51" s="7"/>
      <c r="N51" s="7"/>
      <c r="O51" s="7"/>
      <c r="P51" s="7"/>
      <c r="Q51" s="7"/>
      <c r="R51" s="7"/>
      <c r="S51" s="3"/>
      <c r="T51" s="3"/>
      <c r="U51" s="3"/>
      <c r="V51" s="3"/>
      <c r="W51" s="7">
        <f t="shared" ca="1" si="0"/>
        <v>0.12113927354820882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 spans="2:50" x14ac:dyDescent="0.25">
      <c r="B52">
        <v>1977</v>
      </c>
      <c r="C52" s="2">
        <v>-0.115</v>
      </c>
      <c r="H52" s="3"/>
      <c r="I52" s="3">
        <v>1977</v>
      </c>
      <c r="J52" s="7">
        <v>-0.115</v>
      </c>
      <c r="K52" s="7"/>
      <c r="L52" s="7"/>
      <c r="M52" s="7"/>
      <c r="N52" s="7"/>
      <c r="O52" s="7"/>
      <c r="P52" s="7"/>
      <c r="Q52" s="7"/>
      <c r="R52" s="7"/>
      <c r="S52" s="3"/>
      <c r="T52" s="3"/>
      <c r="U52" s="3"/>
      <c r="V52" s="3"/>
      <c r="W52" s="7">
        <f t="shared" ca="1" si="0"/>
        <v>0.11054668066528851</v>
      </c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 spans="2:50" x14ac:dyDescent="0.25">
      <c r="B53">
        <v>1978</v>
      </c>
      <c r="C53" s="2">
        <v>1.06E-2</v>
      </c>
      <c r="H53" s="3"/>
      <c r="I53" s="3">
        <v>1978</v>
      </c>
      <c r="J53" s="7">
        <v>1.06E-2</v>
      </c>
      <c r="K53" s="7"/>
      <c r="L53" s="7"/>
      <c r="M53" s="7"/>
      <c r="N53" s="7"/>
      <c r="O53" s="7"/>
      <c r="P53" s="7"/>
      <c r="Q53" s="7"/>
      <c r="R53" s="7"/>
      <c r="S53" s="3"/>
      <c r="T53" s="3"/>
      <c r="U53" s="3"/>
      <c r="V53" s="3"/>
      <c r="W53" s="7">
        <f t="shared" ca="1" si="0"/>
        <v>0.21762681468883627</v>
      </c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 spans="2:50" x14ac:dyDescent="0.25">
      <c r="B54">
        <v>1979</v>
      </c>
      <c r="C54" s="2">
        <v>0.1231</v>
      </c>
      <c r="H54" s="3"/>
      <c r="I54" s="3">
        <v>1979</v>
      </c>
      <c r="J54" s="7">
        <v>0.1231</v>
      </c>
      <c r="K54" s="7"/>
      <c r="L54" s="7"/>
      <c r="M54" s="7"/>
      <c r="N54" s="7"/>
      <c r="O54" s="7"/>
      <c r="P54" s="7"/>
      <c r="Q54" s="7"/>
      <c r="R54" s="7"/>
      <c r="S54" s="3"/>
      <c r="T54" s="3"/>
      <c r="U54" s="3"/>
      <c r="V54" s="3"/>
      <c r="W54" s="7">
        <f t="shared" ca="1" si="0"/>
        <v>5.2541093490828972E-2</v>
      </c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 spans="2:50" x14ac:dyDescent="0.25">
      <c r="B55">
        <v>1980</v>
      </c>
      <c r="C55" s="2">
        <v>0.25769999999999998</v>
      </c>
      <c r="H55" s="3"/>
      <c r="I55" s="3">
        <v>1980</v>
      </c>
      <c r="J55" s="7">
        <v>0.25769999999999998</v>
      </c>
      <c r="K55" s="7"/>
      <c r="L55" s="7"/>
      <c r="M55" s="7"/>
      <c r="N55" s="7"/>
      <c r="O55" s="7"/>
      <c r="P55" s="7"/>
      <c r="Q55" s="7"/>
      <c r="R55" s="7"/>
      <c r="S55" s="3"/>
      <c r="T55" s="3"/>
      <c r="U55" s="3"/>
      <c r="V55" s="3"/>
      <c r="W55" s="7">
        <f t="shared" ca="1" si="0"/>
        <v>-0.11722021731925693</v>
      </c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 spans="2:50" x14ac:dyDescent="0.25">
      <c r="B56">
        <v>1981</v>
      </c>
      <c r="C56" s="2">
        <v>-9.7299999999999998E-2</v>
      </c>
      <c r="H56" s="3"/>
      <c r="I56" s="3">
        <v>1981</v>
      </c>
      <c r="J56" s="7">
        <v>-9.7299999999999998E-2</v>
      </c>
      <c r="K56" s="7"/>
      <c r="L56" s="7"/>
      <c r="M56" s="7"/>
      <c r="N56" s="7"/>
      <c r="O56" s="7"/>
      <c r="P56" s="7"/>
      <c r="Q56" s="7"/>
      <c r="R56" s="7"/>
      <c r="S56" s="3"/>
      <c r="T56" s="3"/>
      <c r="U56" s="3"/>
      <c r="V56" s="3"/>
      <c r="W56" s="7">
        <f t="shared" ca="1" si="0"/>
        <v>1.3090963633809988E-2</v>
      </c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 spans="2:50" x14ac:dyDescent="0.25">
      <c r="B57">
        <v>1982</v>
      </c>
      <c r="C57" s="2">
        <v>0.14760000000000001</v>
      </c>
      <c r="H57" s="3"/>
      <c r="I57" s="3">
        <v>1982</v>
      </c>
      <c r="J57" s="7">
        <v>0.14760000000000001</v>
      </c>
      <c r="K57" s="7"/>
      <c r="L57" s="7"/>
      <c r="M57" s="7"/>
      <c r="N57" s="7"/>
      <c r="O57" s="7"/>
      <c r="P57" s="7"/>
      <c r="Q57" s="7"/>
      <c r="R57" s="7"/>
      <c r="S57" s="3"/>
      <c r="T57" s="3"/>
      <c r="U57" s="3"/>
      <c r="V57" s="3"/>
      <c r="W57" s="7">
        <f t="shared" ca="1" si="0"/>
        <v>4.6082389901624832E-2</v>
      </c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 spans="2:50" x14ac:dyDescent="0.25">
      <c r="B58">
        <v>1983</v>
      </c>
      <c r="C58" s="2">
        <v>0.17269999999999999</v>
      </c>
      <c r="H58" s="3"/>
      <c r="I58" s="3">
        <v>1983</v>
      </c>
      <c r="J58" s="7">
        <v>0.17269999999999999</v>
      </c>
      <c r="K58" s="7"/>
      <c r="L58" s="7"/>
      <c r="M58" s="7"/>
      <c r="N58" s="7"/>
      <c r="O58" s="7"/>
      <c r="P58" s="7"/>
      <c r="Q58" s="7"/>
      <c r="R58" s="7"/>
      <c r="S58" s="3"/>
      <c r="T58" s="3"/>
      <c r="U58" s="3"/>
      <c r="V58" s="3"/>
      <c r="W58" s="7">
        <f t="shared" ca="1" si="0"/>
        <v>0.3335324465832481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 spans="2:50" x14ac:dyDescent="0.25">
      <c r="B59">
        <v>1984</v>
      </c>
      <c r="C59" s="2">
        <v>1.3999999999999999E-2</v>
      </c>
      <c r="H59" s="3"/>
      <c r="I59" s="3">
        <v>1984</v>
      </c>
      <c r="J59" s="7">
        <v>1.3999999999999999E-2</v>
      </c>
      <c r="K59" s="7"/>
      <c r="L59" s="7"/>
      <c r="M59" s="7"/>
      <c r="N59" s="7"/>
      <c r="O59" s="7"/>
      <c r="P59" s="7"/>
      <c r="Q59" s="7"/>
      <c r="R59" s="7"/>
      <c r="S59" s="3"/>
      <c r="T59" s="3"/>
      <c r="U59" s="3"/>
      <c r="V59" s="3"/>
      <c r="W59" s="7">
        <f t="shared" ca="1" si="0"/>
        <v>0.23549597683390083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spans="2:50" x14ac:dyDescent="0.25">
      <c r="B60">
        <v>1985</v>
      </c>
      <c r="C60" s="2">
        <v>0.26329999999999998</v>
      </c>
      <c r="H60" s="3"/>
      <c r="I60" s="3">
        <v>1985</v>
      </c>
      <c r="J60" s="7">
        <v>0.26329999999999998</v>
      </c>
      <c r="K60" s="7"/>
      <c r="L60" s="7"/>
      <c r="M60" s="7"/>
      <c r="N60" s="7"/>
      <c r="O60" s="7"/>
      <c r="P60" s="7"/>
      <c r="Q60" s="7"/>
      <c r="R60" s="7"/>
      <c r="S60" s="3"/>
      <c r="T60" s="3"/>
      <c r="U60" s="3"/>
      <c r="V60" s="3"/>
      <c r="W60" s="7">
        <f t="shared" ca="1" si="0"/>
        <v>0.1384557750135674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 spans="2:50" x14ac:dyDescent="0.25">
      <c r="B61">
        <v>1986</v>
      </c>
      <c r="C61" s="2">
        <v>0.1462</v>
      </c>
      <c r="H61" s="3"/>
      <c r="I61" s="3">
        <v>1986</v>
      </c>
      <c r="J61" s="7">
        <v>0.1462</v>
      </c>
      <c r="K61" s="7"/>
      <c r="L61" s="7"/>
      <c r="M61" s="7"/>
      <c r="N61" s="7"/>
      <c r="O61" s="7"/>
      <c r="P61" s="7"/>
      <c r="Q61" s="7"/>
      <c r="R61" s="7"/>
      <c r="S61" s="3"/>
      <c r="T61" s="3"/>
      <c r="U61" s="3"/>
      <c r="V61" s="3"/>
      <c r="W61" s="7">
        <f t="shared" ca="1" si="0"/>
        <v>-8.7515926377164502E-2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 spans="2:50" x14ac:dyDescent="0.25">
      <c r="B62">
        <v>1987</v>
      </c>
      <c r="C62" s="2">
        <v>2.0299999999999999E-2</v>
      </c>
      <c r="H62" s="3"/>
      <c r="I62" s="3">
        <v>1987</v>
      </c>
      <c r="J62" s="7">
        <v>2.0299999999999999E-2</v>
      </c>
      <c r="K62" s="7"/>
      <c r="L62" s="7"/>
      <c r="M62" s="7"/>
      <c r="N62" s="7"/>
      <c r="O62" s="7"/>
      <c r="P62" s="7"/>
      <c r="Q62" s="7"/>
      <c r="R62" s="7"/>
      <c r="S62" s="3"/>
      <c r="T62" s="3"/>
      <c r="U62" s="3"/>
      <c r="V62" s="3"/>
      <c r="W62" s="7">
        <f t="shared" ca="1" si="0"/>
        <v>2.4689832315313284E-2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 spans="2:50" x14ac:dyDescent="0.25">
      <c r="B63">
        <v>1988</v>
      </c>
      <c r="C63" s="2">
        <v>0.124</v>
      </c>
      <c r="H63" s="3"/>
      <c r="I63" s="3">
        <v>1988</v>
      </c>
      <c r="J63" s="7">
        <v>0.124</v>
      </c>
      <c r="K63" s="7"/>
      <c r="L63" s="7"/>
      <c r="M63" s="7"/>
      <c r="N63" s="7"/>
      <c r="O63" s="7"/>
      <c r="P63" s="7"/>
      <c r="Q63" s="7"/>
      <c r="R63" s="7"/>
      <c r="S63" s="3"/>
      <c r="T63" s="3"/>
      <c r="U63" s="3"/>
      <c r="V63" s="3"/>
      <c r="W63" s="7">
        <f t="shared" ca="1" si="0"/>
        <v>-0.38728091582054691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 spans="2:50" x14ac:dyDescent="0.25">
      <c r="B64">
        <v>1989</v>
      </c>
      <c r="C64" s="2">
        <v>0.27250000000000002</v>
      </c>
      <c r="H64" s="3"/>
      <c r="I64" s="3">
        <v>1989</v>
      </c>
      <c r="J64" s="7">
        <v>0.27250000000000002</v>
      </c>
      <c r="K64" s="7"/>
      <c r="L64" s="7"/>
      <c r="M64" s="7"/>
      <c r="N64" s="7"/>
      <c r="O64" s="7"/>
      <c r="P64" s="7"/>
      <c r="Q64" s="7"/>
      <c r="R64" s="7"/>
      <c r="S64" s="3"/>
      <c r="T64" s="3"/>
      <c r="U64" s="3"/>
      <c r="V64" s="3"/>
      <c r="W64" s="7">
        <f t="shared" ca="1" si="0"/>
        <v>0.41939161485606452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 spans="2:50" x14ac:dyDescent="0.25">
      <c r="B65">
        <v>1990</v>
      </c>
      <c r="C65" s="2">
        <v>-6.5599999999999992E-2</v>
      </c>
      <c r="H65" s="3"/>
      <c r="I65" s="3">
        <v>1990</v>
      </c>
      <c r="J65" s="7">
        <v>-6.5599999999999992E-2</v>
      </c>
      <c r="K65" s="7"/>
      <c r="L65" s="7"/>
      <c r="M65" s="7"/>
      <c r="N65" s="7"/>
      <c r="O65" s="7"/>
      <c r="P65" s="7"/>
      <c r="Q65" s="7"/>
      <c r="R65" s="7"/>
      <c r="S65" s="3"/>
      <c r="T65" s="3"/>
      <c r="U65" s="3"/>
      <c r="V65" s="3"/>
      <c r="W65" s="7">
        <f t="shared" ca="1" si="0"/>
        <v>-0.28517481371324233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 spans="2:50" x14ac:dyDescent="0.25">
      <c r="B66">
        <v>1991</v>
      </c>
      <c r="C66" s="2">
        <v>0.2631</v>
      </c>
      <c r="H66" s="3"/>
      <c r="I66" s="3">
        <v>1991</v>
      </c>
      <c r="J66" s="7">
        <v>0.2631</v>
      </c>
      <c r="K66" s="7"/>
      <c r="L66" s="7"/>
      <c r="M66" s="7"/>
      <c r="N66" s="7"/>
      <c r="O66" s="7"/>
      <c r="P66" s="7"/>
      <c r="Q66" s="7"/>
      <c r="R66" s="7"/>
      <c r="S66" s="3"/>
      <c r="T66" s="3"/>
      <c r="U66" s="3"/>
      <c r="V66" s="3"/>
      <c r="W66" s="7">
        <f t="shared" ca="1" si="0"/>
        <v>0.23990227220094756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 spans="2:50" x14ac:dyDescent="0.25">
      <c r="B67">
        <v>1992</v>
      </c>
      <c r="C67" s="2">
        <v>4.4600000000000001E-2</v>
      </c>
      <c r="H67" s="3"/>
      <c r="I67" s="3">
        <v>1992</v>
      </c>
      <c r="J67" s="7">
        <v>4.4600000000000001E-2</v>
      </c>
      <c r="K67" s="7"/>
      <c r="L67" s="7"/>
      <c r="M67" s="7"/>
      <c r="N67" s="7"/>
      <c r="O67" s="7"/>
      <c r="P67" s="7"/>
      <c r="Q67" s="7"/>
      <c r="R67" s="7"/>
      <c r="S67" s="3"/>
      <c r="T67" s="3"/>
      <c r="U67" s="3"/>
      <c r="V67" s="3"/>
      <c r="W67" s="7">
        <f t="shared" ca="1" si="0"/>
        <v>-0.17579058946127207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 spans="2:50" x14ac:dyDescent="0.25">
      <c r="B68">
        <v>1993</v>
      </c>
      <c r="C68" s="2">
        <v>7.0599999999999996E-2</v>
      </c>
      <c r="H68" s="3"/>
      <c r="I68" s="3">
        <v>1993</v>
      </c>
      <c r="J68" s="7">
        <v>7.0599999999999996E-2</v>
      </c>
      <c r="K68" s="7"/>
      <c r="L68" s="7"/>
      <c r="M68" s="7"/>
      <c r="N68" s="7"/>
      <c r="O68" s="7"/>
      <c r="P68" s="7"/>
      <c r="Q68" s="7"/>
      <c r="R68" s="7"/>
      <c r="S68" s="3"/>
      <c r="T68" s="3"/>
      <c r="U68" s="3"/>
      <c r="V68" s="3"/>
      <c r="W68" s="7">
        <f t="shared" ca="1" si="0"/>
        <v>-1.3052450396955365E-2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 spans="2:50" x14ac:dyDescent="0.25">
      <c r="B69">
        <v>1994</v>
      </c>
      <c r="C69" s="2">
        <v>-1.54E-2</v>
      </c>
      <c r="H69" s="3"/>
      <c r="I69" s="3">
        <v>1994</v>
      </c>
      <c r="J69" s="7">
        <v>-1.54E-2</v>
      </c>
      <c r="K69" s="7"/>
      <c r="L69" s="7"/>
      <c r="M69" s="7"/>
      <c r="N69" s="7"/>
      <c r="O69" s="7"/>
      <c r="P69" s="7"/>
      <c r="Q69" s="7"/>
      <c r="R69" s="7"/>
      <c r="S69" s="3"/>
      <c r="T69" s="3"/>
      <c r="U69" s="3"/>
      <c r="V69" s="3"/>
      <c r="W69" s="7">
        <f t="shared" ca="1" si="0"/>
        <v>-5.1396194496422951E-2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 spans="2:50" x14ac:dyDescent="0.25">
      <c r="B70">
        <v>1995</v>
      </c>
      <c r="C70" s="2">
        <v>0.34110000000000001</v>
      </c>
      <c r="H70" s="3"/>
      <c r="I70" s="3">
        <v>1995</v>
      </c>
      <c r="J70" s="7">
        <v>0.34110000000000001</v>
      </c>
      <c r="K70" s="7"/>
      <c r="L70" s="7"/>
      <c r="M70" s="7"/>
      <c r="N70" s="7"/>
      <c r="O70" s="7"/>
      <c r="P70" s="7"/>
      <c r="Q70" s="7"/>
      <c r="R70" s="7"/>
      <c r="S70" s="3"/>
      <c r="T70" s="3"/>
      <c r="U70" s="3"/>
      <c r="V70" s="3"/>
      <c r="W70" s="7">
        <f t="shared" ref="W70:W133" ca="1" si="1">+NORMINV(RAND(),$U$2,$U$3)</f>
        <v>-5.398787298864241E-3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 spans="2:50" x14ac:dyDescent="0.25">
      <c r="B71">
        <v>1996</v>
      </c>
      <c r="C71" s="2">
        <v>0.2026</v>
      </c>
      <c r="H71" s="3"/>
      <c r="I71" s="3">
        <v>1996</v>
      </c>
      <c r="J71" s="7">
        <v>0.2026</v>
      </c>
      <c r="K71" s="7"/>
      <c r="L71" s="7"/>
      <c r="M71" s="7"/>
      <c r="N71" s="7"/>
      <c r="O71" s="7"/>
      <c r="P71" s="7"/>
      <c r="Q71" s="7"/>
      <c r="R71" s="7"/>
      <c r="S71" s="3"/>
      <c r="T71" s="3"/>
      <c r="U71" s="3"/>
      <c r="V71" s="3"/>
      <c r="W71" s="7">
        <f t="shared" ca="1" si="1"/>
        <v>-0.19094378008662821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 spans="2:50" x14ac:dyDescent="0.25">
      <c r="B72">
        <v>1997</v>
      </c>
      <c r="C72" s="2">
        <v>0.31010000000000004</v>
      </c>
      <c r="H72" s="3"/>
      <c r="I72" s="3">
        <v>1997</v>
      </c>
      <c r="J72" s="7">
        <v>0.31010000000000004</v>
      </c>
      <c r="K72" s="7"/>
      <c r="L72" s="7"/>
      <c r="M72" s="7"/>
      <c r="N72" s="7"/>
      <c r="O72" s="7"/>
      <c r="P72" s="7"/>
      <c r="Q72" s="7"/>
      <c r="R72" s="7"/>
      <c r="S72" s="3"/>
      <c r="T72" s="3"/>
      <c r="U72" s="3"/>
      <c r="V72" s="3"/>
      <c r="W72" s="7">
        <f t="shared" ca="1" si="1"/>
        <v>0.14198321084558496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 spans="2:50" x14ac:dyDescent="0.25">
      <c r="B73">
        <v>1998</v>
      </c>
      <c r="C73" s="2">
        <v>0.26669999999999999</v>
      </c>
      <c r="H73" s="3"/>
      <c r="I73" s="3">
        <v>1998</v>
      </c>
      <c r="J73" s="7">
        <v>0.26669999999999999</v>
      </c>
      <c r="K73" s="7"/>
      <c r="L73" s="7"/>
      <c r="M73" s="7"/>
      <c r="N73" s="7"/>
      <c r="O73" s="7"/>
      <c r="P73" s="7"/>
      <c r="Q73" s="7"/>
      <c r="R73" s="7"/>
      <c r="S73" s="3"/>
      <c r="T73" s="3"/>
      <c r="U73" s="3"/>
      <c r="V73" s="3"/>
      <c r="W73" s="7">
        <f t="shared" ca="1" si="1"/>
        <v>0.31487394197376378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 spans="2:50" x14ac:dyDescent="0.25">
      <c r="B74">
        <v>1999</v>
      </c>
      <c r="C74" s="2">
        <v>0.1953</v>
      </c>
      <c r="H74" s="3"/>
      <c r="I74" s="3">
        <v>1999</v>
      </c>
      <c r="J74" s="7">
        <v>0.1953</v>
      </c>
      <c r="K74" s="7"/>
      <c r="L74" s="7"/>
      <c r="M74" s="7"/>
      <c r="N74" s="7"/>
      <c r="O74" s="7"/>
      <c r="P74" s="7"/>
      <c r="Q74" s="7"/>
      <c r="R74" s="7"/>
      <c r="S74" s="3"/>
      <c r="T74" s="3"/>
      <c r="U74" s="3"/>
      <c r="V74" s="3"/>
      <c r="W74" s="7">
        <f t="shared" ca="1" si="1"/>
        <v>9.354673240175429E-2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 spans="2:50" x14ac:dyDescent="0.25">
      <c r="B75">
        <v>2000</v>
      </c>
      <c r="C75" s="2">
        <v>0.1014</v>
      </c>
      <c r="H75" s="3"/>
      <c r="I75" s="3">
        <v>2000</v>
      </c>
      <c r="J75" s="7">
        <v>0.1014</v>
      </c>
      <c r="K75" s="7"/>
      <c r="L75" s="7"/>
      <c r="M75" s="7"/>
      <c r="N75" s="7"/>
      <c r="O75" s="7"/>
      <c r="P75" s="7"/>
      <c r="Q75" s="7"/>
      <c r="R75" s="7"/>
      <c r="S75" s="3"/>
      <c r="T75" s="3"/>
      <c r="U75" s="3"/>
      <c r="V75" s="3"/>
      <c r="W75" s="7">
        <f t="shared" ca="1" si="1"/>
        <v>5.2886634954421127E-2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 spans="2:50" x14ac:dyDescent="0.25">
      <c r="B76">
        <v>2001</v>
      </c>
      <c r="C76" s="2">
        <v>0.13039999999999999</v>
      </c>
      <c r="H76" s="3"/>
      <c r="I76" s="3">
        <v>2001</v>
      </c>
      <c r="J76" s="7">
        <v>0.13039999999999999</v>
      </c>
      <c r="K76" s="7"/>
      <c r="L76" s="7"/>
      <c r="M76" s="7"/>
      <c r="N76" s="7"/>
      <c r="O76" s="7"/>
      <c r="P76" s="7"/>
      <c r="Q76" s="7"/>
      <c r="R76" s="7"/>
      <c r="S76" s="3"/>
      <c r="T76" s="3"/>
      <c r="U76" s="3"/>
      <c r="V76" s="3"/>
      <c r="W76" s="7">
        <f t="shared" ca="1" si="1"/>
        <v>3.5535836876318547E-2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 spans="2:50" x14ac:dyDescent="0.25">
      <c r="B77">
        <v>2002</v>
      </c>
      <c r="C77" s="2">
        <v>0.23370000000000002</v>
      </c>
      <c r="H77" s="3"/>
      <c r="I77" s="3">
        <v>2002</v>
      </c>
      <c r="J77" s="7">
        <v>0.23370000000000002</v>
      </c>
      <c r="K77" s="7"/>
      <c r="L77" s="7"/>
      <c r="M77" s="7"/>
      <c r="N77" s="7"/>
      <c r="O77" s="7"/>
      <c r="P77" s="7"/>
      <c r="Q77" s="7"/>
      <c r="R77" s="7"/>
      <c r="S77" s="3"/>
      <c r="T77" s="3"/>
      <c r="U77" s="3"/>
      <c r="V77" s="3"/>
      <c r="W77" s="7">
        <f t="shared" ca="1" si="1"/>
        <v>-0.13970021772360008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 spans="2:50" x14ac:dyDescent="0.25">
      <c r="B78">
        <v>2003</v>
      </c>
      <c r="C78" s="2">
        <v>0.26379999999999998</v>
      </c>
      <c r="H78" s="3"/>
      <c r="I78" s="3">
        <v>2003</v>
      </c>
      <c r="J78" s="7">
        <v>0.26379999999999998</v>
      </c>
      <c r="K78" s="7"/>
      <c r="L78" s="7"/>
      <c r="M78" s="7"/>
      <c r="N78" s="7"/>
      <c r="O78" s="7"/>
      <c r="P78" s="7"/>
      <c r="Q78" s="7"/>
      <c r="R78" s="7"/>
      <c r="S78" s="3"/>
      <c r="T78" s="3"/>
      <c r="U78" s="3"/>
      <c r="V78" s="3"/>
      <c r="W78" s="7">
        <f t="shared" ca="1" si="1"/>
        <v>0.3724429641335899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 spans="2:50" x14ac:dyDescent="0.25">
      <c r="B79">
        <v>2004</v>
      </c>
      <c r="C79" s="2">
        <v>8.9900000000000008E-2</v>
      </c>
      <c r="H79" s="3"/>
      <c r="I79" s="3">
        <v>2004</v>
      </c>
      <c r="J79" s="7">
        <v>8.9900000000000008E-2</v>
      </c>
      <c r="K79" s="7"/>
      <c r="L79" s="7"/>
      <c r="M79" s="7"/>
      <c r="N79" s="7"/>
      <c r="O79" s="7"/>
      <c r="P79" s="7"/>
      <c r="Q79" s="7"/>
      <c r="R79" s="7"/>
      <c r="S79" s="3"/>
      <c r="T79" s="3"/>
      <c r="U79" s="3"/>
      <c r="V79" s="3"/>
      <c r="W79" s="7">
        <f t="shared" ca="1" si="1"/>
        <v>4.6665568858208648E-2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 spans="2:50" x14ac:dyDescent="0.25">
      <c r="B80">
        <v>2005</v>
      </c>
      <c r="C80" s="2">
        <v>-0.30299999999999999</v>
      </c>
      <c r="H80" s="3"/>
      <c r="I80" s="3">
        <v>2005</v>
      </c>
      <c r="J80" s="7">
        <v>-0.30299999999999999</v>
      </c>
      <c r="K80" s="7"/>
      <c r="L80" s="7"/>
      <c r="M80" s="7"/>
      <c r="N80" s="7"/>
      <c r="O80" s="7"/>
      <c r="P80" s="7"/>
      <c r="Q80" s="7"/>
      <c r="R80" s="7"/>
      <c r="S80" s="3"/>
      <c r="T80" s="3"/>
      <c r="U80" s="3"/>
      <c r="V80" s="3"/>
      <c r="W80" s="7">
        <f t="shared" ca="1" si="1"/>
        <v>0.12112569984965864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 spans="2:50" x14ac:dyDescent="0.25">
      <c r="B81">
        <v>2006</v>
      </c>
      <c r="C81" s="2">
        <v>0.13619999999999999</v>
      </c>
      <c r="H81" s="3"/>
      <c r="I81" s="3">
        <v>2006</v>
      </c>
      <c r="J81" s="7">
        <v>0.13619999999999999</v>
      </c>
      <c r="K81" s="7"/>
      <c r="L81" s="7"/>
      <c r="M81" s="7"/>
      <c r="N81" s="7"/>
      <c r="O81" s="7"/>
      <c r="P81" s="7"/>
      <c r="Q81" s="7"/>
      <c r="R81" s="7"/>
      <c r="S81" s="3"/>
      <c r="T81" s="3"/>
      <c r="U81" s="3"/>
      <c r="V81" s="3"/>
      <c r="W81" s="7">
        <f t="shared" ca="1" si="1"/>
        <v>2.7235447009884048E-2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 spans="2:50" x14ac:dyDescent="0.25">
      <c r="B82">
        <v>2007</v>
      </c>
      <c r="C82" s="2">
        <v>3.5299999999999998E-2</v>
      </c>
      <c r="H82" s="3"/>
      <c r="I82" s="3">
        <v>2007</v>
      </c>
      <c r="J82" s="7">
        <v>3.5299999999999998E-2</v>
      </c>
      <c r="K82" s="7"/>
      <c r="L82" s="7"/>
      <c r="M82" s="7"/>
      <c r="N82" s="7"/>
      <c r="O82" s="7"/>
      <c r="P82" s="7"/>
      <c r="Q82" s="7"/>
      <c r="R82" s="7"/>
      <c r="S82" s="3"/>
      <c r="T82" s="3"/>
      <c r="U82" s="3"/>
      <c r="V82" s="3"/>
      <c r="W82" s="7">
        <f t="shared" ca="1" si="1"/>
        <v>-0.11501021298794413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 spans="2:50" x14ac:dyDescent="0.25">
      <c r="B83">
        <v>2008</v>
      </c>
      <c r="C83" s="2">
        <v>0.38490000000000002</v>
      </c>
      <c r="H83" s="3"/>
      <c r="I83" s="3">
        <v>2008</v>
      </c>
      <c r="J83" s="7">
        <v>0.38490000000000002</v>
      </c>
      <c r="K83" s="7"/>
      <c r="L83" s="7"/>
      <c r="M83" s="7"/>
      <c r="N83" s="7"/>
      <c r="O83" s="7"/>
      <c r="P83" s="7"/>
      <c r="Q83" s="7"/>
      <c r="R83" s="7"/>
      <c r="S83" s="3"/>
      <c r="T83" s="3"/>
      <c r="U83" s="3"/>
      <c r="V83" s="3"/>
      <c r="W83" s="7">
        <f t="shared" ca="1" si="1"/>
        <v>0.22611549913364001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 spans="2:50" x14ac:dyDescent="0.25">
      <c r="B84">
        <v>2009</v>
      </c>
      <c r="C84" s="2">
        <v>0.23449999999999999</v>
      </c>
      <c r="H84" s="3"/>
      <c r="I84" s="3">
        <v>2009</v>
      </c>
      <c r="J84" s="7">
        <v>0.23449999999999999</v>
      </c>
      <c r="K84" s="7"/>
      <c r="L84" s="7"/>
      <c r="M84" s="7"/>
      <c r="N84" s="7"/>
      <c r="O84" s="7"/>
      <c r="P84" s="7"/>
      <c r="Q84" s="7"/>
      <c r="R84" s="7"/>
      <c r="S84" s="3"/>
      <c r="T84" s="3"/>
      <c r="U84" s="3"/>
      <c r="V84" s="3"/>
      <c r="W84" s="7">
        <f t="shared" ca="1" si="1"/>
        <v>-0.14835612179370078</v>
      </c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 spans="2:50" x14ac:dyDescent="0.25">
      <c r="B85">
        <v>2010</v>
      </c>
      <c r="C85" s="2">
        <v>0.1278</v>
      </c>
      <c r="H85" s="3"/>
      <c r="I85" s="3">
        <v>2010</v>
      </c>
      <c r="J85" s="7">
        <v>0.1278</v>
      </c>
      <c r="K85" s="7"/>
      <c r="L85" s="7"/>
      <c r="M85" s="7"/>
      <c r="N85" s="7"/>
      <c r="O85" s="7"/>
      <c r="P85" s="7"/>
      <c r="Q85" s="7"/>
      <c r="R85" s="7"/>
      <c r="S85" s="3"/>
      <c r="T85" s="3"/>
      <c r="U85" s="3"/>
      <c r="V85" s="3"/>
      <c r="W85" s="7">
        <f t="shared" ca="1" si="1"/>
        <v>-2.3986047713573169E-2</v>
      </c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 spans="2:50" x14ac:dyDescent="0.25">
      <c r="B86">
        <v>2011</v>
      </c>
      <c r="C86" s="2">
        <v>-0.3</v>
      </c>
      <c r="H86" s="3"/>
      <c r="I86" s="3">
        <v>2011</v>
      </c>
      <c r="J86" s="7">
        <v>-0.3</v>
      </c>
      <c r="K86" s="7"/>
      <c r="L86" s="7"/>
      <c r="M86" s="7"/>
      <c r="N86" s="7"/>
      <c r="O86" s="7"/>
      <c r="P86" s="7"/>
      <c r="Q86" s="7"/>
      <c r="R86" s="7"/>
      <c r="S86" s="3"/>
      <c r="T86" s="3"/>
      <c r="U86" s="3"/>
      <c r="V86" s="3"/>
      <c r="W86" s="7">
        <f t="shared" ca="1" si="1"/>
        <v>0.1606357052710114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 spans="2:50" x14ac:dyDescent="0.25">
      <c r="B87">
        <v>2012</v>
      </c>
      <c r="C87" s="2">
        <v>0.1341</v>
      </c>
      <c r="H87" s="3"/>
      <c r="I87" s="3">
        <v>2012</v>
      </c>
      <c r="J87" s="7">
        <v>0.1341</v>
      </c>
      <c r="K87" s="7"/>
      <c r="L87" s="7"/>
      <c r="M87" s="7"/>
      <c r="N87" s="7"/>
      <c r="O87" s="7"/>
      <c r="P87" s="7"/>
      <c r="Q87" s="7"/>
      <c r="R87" s="7"/>
      <c r="S87" s="3"/>
      <c r="T87" s="3"/>
      <c r="U87" s="3"/>
      <c r="V87" s="3"/>
      <c r="W87" s="7">
        <f t="shared" ca="1" si="1"/>
        <v>0.37416247475690811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 spans="2:50" x14ac:dyDescent="0.25">
      <c r="B88">
        <v>2013</v>
      </c>
      <c r="C88" s="2">
        <v>0.29600000000000004</v>
      </c>
      <c r="H88" s="3"/>
      <c r="I88" s="3">
        <v>2013</v>
      </c>
      <c r="J88" s="7">
        <v>0.29600000000000004</v>
      </c>
      <c r="K88" s="7"/>
      <c r="L88" s="7"/>
      <c r="M88" s="7"/>
      <c r="N88" s="7"/>
      <c r="O88" s="7"/>
      <c r="P88" s="7"/>
      <c r="Q88" s="7"/>
      <c r="R88" s="7"/>
      <c r="S88" s="3"/>
      <c r="T88" s="3"/>
      <c r="U88" s="3"/>
      <c r="V88" s="3"/>
      <c r="W88" s="7">
        <f t="shared" ca="1" si="1"/>
        <v>4.6322575148873849E-2</v>
      </c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 spans="2:50" x14ac:dyDescent="0.25">
      <c r="B89">
        <v>2014</v>
      </c>
      <c r="C89" s="2">
        <v>0.1139</v>
      </c>
      <c r="H89" s="3"/>
      <c r="I89" s="3">
        <v>2014</v>
      </c>
      <c r="J89" s="7">
        <v>0.1139</v>
      </c>
      <c r="K89" s="7"/>
      <c r="L89" s="7"/>
      <c r="M89" s="7"/>
      <c r="N89" s="7"/>
      <c r="O89" s="7"/>
      <c r="P89" s="7"/>
      <c r="Q89" s="7"/>
      <c r="R89" s="7"/>
      <c r="S89" s="3"/>
      <c r="T89" s="3"/>
      <c r="U89" s="3"/>
      <c r="V89" s="3"/>
      <c r="W89" s="7">
        <f t="shared" ca="1" si="1"/>
        <v>0.46531319721161868</v>
      </c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 spans="2:50" x14ac:dyDescent="0.25">
      <c r="B90">
        <v>2015</v>
      </c>
      <c r="C90" s="2">
        <v>-7.3000000000000001E-3</v>
      </c>
      <c r="H90" s="3"/>
      <c r="I90" s="3">
        <v>2015</v>
      </c>
      <c r="J90" s="7">
        <v>-7.3000000000000001E-3</v>
      </c>
      <c r="K90" s="7"/>
      <c r="L90" s="7"/>
      <c r="M90" s="7"/>
      <c r="N90" s="7"/>
      <c r="O90" s="7"/>
      <c r="P90" s="7"/>
      <c r="Q90" s="7"/>
      <c r="R90" s="7"/>
      <c r="S90" s="3"/>
      <c r="T90" s="3"/>
      <c r="U90" s="3"/>
      <c r="V90" s="3"/>
      <c r="W90" s="7">
        <f t="shared" ca="1" si="1"/>
        <v>-5.7859000727423657E-2</v>
      </c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 spans="2:50" x14ac:dyDescent="0.25">
      <c r="B91">
        <v>2016</v>
      </c>
      <c r="C91" s="2">
        <v>9.5399999999999985E-2</v>
      </c>
      <c r="H91" s="3"/>
      <c r="I91" s="3">
        <v>2016</v>
      </c>
      <c r="J91" s="7">
        <v>9.5399999999999985E-2</v>
      </c>
      <c r="K91" s="7"/>
      <c r="L91" s="7"/>
      <c r="M91" s="7"/>
      <c r="N91" s="7"/>
      <c r="O91" s="7"/>
      <c r="P91" s="7"/>
      <c r="Q91" s="7"/>
      <c r="R91" s="7"/>
      <c r="S91" s="3"/>
      <c r="T91" s="3"/>
      <c r="U91" s="3"/>
      <c r="V91" s="3"/>
      <c r="W91" s="7">
        <f t="shared" ca="1" si="1"/>
        <v>0.11374646096067229</v>
      </c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 spans="2:50" x14ac:dyDescent="0.25">
      <c r="B92">
        <v>2017</v>
      </c>
      <c r="C92" s="2">
        <v>0.19420000000000001</v>
      </c>
      <c r="H92" s="3"/>
      <c r="I92" s="3">
        <v>2017</v>
      </c>
      <c r="J92" s="7">
        <v>0.19420000000000001</v>
      </c>
      <c r="K92" s="7"/>
      <c r="L92" s="7"/>
      <c r="M92" s="7"/>
      <c r="N92" s="7"/>
      <c r="O92" s="7"/>
      <c r="P92" s="7"/>
      <c r="Q92" s="7"/>
      <c r="R92" s="7"/>
      <c r="S92" s="3"/>
      <c r="T92" s="3"/>
      <c r="U92" s="3"/>
      <c r="V92" s="3"/>
      <c r="W92" s="7">
        <f t="shared" ca="1" si="1"/>
        <v>0.27667240328352732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 spans="2:50" x14ac:dyDescent="0.25">
      <c r="B93">
        <v>2018</v>
      </c>
      <c r="C93" s="2">
        <v>-6.2400000000000004E-2</v>
      </c>
      <c r="H93" s="3"/>
      <c r="I93" s="3">
        <v>2018</v>
      </c>
      <c r="J93" s="7">
        <v>-6.2400000000000004E-2</v>
      </c>
      <c r="K93" s="7"/>
      <c r="L93" s="7"/>
      <c r="M93" s="7"/>
      <c r="N93" s="7"/>
      <c r="O93" s="7"/>
      <c r="P93" s="7"/>
      <c r="Q93" s="7"/>
      <c r="R93" s="7"/>
      <c r="S93" s="3"/>
      <c r="T93" s="3"/>
      <c r="U93" s="3"/>
      <c r="V93" s="3"/>
      <c r="W93" s="7">
        <f t="shared" ca="1" si="1"/>
        <v>0.19390001323559913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 spans="2:50" x14ac:dyDescent="0.25">
      <c r="B94">
        <v>2019</v>
      </c>
      <c r="C94" s="2">
        <v>0.2888</v>
      </c>
      <c r="H94" s="3"/>
      <c r="I94" s="3">
        <v>2019</v>
      </c>
      <c r="J94" s="7">
        <v>0.2888</v>
      </c>
      <c r="K94" s="7"/>
      <c r="L94" s="7"/>
      <c r="M94" s="7"/>
      <c r="N94" s="7"/>
      <c r="O94" s="7"/>
      <c r="P94" s="7"/>
      <c r="Q94" s="7"/>
      <c r="R94" s="7"/>
      <c r="S94" s="3"/>
      <c r="T94" s="3"/>
      <c r="U94" s="3"/>
      <c r="V94" s="3"/>
      <c r="W94" s="7">
        <f t="shared" ca="1" si="1"/>
        <v>0.31833864719877908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 spans="2:50" x14ac:dyDescent="0.25">
      <c r="B95">
        <v>2020</v>
      </c>
      <c r="C95" s="2">
        <v>0.16260000000000002</v>
      </c>
      <c r="H95" s="3"/>
      <c r="I95" s="3">
        <v>2020</v>
      </c>
      <c r="J95" s="7">
        <v>0.16260000000000002</v>
      </c>
      <c r="K95" s="7"/>
      <c r="L95" s="7"/>
      <c r="M95" s="7"/>
      <c r="N95" s="7"/>
      <c r="O95" s="7"/>
      <c r="P95" s="7"/>
      <c r="Q95" s="7"/>
      <c r="R95" s="7"/>
      <c r="S95" s="3"/>
      <c r="T95" s="3"/>
      <c r="U95" s="3"/>
      <c r="V95" s="3"/>
      <c r="W95" s="7">
        <f t="shared" ca="1" si="1"/>
        <v>0.15638942701045033</v>
      </c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 spans="2:50" x14ac:dyDescent="0.25">
      <c r="B96">
        <v>2021</v>
      </c>
      <c r="C96" s="2">
        <v>0.26890000000000003</v>
      </c>
      <c r="H96" s="3"/>
      <c r="I96" s="3">
        <v>2021</v>
      </c>
      <c r="J96" s="7">
        <v>0.26890000000000003</v>
      </c>
      <c r="K96" s="7"/>
      <c r="L96" s="7"/>
      <c r="M96" s="7"/>
      <c r="N96" s="7"/>
      <c r="O96" s="7"/>
      <c r="P96" s="7"/>
      <c r="Q96" s="7"/>
      <c r="R96" s="7"/>
      <c r="S96" s="3"/>
      <c r="T96" s="3"/>
      <c r="U96" s="3"/>
      <c r="V96" s="3"/>
      <c r="W96" s="7">
        <f t="shared" ca="1" si="1"/>
        <v>0.10689125319085158</v>
      </c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 spans="2:50" x14ac:dyDescent="0.25">
      <c r="B97">
        <v>2022</v>
      </c>
      <c r="C97" s="2">
        <v>0.19440000000000002</v>
      </c>
      <c r="H97" s="3"/>
      <c r="I97" s="3">
        <v>2022</v>
      </c>
      <c r="J97" s="7">
        <v>0.19440000000000002</v>
      </c>
      <c r="K97" s="7"/>
      <c r="L97" s="7"/>
      <c r="M97" s="7"/>
      <c r="N97" s="7"/>
      <c r="O97" s="7"/>
      <c r="P97" s="7"/>
      <c r="Q97" s="7"/>
      <c r="R97" s="7"/>
      <c r="S97" s="3"/>
      <c r="T97" s="3"/>
      <c r="U97" s="3"/>
      <c r="V97" s="3"/>
      <c r="W97" s="7">
        <f t="shared" ca="1" si="1"/>
        <v>-0.22479033722337843</v>
      </c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 spans="2:50" x14ac:dyDescent="0.25">
      <c r="B98">
        <v>2023</v>
      </c>
      <c r="C98" s="2">
        <v>0.24230000000000002</v>
      </c>
      <c r="H98" s="3"/>
      <c r="I98" s="3">
        <v>2023</v>
      </c>
      <c r="J98" s="7">
        <v>0.24230000000000002</v>
      </c>
      <c r="K98" s="7"/>
      <c r="L98" s="7"/>
      <c r="M98" s="7"/>
      <c r="N98" s="7"/>
      <c r="O98" s="7"/>
      <c r="P98" s="7"/>
      <c r="Q98" s="7"/>
      <c r="R98" s="7"/>
      <c r="S98" s="3"/>
      <c r="T98" s="3"/>
      <c r="U98" s="3"/>
      <c r="V98" s="3"/>
      <c r="W98" s="7">
        <f t="shared" ca="1" si="1"/>
        <v>0.16181648587927322</v>
      </c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 spans="2:50" x14ac:dyDescent="0.25">
      <c r="B99">
        <v>2024</v>
      </c>
      <c r="C99" s="2">
        <v>0.23309999999999997</v>
      </c>
      <c r="H99" s="3"/>
      <c r="I99" s="3">
        <v>2024</v>
      </c>
      <c r="J99" s="7">
        <v>0.23309999999999997</v>
      </c>
      <c r="K99" s="7"/>
      <c r="L99" s="7"/>
      <c r="M99" s="7"/>
      <c r="N99" s="7"/>
      <c r="O99" s="7"/>
      <c r="P99" s="7"/>
      <c r="Q99" s="7"/>
      <c r="R99" s="7"/>
      <c r="S99" s="3"/>
      <c r="T99" s="3"/>
      <c r="U99" s="3"/>
      <c r="V99" s="3"/>
      <c r="W99" s="7">
        <f t="shared" ca="1" si="1"/>
        <v>0.28161085260469421</v>
      </c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 spans="2:50" x14ac:dyDescent="0.25">
      <c r="B100">
        <v>2025</v>
      </c>
      <c r="C100" s="2">
        <v>-9.300000000000001E-3</v>
      </c>
      <c r="H100" s="3"/>
      <c r="I100" s="3">
        <v>2025</v>
      </c>
      <c r="J100" s="7">
        <v>-9.300000000000001E-3</v>
      </c>
      <c r="K100" s="7"/>
      <c r="L100" s="7"/>
      <c r="M100" s="7"/>
      <c r="N100" s="7"/>
      <c r="O100" s="7"/>
      <c r="P100" s="7"/>
      <c r="Q100" s="7"/>
      <c r="R100" s="7"/>
      <c r="S100" s="3"/>
      <c r="T100" s="3"/>
      <c r="U100" s="3"/>
      <c r="V100" s="3"/>
      <c r="W100" s="7">
        <f t="shared" ca="1" si="1"/>
        <v>0.17238967125382176</v>
      </c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 spans="2:50" x14ac:dyDescent="0.25">
      <c r="H101" s="3"/>
      <c r="I101" s="3"/>
      <c r="J101" s="3"/>
      <c r="K101" s="7"/>
      <c r="L101" s="7"/>
      <c r="M101" s="7"/>
      <c r="N101" s="7"/>
      <c r="O101" s="7"/>
      <c r="P101" s="7"/>
      <c r="Q101" s="7"/>
      <c r="R101" s="7"/>
      <c r="S101" s="3"/>
      <c r="T101" s="3"/>
      <c r="U101" s="3"/>
      <c r="V101" s="3"/>
      <c r="W101" s="7">
        <f t="shared" ca="1" si="1"/>
        <v>3.6122339035538936E-2</v>
      </c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 spans="2:50" x14ac:dyDescent="0.25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7">
        <f t="shared" ca="1" si="1"/>
        <v>7.2930843998616934E-2</v>
      </c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 spans="2:50" x14ac:dyDescent="0.25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7">
        <f t="shared" ca="1" si="1"/>
        <v>0.25781562698084259</v>
      </c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 spans="2:50" x14ac:dyDescent="0.25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7">
        <f t="shared" ca="1" si="1"/>
        <v>8.9670485469041522E-2</v>
      </c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 spans="2:50" x14ac:dyDescent="0.25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7">
        <f t="shared" ca="1" si="1"/>
        <v>0.37315186996316363</v>
      </c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 spans="2:50" x14ac:dyDescent="0.25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7">
        <f t="shared" ca="1" si="1"/>
        <v>0.11417503953932069</v>
      </c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 spans="2:50" x14ac:dyDescent="0.25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7">
        <f t="shared" ca="1" si="1"/>
        <v>3.3869746733872344E-2</v>
      </c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 spans="2:50" x14ac:dyDescent="0.25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7">
        <f t="shared" ca="1" si="1"/>
        <v>5.0268144554032557E-2</v>
      </c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 spans="2:50" x14ac:dyDescent="0.25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7">
        <f t="shared" ca="1" si="1"/>
        <v>0.18828223377307113</v>
      </c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 spans="2:50" x14ac:dyDescent="0.25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7">
        <f t="shared" ca="1" si="1"/>
        <v>0.34033615215887153</v>
      </c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 spans="2:50" x14ac:dyDescent="0.25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7">
        <f t="shared" ca="1" si="1"/>
        <v>-0.17338201891986854</v>
      </c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 spans="2:50" x14ac:dyDescent="0.25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7">
        <f t="shared" ca="1" si="1"/>
        <v>-7.4681526770832438E-2</v>
      </c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 spans="8:50" x14ac:dyDescent="0.25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7">
        <f t="shared" ca="1" si="1"/>
        <v>0.11047728924156346</v>
      </c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 spans="8:50" x14ac:dyDescent="0.25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7">
        <f t="shared" ca="1" si="1"/>
        <v>0.47225712901532363</v>
      </c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 spans="8:50" x14ac:dyDescent="0.25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7">
        <f t="shared" ca="1" si="1"/>
        <v>0.47024048060935486</v>
      </c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 spans="8:50" x14ac:dyDescent="0.25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7">
        <f t="shared" ca="1" si="1"/>
        <v>-0.12634340063524685</v>
      </c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 spans="8:50" x14ac:dyDescent="0.25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7">
        <f t="shared" ca="1" si="1"/>
        <v>6.7879146704865667E-2</v>
      </c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 spans="8:50" x14ac:dyDescent="0.25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7">
        <f t="shared" ca="1" si="1"/>
        <v>0.26164209379936548</v>
      </c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 spans="8:50" x14ac:dyDescent="0.25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7">
        <f t="shared" ca="1" si="1"/>
        <v>0.17497568056707899</v>
      </c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 spans="8:50" x14ac:dyDescent="0.25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7">
        <f t="shared" ca="1" si="1"/>
        <v>0.14908728121057696</v>
      </c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 spans="8:50" x14ac:dyDescent="0.25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7">
        <f t="shared" ca="1" si="1"/>
        <v>-8.6537989466112644E-2</v>
      </c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 spans="8:50" x14ac:dyDescent="0.25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7">
        <f t="shared" ca="1" si="1"/>
        <v>0.26013307401352959</v>
      </c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 spans="8:50" x14ac:dyDescent="0.25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7">
        <f t="shared" ca="1" si="1"/>
        <v>3.8514862591708873E-2</v>
      </c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 spans="8:50" x14ac:dyDescent="0.25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7">
        <f t="shared" ca="1" si="1"/>
        <v>0.29869292887992838</v>
      </c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 spans="8:50" x14ac:dyDescent="0.25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7">
        <f t="shared" ca="1" si="1"/>
        <v>0.23458395935090687</v>
      </c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 spans="8:50" x14ac:dyDescent="0.25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7">
        <f t="shared" ca="1" si="1"/>
        <v>-1.558281414961625E-2</v>
      </c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 spans="8:50" x14ac:dyDescent="0.25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7">
        <f t="shared" ca="1" si="1"/>
        <v>-9.0129343436611234E-2</v>
      </c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 spans="8:50" x14ac:dyDescent="0.25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7">
        <f t="shared" ca="1" si="1"/>
        <v>0.38413561473205954</v>
      </c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 spans="8:50" x14ac:dyDescent="0.25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7">
        <f t="shared" ca="1" si="1"/>
        <v>7.0340824319189033E-2</v>
      </c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 spans="8:50" x14ac:dyDescent="0.25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7">
        <f t="shared" ca="1" si="1"/>
        <v>2.1823300936171103E-3</v>
      </c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 spans="8:50" x14ac:dyDescent="0.25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7">
        <f t="shared" ca="1" si="1"/>
        <v>0.16897955568651207</v>
      </c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 spans="8:50" x14ac:dyDescent="0.25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7">
        <f t="shared" ca="1" si="1"/>
        <v>0.21010769723286252</v>
      </c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 spans="8:50" x14ac:dyDescent="0.25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7">
        <f t="shared" ca="1" si="1"/>
        <v>8.6601593286317835E-2</v>
      </c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 spans="8:50" x14ac:dyDescent="0.25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7">
        <f t="shared" ref="W134:W197" ca="1" si="2">+NORMINV(RAND(),$U$2,$U$3)</f>
        <v>9.2275963550478263E-2</v>
      </c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 spans="8:50" x14ac:dyDescent="0.25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7">
        <f t="shared" ca="1" si="2"/>
        <v>-7.2934586198106541E-2</v>
      </c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 spans="8:50" x14ac:dyDescent="0.25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7">
        <f t="shared" ca="1" si="2"/>
        <v>0.16226334813396454</v>
      </c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 spans="8:50" x14ac:dyDescent="0.25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7">
        <f t="shared" ca="1" si="2"/>
        <v>-0.26159502771542015</v>
      </c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 spans="8:50" x14ac:dyDescent="0.25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7">
        <f t="shared" ca="1" si="2"/>
        <v>1.6874410448008359E-2</v>
      </c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 spans="8:50" x14ac:dyDescent="0.25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7">
        <f t="shared" ca="1" si="2"/>
        <v>0.24770043547177772</v>
      </c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 spans="8:50" x14ac:dyDescent="0.25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7">
        <f t="shared" ca="1" si="2"/>
        <v>-0.17639550437030876</v>
      </c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 spans="8:50" x14ac:dyDescent="0.25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7">
        <f t="shared" ca="1" si="2"/>
        <v>0.13237352779197961</v>
      </c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 spans="8:50" x14ac:dyDescent="0.25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7">
        <f t="shared" ca="1" si="2"/>
        <v>9.2502298749878892E-2</v>
      </c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 spans="8:50" x14ac:dyDescent="0.25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7">
        <f t="shared" ca="1" si="2"/>
        <v>0.20533527997991391</v>
      </c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 spans="8:50" x14ac:dyDescent="0.25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7">
        <f t="shared" ca="1" si="2"/>
        <v>8.4426769976386859E-2</v>
      </c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 spans="8:50" x14ac:dyDescent="0.25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7">
        <f t="shared" ca="1" si="2"/>
        <v>0.16770359145533636</v>
      </c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 spans="8:50" x14ac:dyDescent="0.25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7">
        <f t="shared" ca="1" si="2"/>
        <v>-8.9705622996235454E-2</v>
      </c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 spans="8:50" x14ac:dyDescent="0.25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7">
        <f t="shared" ca="1" si="2"/>
        <v>0.33080665758151101</v>
      </c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 spans="8:50" x14ac:dyDescent="0.25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7">
        <f t="shared" ca="1" si="2"/>
        <v>0.10683861963100816</v>
      </c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 spans="8:50" x14ac:dyDescent="0.25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7">
        <f t="shared" ca="1" si="2"/>
        <v>0.25526005885894881</v>
      </c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 spans="8:50" x14ac:dyDescent="0.25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7">
        <f t="shared" ca="1" si="2"/>
        <v>0.30267334142347674</v>
      </c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 spans="8:50" x14ac:dyDescent="0.25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7">
        <f t="shared" ca="1" si="2"/>
        <v>2.7876219031758617E-2</v>
      </c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 spans="8:50" x14ac:dyDescent="0.25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7">
        <f t="shared" ca="1" si="2"/>
        <v>6.3334370729332012E-2</v>
      </c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 spans="8:50" x14ac:dyDescent="0.25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7">
        <f t="shared" ca="1" si="2"/>
        <v>0.16158028325902551</v>
      </c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 spans="8:50" x14ac:dyDescent="0.25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7">
        <f t="shared" ca="1" si="2"/>
        <v>6.9946386715056957E-3</v>
      </c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 spans="8:50" x14ac:dyDescent="0.25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7">
        <f t="shared" ca="1" si="2"/>
        <v>9.5721062342332131E-2</v>
      </c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 spans="8:50" x14ac:dyDescent="0.25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7">
        <f t="shared" ca="1" si="2"/>
        <v>0.16174833043113424</v>
      </c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 spans="8:50" x14ac:dyDescent="0.25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7">
        <f t="shared" ca="1" si="2"/>
        <v>-5.9495769100542176E-2</v>
      </c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 spans="8:50" x14ac:dyDescent="0.25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7">
        <f t="shared" ca="1" si="2"/>
        <v>-9.1341654566061456E-2</v>
      </c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 spans="8:50" x14ac:dyDescent="0.25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7">
        <f t="shared" ca="1" si="2"/>
        <v>5.7551063980960909E-2</v>
      </c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 spans="8:50" x14ac:dyDescent="0.25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7">
        <f t="shared" ca="1" si="2"/>
        <v>-7.6073812922608577E-2</v>
      </c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 spans="8:50" x14ac:dyDescent="0.25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7">
        <f t="shared" ca="1" si="2"/>
        <v>-9.1989837718978576E-2</v>
      </c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 spans="8:50" x14ac:dyDescent="0.25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7">
        <f t="shared" ca="1" si="2"/>
        <v>0.16900606390965556</v>
      </c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 spans="8:50" x14ac:dyDescent="0.25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7">
        <f t="shared" ca="1" si="2"/>
        <v>-0.13211515301304133</v>
      </c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 spans="8:50" x14ac:dyDescent="0.25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7">
        <f t="shared" ca="1" si="2"/>
        <v>0.22250398723367226</v>
      </c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 spans="8:50" x14ac:dyDescent="0.25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7">
        <f t="shared" ca="1" si="2"/>
        <v>5.3884648692713179E-2</v>
      </c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 spans="8:50" x14ac:dyDescent="0.25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7">
        <f t="shared" ca="1" si="2"/>
        <v>-0.11872479030675924</v>
      </c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 spans="8:50" x14ac:dyDescent="0.25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7">
        <f t="shared" ca="1" si="2"/>
        <v>6.6587648253746495E-2</v>
      </c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 spans="8:50" x14ac:dyDescent="0.25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7">
        <f t="shared" ca="1" si="2"/>
        <v>0.25885773529530959</v>
      </c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 spans="8:50" x14ac:dyDescent="0.25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7">
        <f t="shared" ca="1" si="2"/>
        <v>0.12052044141531851</v>
      </c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 spans="8:50" x14ac:dyDescent="0.25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7">
        <f t="shared" ca="1" si="2"/>
        <v>0.37300440552224695</v>
      </c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 spans="8:50" x14ac:dyDescent="0.25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7">
        <f t="shared" ca="1" si="2"/>
        <v>-0.1816352621006489</v>
      </c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 spans="8:50" x14ac:dyDescent="0.25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7">
        <f t="shared" ca="1" si="2"/>
        <v>-0.10632576328479083</v>
      </c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 spans="8:50" x14ac:dyDescent="0.25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7">
        <f t="shared" ca="1" si="2"/>
        <v>0.18717113353194026</v>
      </c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 spans="8:50" x14ac:dyDescent="0.25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7">
        <f t="shared" ca="1" si="2"/>
        <v>-0.14534513143402544</v>
      </c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 spans="8:50" x14ac:dyDescent="0.25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7">
        <f t="shared" ca="1" si="2"/>
        <v>4.168936043553724E-2</v>
      </c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 spans="8:50" x14ac:dyDescent="0.25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7">
        <f t="shared" ca="1" si="2"/>
        <v>2.6277429677164663E-2</v>
      </c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 spans="8:50" x14ac:dyDescent="0.25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7">
        <f t="shared" ca="1" si="2"/>
        <v>5.4463633423752204E-2</v>
      </c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 spans="8:50" x14ac:dyDescent="0.25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7">
        <f t="shared" ca="1" si="2"/>
        <v>6.239085503186468E-2</v>
      </c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 spans="8:50" x14ac:dyDescent="0.25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7">
        <f t="shared" ca="1" si="2"/>
        <v>0.48562333900780952</v>
      </c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 spans="8:50" x14ac:dyDescent="0.25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7">
        <f t="shared" ca="1" si="2"/>
        <v>0.19405868161659029</v>
      </c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 spans="8:50" x14ac:dyDescent="0.25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7">
        <f t="shared" ca="1" si="2"/>
        <v>0.19946720779463809</v>
      </c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 spans="8:50" x14ac:dyDescent="0.25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7">
        <f t="shared" ca="1" si="2"/>
        <v>0.33760835073190132</v>
      </c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 spans="8:50" x14ac:dyDescent="0.25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7">
        <f t="shared" ca="1" si="2"/>
        <v>7.139939024398248E-2</v>
      </c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 spans="8:50" x14ac:dyDescent="0.25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7">
        <f t="shared" ca="1" si="2"/>
        <v>0.23267198313478316</v>
      </c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 spans="8:50" x14ac:dyDescent="0.25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7">
        <f t="shared" ca="1" si="2"/>
        <v>3.6634525246667909E-2</v>
      </c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 spans="8:50" x14ac:dyDescent="0.25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7">
        <f t="shared" ca="1" si="2"/>
        <v>0.19147654348113569</v>
      </c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 spans="8:50" x14ac:dyDescent="0.25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7">
        <f t="shared" ca="1" si="2"/>
        <v>0.35977905993815096</v>
      </c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 spans="8:50" x14ac:dyDescent="0.25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7">
        <f t="shared" ca="1" si="2"/>
        <v>0.45850882644173552</v>
      </c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 spans="8:50" x14ac:dyDescent="0.25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7">
        <f t="shared" ca="1" si="2"/>
        <v>-4.050571582977526E-2</v>
      </c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 spans="8:50" x14ac:dyDescent="0.25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7">
        <f t="shared" ca="1" si="2"/>
        <v>0.10906585171469767</v>
      </c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 spans="8:50" x14ac:dyDescent="0.25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7">
        <f t="shared" ca="1" si="2"/>
        <v>0.13591001538955227</v>
      </c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 spans="8:50" x14ac:dyDescent="0.25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7">
        <f t="shared" ca="1" si="2"/>
        <v>6.8929143775778023E-2</v>
      </c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 spans="8:50" x14ac:dyDescent="0.25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7">
        <f t="shared" ca="1" si="2"/>
        <v>-0.11398708525076078</v>
      </c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 spans="8:50" x14ac:dyDescent="0.25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7">
        <f t="shared" ca="1" si="2"/>
        <v>-0.15341604498893968</v>
      </c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 spans="8:50" x14ac:dyDescent="0.25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7">
        <f t="shared" ca="1" si="2"/>
        <v>-0.18135413523477112</v>
      </c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 spans="8:50" x14ac:dyDescent="0.25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7">
        <f t="shared" ca="1" si="2"/>
        <v>0.30494910947162562</v>
      </c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 spans="8:50" x14ac:dyDescent="0.25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7">
        <f t="shared" ca="1" si="2"/>
        <v>0.13856464157418277</v>
      </c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 spans="8:50" x14ac:dyDescent="0.25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7">
        <f t="shared" ref="W198:W261" ca="1" si="3">+NORMINV(RAND(),$U$2,$U$3)</f>
        <v>-0.14365441223366754</v>
      </c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 spans="8:50" x14ac:dyDescent="0.25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7">
        <f t="shared" ca="1" si="3"/>
        <v>8.144171215734497E-2</v>
      </c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 spans="8:50" x14ac:dyDescent="0.25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7">
        <f t="shared" ca="1" si="3"/>
        <v>0.33660247481061856</v>
      </c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 spans="8:50" x14ac:dyDescent="0.25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7">
        <f t="shared" ca="1" si="3"/>
        <v>-1.0291563048082819E-2</v>
      </c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 spans="8:50" x14ac:dyDescent="0.25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7">
        <f t="shared" ca="1" si="3"/>
        <v>0.14437268387282748</v>
      </c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 spans="8:50" x14ac:dyDescent="0.25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7">
        <f t="shared" ca="1" si="3"/>
        <v>7.2795784782437867E-2</v>
      </c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 spans="8:50" x14ac:dyDescent="0.25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7">
        <f t="shared" ca="1" si="3"/>
        <v>0.11543274140031873</v>
      </c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 spans="8:50" x14ac:dyDescent="0.25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7">
        <f t="shared" ca="1" si="3"/>
        <v>0.20576670834226174</v>
      </c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 spans="8:50" x14ac:dyDescent="0.25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7">
        <f t="shared" ca="1" si="3"/>
        <v>0.20255594013660688</v>
      </c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 spans="8:50" x14ac:dyDescent="0.25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7">
        <f t="shared" ca="1" si="3"/>
        <v>0.37644020983539128</v>
      </c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 spans="8:50" x14ac:dyDescent="0.25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7">
        <f t="shared" ca="1" si="3"/>
        <v>-6.4131501109778652E-2</v>
      </c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 spans="8:50" x14ac:dyDescent="0.25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7">
        <f t="shared" ca="1" si="3"/>
        <v>0.21124264105390672</v>
      </c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 spans="8:50" x14ac:dyDescent="0.25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7">
        <f t="shared" ca="1" si="3"/>
        <v>0.27649694623082632</v>
      </c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 spans="8:50" x14ac:dyDescent="0.25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7">
        <f t="shared" ca="1" si="3"/>
        <v>0.19244088461539036</v>
      </c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 spans="8:50" x14ac:dyDescent="0.25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7">
        <f t="shared" ca="1" si="3"/>
        <v>0.11214033854070944</v>
      </c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 spans="8:50" x14ac:dyDescent="0.25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7">
        <f t="shared" ca="1" si="3"/>
        <v>-0.34738607642299396</v>
      </c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 spans="8:50" x14ac:dyDescent="0.25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7">
        <f t="shared" ca="1" si="3"/>
        <v>0.41366468805038797</v>
      </c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 spans="8:50" x14ac:dyDescent="0.25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7">
        <f t="shared" ca="1" si="3"/>
        <v>-2.8637480537950691E-2</v>
      </c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 spans="8:50" x14ac:dyDescent="0.25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7">
        <f t="shared" ca="1" si="3"/>
        <v>0.26103826304704036</v>
      </c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 spans="8:50" x14ac:dyDescent="0.25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7">
        <f t="shared" ca="1" si="3"/>
        <v>0.32094186795042501</v>
      </c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 spans="8:50" x14ac:dyDescent="0.25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7">
        <f t="shared" ca="1" si="3"/>
        <v>0.25706602315960825</v>
      </c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 spans="8:50" x14ac:dyDescent="0.25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7">
        <f t="shared" ca="1" si="3"/>
        <v>0.24947505338838605</v>
      </c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 spans="8:50" x14ac:dyDescent="0.25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7">
        <f t="shared" ca="1" si="3"/>
        <v>3.5652136211764135E-2</v>
      </c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 spans="8:50" x14ac:dyDescent="0.25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7">
        <f t="shared" ca="1" si="3"/>
        <v>1.8000949788553933E-2</v>
      </c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 spans="8:50" x14ac:dyDescent="0.25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7">
        <f t="shared" ca="1" si="3"/>
        <v>0.33660123793161684</v>
      </c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 spans="8:50" x14ac:dyDescent="0.25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7">
        <f t="shared" ca="1" si="3"/>
        <v>9.8906877355501729E-2</v>
      </c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 spans="8:50" x14ac:dyDescent="0.25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7">
        <f t="shared" ca="1" si="3"/>
        <v>0.69361374199850534</v>
      </c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 spans="8:50" x14ac:dyDescent="0.25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7">
        <f t="shared" ca="1" si="3"/>
        <v>0.19846377752241806</v>
      </c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 spans="8:50" x14ac:dyDescent="0.25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7">
        <f t="shared" ca="1" si="3"/>
        <v>0.20125434397675984</v>
      </c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 spans="8:50" x14ac:dyDescent="0.25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7">
        <f t="shared" ca="1" si="3"/>
        <v>2.5780766401601027E-2</v>
      </c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 spans="8:50" x14ac:dyDescent="0.25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7">
        <f t="shared" ca="1" si="3"/>
        <v>-6.5736063464799946E-2</v>
      </c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 spans="8:50" x14ac:dyDescent="0.25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7">
        <f t="shared" ca="1" si="3"/>
        <v>0.36116860505015969</v>
      </c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 spans="8:50" x14ac:dyDescent="0.25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7">
        <f t="shared" ca="1" si="3"/>
        <v>0.35078385947457846</v>
      </c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 spans="8:50" x14ac:dyDescent="0.25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7">
        <f t="shared" ca="1" si="3"/>
        <v>9.8407846254096848E-2</v>
      </c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 spans="8:50" x14ac:dyDescent="0.25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7">
        <f t="shared" ca="1" si="3"/>
        <v>0.15453889609284149</v>
      </c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 spans="8:50" x14ac:dyDescent="0.25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7">
        <f t="shared" ca="1" si="3"/>
        <v>0.25444748575287218</v>
      </c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 spans="8:50" x14ac:dyDescent="0.25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7">
        <f t="shared" ca="1" si="3"/>
        <v>-5.8539955974421728E-2</v>
      </c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 spans="8:50" x14ac:dyDescent="0.25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7">
        <f t="shared" ca="1" si="3"/>
        <v>0.43970729590833463</v>
      </c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 spans="8:50" x14ac:dyDescent="0.25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7">
        <f t="shared" ca="1" si="3"/>
        <v>0.27119240341361278</v>
      </c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 spans="8:50" x14ac:dyDescent="0.25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7">
        <f t="shared" ca="1" si="3"/>
        <v>0.17942190157602375</v>
      </c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 spans="8:50" x14ac:dyDescent="0.25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7">
        <f t="shared" ca="1" si="3"/>
        <v>0.18091669319912479</v>
      </c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 spans="8:50" x14ac:dyDescent="0.25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7">
        <f t="shared" ca="1" si="3"/>
        <v>0.13108496130326147</v>
      </c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 spans="8:50" x14ac:dyDescent="0.25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7">
        <f t="shared" ca="1" si="3"/>
        <v>6.1186480236428462E-2</v>
      </c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 spans="8:50" x14ac:dyDescent="0.25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7">
        <f t="shared" ca="1" si="3"/>
        <v>-0.12030957768512333</v>
      </c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 spans="8:50" x14ac:dyDescent="0.25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7">
        <f t="shared" ca="1" si="3"/>
        <v>2.5645838108892371E-2</v>
      </c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 spans="8:50" x14ac:dyDescent="0.25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7">
        <f t="shared" ca="1" si="3"/>
        <v>0.37742541897797599</v>
      </c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 spans="8:50" x14ac:dyDescent="0.25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7">
        <f t="shared" ca="1" si="3"/>
        <v>-6.1473798474810729E-2</v>
      </c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 spans="8:50" x14ac:dyDescent="0.25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7">
        <f t="shared" ca="1" si="3"/>
        <v>0.44021528333158921</v>
      </c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 spans="8:50" x14ac:dyDescent="0.25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7">
        <f t="shared" ca="1" si="3"/>
        <v>0.36927194148339593</v>
      </c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 spans="8:50" x14ac:dyDescent="0.25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7">
        <f t="shared" ca="1" si="3"/>
        <v>6.8149799088058433E-2</v>
      </c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 spans="8:50" x14ac:dyDescent="0.25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7">
        <f t="shared" ca="1" si="3"/>
        <v>-0.10155672662639752</v>
      </c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 spans="8:50" x14ac:dyDescent="0.25"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7">
        <f t="shared" ca="1" si="3"/>
        <v>-9.1695102509275608E-2</v>
      </c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 spans="8:50" x14ac:dyDescent="0.25"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7">
        <f t="shared" ca="1" si="3"/>
        <v>1.7334404917781474E-2</v>
      </c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 spans="8:50" x14ac:dyDescent="0.25"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7">
        <f t="shared" ca="1" si="3"/>
        <v>-0.46941114096119074</v>
      </c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 spans="8:50" x14ac:dyDescent="0.25"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7">
        <f t="shared" ca="1" si="3"/>
        <v>6.1372790487747186E-2</v>
      </c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 spans="8:50" x14ac:dyDescent="0.25"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7">
        <f t="shared" ca="1" si="3"/>
        <v>-0.13884889006789969</v>
      </c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 spans="8:50" x14ac:dyDescent="0.25"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7">
        <f t="shared" ca="1" si="3"/>
        <v>0.21034223044810343</v>
      </c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 spans="8:50" x14ac:dyDescent="0.25"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7">
        <f t="shared" ca="1" si="3"/>
        <v>0.23026812331599092</v>
      </c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 spans="8:50" x14ac:dyDescent="0.25"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7">
        <f t="shared" ca="1" si="3"/>
        <v>-0.10759276756111026</v>
      </c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 spans="8:50" x14ac:dyDescent="0.25"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7">
        <f t="shared" ca="1" si="3"/>
        <v>0.50992665560398431</v>
      </c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 spans="8:50" x14ac:dyDescent="0.25"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7">
        <f t="shared" ca="1" si="3"/>
        <v>-3.4981525634074126E-2</v>
      </c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 spans="8:50" x14ac:dyDescent="0.25"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7">
        <f t="shared" ca="1" si="3"/>
        <v>2.9221818573471683E-2</v>
      </c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 spans="8:50" x14ac:dyDescent="0.25"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7">
        <f t="shared" ca="1" si="3"/>
        <v>-8.736981840452597E-2</v>
      </c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 spans="8:50" x14ac:dyDescent="0.25"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7">
        <f t="shared" ca="1" si="3"/>
        <v>0.20740582636031371</v>
      </c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 spans="8:50" x14ac:dyDescent="0.25"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7">
        <f t="shared" ref="W262:W325" ca="1" si="4">+NORMINV(RAND(),$U$2,$U$3)</f>
        <v>0.39123536140867871</v>
      </c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 spans="8:50" x14ac:dyDescent="0.25"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7">
        <f t="shared" ca="1" si="4"/>
        <v>3.2173666742197252E-2</v>
      </c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 spans="8:50" x14ac:dyDescent="0.25"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7">
        <f t="shared" ca="1" si="4"/>
        <v>-0.35483658526188844</v>
      </c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 spans="8:50" x14ac:dyDescent="0.25"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7">
        <f t="shared" ca="1" si="4"/>
        <v>0.17974503784807991</v>
      </c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 spans="8:50" x14ac:dyDescent="0.25"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7">
        <f t="shared" ca="1" si="4"/>
        <v>0.23447675802146734</v>
      </c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 spans="8:50" x14ac:dyDescent="0.25"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7">
        <f t="shared" ca="1" si="4"/>
        <v>-3.422613857617772E-2</v>
      </c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 spans="8:50" x14ac:dyDescent="0.25"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7">
        <f t="shared" ca="1" si="4"/>
        <v>-0.32037529374295404</v>
      </c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 spans="8:50" x14ac:dyDescent="0.25"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7">
        <f t="shared" ca="1" si="4"/>
        <v>0.19393289932616092</v>
      </c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 spans="8:50" x14ac:dyDescent="0.25"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7">
        <f t="shared" ca="1" si="4"/>
        <v>-0.18779368099850374</v>
      </c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 spans="8:50" x14ac:dyDescent="0.25"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7">
        <f t="shared" ca="1" si="4"/>
        <v>7.0449417890898397E-2</v>
      </c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 spans="8:50" x14ac:dyDescent="0.25"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7">
        <f t="shared" ca="1" si="4"/>
        <v>0.10237637350772857</v>
      </c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 spans="8:50" x14ac:dyDescent="0.25"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7">
        <f t="shared" ca="1" si="4"/>
        <v>-0.12768972404967693</v>
      </c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 spans="8:50" x14ac:dyDescent="0.25"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7">
        <f t="shared" ca="1" si="4"/>
        <v>0.34470944027485301</v>
      </c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 spans="8:50" x14ac:dyDescent="0.25"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7">
        <f t="shared" ca="1" si="4"/>
        <v>-0.182704861368989</v>
      </c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 spans="8:50" x14ac:dyDescent="0.25"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7">
        <f t="shared" ca="1" si="4"/>
        <v>0.26373558263597058</v>
      </c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 spans="8:50" x14ac:dyDescent="0.25"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7">
        <f t="shared" ca="1" si="4"/>
        <v>-0.11167151013642106</v>
      </c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 spans="8:50" x14ac:dyDescent="0.25"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7">
        <f t="shared" ca="1" si="4"/>
        <v>0.34441940903887219</v>
      </c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 spans="8:50" x14ac:dyDescent="0.25"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7">
        <f t="shared" ca="1" si="4"/>
        <v>-0.15950425754171216</v>
      </c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 spans="8:50" x14ac:dyDescent="0.25"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7">
        <f t="shared" ca="1" si="4"/>
        <v>-0.15481948977953441</v>
      </c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 spans="8:50" x14ac:dyDescent="0.25"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7">
        <f t="shared" ca="1" si="4"/>
        <v>-7.8655796218720167E-2</v>
      </c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 spans="8:50" x14ac:dyDescent="0.25"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7">
        <f t="shared" ca="1" si="4"/>
        <v>-8.1049554982781144E-2</v>
      </c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 spans="8:50" x14ac:dyDescent="0.25"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7">
        <f t="shared" ca="1" si="4"/>
        <v>0.27845214555176345</v>
      </c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 spans="8:50" x14ac:dyDescent="0.25"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7">
        <f t="shared" ca="1" si="4"/>
        <v>2.2571207435643503E-3</v>
      </c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 spans="8:50" x14ac:dyDescent="0.25"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7">
        <f t="shared" ca="1" si="4"/>
        <v>-3.2522984436031258E-2</v>
      </c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 spans="8:50" x14ac:dyDescent="0.25"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7">
        <f t="shared" ca="1" si="4"/>
        <v>0.13639737116618633</v>
      </c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 spans="8:50" x14ac:dyDescent="0.25"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7">
        <f t="shared" ca="1" si="4"/>
        <v>-6.0836525273601352E-2</v>
      </c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 spans="8:50" x14ac:dyDescent="0.25"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7">
        <f t="shared" ca="1" si="4"/>
        <v>0.10623731217839183</v>
      </c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 spans="8:50" x14ac:dyDescent="0.25"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7">
        <f t="shared" ca="1" si="4"/>
        <v>0.1455566528111589</v>
      </c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 spans="8:50" x14ac:dyDescent="0.25"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7">
        <f t="shared" ca="1" si="4"/>
        <v>0.10327502314682402</v>
      </c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 spans="8:50" x14ac:dyDescent="0.25"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7">
        <f t="shared" ca="1" si="4"/>
        <v>-3.6763537971841911E-2</v>
      </c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 spans="8:50" x14ac:dyDescent="0.25"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7">
        <f t="shared" ca="1" si="4"/>
        <v>-0.11960477704287721</v>
      </c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 spans="8:50" x14ac:dyDescent="0.25"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7">
        <f t="shared" ca="1" si="4"/>
        <v>0.27731275889798207</v>
      </c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 spans="8:50" x14ac:dyDescent="0.25"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7">
        <f t="shared" ca="1" si="4"/>
        <v>0.21188680449898484</v>
      </c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 spans="8:50" x14ac:dyDescent="0.25"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7">
        <f t="shared" ca="1" si="4"/>
        <v>-8.7807490865016838E-2</v>
      </c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 spans="8:50" x14ac:dyDescent="0.25"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7">
        <f t="shared" ca="1" si="4"/>
        <v>0.14326912719606788</v>
      </c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 spans="8:50" x14ac:dyDescent="0.25"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7">
        <f t="shared" ca="1" si="4"/>
        <v>0.46968046629942573</v>
      </c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 spans="8:50" x14ac:dyDescent="0.25"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7">
        <f t="shared" ca="1" si="4"/>
        <v>9.466047857623891E-2</v>
      </c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 spans="8:50" x14ac:dyDescent="0.25"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7">
        <f t="shared" ca="1" si="4"/>
        <v>0.12215096233919254</v>
      </c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 spans="8:50" x14ac:dyDescent="0.25"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7">
        <f t="shared" ca="1" si="4"/>
        <v>3.2969657077203687E-2</v>
      </c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 spans="8:50" x14ac:dyDescent="0.25"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7">
        <f t="shared" ca="1" si="4"/>
        <v>0.35857540824282186</v>
      </c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 spans="8:50" x14ac:dyDescent="0.25"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7">
        <f t="shared" ca="1" si="4"/>
        <v>0.15082931849396422</v>
      </c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 spans="8:50" x14ac:dyDescent="0.25"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7">
        <f t="shared" ca="1" si="4"/>
        <v>0.13468028135706323</v>
      </c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 spans="8:50" x14ac:dyDescent="0.25"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7">
        <f t="shared" ca="1" si="4"/>
        <v>1.144488267103079E-2</v>
      </c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 spans="8:50" x14ac:dyDescent="0.25"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7">
        <f t="shared" ca="1" si="4"/>
        <v>-4.1203912984625793E-2</v>
      </c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 spans="8:50" x14ac:dyDescent="0.25"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7">
        <f t="shared" ca="1" si="4"/>
        <v>1.6644391506069042E-2</v>
      </c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 spans="8:50" x14ac:dyDescent="0.25"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7">
        <f t="shared" ca="1" si="4"/>
        <v>-1.8204215259474979E-2</v>
      </c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 spans="8:50" x14ac:dyDescent="0.25"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7">
        <f t="shared" ca="1" si="4"/>
        <v>-3.730408040881765E-2</v>
      </c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 spans="8:50" x14ac:dyDescent="0.25"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7">
        <f t="shared" ca="1" si="4"/>
        <v>0.40800383369864385</v>
      </c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 spans="8:50" x14ac:dyDescent="0.25"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7">
        <f t="shared" ca="1" si="4"/>
        <v>0.26235311513245491</v>
      </c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 spans="8:50" x14ac:dyDescent="0.25"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7">
        <f t="shared" ca="1" si="4"/>
        <v>0.18160270287669297</v>
      </c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 spans="8:50" x14ac:dyDescent="0.25"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7">
        <f t="shared" ca="1" si="4"/>
        <v>0.36150168914845987</v>
      </c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 spans="8:50" x14ac:dyDescent="0.25"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7">
        <f t="shared" ca="1" si="4"/>
        <v>-0.11349099507995468</v>
      </c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 spans="8:50" x14ac:dyDescent="0.25"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7">
        <f t="shared" ca="1" si="4"/>
        <v>-6.0583822280732558E-4</v>
      </c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 spans="8:50" x14ac:dyDescent="0.25"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7">
        <f t="shared" ca="1" si="4"/>
        <v>0.19457476437043564</v>
      </c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 spans="8:50" x14ac:dyDescent="0.25"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7">
        <f t="shared" ca="1" si="4"/>
        <v>0.13738512159239061</v>
      </c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 spans="8:50" x14ac:dyDescent="0.25"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7">
        <f t="shared" ca="1" si="4"/>
        <v>0.31098306468726417</v>
      </c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 spans="8:50" x14ac:dyDescent="0.25"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7">
        <f t="shared" ca="1" si="4"/>
        <v>-0.1050830562481616</v>
      </c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 spans="8:50" x14ac:dyDescent="0.25"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7">
        <f t="shared" ca="1" si="4"/>
        <v>-3.550743628708565E-2</v>
      </c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 spans="8:50" x14ac:dyDescent="0.25"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7">
        <f t="shared" ca="1" si="4"/>
        <v>0.13527997189294994</v>
      </c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 spans="8:50" x14ac:dyDescent="0.25"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7">
        <f t="shared" ca="1" si="4"/>
        <v>-8.2404850351381745E-2</v>
      </c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 spans="8:50" x14ac:dyDescent="0.25"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7">
        <f t="shared" ca="1" si="4"/>
        <v>8.9620323619705011E-2</v>
      </c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 spans="8:50" x14ac:dyDescent="0.25"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7">
        <f t="shared" ca="1" si="4"/>
        <v>0.29290033454462666</v>
      </c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 spans="8:50" x14ac:dyDescent="0.25"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7">
        <f t="shared" ca="1" si="4"/>
        <v>0.17224670625596505</v>
      </c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 spans="8:50" x14ac:dyDescent="0.25"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7">
        <f t="shared" ca="1" si="4"/>
        <v>5.3028880920902299E-5</v>
      </c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 spans="8:50" x14ac:dyDescent="0.25"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7">
        <f t="shared" ref="W326:W389" ca="1" si="5">+NORMINV(RAND(),$U$2,$U$3)</f>
        <v>-3.1151604569657196E-2</v>
      </c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 spans="8:50" x14ac:dyDescent="0.25"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7">
        <f t="shared" ca="1" si="5"/>
        <v>0.16141767227353365</v>
      </c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 spans="8:50" x14ac:dyDescent="0.25"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7">
        <f t="shared" ca="1" si="5"/>
        <v>-0.30909767361879947</v>
      </c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 spans="8:50" x14ac:dyDescent="0.25"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7">
        <f t="shared" ca="1" si="5"/>
        <v>-0.18617231308249882</v>
      </c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 spans="8:50" x14ac:dyDescent="0.25"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7">
        <f t="shared" ca="1" si="5"/>
        <v>-6.5577621098261166E-2</v>
      </c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 spans="8:50" x14ac:dyDescent="0.25"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7">
        <f t="shared" ca="1" si="5"/>
        <v>0.29445144317844302</v>
      </c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 spans="8:50" x14ac:dyDescent="0.25"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7">
        <f t="shared" ca="1" si="5"/>
        <v>0.13338705749543625</v>
      </c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 spans="8:50" x14ac:dyDescent="0.25"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7">
        <f t="shared" ca="1" si="5"/>
        <v>0.20534383887916433</v>
      </c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 spans="8:50" x14ac:dyDescent="0.25"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7">
        <f t="shared" ca="1" si="5"/>
        <v>7.1840029205490444E-2</v>
      </c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 spans="8:50" x14ac:dyDescent="0.25"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7">
        <f t="shared" ca="1" si="5"/>
        <v>0.22562466375181628</v>
      </c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 spans="8:50" x14ac:dyDescent="0.25"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7">
        <f t="shared" ca="1" si="5"/>
        <v>0.17962717810893086</v>
      </c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 spans="8:50" x14ac:dyDescent="0.25"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7">
        <f t="shared" ca="1" si="5"/>
        <v>0.45498194472598164</v>
      </c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 spans="8:50" x14ac:dyDescent="0.25"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7">
        <f t="shared" ca="1" si="5"/>
        <v>0.11440496228461465</v>
      </c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 spans="8:50" x14ac:dyDescent="0.25"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7">
        <f t="shared" ca="1" si="5"/>
        <v>2.5814677728716304E-2</v>
      </c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 spans="8:50" x14ac:dyDescent="0.25"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7">
        <f t="shared" ca="1" si="5"/>
        <v>7.858890147398645E-2</v>
      </c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 spans="8:50" x14ac:dyDescent="0.25"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7">
        <f t="shared" ca="1" si="5"/>
        <v>6.3658281364944141E-2</v>
      </c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 spans="8:50" x14ac:dyDescent="0.25"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7">
        <f t="shared" ca="1" si="5"/>
        <v>0.27181762383698965</v>
      </c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 spans="8:50" x14ac:dyDescent="0.25"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7">
        <f t="shared" ca="1" si="5"/>
        <v>0.15305995316852683</v>
      </c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  <row r="344" spans="8:50" x14ac:dyDescent="0.25"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7">
        <f t="shared" ca="1" si="5"/>
        <v>4.1927943866654049E-2</v>
      </c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</row>
    <row r="345" spans="8:50" x14ac:dyDescent="0.25"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7">
        <f t="shared" ca="1" si="5"/>
        <v>5.7166127358848726E-2</v>
      </c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</row>
    <row r="346" spans="8:50" x14ac:dyDescent="0.25"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7">
        <f t="shared" ca="1" si="5"/>
        <v>0.1041701748849701</v>
      </c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</row>
    <row r="347" spans="8:50" x14ac:dyDescent="0.25"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7">
        <f t="shared" ca="1" si="5"/>
        <v>-0.20675116518706416</v>
      </c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</row>
    <row r="348" spans="8:50" x14ac:dyDescent="0.25"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7">
        <f t="shared" ca="1" si="5"/>
        <v>0.20686267008906606</v>
      </c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</row>
    <row r="349" spans="8:50" x14ac:dyDescent="0.25"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7">
        <f t="shared" ca="1" si="5"/>
        <v>-0.13565257267697217</v>
      </c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</row>
    <row r="350" spans="8:50" x14ac:dyDescent="0.25"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7">
        <f t="shared" ca="1" si="5"/>
        <v>-2.6513553789681357E-2</v>
      </c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</row>
    <row r="351" spans="8:50" x14ac:dyDescent="0.25"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7">
        <f t="shared" ca="1" si="5"/>
        <v>-6.6589365343922846E-3</v>
      </c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</row>
    <row r="352" spans="8:50" x14ac:dyDescent="0.25"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7">
        <f t="shared" ca="1" si="5"/>
        <v>0.12671367081587825</v>
      </c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</row>
    <row r="353" spans="8:50" x14ac:dyDescent="0.25"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7">
        <f t="shared" ca="1" si="5"/>
        <v>0.1239478900066321</v>
      </c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</row>
    <row r="354" spans="8:50" x14ac:dyDescent="0.25"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7">
        <f t="shared" ca="1" si="5"/>
        <v>0.35171413010627989</v>
      </c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</row>
    <row r="355" spans="8:50" x14ac:dyDescent="0.25"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7">
        <f t="shared" ca="1" si="5"/>
        <v>9.725614363468725E-2</v>
      </c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</row>
    <row r="356" spans="8:50" x14ac:dyDescent="0.25"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7">
        <f t="shared" ca="1" si="5"/>
        <v>0.30188730033205169</v>
      </c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</row>
    <row r="357" spans="8:50" x14ac:dyDescent="0.25"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7">
        <f t="shared" ca="1" si="5"/>
        <v>-9.7374357712029472E-2</v>
      </c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</row>
    <row r="358" spans="8:50" x14ac:dyDescent="0.25"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7">
        <f t="shared" ca="1" si="5"/>
        <v>0.56103430099740592</v>
      </c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</row>
    <row r="359" spans="8:50" x14ac:dyDescent="0.25"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7">
        <f t="shared" ca="1" si="5"/>
        <v>0.16587031362402532</v>
      </c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</row>
    <row r="360" spans="8:50" x14ac:dyDescent="0.25"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7">
        <f t="shared" ca="1" si="5"/>
        <v>0.26271691350124149</v>
      </c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</row>
    <row r="361" spans="8:50" x14ac:dyDescent="0.25"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7">
        <f t="shared" ca="1" si="5"/>
        <v>0.29572469040549049</v>
      </c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</row>
    <row r="362" spans="8:50" x14ac:dyDescent="0.25"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7">
        <f t="shared" ca="1" si="5"/>
        <v>0.11954898494846419</v>
      </c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</row>
    <row r="363" spans="8:50" x14ac:dyDescent="0.25"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7">
        <f t="shared" ca="1" si="5"/>
        <v>0.18333018868976544</v>
      </c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</row>
    <row r="364" spans="8:50" x14ac:dyDescent="0.25"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7">
        <f t="shared" ca="1" si="5"/>
        <v>3.5844599136469521E-2</v>
      </c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</row>
    <row r="365" spans="8:50" x14ac:dyDescent="0.25"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7">
        <f t="shared" ca="1" si="5"/>
        <v>0.23052731817694516</v>
      </c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</row>
    <row r="366" spans="8:50" x14ac:dyDescent="0.25"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7">
        <f t="shared" ca="1" si="5"/>
        <v>0.18343008308841424</v>
      </c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</row>
    <row r="367" spans="8:50" x14ac:dyDescent="0.25"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7">
        <f t="shared" ca="1" si="5"/>
        <v>0.18018540390170951</v>
      </c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</row>
    <row r="368" spans="8:50" x14ac:dyDescent="0.25"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7">
        <f t="shared" ca="1" si="5"/>
        <v>-7.0180560731211941E-2</v>
      </c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</row>
    <row r="369" spans="8:50" x14ac:dyDescent="0.25"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7">
        <f t="shared" ca="1" si="5"/>
        <v>0.21408134774622845</v>
      </c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</row>
    <row r="370" spans="8:50" x14ac:dyDescent="0.25"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7">
        <f t="shared" ca="1" si="5"/>
        <v>0.3703970017247552</v>
      </c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</row>
    <row r="371" spans="8:50" x14ac:dyDescent="0.25"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7">
        <f t="shared" ca="1" si="5"/>
        <v>0.15403251440873172</v>
      </c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</row>
    <row r="372" spans="8:50" x14ac:dyDescent="0.25"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7">
        <f t="shared" ca="1" si="5"/>
        <v>0.25656990892967063</v>
      </c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</row>
    <row r="373" spans="8:50" x14ac:dyDescent="0.25"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7">
        <f t="shared" ca="1" si="5"/>
        <v>0.19817270292099864</v>
      </c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</row>
    <row r="374" spans="8:50" x14ac:dyDescent="0.25"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7">
        <f t="shared" ca="1" si="5"/>
        <v>0.17262600069256856</v>
      </c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</row>
    <row r="375" spans="8:50" x14ac:dyDescent="0.25"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7">
        <f t="shared" ca="1" si="5"/>
        <v>7.8963983376987262E-2</v>
      </c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</row>
    <row r="376" spans="8:50" x14ac:dyDescent="0.25"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7">
        <f t="shared" ca="1" si="5"/>
        <v>0.17136818796696901</v>
      </c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</row>
    <row r="377" spans="8:50" x14ac:dyDescent="0.25"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7">
        <f t="shared" ca="1" si="5"/>
        <v>0.18164428618468076</v>
      </c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</row>
    <row r="378" spans="8:50" x14ac:dyDescent="0.25"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7">
        <f t="shared" ca="1" si="5"/>
        <v>8.252236661486298E-2</v>
      </c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</row>
    <row r="379" spans="8:50" x14ac:dyDescent="0.25"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7">
        <f t="shared" ca="1" si="5"/>
        <v>0.23805186809055789</v>
      </c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</row>
    <row r="380" spans="8:50" x14ac:dyDescent="0.25"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7">
        <f t="shared" ca="1" si="5"/>
        <v>0.56517547917315702</v>
      </c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</row>
    <row r="381" spans="8:50" x14ac:dyDescent="0.25"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7">
        <f t="shared" ca="1" si="5"/>
        <v>0.18553292898262297</v>
      </c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</row>
    <row r="382" spans="8:50" x14ac:dyDescent="0.25"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7">
        <f t="shared" ca="1" si="5"/>
        <v>0.17176056436633763</v>
      </c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</row>
    <row r="383" spans="8:50" x14ac:dyDescent="0.25"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7">
        <f t="shared" ca="1" si="5"/>
        <v>-6.9543286169573629E-2</v>
      </c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</row>
    <row r="384" spans="8:50" x14ac:dyDescent="0.25"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7">
        <f t="shared" ca="1" si="5"/>
        <v>-0.13675343507281201</v>
      </c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</row>
    <row r="385" spans="8:50" x14ac:dyDescent="0.25"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7">
        <f t="shared" ca="1" si="5"/>
        <v>-2.8367906415827884E-2</v>
      </c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</row>
    <row r="386" spans="8:50" x14ac:dyDescent="0.25"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7">
        <f t="shared" ca="1" si="5"/>
        <v>-0.148007603136113</v>
      </c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</row>
    <row r="387" spans="8:50" x14ac:dyDescent="0.25"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7">
        <f t="shared" ca="1" si="5"/>
        <v>3.9936113138254764E-2</v>
      </c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</row>
    <row r="388" spans="8:50" x14ac:dyDescent="0.25"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7">
        <f t="shared" ca="1" si="5"/>
        <v>0.3121216179634913</v>
      </c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</row>
    <row r="389" spans="8:50" x14ac:dyDescent="0.25"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7">
        <f t="shared" ca="1" si="5"/>
        <v>0.20999758045291111</v>
      </c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</row>
    <row r="390" spans="8:50" x14ac:dyDescent="0.25"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7">
        <f t="shared" ref="W390:W453" ca="1" si="6">+NORMINV(RAND(),$U$2,$U$3)</f>
        <v>0.22736846793925433</v>
      </c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</row>
    <row r="391" spans="8:50" x14ac:dyDescent="0.25"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7">
        <f t="shared" ca="1" si="6"/>
        <v>-4.1949121826933347E-2</v>
      </c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</row>
    <row r="392" spans="8:50" x14ac:dyDescent="0.25"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7">
        <f t="shared" ca="1" si="6"/>
        <v>0.19077917776744929</v>
      </c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</row>
    <row r="393" spans="8:50" x14ac:dyDescent="0.25"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7">
        <f t="shared" ca="1" si="6"/>
        <v>0.1566838277270991</v>
      </c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</row>
    <row r="394" spans="8:50" x14ac:dyDescent="0.25"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7">
        <f t="shared" ca="1" si="6"/>
        <v>8.9800442258816671E-3</v>
      </c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</row>
    <row r="395" spans="8:50" x14ac:dyDescent="0.25"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7">
        <f t="shared" ca="1" si="6"/>
        <v>0.15638547714904777</v>
      </c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</row>
    <row r="396" spans="8:50" x14ac:dyDescent="0.25"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7">
        <f t="shared" ca="1" si="6"/>
        <v>0.38422702866919245</v>
      </c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</row>
    <row r="397" spans="8:50" x14ac:dyDescent="0.25"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7">
        <f t="shared" ca="1" si="6"/>
        <v>5.1653398761304946E-2</v>
      </c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</row>
    <row r="398" spans="8:50" x14ac:dyDescent="0.25"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7">
        <f t="shared" ca="1" si="6"/>
        <v>2.6810210164676718E-2</v>
      </c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</row>
    <row r="399" spans="8:50" x14ac:dyDescent="0.25"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7">
        <f t="shared" ca="1" si="6"/>
        <v>0.15871960652315226</v>
      </c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</row>
    <row r="400" spans="8:50" x14ac:dyDescent="0.25"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7">
        <f t="shared" ca="1" si="6"/>
        <v>0.39195998655800907</v>
      </c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</row>
    <row r="401" spans="8:50" x14ac:dyDescent="0.25"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7">
        <f t="shared" ca="1" si="6"/>
        <v>-0.19967324704221334</v>
      </c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</row>
    <row r="402" spans="8:50" x14ac:dyDescent="0.25"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7">
        <f t="shared" ca="1" si="6"/>
        <v>0.11213616938880751</v>
      </c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</row>
    <row r="403" spans="8:50" x14ac:dyDescent="0.25"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7">
        <f t="shared" ca="1" si="6"/>
        <v>7.2633006774854292E-2</v>
      </c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</row>
    <row r="404" spans="8:50" x14ac:dyDescent="0.25"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7">
        <f t="shared" ca="1" si="6"/>
        <v>-0.27459735765162502</v>
      </c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</row>
    <row r="405" spans="8:50" x14ac:dyDescent="0.25"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7">
        <f t="shared" ca="1" si="6"/>
        <v>0.36711346646548604</v>
      </c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</row>
    <row r="406" spans="8:50" x14ac:dyDescent="0.25"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7">
        <f t="shared" ca="1" si="6"/>
        <v>-0.13593243545045064</v>
      </c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</row>
    <row r="407" spans="8:50" x14ac:dyDescent="0.25"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7">
        <f t="shared" ca="1" si="6"/>
        <v>-0.14189481084806516</v>
      </c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</row>
    <row r="408" spans="8:50" x14ac:dyDescent="0.25"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7">
        <f t="shared" ca="1" si="6"/>
        <v>0.13854453220833357</v>
      </c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</row>
    <row r="409" spans="8:50" x14ac:dyDescent="0.25"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7">
        <f t="shared" ca="1" si="6"/>
        <v>0.31606731135916272</v>
      </c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</row>
    <row r="410" spans="8:50" x14ac:dyDescent="0.25"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7">
        <f t="shared" ca="1" si="6"/>
        <v>0.27676392334812622</v>
      </c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</row>
    <row r="411" spans="8:50" x14ac:dyDescent="0.25"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7">
        <f t="shared" ca="1" si="6"/>
        <v>0.19673642443939277</v>
      </c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</row>
    <row r="412" spans="8:50" x14ac:dyDescent="0.25"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7">
        <f t="shared" ca="1" si="6"/>
        <v>0.34489267038856392</v>
      </c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</row>
    <row r="413" spans="8:50" x14ac:dyDescent="0.25"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7">
        <f t="shared" ca="1" si="6"/>
        <v>-0.13039235733712817</v>
      </c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</row>
    <row r="414" spans="8:50" x14ac:dyDescent="0.25"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7">
        <f t="shared" ca="1" si="6"/>
        <v>0.4017330169722762</v>
      </c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</row>
    <row r="415" spans="8:50" x14ac:dyDescent="0.25"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7">
        <f t="shared" ca="1" si="6"/>
        <v>0.25402169819547421</v>
      </c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</row>
    <row r="416" spans="8:50" x14ac:dyDescent="0.25"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7">
        <f t="shared" ca="1" si="6"/>
        <v>0.34595772385781759</v>
      </c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</row>
    <row r="417" spans="8:50" x14ac:dyDescent="0.25"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7">
        <f t="shared" ca="1" si="6"/>
        <v>0.33556889233166193</v>
      </c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</row>
    <row r="418" spans="8:50" x14ac:dyDescent="0.25"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7">
        <f t="shared" ca="1" si="6"/>
        <v>0.12436311572800017</v>
      </c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</row>
    <row r="419" spans="8:50" x14ac:dyDescent="0.25"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7">
        <f t="shared" ca="1" si="6"/>
        <v>0.28756931434235006</v>
      </c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</row>
    <row r="420" spans="8:50" x14ac:dyDescent="0.25"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7">
        <f t="shared" ca="1" si="6"/>
        <v>-0.11410354102358021</v>
      </c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</row>
    <row r="421" spans="8:50" x14ac:dyDescent="0.25"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7">
        <f t="shared" ca="1" si="6"/>
        <v>0.28507938022624152</v>
      </c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</row>
    <row r="422" spans="8:50" x14ac:dyDescent="0.25"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7">
        <f t="shared" ca="1" si="6"/>
        <v>3.1190641279220666E-3</v>
      </c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</row>
    <row r="423" spans="8:50" x14ac:dyDescent="0.25"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7">
        <f t="shared" ca="1" si="6"/>
        <v>6.2185483373764366E-3</v>
      </c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</row>
    <row r="424" spans="8:50" x14ac:dyDescent="0.25"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7">
        <f t="shared" ca="1" si="6"/>
        <v>3.7647719300700086E-2</v>
      </c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</row>
    <row r="425" spans="8:50" x14ac:dyDescent="0.25"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7">
        <f t="shared" ca="1" si="6"/>
        <v>0.18814665476229309</v>
      </c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</row>
    <row r="426" spans="8:50" x14ac:dyDescent="0.25"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7">
        <f t="shared" ca="1" si="6"/>
        <v>0.15848757623963666</v>
      </c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</row>
    <row r="427" spans="8:50" x14ac:dyDescent="0.25"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7">
        <f t="shared" ca="1" si="6"/>
        <v>-6.7809819000599E-2</v>
      </c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</row>
    <row r="428" spans="8:50" x14ac:dyDescent="0.25"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7">
        <f t="shared" ca="1" si="6"/>
        <v>3.0051272777228827E-2</v>
      </c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</row>
    <row r="429" spans="8:50" x14ac:dyDescent="0.25"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7">
        <f t="shared" ca="1" si="6"/>
        <v>-8.1431903897322702E-2</v>
      </c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</row>
    <row r="430" spans="8:50" x14ac:dyDescent="0.25"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7">
        <f t="shared" ca="1" si="6"/>
        <v>0.1520053251499783</v>
      </c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</row>
    <row r="431" spans="8:50" x14ac:dyDescent="0.25"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7">
        <f t="shared" ca="1" si="6"/>
        <v>0.20811390342047498</v>
      </c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</row>
    <row r="432" spans="8:50" x14ac:dyDescent="0.25"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7">
        <f t="shared" ca="1" si="6"/>
        <v>4.3884494516519823E-3</v>
      </c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</row>
    <row r="433" spans="8:50" x14ac:dyDescent="0.25"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7">
        <f t="shared" ca="1" si="6"/>
        <v>3.8924703966112945E-2</v>
      </c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</row>
    <row r="434" spans="8:50" x14ac:dyDescent="0.25"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7">
        <f t="shared" ca="1" si="6"/>
        <v>0.29263207637564798</v>
      </c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</row>
    <row r="435" spans="8:50" x14ac:dyDescent="0.25"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7">
        <f t="shared" ca="1" si="6"/>
        <v>0.33005138288899011</v>
      </c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</row>
    <row r="436" spans="8:50" x14ac:dyDescent="0.25"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7">
        <f t="shared" ca="1" si="6"/>
        <v>8.1723035518117576E-2</v>
      </c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</row>
    <row r="437" spans="8:50" x14ac:dyDescent="0.25"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7">
        <f t="shared" ca="1" si="6"/>
        <v>-0.10430827449476103</v>
      </c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</row>
    <row r="438" spans="8:50" x14ac:dyDescent="0.25"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7">
        <f t="shared" ca="1" si="6"/>
        <v>-0.22648345407949844</v>
      </c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</row>
    <row r="439" spans="8:50" x14ac:dyDescent="0.25"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7">
        <f t="shared" ca="1" si="6"/>
        <v>0.47722545460987503</v>
      </c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</row>
    <row r="440" spans="8:50" x14ac:dyDescent="0.25"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7">
        <f t="shared" ca="1" si="6"/>
        <v>0.433536684334837</v>
      </c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</row>
    <row r="441" spans="8:50" x14ac:dyDescent="0.25"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7">
        <f t="shared" ca="1" si="6"/>
        <v>-0.23056915224012431</v>
      </c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</row>
    <row r="442" spans="8:50" x14ac:dyDescent="0.25"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7">
        <f t="shared" ca="1" si="6"/>
        <v>0.10319180676543234</v>
      </c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</row>
    <row r="443" spans="8:50" x14ac:dyDescent="0.25"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7">
        <f t="shared" ca="1" si="6"/>
        <v>0.16617793938727488</v>
      </c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</row>
    <row r="444" spans="8:50" x14ac:dyDescent="0.25"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7">
        <f t="shared" ca="1" si="6"/>
        <v>0.16241788037056876</v>
      </c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</row>
    <row r="445" spans="8:50" x14ac:dyDescent="0.25"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7">
        <f t="shared" ca="1" si="6"/>
        <v>0.22532037323050422</v>
      </c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</row>
    <row r="446" spans="8:50" x14ac:dyDescent="0.25"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7">
        <f t="shared" ca="1" si="6"/>
        <v>0.1985808857403</v>
      </c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</row>
    <row r="447" spans="8:50" x14ac:dyDescent="0.25"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7">
        <f t="shared" ca="1" si="6"/>
        <v>9.7763523714106307E-2</v>
      </c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</row>
    <row r="448" spans="8:50" x14ac:dyDescent="0.25"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7">
        <f t="shared" ca="1" si="6"/>
        <v>0.19798884973576608</v>
      </c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</row>
    <row r="449" spans="8:50" x14ac:dyDescent="0.25"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7">
        <f t="shared" ca="1" si="6"/>
        <v>-0.19838378222905101</v>
      </c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</row>
    <row r="450" spans="8:50" x14ac:dyDescent="0.25"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7">
        <f t="shared" ca="1" si="6"/>
        <v>0.15227365076988292</v>
      </c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</row>
    <row r="451" spans="8:50" x14ac:dyDescent="0.25"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7">
        <f t="shared" ca="1" si="6"/>
        <v>2.5292523115583762E-2</v>
      </c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</row>
    <row r="452" spans="8:50" x14ac:dyDescent="0.25"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7">
        <f t="shared" ca="1" si="6"/>
        <v>0.41324968816232355</v>
      </c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</row>
    <row r="453" spans="8:50" x14ac:dyDescent="0.25"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7">
        <f t="shared" ca="1" si="6"/>
        <v>0.17800748567042032</v>
      </c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</row>
    <row r="454" spans="8:50" x14ac:dyDescent="0.25"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7">
        <f t="shared" ref="W454:W517" ca="1" si="7">+NORMINV(RAND(),$U$2,$U$3)</f>
        <v>1.9142999203861616E-2</v>
      </c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</row>
    <row r="455" spans="8:50" x14ac:dyDescent="0.25"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7">
        <f t="shared" ca="1" si="7"/>
        <v>8.4638756319110928E-2</v>
      </c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</row>
    <row r="456" spans="8:50" x14ac:dyDescent="0.25"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7">
        <f t="shared" ca="1" si="7"/>
        <v>-9.0775502627395518E-2</v>
      </c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</row>
    <row r="457" spans="8:50" x14ac:dyDescent="0.25"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7">
        <f t="shared" ca="1" si="7"/>
        <v>0.24598028808854561</v>
      </c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</row>
    <row r="458" spans="8:50" x14ac:dyDescent="0.25"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7">
        <f t="shared" ca="1" si="7"/>
        <v>0.11122549687294732</v>
      </c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</row>
    <row r="459" spans="8:50" x14ac:dyDescent="0.25"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7">
        <f t="shared" ca="1" si="7"/>
        <v>-0.25246496161405518</v>
      </c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</row>
    <row r="460" spans="8:50" x14ac:dyDescent="0.25"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7">
        <f t="shared" ca="1" si="7"/>
        <v>0.40046758349360662</v>
      </c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</row>
    <row r="461" spans="8:50" x14ac:dyDescent="0.25"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7">
        <f t="shared" ca="1" si="7"/>
        <v>-0.28154511305134122</v>
      </c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</row>
    <row r="462" spans="8:50" x14ac:dyDescent="0.25"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7">
        <f t="shared" ca="1" si="7"/>
        <v>0.21934138900910707</v>
      </c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</row>
    <row r="463" spans="8:50" x14ac:dyDescent="0.25"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7">
        <f t="shared" ca="1" si="7"/>
        <v>0.37079870372245061</v>
      </c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</row>
    <row r="464" spans="8:50" x14ac:dyDescent="0.25"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7">
        <f t="shared" ca="1" si="7"/>
        <v>0.20653302949015767</v>
      </c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</row>
    <row r="465" spans="8:50" x14ac:dyDescent="0.25"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7">
        <f t="shared" ca="1" si="7"/>
        <v>9.106119289671559E-2</v>
      </c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</row>
    <row r="466" spans="8:50" x14ac:dyDescent="0.25"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7">
        <f t="shared" ca="1" si="7"/>
        <v>4.3217744323460705E-2</v>
      </c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</row>
    <row r="467" spans="8:50" x14ac:dyDescent="0.25"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7">
        <f t="shared" ca="1" si="7"/>
        <v>0.21549719601088432</v>
      </c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</row>
    <row r="468" spans="8:50" x14ac:dyDescent="0.25"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7">
        <f t="shared" ca="1" si="7"/>
        <v>1.3104875719958525E-3</v>
      </c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</row>
    <row r="469" spans="8:50" x14ac:dyDescent="0.25"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7">
        <f t="shared" ca="1" si="7"/>
        <v>0.23508706052661971</v>
      </c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</row>
    <row r="470" spans="8:50" x14ac:dyDescent="0.25"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7">
        <f t="shared" ca="1" si="7"/>
        <v>0.22112554412317742</v>
      </c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</row>
    <row r="471" spans="8:50" x14ac:dyDescent="0.25"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7">
        <f t="shared" ca="1" si="7"/>
        <v>0.39558944139282848</v>
      </c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</row>
    <row r="472" spans="8:50" x14ac:dyDescent="0.25"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7">
        <f t="shared" ca="1" si="7"/>
        <v>-0.11178539129811844</v>
      </c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</row>
    <row r="473" spans="8:50" x14ac:dyDescent="0.25"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7">
        <f t="shared" ca="1" si="7"/>
        <v>-6.3841008968851073E-2</v>
      </c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</row>
    <row r="474" spans="8:50" x14ac:dyDescent="0.25"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7">
        <f t="shared" ca="1" si="7"/>
        <v>-7.3658698395958774E-2</v>
      </c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</row>
    <row r="475" spans="8:50" x14ac:dyDescent="0.25"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7">
        <f t="shared" ca="1" si="7"/>
        <v>-0.10728716014905441</v>
      </c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</row>
    <row r="476" spans="8:50" x14ac:dyDescent="0.25"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7">
        <f t="shared" ca="1" si="7"/>
        <v>-0.12022929438417994</v>
      </c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</row>
    <row r="477" spans="8:50" x14ac:dyDescent="0.25"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7">
        <f t="shared" ca="1" si="7"/>
        <v>4.3171819925477833E-2</v>
      </c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</row>
    <row r="478" spans="8:50" x14ac:dyDescent="0.25"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7">
        <f t="shared" ca="1" si="7"/>
        <v>8.1981882394182068E-2</v>
      </c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</row>
    <row r="479" spans="8:50" x14ac:dyDescent="0.25"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7">
        <f t="shared" ca="1" si="7"/>
        <v>0.2890953791751113</v>
      </c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</row>
    <row r="480" spans="8:50" x14ac:dyDescent="0.25"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7">
        <f t="shared" ca="1" si="7"/>
        <v>8.4763569618717255E-3</v>
      </c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</row>
    <row r="481" spans="8:50" x14ac:dyDescent="0.25"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7">
        <f t="shared" ca="1" si="7"/>
        <v>0.10845711657626279</v>
      </c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</row>
    <row r="482" spans="8:50" x14ac:dyDescent="0.25"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7">
        <f t="shared" ca="1" si="7"/>
        <v>0.14732164449428919</v>
      </c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</row>
    <row r="483" spans="8:50" x14ac:dyDescent="0.25"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7">
        <f t="shared" ca="1" si="7"/>
        <v>0.22508884750560229</v>
      </c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</row>
    <row r="484" spans="8:50" x14ac:dyDescent="0.25"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7">
        <f t="shared" ca="1" si="7"/>
        <v>5.4800610910400491E-2</v>
      </c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</row>
    <row r="485" spans="8:50" x14ac:dyDescent="0.25"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7">
        <f t="shared" ca="1" si="7"/>
        <v>-8.607149975603727E-2</v>
      </c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</row>
    <row r="486" spans="8:50" x14ac:dyDescent="0.25"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7">
        <f t="shared" ca="1" si="7"/>
        <v>0.15575273355046157</v>
      </c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</row>
    <row r="487" spans="8:50" x14ac:dyDescent="0.25"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7">
        <f t="shared" ca="1" si="7"/>
        <v>0.32676072920051635</v>
      </c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</row>
    <row r="488" spans="8:50" x14ac:dyDescent="0.25"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7">
        <f t="shared" ca="1" si="7"/>
        <v>-9.303768741028666E-2</v>
      </c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</row>
    <row r="489" spans="8:50" x14ac:dyDescent="0.25"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7">
        <f t="shared" ca="1" si="7"/>
        <v>-6.2722087798674567E-2</v>
      </c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</row>
    <row r="490" spans="8:50" x14ac:dyDescent="0.25"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7">
        <f t="shared" ca="1" si="7"/>
        <v>0.31898480054171297</v>
      </c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</row>
    <row r="491" spans="8:50" x14ac:dyDescent="0.25"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7">
        <f t="shared" ca="1" si="7"/>
        <v>-0.11714643467371023</v>
      </c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</row>
    <row r="492" spans="8:50" x14ac:dyDescent="0.25"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7">
        <f t="shared" ca="1" si="7"/>
        <v>0.18611041368452652</v>
      </c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</row>
    <row r="493" spans="8:50" x14ac:dyDescent="0.25"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7">
        <f t="shared" ca="1" si="7"/>
        <v>0.10541245699540353</v>
      </c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</row>
    <row r="494" spans="8:50" x14ac:dyDescent="0.25"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7">
        <f t="shared" ca="1" si="7"/>
        <v>-0.16377606894765728</v>
      </c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</row>
    <row r="495" spans="8:50" x14ac:dyDescent="0.25"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7">
        <f t="shared" ca="1" si="7"/>
        <v>0.33392700713027229</v>
      </c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</row>
    <row r="496" spans="8:50" x14ac:dyDescent="0.25"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7">
        <f t="shared" ca="1" si="7"/>
        <v>0.36755590333122512</v>
      </c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</row>
    <row r="497" spans="8:50" x14ac:dyDescent="0.25"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7">
        <f t="shared" ca="1" si="7"/>
        <v>0.2618860911735319</v>
      </c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</row>
    <row r="498" spans="8:50" x14ac:dyDescent="0.25"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7">
        <f t="shared" ca="1" si="7"/>
        <v>0.17499571762122826</v>
      </c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</row>
    <row r="499" spans="8:50" x14ac:dyDescent="0.25"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7">
        <f t="shared" ca="1" si="7"/>
        <v>2.3148228684176819E-2</v>
      </c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</row>
    <row r="500" spans="8:50" x14ac:dyDescent="0.25"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7">
        <f t="shared" ca="1" si="7"/>
        <v>0.22843269621763257</v>
      </c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</row>
    <row r="501" spans="8:50" x14ac:dyDescent="0.25"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7">
        <f t="shared" ca="1" si="7"/>
        <v>0.35591901232143952</v>
      </c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</row>
    <row r="502" spans="8:50" x14ac:dyDescent="0.25"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7">
        <f t="shared" ca="1" si="7"/>
        <v>0.22698212414269536</v>
      </c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</row>
    <row r="503" spans="8:50" x14ac:dyDescent="0.25"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7">
        <f t="shared" ca="1" si="7"/>
        <v>8.6231711734082589E-2</v>
      </c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</row>
    <row r="504" spans="8:50" x14ac:dyDescent="0.25"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7">
        <f t="shared" ca="1" si="7"/>
        <v>0.1618515441148613</v>
      </c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</row>
    <row r="505" spans="8:50" x14ac:dyDescent="0.25"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7">
        <f t="shared" ca="1" si="7"/>
        <v>0.13685497163713489</v>
      </c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</row>
    <row r="506" spans="8:50" x14ac:dyDescent="0.25"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7">
        <f t="shared" ca="1" si="7"/>
        <v>0.25771546288405284</v>
      </c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</row>
    <row r="507" spans="8:50" x14ac:dyDescent="0.25"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7">
        <f t="shared" ca="1" si="7"/>
        <v>0.35160747506035478</v>
      </c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</row>
    <row r="508" spans="8:50" x14ac:dyDescent="0.25"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7">
        <f t="shared" ca="1" si="7"/>
        <v>0.10486251706150834</v>
      </c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</row>
    <row r="509" spans="8:50" x14ac:dyDescent="0.25"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7">
        <f t="shared" ca="1" si="7"/>
        <v>0.39354105751328178</v>
      </c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</row>
    <row r="510" spans="8:50" x14ac:dyDescent="0.25"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7">
        <f t="shared" ca="1" si="7"/>
        <v>0.10413096503503665</v>
      </c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</row>
    <row r="511" spans="8:50" x14ac:dyDescent="0.25"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7">
        <f t="shared" ca="1" si="7"/>
        <v>-8.6534051833692574E-2</v>
      </c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</row>
    <row r="512" spans="8:50" x14ac:dyDescent="0.25"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7">
        <f t="shared" ca="1" si="7"/>
        <v>0.25653893196139765</v>
      </c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</row>
    <row r="513" spans="8:50" x14ac:dyDescent="0.25"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7">
        <f t="shared" ca="1" si="7"/>
        <v>0.15003191193532994</v>
      </c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</row>
    <row r="514" spans="8:50" x14ac:dyDescent="0.25"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7">
        <f t="shared" ca="1" si="7"/>
        <v>4.0099416496491486E-2</v>
      </c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</row>
    <row r="515" spans="8:50" x14ac:dyDescent="0.25"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7">
        <f t="shared" ca="1" si="7"/>
        <v>0.19108975374563666</v>
      </c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</row>
    <row r="516" spans="8:50" x14ac:dyDescent="0.25"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7">
        <f t="shared" ca="1" si="7"/>
        <v>0.3679961954532715</v>
      </c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</row>
    <row r="517" spans="8:50" x14ac:dyDescent="0.25"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7">
        <f t="shared" ca="1" si="7"/>
        <v>0.35095118685538274</v>
      </c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</row>
    <row r="518" spans="8:50" x14ac:dyDescent="0.25"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7">
        <f t="shared" ref="W518:W581" ca="1" si="8">+NORMINV(RAND(),$U$2,$U$3)</f>
        <v>8.702721550100824E-2</v>
      </c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</row>
    <row r="519" spans="8:50" x14ac:dyDescent="0.25"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7">
        <f t="shared" ca="1" si="8"/>
        <v>-2.5874495403553258E-2</v>
      </c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</row>
    <row r="520" spans="8:50" x14ac:dyDescent="0.25"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7">
        <f t="shared" ca="1" si="8"/>
        <v>0.27409447810293591</v>
      </c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</row>
    <row r="521" spans="8:50" x14ac:dyDescent="0.25"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7">
        <f t="shared" ca="1" si="8"/>
        <v>0.16340435891523805</v>
      </c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</row>
    <row r="522" spans="8:50" x14ac:dyDescent="0.25"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7">
        <f t="shared" ca="1" si="8"/>
        <v>0.13551545516906768</v>
      </c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</row>
    <row r="523" spans="8:50" x14ac:dyDescent="0.25"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7">
        <f t="shared" ca="1" si="8"/>
        <v>0.35066629842780689</v>
      </c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</row>
    <row r="524" spans="8:50" x14ac:dyDescent="0.25"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7">
        <f t="shared" ca="1" si="8"/>
        <v>0.2192138516533155</v>
      </c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</row>
    <row r="525" spans="8:50" x14ac:dyDescent="0.25"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7">
        <f t="shared" ca="1" si="8"/>
        <v>0.26648396989707546</v>
      </c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</row>
    <row r="526" spans="8:50" x14ac:dyDescent="0.25"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7">
        <f t="shared" ca="1" si="8"/>
        <v>0.14658791014382355</v>
      </c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</row>
    <row r="527" spans="8:50" x14ac:dyDescent="0.25"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7">
        <f t="shared" ca="1" si="8"/>
        <v>0.12035874047308982</v>
      </c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</row>
    <row r="528" spans="8:50" x14ac:dyDescent="0.25"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7">
        <f t="shared" ca="1" si="8"/>
        <v>-7.2127910797775599E-2</v>
      </c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</row>
    <row r="529" spans="8:50" x14ac:dyDescent="0.25"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7">
        <f t="shared" ca="1" si="8"/>
        <v>0.20108444330108771</v>
      </c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</row>
    <row r="530" spans="8:50" x14ac:dyDescent="0.25"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7">
        <f t="shared" ca="1" si="8"/>
        <v>-6.4738042614015667E-3</v>
      </c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</row>
    <row r="531" spans="8:50" x14ac:dyDescent="0.25"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7">
        <f t="shared" ca="1" si="8"/>
        <v>2.8545591769948697E-2</v>
      </c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</row>
    <row r="532" spans="8:50" x14ac:dyDescent="0.25"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7">
        <f t="shared" ca="1" si="8"/>
        <v>2.2912430296014169E-3</v>
      </c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</row>
    <row r="533" spans="8:50" x14ac:dyDescent="0.25"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7">
        <f t="shared" ca="1" si="8"/>
        <v>-0.22128855539736098</v>
      </c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</row>
    <row r="534" spans="8:50" x14ac:dyDescent="0.25"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7">
        <f t="shared" ca="1" si="8"/>
        <v>7.1537748605347895E-2</v>
      </c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</row>
    <row r="535" spans="8:50" x14ac:dyDescent="0.25"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7">
        <f t="shared" ca="1" si="8"/>
        <v>0.21840318671442621</v>
      </c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</row>
    <row r="536" spans="8:50" x14ac:dyDescent="0.25"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7">
        <f t="shared" ca="1" si="8"/>
        <v>3.0276914519783205E-2</v>
      </c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</row>
    <row r="537" spans="8:50" x14ac:dyDescent="0.25"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7">
        <f t="shared" ca="1" si="8"/>
        <v>7.1203081417982719E-2</v>
      </c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</row>
    <row r="538" spans="8:50" x14ac:dyDescent="0.25"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7">
        <f t="shared" ca="1" si="8"/>
        <v>0.17089492864351183</v>
      </c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</row>
    <row r="539" spans="8:50" x14ac:dyDescent="0.25"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7">
        <f t="shared" ca="1" si="8"/>
        <v>-5.6890880646336198E-2</v>
      </c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</row>
    <row r="540" spans="8:50" x14ac:dyDescent="0.25"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7">
        <f t="shared" ca="1" si="8"/>
        <v>0.27278505236829848</v>
      </c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</row>
    <row r="541" spans="8:50" x14ac:dyDescent="0.25"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7">
        <f t="shared" ca="1" si="8"/>
        <v>0.11813019871990878</v>
      </c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</row>
    <row r="542" spans="8:50" x14ac:dyDescent="0.25"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7">
        <f t="shared" ca="1" si="8"/>
        <v>0.22087433961620676</v>
      </c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</row>
    <row r="543" spans="8:50" x14ac:dyDescent="0.25"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7">
        <f t="shared" ca="1" si="8"/>
        <v>-0.2420888706141815</v>
      </c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</row>
    <row r="544" spans="8:50" x14ac:dyDescent="0.25"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7">
        <f t="shared" ca="1" si="8"/>
        <v>0.22361742314650657</v>
      </c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</row>
    <row r="545" spans="8:50" x14ac:dyDescent="0.25"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7">
        <f t="shared" ca="1" si="8"/>
        <v>0.10446747127505182</v>
      </c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</row>
    <row r="546" spans="8:50" x14ac:dyDescent="0.25"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7">
        <f t="shared" ca="1" si="8"/>
        <v>0.10330882078092793</v>
      </c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</row>
    <row r="547" spans="8:50" x14ac:dyDescent="0.25"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7">
        <f t="shared" ca="1" si="8"/>
        <v>0.20235630995589587</v>
      </c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</row>
    <row r="548" spans="8:50" x14ac:dyDescent="0.25"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7">
        <f t="shared" ca="1" si="8"/>
        <v>0.48941932853093323</v>
      </c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</row>
    <row r="549" spans="8:50" x14ac:dyDescent="0.25"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7">
        <f t="shared" ca="1" si="8"/>
        <v>-0.11013349374412774</v>
      </c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</row>
    <row r="550" spans="8:50" x14ac:dyDescent="0.25"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7">
        <f t="shared" ca="1" si="8"/>
        <v>0.18410938725358403</v>
      </c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</row>
    <row r="551" spans="8:50" x14ac:dyDescent="0.25"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7">
        <f t="shared" ca="1" si="8"/>
        <v>-3.0299725896223026E-2</v>
      </c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</row>
    <row r="552" spans="8:50" x14ac:dyDescent="0.25"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7">
        <f t="shared" ca="1" si="8"/>
        <v>0.42751312630547378</v>
      </c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</row>
    <row r="553" spans="8:50" x14ac:dyDescent="0.25"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7">
        <f t="shared" ca="1" si="8"/>
        <v>0.33321125510378813</v>
      </c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</row>
    <row r="554" spans="8:50" x14ac:dyDescent="0.25"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7">
        <f t="shared" ca="1" si="8"/>
        <v>0.26576295118075649</v>
      </c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</row>
    <row r="555" spans="8:50" x14ac:dyDescent="0.25"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7">
        <f t="shared" ca="1" si="8"/>
        <v>5.8337662061596719E-2</v>
      </c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</row>
    <row r="556" spans="8:50" x14ac:dyDescent="0.25"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7">
        <f t="shared" ca="1" si="8"/>
        <v>0.27922092596262543</v>
      </c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</row>
    <row r="557" spans="8:50" x14ac:dyDescent="0.25"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7">
        <f t="shared" ca="1" si="8"/>
        <v>7.1807087608235495E-2</v>
      </c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</row>
    <row r="558" spans="8:50" x14ac:dyDescent="0.25"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7">
        <f t="shared" ca="1" si="8"/>
        <v>0.25151386767758349</v>
      </c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</row>
    <row r="559" spans="8:50" x14ac:dyDescent="0.25"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7">
        <f t="shared" ca="1" si="8"/>
        <v>-0.14258862837901604</v>
      </c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</row>
    <row r="560" spans="8:50" x14ac:dyDescent="0.25"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7">
        <f t="shared" ca="1" si="8"/>
        <v>0.1561113754368556</v>
      </c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</row>
    <row r="561" spans="8:50" x14ac:dyDescent="0.25"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7">
        <f t="shared" ca="1" si="8"/>
        <v>-0.10035937456254528</v>
      </c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</row>
    <row r="562" spans="8:50" x14ac:dyDescent="0.25"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7">
        <f t="shared" ca="1" si="8"/>
        <v>0.31242833642099976</v>
      </c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</row>
    <row r="563" spans="8:50" x14ac:dyDescent="0.25"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7">
        <f t="shared" ca="1" si="8"/>
        <v>0.32731605062132779</v>
      </c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</row>
    <row r="564" spans="8:50" x14ac:dyDescent="0.25"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7">
        <f t="shared" ca="1" si="8"/>
        <v>-6.925779423878177E-2</v>
      </c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</row>
    <row r="565" spans="8:50" x14ac:dyDescent="0.25"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7">
        <f t="shared" ca="1" si="8"/>
        <v>0.3343290369666202</v>
      </c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</row>
    <row r="566" spans="8:50" x14ac:dyDescent="0.25"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7">
        <f t="shared" ca="1" si="8"/>
        <v>0.11035880719254201</v>
      </c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</row>
    <row r="567" spans="8:50" x14ac:dyDescent="0.25"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7">
        <f t="shared" ca="1" si="8"/>
        <v>0.13505645559902729</v>
      </c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</row>
    <row r="568" spans="8:50" x14ac:dyDescent="0.25"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7">
        <f t="shared" ca="1" si="8"/>
        <v>-8.0375287611566773E-2</v>
      </c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</row>
    <row r="569" spans="8:50" x14ac:dyDescent="0.25"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7">
        <f t="shared" ca="1" si="8"/>
        <v>8.6965491327305897E-2</v>
      </c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</row>
    <row r="570" spans="8:50" x14ac:dyDescent="0.25"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7">
        <f t="shared" ca="1" si="8"/>
        <v>5.2236903523520353E-2</v>
      </c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</row>
    <row r="571" spans="8:50" x14ac:dyDescent="0.25"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7">
        <f t="shared" ca="1" si="8"/>
        <v>4.3437864653030234E-2</v>
      </c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</row>
    <row r="572" spans="8:50" x14ac:dyDescent="0.25"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7">
        <f t="shared" ca="1" si="8"/>
        <v>-0.19178447721725722</v>
      </c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</row>
    <row r="573" spans="8:50" x14ac:dyDescent="0.25"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7">
        <f t="shared" ca="1" si="8"/>
        <v>5.8265149337386607E-3</v>
      </c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</row>
    <row r="574" spans="8:50" x14ac:dyDescent="0.25"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7">
        <f t="shared" ca="1" si="8"/>
        <v>0.12232695967543716</v>
      </c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</row>
    <row r="575" spans="8:50" x14ac:dyDescent="0.25"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7">
        <f t="shared" ca="1" si="8"/>
        <v>0.27226455971102043</v>
      </c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</row>
    <row r="576" spans="8:50" x14ac:dyDescent="0.25"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7">
        <f t="shared" ca="1" si="8"/>
        <v>0.40629256279464815</v>
      </c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</row>
    <row r="577" spans="8:50" x14ac:dyDescent="0.25"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7">
        <f t="shared" ca="1" si="8"/>
        <v>-0.11157679774697286</v>
      </c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</row>
    <row r="578" spans="8:50" x14ac:dyDescent="0.25"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7">
        <f t="shared" ca="1" si="8"/>
        <v>7.1333012110700311E-2</v>
      </c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</row>
    <row r="579" spans="8:50" x14ac:dyDescent="0.25"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7">
        <f t="shared" ca="1" si="8"/>
        <v>7.595345858297721E-2</v>
      </c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</row>
    <row r="580" spans="8:50" x14ac:dyDescent="0.25"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7">
        <f t="shared" ca="1" si="8"/>
        <v>0.11644172539666113</v>
      </c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</row>
    <row r="581" spans="8:50" x14ac:dyDescent="0.25"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7">
        <f t="shared" ca="1" si="8"/>
        <v>6.6715087170103507E-2</v>
      </c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</row>
    <row r="582" spans="8:50" x14ac:dyDescent="0.25"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7">
        <f t="shared" ref="W582:W645" ca="1" si="9">+NORMINV(RAND(),$U$2,$U$3)</f>
        <v>0.31293212943144572</v>
      </c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</row>
    <row r="583" spans="8:50" x14ac:dyDescent="0.25"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7">
        <f t="shared" ca="1" si="9"/>
        <v>5.8491744164722907E-2</v>
      </c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</row>
    <row r="584" spans="8:50" x14ac:dyDescent="0.25"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7">
        <f t="shared" ca="1" si="9"/>
        <v>0.10112437209417136</v>
      </c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</row>
    <row r="585" spans="8:50" x14ac:dyDescent="0.25"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7">
        <f t="shared" ca="1" si="9"/>
        <v>0.16448029608427017</v>
      </c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</row>
    <row r="586" spans="8:50" x14ac:dyDescent="0.25"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7">
        <f t="shared" ca="1" si="9"/>
        <v>0.25986646000193414</v>
      </c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</row>
    <row r="587" spans="8:50" x14ac:dyDescent="0.25"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7">
        <f t="shared" ca="1" si="9"/>
        <v>-6.2919602308645767E-3</v>
      </c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</row>
    <row r="588" spans="8:50" x14ac:dyDescent="0.25"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7">
        <f t="shared" ca="1" si="9"/>
        <v>6.2249433792466453E-2</v>
      </c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</row>
    <row r="589" spans="8:50" x14ac:dyDescent="0.25"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7">
        <f t="shared" ca="1" si="9"/>
        <v>7.6753099795082436E-2</v>
      </c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</row>
    <row r="590" spans="8:50" x14ac:dyDescent="0.25"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7">
        <f t="shared" ca="1" si="9"/>
        <v>0.24935321066766059</v>
      </c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</row>
    <row r="591" spans="8:50" x14ac:dyDescent="0.25"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7">
        <f t="shared" ca="1" si="9"/>
        <v>0.33224148950073784</v>
      </c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</row>
    <row r="592" spans="8:50" x14ac:dyDescent="0.25"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7">
        <f t="shared" ca="1" si="9"/>
        <v>0.43978221505457848</v>
      </c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</row>
    <row r="593" spans="8:50" x14ac:dyDescent="0.25"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7">
        <f t="shared" ca="1" si="9"/>
        <v>0.4396076247750918</v>
      </c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</row>
    <row r="594" spans="8:50" x14ac:dyDescent="0.25"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7">
        <f t="shared" ca="1" si="9"/>
        <v>-1.6995165433139128E-2</v>
      </c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</row>
    <row r="595" spans="8:50" x14ac:dyDescent="0.25"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7">
        <f t="shared" ca="1" si="9"/>
        <v>0.10009853854709046</v>
      </c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</row>
    <row r="596" spans="8:50" x14ac:dyDescent="0.25"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7">
        <f t="shared" ca="1" si="9"/>
        <v>0.38398567338852269</v>
      </c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</row>
    <row r="597" spans="8:50" x14ac:dyDescent="0.25"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7">
        <f t="shared" ca="1" si="9"/>
        <v>-0.11911281761757657</v>
      </c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</row>
    <row r="598" spans="8:50" x14ac:dyDescent="0.25"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7">
        <f t="shared" ca="1" si="9"/>
        <v>1.7908362975874698E-2</v>
      </c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</row>
    <row r="599" spans="8:50" x14ac:dyDescent="0.25"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7">
        <f t="shared" ca="1" si="9"/>
        <v>2.4361999109065141E-2</v>
      </c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</row>
    <row r="600" spans="8:50" x14ac:dyDescent="0.25"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7">
        <f t="shared" ca="1" si="9"/>
        <v>3.4342581646335663E-2</v>
      </c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</row>
    <row r="601" spans="8:50" x14ac:dyDescent="0.25"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7">
        <f t="shared" ca="1" si="9"/>
        <v>1.836031051495271E-2</v>
      </c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</row>
    <row r="602" spans="8:50" x14ac:dyDescent="0.25"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7">
        <f t="shared" ca="1" si="9"/>
        <v>-0.10648443853052737</v>
      </c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</row>
    <row r="603" spans="8:50" x14ac:dyDescent="0.25"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7">
        <f t="shared" ca="1" si="9"/>
        <v>4.8484332872281891E-2</v>
      </c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</row>
    <row r="604" spans="8:50" x14ac:dyDescent="0.25"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7">
        <f t="shared" ca="1" si="9"/>
        <v>0.16096197154364403</v>
      </c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</row>
    <row r="605" spans="8:50" x14ac:dyDescent="0.25"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7">
        <f t="shared" ca="1" si="9"/>
        <v>0.14435758280688893</v>
      </c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</row>
    <row r="606" spans="8:50" x14ac:dyDescent="0.25"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7">
        <f t="shared" ca="1" si="9"/>
        <v>-7.0093413949460087E-3</v>
      </c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</row>
    <row r="607" spans="8:50" x14ac:dyDescent="0.25"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7">
        <f t="shared" ca="1" si="9"/>
        <v>9.1574167382775698E-2</v>
      </c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</row>
    <row r="608" spans="8:50" x14ac:dyDescent="0.25"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7">
        <f t="shared" ca="1" si="9"/>
        <v>0.14193710872296184</v>
      </c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</row>
    <row r="609" spans="8:50" x14ac:dyDescent="0.25"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7">
        <f t="shared" ca="1" si="9"/>
        <v>-0.1605119566538486</v>
      </c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</row>
    <row r="610" spans="8:50" x14ac:dyDescent="0.25"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7">
        <f t="shared" ca="1" si="9"/>
        <v>0.25449787892344405</v>
      </c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</row>
    <row r="611" spans="8:50" x14ac:dyDescent="0.25"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7">
        <f t="shared" ca="1" si="9"/>
        <v>0.11710504676905148</v>
      </c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</row>
    <row r="612" spans="8:50" x14ac:dyDescent="0.25"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7">
        <f t="shared" ca="1" si="9"/>
        <v>-2.5940815726601854E-2</v>
      </c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</row>
    <row r="613" spans="8:50" x14ac:dyDescent="0.25"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7">
        <f t="shared" ca="1" si="9"/>
        <v>0.30145906439426501</v>
      </c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</row>
    <row r="614" spans="8:50" x14ac:dyDescent="0.25"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7">
        <f t="shared" ca="1" si="9"/>
        <v>0.1756197055673695</v>
      </c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</row>
    <row r="615" spans="8:50" x14ac:dyDescent="0.25"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7">
        <f t="shared" ca="1" si="9"/>
        <v>0.13799133157105278</v>
      </c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</row>
    <row r="616" spans="8:50" x14ac:dyDescent="0.25"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7">
        <f t="shared" ca="1" si="9"/>
        <v>0.16669715453201731</v>
      </c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</row>
    <row r="617" spans="8:50" x14ac:dyDescent="0.25"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7">
        <f t="shared" ca="1" si="9"/>
        <v>5.5847903493695623E-2</v>
      </c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</row>
    <row r="618" spans="8:50" x14ac:dyDescent="0.25"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7">
        <f t="shared" ca="1" si="9"/>
        <v>0.12068406385628765</v>
      </c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</row>
    <row r="619" spans="8:50" x14ac:dyDescent="0.25"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7">
        <f t="shared" ca="1" si="9"/>
        <v>1.4230647325482418E-2</v>
      </c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</row>
    <row r="620" spans="8:50" x14ac:dyDescent="0.25"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7">
        <f t="shared" ca="1" si="9"/>
        <v>0.32863569889851829</v>
      </c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</row>
    <row r="621" spans="8:50" x14ac:dyDescent="0.25"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7">
        <f t="shared" ca="1" si="9"/>
        <v>-5.2895128803038399E-3</v>
      </c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</row>
    <row r="622" spans="8:50" x14ac:dyDescent="0.25"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7">
        <f t="shared" ca="1" si="9"/>
        <v>5.140966457989754E-2</v>
      </c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</row>
    <row r="623" spans="8:50" x14ac:dyDescent="0.25"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7">
        <f t="shared" ca="1" si="9"/>
        <v>0.15350036707162071</v>
      </c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</row>
    <row r="624" spans="8:50" x14ac:dyDescent="0.25"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7">
        <f t="shared" ca="1" si="9"/>
        <v>0.35697941616747686</v>
      </c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</row>
    <row r="625" spans="8:50" x14ac:dyDescent="0.25"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7">
        <f t="shared" ca="1" si="9"/>
        <v>-0.19998783583725338</v>
      </c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</row>
    <row r="626" spans="8:50" x14ac:dyDescent="0.25"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7">
        <f t="shared" ca="1" si="9"/>
        <v>0.14850561725285344</v>
      </c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</row>
    <row r="627" spans="8:50" x14ac:dyDescent="0.25"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7">
        <f t="shared" ca="1" si="9"/>
        <v>0.33128177228422739</v>
      </c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</row>
    <row r="628" spans="8:50" x14ac:dyDescent="0.25"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7">
        <f t="shared" ca="1" si="9"/>
        <v>0.24154628129237926</v>
      </c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</row>
    <row r="629" spans="8:50" x14ac:dyDescent="0.25"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7">
        <f t="shared" ca="1" si="9"/>
        <v>8.9386827584106585E-2</v>
      </c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</row>
    <row r="630" spans="8:50" x14ac:dyDescent="0.25"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7">
        <f t="shared" ca="1" si="9"/>
        <v>0.22182074692419701</v>
      </c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</row>
    <row r="631" spans="8:50" x14ac:dyDescent="0.25"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7">
        <f t="shared" ca="1" si="9"/>
        <v>0.12384242901558075</v>
      </c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</row>
    <row r="632" spans="8:50" x14ac:dyDescent="0.25"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7">
        <f t="shared" ca="1" si="9"/>
        <v>0.12709415336377677</v>
      </c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</row>
    <row r="633" spans="8:50" x14ac:dyDescent="0.25"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7">
        <f t="shared" ca="1" si="9"/>
        <v>-1.3517603960819233E-2</v>
      </c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</row>
    <row r="634" spans="8:50" x14ac:dyDescent="0.25"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7">
        <f t="shared" ca="1" si="9"/>
        <v>-5.0206516958848271E-2</v>
      </c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</row>
    <row r="635" spans="8:50" x14ac:dyDescent="0.25"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7">
        <f t="shared" ca="1" si="9"/>
        <v>0.15443482086802571</v>
      </c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</row>
    <row r="636" spans="8:50" x14ac:dyDescent="0.25"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7">
        <f t="shared" ca="1" si="9"/>
        <v>0.25202809625815475</v>
      </c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</row>
    <row r="637" spans="8:50" x14ac:dyDescent="0.25"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7">
        <f t="shared" ca="1" si="9"/>
        <v>0.15562494458933684</v>
      </c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</row>
    <row r="638" spans="8:50" x14ac:dyDescent="0.25"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7">
        <f t="shared" ca="1" si="9"/>
        <v>0.11061666950122143</v>
      </c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</row>
    <row r="639" spans="8:50" x14ac:dyDescent="0.25"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7">
        <f t="shared" ca="1" si="9"/>
        <v>0.31635779717020718</v>
      </c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</row>
    <row r="640" spans="8:50" x14ac:dyDescent="0.25"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7">
        <f t="shared" ca="1" si="9"/>
        <v>-7.4523805955976033E-2</v>
      </c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</row>
    <row r="641" spans="8:50" x14ac:dyDescent="0.25"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7">
        <f t="shared" ca="1" si="9"/>
        <v>6.1495276283142088E-2</v>
      </c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</row>
    <row r="642" spans="8:50" x14ac:dyDescent="0.25"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7">
        <f t="shared" ca="1" si="9"/>
        <v>0.17540639957475829</v>
      </c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</row>
    <row r="643" spans="8:50" x14ac:dyDescent="0.25"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7">
        <f t="shared" ca="1" si="9"/>
        <v>-0.37543063119032899</v>
      </c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</row>
    <row r="644" spans="8:50" x14ac:dyDescent="0.25"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7">
        <f t="shared" ca="1" si="9"/>
        <v>0.10777080433398373</v>
      </c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</row>
    <row r="645" spans="8:50" x14ac:dyDescent="0.25"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7">
        <f t="shared" ca="1" si="9"/>
        <v>0.10710638168480341</v>
      </c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</row>
    <row r="646" spans="8:50" x14ac:dyDescent="0.25"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7">
        <f t="shared" ref="W646:W709" ca="1" si="10">+NORMINV(RAND(),$U$2,$U$3)</f>
        <v>0.27920514695027121</v>
      </c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</row>
    <row r="647" spans="8:50" x14ac:dyDescent="0.25"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7">
        <f t="shared" ca="1" si="10"/>
        <v>0.39310953227776507</v>
      </c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</row>
    <row r="648" spans="8:50" x14ac:dyDescent="0.25"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7">
        <f t="shared" ca="1" si="10"/>
        <v>0.12355227841344447</v>
      </c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</row>
    <row r="649" spans="8:50" x14ac:dyDescent="0.25"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7">
        <f t="shared" ca="1" si="10"/>
        <v>0.21732084824397169</v>
      </c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</row>
    <row r="650" spans="8:50" x14ac:dyDescent="0.25"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7">
        <f t="shared" ca="1" si="10"/>
        <v>0.1106124326245065</v>
      </c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</row>
    <row r="651" spans="8:50" x14ac:dyDescent="0.25"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7">
        <f t="shared" ca="1" si="10"/>
        <v>0.30635205780115887</v>
      </c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</row>
    <row r="652" spans="8:50" x14ac:dyDescent="0.25"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7">
        <f t="shared" ca="1" si="10"/>
        <v>0.24768620246171019</v>
      </c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</row>
    <row r="653" spans="8:50" x14ac:dyDescent="0.25"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7">
        <f t="shared" ca="1" si="10"/>
        <v>0.48105359025715838</v>
      </c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</row>
    <row r="654" spans="8:50" x14ac:dyDescent="0.25"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7">
        <f t="shared" ca="1" si="10"/>
        <v>-0.23691439356218136</v>
      </c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</row>
    <row r="655" spans="8:50" x14ac:dyDescent="0.25"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7">
        <f t="shared" ca="1" si="10"/>
        <v>1.6667779838146601E-2</v>
      </c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</row>
    <row r="656" spans="8:50" x14ac:dyDescent="0.25"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7">
        <f t="shared" ca="1" si="10"/>
        <v>-0.20450861034024598</v>
      </c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</row>
    <row r="657" spans="8:50" x14ac:dyDescent="0.25"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7">
        <f t="shared" ca="1" si="10"/>
        <v>0.28569848428115396</v>
      </c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</row>
    <row r="658" spans="8:50" x14ac:dyDescent="0.25"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7">
        <f t="shared" ca="1" si="10"/>
        <v>0.15779221368417373</v>
      </c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</row>
    <row r="659" spans="8:50" x14ac:dyDescent="0.25"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7">
        <f t="shared" ca="1" si="10"/>
        <v>9.5961958108893422E-2</v>
      </c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</row>
    <row r="660" spans="8:50" x14ac:dyDescent="0.25"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7">
        <f t="shared" ca="1" si="10"/>
        <v>0.20887099853396821</v>
      </c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</row>
    <row r="661" spans="8:50" x14ac:dyDescent="0.25"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7">
        <f t="shared" ca="1" si="10"/>
        <v>0.32800809822130889</v>
      </c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</row>
    <row r="662" spans="8:50" x14ac:dyDescent="0.25"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7">
        <f t="shared" ca="1" si="10"/>
        <v>0.34907364643590866</v>
      </c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</row>
    <row r="663" spans="8:50" x14ac:dyDescent="0.25"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7">
        <f t="shared" ca="1" si="10"/>
        <v>0.13523946032935491</v>
      </c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</row>
    <row r="664" spans="8:50" x14ac:dyDescent="0.25"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7">
        <f t="shared" ca="1" si="10"/>
        <v>0.12466125990456374</v>
      </c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</row>
    <row r="665" spans="8:50" x14ac:dyDescent="0.25"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7">
        <f t="shared" ca="1" si="10"/>
        <v>0.1660972268141101</v>
      </c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</row>
    <row r="666" spans="8:50" x14ac:dyDescent="0.25"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7">
        <f t="shared" ca="1" si="10"/>
        <v>5.1601376557764048E-2</v>
      </c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</row>
    <row r="667" spans="8:50" x14ac:dyDescent="0.25"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7">
        <f t="shared" ca="1" si="10"/>
        <v>0.15525148422033422</v>
      </c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</row>
    <row r="668" spans="8:50" x14ac:dyDescent="0.25"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7">
        <f t="shared" ca="1" si="10"/>
        <v>0.34203716070570139</v>
      </c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</row>
    <row r="669" spans="8:50" x14ac:dyDescent="0.25"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7">
        <f t="shared" ca="1" si="10"/>
        <v>-1.0358517635563128E-2</v>
      </c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</row>
    <row r="670" spans="8:50" x14ac:dyDescent="0.25"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7">
        <f t="shared" ca="1" si="10"/>
        <v>-0.14537193555549632</v>
      </c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</row>
    <row r="671" spans="8:50" x14ac:dyDescent="0.25"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7">
        <f t="shared" ca="1" si="10"/>
        <v>0.12815167609862629</v>
      </c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</row>
    <row r="672" spans="8:50" x14ac:dyDescent="0.25"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7">
        <f t="shared" ca="1" si="10"/>
        <v>0.17235819814516395</v>
      </c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</row>
    <row r="673" spans="8:50" x14ac:dyDescent="0.25"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7">
        <f t="shared" ca="1" si="10"/>
        <v>-0.39745586306290359</v>
      </c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</row>
    <row r="674" spans="8:50" x14ac:dyDescent="0.25"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7">
        <f t="shared" ca="1" si="10"/>
        <v>0.14456771153081074</v>
      </c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</row>
    <row r="675" spans="8:50" x14ac:dyDescent="0.25"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7">
        <f t="shared" ca="1" si="10"/>
        <v>0.2899327573014947</v>
      </c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</row>
    <row r="676" spans="8:50" x14ac:dyDescent="0.25"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7">
        <f t="shared" ca="1" si="10"/>
        <v>0.11197999674248407</v>
      </c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</row>
    <row r="677" spans="8:50" x14ac:dyDescent="0.25"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7">
        <f t="shared" ca="1" si="10"/>
        <v>6.7754708051186233E-2</v>
      </c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</row>
    <row r="678" spans="8:50" x14ac:dyDescent="0.25"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7">
        <f t="shared" ca="1" si="10"/>
        <v>0.17635534492607913</v>
      </c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</row>
    <row r="679" spans="8:50" x14ac:dyDescent="0.25"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7">
        <f t="shared" ca="1" si="10"/>
        <v>0.55813858471723632</v>
      </c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</row>
    <row r="680" spans="8:50" x14ac:dyDescent="0.25"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7">
        <f t="shared" ca="1" si="10"/>
        <v>3.5991867301214578E-2</v>
      </c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</row>
    <row r="681" spans="8:50" x14ac:dyDescent="0.25"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7">
        <f t="shared" ca="1" si="10"/>
        <v>0.26292290309340161</v>
      </c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</row>
    <row r="682" spans="8:50" x14ac:dyDescent="0.25"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7">
        <f t="shared" ca="1" si="10"/>
        <v>3.4571428459818518E-2</v>
      </c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</row>
    <row r="683" spans="8:50" x14ac:dyDescent="0.25"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7">
        <f t="shared" ca="1" si="10"/>
        <v>2.235617441407052E-2</v>
      </c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</row>
    <row r="684" spans="8:50" x14ac:dyDescent="0.25"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7">
        <f t="shared" ca="1" si="10"/>
        <v>0.35196504419141805</v>
      </c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</row>
    <row r="685" spans="8:50" x14ac:dyDescent="0.25"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7">
        <f t="shared" ca="1" si="10"/>
        <v>8.1114981680073389E-2</v>
      </c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</row>
    <row r="686" spans="8:50" x14ac:dyDescent="0.25"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7">
        <f t="shared" ca="1" si="10"/>
        <v>0.1410199973368968</v>
      </c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</row>
    <row r="687" spans="8:50" x14ac:dyDescent="0.25"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7">
        <f t="shared" ca="1" si="10"/>
        <v>0.40129336661877768</v>
      </c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</row>
    <row r="688" spans="8:50" x14ac:dyDescent="0.25"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7">
        <f t="shared" ca="1" si="10"/>
        <v>0.25356487684329154</v>
      </c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</row>
    <row r="689" spans="8:50" x14ac:dyDescent="0.25"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7">
        <f t="shared" ca="1" si="10"/>
        <v>0.15884208705806563</v>
      </c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</row>
    <row r="690" spans="8:50" x14ac:dyDescent="0.25"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7">
        <f t="shared" ca="1" si="10"/>
        <v>0.38270777014919227</v>
      </c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</row>
    <row r="691" spans="8:50" x14ac:dyDescent="0.25"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7">
        <f t="shared" ca="1" si="10"/>
        <v>-0.13162720389971316</v>
      </c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</row>
    <row r="692" spans="8:50" x14ac:dyDescent="0.25"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7">
        <f t="shared" ca="1" si="10"/>
        <v>0.27582883988068035</v>
      </c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</row>
    <row r="693" spans="8:50" x14ac:dyDescent="0.25"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7">
        <f t="shared" ca="1" si="10"/>
        <v>0.19786896603240683</v>
      </c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</row>
    <row r="694" spans="8:50" x14ac:dyDescent="0.25"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7">
        <f t="shared" ca="1" si="10"/>
        <v>0.143000795404364</v>
      </c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</row>
    <row r="695" spans="8:50" x14ac:dyDescent="0.25"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7">
        <f t="shared" ca="1" si="10"/>
        <v>0.30530695215142334</v>
      </c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</row>
    <row r="696" spans="8:50" x14ac:dyDescent="0.25"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7">
        <f t="shared" ca="1" si="10"/>
        <v>-8.5245826738002864E-2</v>
      </c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</row>
    <row r="697" spans="8:50" x14ac:dyDescent="0.25"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7">
        <f t="shared" ca="1" si="10"/>
        <v>6.7287160361574699E-2</v>
      </c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</row>
    <row r="698" spans="8:50" x14ac:dyDescent="0.25"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7">
        <f t="shared" ca="1" si="10"/>
        <v>1.2948915242724623E-2</v>
      </c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</row>
    <row r="699" spans="8:50" x14ac:dyDescent="0.25"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7">
        <f t="shared" ca="1" si="10"/>
        <v>7.0699104992484496E-2</v>
      </c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</row>
    <row r="700" spans="8:50" x14ac:dyDescent="0.25"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7">
        <f t="shared" ca="1" si="10"/>
        <v>0.11003538211752641</v>
      </c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</row>
    <row r="701" spans="8:50" x14ac:dyDescent="0.25"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7">
        <f t="shared" ca="1" si="10"/>
        <v>-0.29954089983937593</v>
      </c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</row>
    <row r="702" spans="8:50" x14ac:dyDescent="0.25"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7">
        <f t="shared" ca="1" si="10"/>
        <v>0.13771845276462041</v>
      </c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</row>
    <row r="703" spans="8:50" x14ac:dyDescent="0.25"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7">
        <f t="shared" ca="1" si="10"/>
        <v>-5.2151798276933017E-2</v>
      </c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</row>
    <row r="704" spans="8:50" x14ac:dyDescent="0.25"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7">
        <f t="shared" ca="1" si="10"/>
        <v>2.5004179285382636E-2</v>
      </c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</row>
    <row r="705" spans="8:50" x14ac:dyDescent="0.25"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7">
        <f t="shared" ca="1" si="10"/>
        <v>0.2992929517505174</v>
      </c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</row>
    <row r="706" spans="8:50" x14ac:dyDescent="0.25"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7">
        <f t="shared" ca="1" si="10"/>
        <v>0.11651688234229317</v>
      </c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</row>
    <row r="707" spans="8:50" x14ac:dyDescent="0.25"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7">
        <f t="shared" ca="1" si="10"/>
        <v>-9.9205964096501328E-2</v>
      </c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</row>
    <row r="708" spans="8:50" x14ac:dyDescent="0.25"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7">
        <f t="shared" ca="1" si="10"/>
        <v>-0.13592715401204941</v>
      </c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</row>
    <row r="709" spans="8:50" x14ac:dyDescent="0.25"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7">
        <f t="shared" ca="1" si="10"/>
        <v>-4.3539359266917418E-2</v>
      </c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</row>
    <row r="710" spans="8:50" x14ac:dyDescent="0.25"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7">
        <f t="shared" ref="W710:W773" ca="1" si="11">+NORMINV(RAND(),$U$2,$U$3)</f>
        <v>0.22260657681042334</v>
      </c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</row>
    <row r="711" spans="8:50" x14ac:dyDescent="0.25"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7">
        <f t="shared" ca="1" si="11"/>
        <v>0.1322373972844203</v>
      </c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</row>
    <row r="712" spans="8:50" x14ac:dyDescent="0.25"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7">
        <f t="shared" ca="1" si="11"/>
        <v>-0.26113416324683991</v>
      </c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</row>
    <row r="713" spans="8:50" x14ac:dyDescent="0.25"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7">
        <f t="shared" ca="1" si="11"/>
        <v>-7.3315448209796533E-2</v>
      </c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</row>
    <row r="714" spans="8:50" x14ac:dyDescent="0.25"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7">
        <f t="shared" ca="1" si="11"/>
        <v>-2.7036717518241424E-2</v>
      </c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</row>
    <row r="715" spans="8:50" x14ac:dyDescent="0.25"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7">
        <f t="shared" ca="1" si="11"/>
        <v>0.1937106018721293</v>
      </c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</row>
    <row r="716" spans="8:50" x14ac:dyDescent="0.25"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7">
        <f t="shared" ca="1" si="11"/>
        <v>-4.2468331664713005E-3</v>
      </c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</row>
    <row r="717" spans="8:50" x14ac:dyDescent="0.25"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7">
        <f t="shared" ca="1" si="11"/>
        <v>0.25232216753519626</v>
      </c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</row>
    <row r="718" spans="8:50" x14ac:dyDescent="0.25"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7">
        <f t="shared" ca="1" si="11"/>
        <v>0.1909352481892132</v>
      </c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</row>
    <row r="719" spans="8:50" x14ac:dyDescent="0.25"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7">
        <f t="shared" ca="1" si="11"/>
        <v>0.15768924033190296</v>
      </c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</row>
    <row r="720" spans="8:50" x14ac:dyDescent="0.25"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7">
        <f t="shared" ca="1" si="11"/>
        <v>9.2765145976336033E-2</v>
      </c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</row>
    <row r="721" spans="8:50" x14ac:dyDescent="0.25"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7">
        <f t="shared" ca="1" si="11"/>
        <v>8.96282354854889E-2</v>
      </c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</row>
    <row r="722" spans="8:50" x14ac:dyDescent="0.25"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7">
        <f t="shared" ca="1" si="11"/>
        <v>-4.8288258984309287E-2</v>
      </c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</row>
    <row r="723" spans="8:50" x14ac:dyDescent="0.25"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7">
        <f t="shared" ca="1" si="11"/>
        <v>0.25438609369519916</v>
      </c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</row>
    <row r="724" spans="8:50" x14ac:dyDescent="0.25"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7">
        <f t="shared" ca="1" si="11"/>
        <v>0.30735850587337671</v>
      </c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</row>
    <row r="725" spans="8:50" x14ac:dyDescent="0.25"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7">
        <f t="shared" ca="1" si="11"/>
        <v>0.10155867644888635</v>
      </c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</row>
    <row r="726" spans="8:50" x14ac:dyDescent="0.25"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7">
        <f t="shared" ca="1" si="11"/>
        <v>0.2587282846164633</v>
      </c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</row>
    <row r="727" spans="8:50" x14ac:dyDescent="0.25"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7">
        <f t="shared" ca="1" si="11"/>
        <v>0.20351969429640721</v>
      </c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</row>
    <row r="728" spans="8:50" x14ac:dyDescent="0.25"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7">
        <f t="shared" ca="1" si="11"/>
        <v>-0.14571162979805774</v>
      </c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</row>
    <row r="729" spans="8:50" x14ac:dyDescent="0.25"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7">
        <f t="shared" ca="1" si="11"/>
        <v>-0.16628636830950594</v>
      </c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</row>
    <row r="730" spans="8:50" x14ac:dyDescent="0.25"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7">
        <f t="shared" ca="1" si="11"/>
        <v>-0.11816109152149505</v>
      </c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</row>
    <row r="731" spans="8:50" x14ac:dyDescent="0.25"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7">
        <f t="shared" ca="1" si="11"/>
        <v>0.18360443593555315</v>
      </c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</row>
    <row r="732" spans="8:50" x14ac:dyDescent="0.25"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7">
        <f t="shared" ca="1" si="11"/>
        <v>9.5666344060467395E-2</v>
      </c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</row>
    <row r="733" spans="8:50" x14ac:dyDescent="0.25"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7">
        <f t="shared" ca="1" si="11"/>
        <v>0.11988964932383159</v>
      </c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</row>
    <row r="734" spans="8:50" x14ac:dyDescent="0.25"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7">
        <f t="shared" ca="1" si="11"/>
        <v>0.24312927450216198</v>
      </c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</row>
    <row r="735" spans="8:50" x14ac:dyDescent="0.25"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7">
        <f t="shared" ca="1" si="11"/>
        <v>0.29202547631360104</v>
      </c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</row>
    <row r="736" spans="8:50" x14ac:dyDescent="0.25"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7">
        <f t="shared" ca="1" si="11"/>
        <v>0.16100466262867719</v>
      </c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</row>
    <row r="737" spans="8:50" x14ac:dyDescent="0.25"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7">
        <f t="shared" ca="1" si="11"/>
        <v>0.34235869774795774</v>
      </c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</row>
    <row r="738" spans="8:50" x14ac:dyDescent="0.25"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7">
        <f t="shared" ca="1" si="11"/>
        <v>0.30827487018285959</v>
      </c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</row>
    <row r="739" spans="8:50" x14ac:dyDescent="0.25"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7">
        <f t="shared" ca="1" si="11"/>
        <v>0.17891438047665109</v>
      </c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</row>
    <row r="740" spans="8:50" x14ac:dyDescent="0.25"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7">
        <f t="shared" ca="1" si="11"/>
        <v>0.13894912665946946</v>
      </c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</row>
    <row r="741" spans="8:50" x14ac:dyDescent="0.25"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7">
        <f t="shared" ca="1" si="11"/>
        <v>0.20151489041207538</v>
      </c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</row>
    <row r="742" spans="8:50" x14ac:dyDescent="0.25"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7">
        <f t="shared" ca="1" si="11"/>
        <v>0.25098762364824118</v>
      </c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</row>
    <row r="743" spans="8:50" x14ac:dyDescent="0.25"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7">
        <f t="shared" ca="1" si="11"/>
        <v>-0.12329197416272077</v>
      </c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</row>
    <row r="744" spans="8:50" x14ac:dyDescent="0.25"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7">
        <f t="shared" ca="1" si="11"/>
        <v>0.2246767980797155</v>
      </c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</row>
    <row r="745" spans="8:50" x14ac:dyDescent="0.25"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7">
        <f t="shared" ca="1" si="11"/>
        <v>0.15081268633607225</v>
      </c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</row>
    <row r="746" spans="8:50" x14ac:dyDescent="0.25"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7">
        <f t="shared" ca="1" si="11"/>
        <v>-0.19892556417574747</v>
      </c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</row>
    <row r="747" spans="8:50" x14ac:dyDescent="0.25"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7">
        <f t="shared" ca="1" si="11"/>
        <v>0.20520488476019527</v>
      </c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</row>
    <row r="748" spans="8:50" x14ac:dyDescent="0.25"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7">
        <f t="shared" ca="1" si="11"/>
        <v>5.4572638377250168E-2</v>
      </c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</row>
    <row r="749" spans="8:50" x14ac:dyDescent="0.25"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7">
        <f t="shared" ca="1" si="11"/>
        <v>-0.10857111957762756</v>
      </c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</row>
    <row r="750" spans="8:50" x14ac:dyDescent="0.25"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7">
        <f t="shared" ca="1" si="11"/>
        <v>0.27293421838757387</v>
      </c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</row>
    <row r="751" spans="8:50" x14ac:dyDescent="0.25"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7">
        <f t="shared" ca="1" si="11"/>
        <v>-7.1085189147357536E-3</v>
      </c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</row>
    <row r="752" spans="8:50" x14ac:dyDescent="0.25"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7">
        <f t="shared" ca="1" si="11"/>
        <v>0.23996184048156383</v>
      </c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</row>
    <row r="753" spans="8:50" x14ac:dyDescent="0.25"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7">
        <f t="shared" ca="1" si="11"/>
        <v>0.56559317157640376</v>
      </c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</row>
    <row r="754" spans="8:50" x14ac:dyDescent="0.25"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7">
        <f t="shared" ca="1" si="11"/>
        <v>-7.1613813770195447E-2</v>
      </c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</row>
    <row r="755" spans="8:50" x14ac:dyDescent="0.25"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7">
        <f t="shared" ca="1" si="11"/>
        <v>0.12968446249839105</v>
      </c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</row>
    <row r="756" spans="8:50" x14ac:dyDescent="0.25"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7">
        <f t="shared" ca="1" si="11"/>
        <v>1.5794750208125347E-2</v>
      </c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</row>
    <row r="757" spans="8:50" x14ac:dyDescent="0.25"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7">
        <f t="shared" ca="1" si="11"/>
        <v>-2.2970948993783533E-2</v>
      </c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</row>
    <row r="758" spans="8:50" x14ac:dyDescent="0.25"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7">
        <f t="shared" ca="1" si="11"/>
        <v>-6.7791822213327593E-2</v>
      </c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</row>
    <row r="759" spans="8:50" x14ac:dyDescent="0.25"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7">
        <f t="shared" ca="1" si="11"/>
        <v>0.25826484022177698</v>
      </c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</row>
    <row r="760" spans="8:50" x14ac:dyDescent="0.25"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7">
        <f t="shared" ca="1" si="11"/>
        <v>-0.22350820380962627</v>
      </c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</row>
    <row r="761" spans="8:50" x14ac:dyDescent="0.25"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7">
        <f t="shared" ca="1" si="11"/>
        <v>0.35736510831817142</v>
      </c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</row>
    <row r="762" spans="8:50" x14ac:dyDescent="0.25"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7">
        <f t="shared" ca="1" si="11"/>
        <v>-2.5538568834947636E-2</v>
      </c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</row>
    <row r="763" spans="8:50" x14ac:dyDescent="0.25"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7">
        <f t="shared" ca="1" si="11"/>
        <v>0.27388549493758896</v>
      </c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</row>
    <row r="764" spans="8:50" x14ac:dyDescent="0.25"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7">
        <f t="shared" ca="1" si="11"/>
        <v>9.6054817951808466E-2</v>
      </c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</row>
    <row r="765" spans="8:50" x14ac:dyDescent="0.25"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7">
        <f t="shared" ca="1" si="11"/>
        <v>0.42933298321832214</v>
      </c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</row>
    <row r="766" spans="8:50" x14ac:dyDescent="0.25"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7">
        <f t="shared" ca="1" si="11"/>
        <v>-0.17821204327557683</v>
      </c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</row>
    <row r="767" spans="8:50" x14ac:dyDescent="0.25"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7">
        <f t="shared" ca="1" si="11"/>
        <v>-3.2473718355305672E-2</v>
      </c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</row>
    <row r="768" spans="8:50" x14ac:dyDescent="0.25"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7">
        <f t="shared" ca="1" si="11"/>
        <v>-0.30232778461672655</v>
      </c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</row>
    <row r="769" spans="8:50" x14ac:dyDescent="0.25"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7">
        <f t="shared" ca="1" si="11"/>
        <v>9.2179312661902602E-2</v>
      </c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</row>
    <row r="770" spans="8:50" x14ac:dyDescent="0.25"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7">
        <f t="shared" ca="1" si="11"/>
        <v>-9.0060710614509973E-2</v>
      </c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</row>
    <row r="771" spans="8:50" x14ac:dyDescent="0.25"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7">
        <f t="shared" ca="1" si="11"/>
        <v>0.35416686084480276</v>
      </c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</row>
    <row r="772" spans="8:50" x14ac:dyDescent="0.25"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7">
        <f t="shared" ca="1" si="11"/>
        <v>4.9364212162315929E-2</v>
      </c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</row>
    <row r="773" spans="8:50" x14ac:dyDescent="0.25"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7">
        <f t="shared" ca="1" si="11"/>
        <v>-0.20683209264508667</v>
      </c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</row>
    <row r="774" spans="8:50" x14ac:dyDescent="0.25"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7">
        <f t="shared" ref="W774:W837" ca="1" si="12">+NORMINV(RAND(),$U$2,$U$3)</f>
        <v>0.1988695590071575</v>
      </c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</row>
    <row r="775" spans="8:50" x14ac:dyDescent="0.25"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7">
        <f t="shared" ca="1" si="12"/>
        <v>-0.14505837581849024</v>
      </c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</row>
    <row r="776" spans="8:50" x14ac:dyDescent="0.25"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7">
        <f t="shared" ca="1" si="12"/>
        <v>0.10729556207667397</v>
      </c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</row>
    <row r="777" spans="8:50" x14ac:dyDescent="0.25"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7">
        <f t="shared" ca="1" si="12"/>
        <v>0.16375404857183251</v>
      </c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</row>
    <row r="778" spans="8:50" x14ac:dyDescent="0.25"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7">
        <f t="shared" ca="1" si="12"/>
        <v>6.8655361672622373E-2</v>
      </c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</row>
    <row r="779" spans="8:50" x14ac:dyDescent="0.25"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7">
        <f t="shared" ca="1" si="12"/>
        <v>2.0706777885307365E-2</v>
      </c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</row>
    <row r="780" spans="8:50" x14ac:dyDescent="0.25"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7">
        <f t="shared" ca="1" si="12"/>
        <v>4.7512366886444279E-2</v>
      </c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</row>
    <row r="781" spans="8:50" x14ac:dyDescent="0.25"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7">
        <f t="shared" ca="1" si="12"/>
        <v>-0.107902539285906</v>
      </c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</row>
    <row r="782" spans="8:50" x14ac:dyDescent="0.25"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7">
        <f t="shared" ca="1" si="12"/>
        <v>0.24775198065809512</v>
      </c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</row>
    <row r="783" spans="8:50" x14ac:dyDescent="0.25"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7">
        <f t="shared" ca="1" si="12"/>
        <v>-0.16990983313177588</v>
      </c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</row>
    <row r="784" spans="8:50" x14ac:dyDescent="0.25"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7">
        <f t="shared" ca="1" si="12"/>
        <v>-7.9832703563304588E-2</v>
      </c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</row>
    <row r="785" spans="8:50" x14ac:dyDescent="0.25"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7">
        <f t="shared" ca="1" si="12"/>
        <v>-0.18615347050454401</v>
      </c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</row>
    <row r="786" spans="8:50" x14ac:dyDescent="0.25"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7">
        <f t="shared" ca="1" si="12"/>
        <v>-0.2217338643298975</v>
      </c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</row>
    <row r="787" spans="8:50" x14ac:dyDescent="0.25"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7">
        <f t="shared" ca="1" si="12"/>
        <v>0.2314128691983835</v>
      </c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</row>
    <row r="788" spans="8:50" x14ac:dyDescent="0.25"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7">
        <f t="shared" ca="1" si="12"/>
        <v>0.27727817110524317</v>
      </c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</row>
    <row r="789" spans="8:50" x14ac:dyDescent="0.25"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7">
        <f t="shared" ca="1" si="12"/>
        <v>1.7815894333499685E-2</v>
      </c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</row>
    <row r="790" spans="8:50" x14ac:dyDescent="0.25"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7">
        <f t="shared" ca="1" si="12"/>
        <v>0.31643346338969636</v>
      </c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</row>
    <row r="791" spans="8:50" x14ac:dyDescent="0.25"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7">
        <f t="shared" ca="1" si="12"/>
        <v>0.16798602200709967</v>
      </c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</row>
    <row r="792" spans="8:50" x14ac:dyDescent="0.25"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7">
        <f t="shared" ca="1" si="12"/>
        <v>-0.23327503865802113</v>
      </c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</row>
    <row r="793" spans="8:50" x14ac:dyDescent="0.25"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7">
        <f t="shared" ca="1" si="12"/>
        <v>0.21998327768827236</v>
      </c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</row>
    <row r="794" spans="8:50" x14ac:dyDescent="0.25"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7">
        <f t="shared" ca="1" si="12"/>
        <v>0.22517417841270185</v>
      </c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</row>
    <row r="795" spans="8:50" x14ac:dyDescent="0.25"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7">
        <f t="shared" ca="1" si="12"/>
        <v>-1.7603757589952918E-3</v>
      </c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</row>
    <row r="796" spans="8:50" x14ac:dyDescent="0.25"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7">
        <f t="shared" ca="1" si="12"/>
        <v>-6.9710839143420425E-2</v>
      </c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</row>
    <row r="797" spans="8:50" x14ac:dyDescent="0.25"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7">
        <f t="shared" ca="1" si="12"/>
        <v>-0.24382547512522806</v>
      </c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</row>
    <row r="798" spans="8:50" x14ac:dyDescent="0.25"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7">
        <f t="shared" ca="1" si="12"/>
        <v>-0.11864533778415333</v>
      </c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</row>
    <row r="799" spans="8:50" x14ac:dyDescent="0.25"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7">
        <f t="shared" ca="1" si="12"/>
        <v>0.21898644126376932</v>
      </c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</row>
    <row r="800" spans="8:50" x14ac:dyDescent="0.25"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7">
        <f t="shared" ca="1" si="12"/>
        <v>0.12268908287893879</v>
      </c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</row>
    <row r="801" spans="8:50" x14ac:dyDescent="0.25"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7">
        <f t="shared" ca="1" si="12"/>
        <v>-8.9150617504686766E-2</v>
      </c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</row>
    <row r="802" spans="8:50" x14ac:dyDescent="0.25"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7">
        <f t="shared" ca="1" si="12"/>
        <v>8.384711767106337E-2</v>
      </c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</row>
    <row r="803" spans="8:50" x14ac:dyDescent="0.25"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7">
        <f t="shared" ca="1" si="12"/>
        <v>0.44779245311414601</v>
      </c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</row>
    <row r="804" spans="8:50" x14ac:dyDescent="0.25"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7">
        <f t="shared" ca="1" si="12"/>
        <v>5.8409899994876037E-2</v>
      </c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</row>
    <row r="805" spans="8:50" x14ac:dyDescent="0.25"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7">
        <f t="shared" ca="1" si="12"/>
        <v>0.14097668344860512</v>
      </c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</row>
    <row r="806" spans="8:50" x14ac:dyDescent="0.25"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7">
        <f t="shared" ca="1" si="12"/>
        <v>9.3218960079963178E-2</v>
      </c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</row>
    <row r="807" spans="8:50" x14ac:dyDescent="0.25"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7">
        <f t="shared" ca="1" si="12"/>
        <v>0.26665214073093452</v>
      </c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</row>
    <row r="808" spans="8:50" x14ac:dyDescent="0.25"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7">
        <f t="shared" ca="1" si="12"/>
        <v>0.2214856728713126</v>
      </c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</row>
    <row r="809" spans="8:50" x14ac:dyDescent="0.25"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7">
        <f t="shared" ca="1" si="12"/>
        <v>0.3831154043261209</v>
      </c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</row>
    <row r="810" spans="8:50" x14ac:dyDescent="0.25"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7">
        <f t="shared" ca="1" si="12"/>
        <v>-0.27096088852523909</v>
      </c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</row>
    <row r="811" spans="8:50" x14ac:dyDescent="0.25"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7">
        <f t="shared" ca="1" si="12"/>
        <v>9.0668484815080344E-2</v>
      </c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</row>
    <row r="812" spans="8:50" x14ac:dyDescent="0.25"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7">
        <f t="shared" ca="1" si="12"/>
        <v>0.33788378294174931</v>
      </c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</row>
    <row r="813" spans="8:50" x14ac:dyDescent="0.25"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7">
        <f t="shared" ca="1" si="12"/>
        <v>-0.22313859552399223</v>
      </c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</row>
    <row r="814" spans="8:50" x14ac:dyDescent="0.25"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7">
        <f t="shared" ca="1" si="12"/>
        <v>7.7429501022971123E-2</v>
      </c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</row>
    <row r="815" spans="8:50" x14ac:dyDescent="0.25"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7">
        <f t="shared" ca="1" si="12"/>
        <v>0.11117680750985988</v>
      </c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</row>
    <row r="816" spans="8:50" x14ac:dyDescent="0.25"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7">
        <f t="shared" ca="1" si="12"/>
        <v>5.9037857258657546E-2</v>
      </c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</row>
    <row r="817" spans="8:50" x14ac:dyDescent="0.25"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7">
        <f t="shared" ca="1" si="12"/>
        <v>0.19772892429853511</v>
      </c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</row>
    <row r="818" spans="8:50" x14ac:dyDescent="0.25"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7">
        <f t="shared" ca="1" si="12"/>
        <v>0.39375291945548768</v>
      </c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</row>
    <row r="819" spans="8:50" x14ac:dyDescent="0.25"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7">
        <f t="shared" ca="1" si="12"/>
        <v>-1.459974050735062E-2</v>
      </c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</row>
    <row r="820" spans="8:50" x14ac:dyDescent="0.25"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7">
        <f t="shared" ca="1" si="12"/>
        <v>0.16323130281142284</v>
      </c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</row>
    <row r="821" spans="8:50" x14ac:dyDescent="0.25"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7">
        <f t="shared" ca="1" si="12"/>
        <v>-0.16654379039546297</v>
      </c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</row>
    <row r="822" spans="8:50" x14ac:dyDescent="0.25"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7">
        <f t="shared" ca="1" si="12"/>
        <v>0.23141627270893877</v>
      </c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</row>
    <row r="823" spans="8:50" x14ac:dyDescent="0.25"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7">
        <f t="shared" ca="1" si="12"/>
        <v>-1.8401430527721543E-2</v>
      </c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</row>
    <row r="824" spans="8:50" x14ac:dyDescent="0.25"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7">
        <f t="shared" ca="1" si="12"/>
        <v>0.15526935143348466</v>
      </c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</row>
    <row r="825" spans="8:50" x14ac:dyDescent="0.25"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7">
        <f t="shared" ca="1" si="12"/>
        <v>6.1643139855154065E-2</v>
      </c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</row>
    <row r="826" spans="8:50" x14ac:dyDescent="0.25"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7">
        <f t="shared" ca="1" si="12"/>
        <v>9.823940330870605E-2</v>
      </c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</row>
    <row r="827" spans="8:50" x14ac:dyDescent="0.25"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7">
        <f t="shared" ca="1" si="12"/>
        <v>1.3536715835263599E-2</v>
      </c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</row>
    <row r="828" spans="8:50" x14ac:dyDescent="0.25"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7">
        <f t="shared" ca="1" si="12"/>
        <v>0.19386868061048851</v>
      </c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</row>
    <row r="829" spans="8:50" x14ac:dyDescent="0.25"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7">
        <f t="shared" ca="1" si="12"/>
        <v>-5.5501293347056627E-2</v>
      </c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</row>
    <row r="830" spans="8:50" x14ac:dyDescent="0.25"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7">
        <f t="shared" ca="1" si="12"/>
        <v>0.50698243994539294</v>
      </c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</row>
    <row r="831" spans="8:50" x14ac:dyDescent="0.25"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7">
        <f t="shared" ca="1" si="12"/>
        <v>0.11629711647497155</v>
      </c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</row>
    <row r="832" spans="8:50" x14ac:dyDescent="0.25"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7">
        <f t="shared" ca="1" si="12"/>
        <v>-6.4122074169019327E-4</v>
      </c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</row>
    <row r="833" spans="8:50" x14ac:dyDescent="0.25"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7">
        <f t="shared" ca="1" si="12"/>
        <v>2.3053400383949374E-2</v>
      </c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</row>
    <row r="834" spans="8:50" x14ac:dyDescent="0.25"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7">
        <f t="shared" ca="1" si="12"/>
        <v>0.49838112369515936</v>
      </c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</row>
    <row r="835" spans="8:50" x14ac:dyDescent="0.25"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7">
        <f t="shared" ca="1" si="12"/>
        <v>0.11398634212167173</v>
      </c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</row>
    <row r="836" spans="8:50" x14ac:dyDescent="0.25"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7">
        <f t="shared" ca="1" si="12"/>
        <v>-0.11875492158626418</v>
      </c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</row>
    <row r="837" spans="8:50" x14ac:dyDescent="0.25"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7">
        <f t="shared" ca="1" si="12"/>
        <v>6.3579133885407368E-2</v>
      </c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</row>
    <row r="838" spans="8:50" x14ac:dyDescent="0.25"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7">
        <f t="shared" ref="W838:W901" ca="1" si="13">+NORMINV(RAND(),$U$2,$U$3)</f>
        <v>0.1969535303158674</v>
      </c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</row>
    <row r="839" spans="8:50" x14ac:dyDescent="0.25"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7">
        <f t="shared" ca="1" si="13"/>
        <v>0.13346485520967752</v>
      </c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</row>
    <row r="840" spans="8:50" x14ac:dyDescent="0.25"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7">
        <f t="shared" ca="1" si="13"/>
        <v>0.10395353055453836</v>
      </c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</row>
    <row r="841" spans="8:50" x14ac:dyDescent="0.25"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7">
        <f t="shared" ca="1" si="13"/>
        <v>0.29557350649756658</v>
      </c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</row>
    <row r="842" spans="8:50" x14ac:dyDescent="0.25"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7">
        <f t="shared" ca="1" si="13"/>
        <v>0.30064687907308452</v>
      </c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</row>
    <row r="843" spans="8:50" x14ac:dyDescent="0.25"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7">
        <f t="shared" ca="1" si="13"/>
        <v>0.28679815511574092</v>
      </c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</row>
    <row r="844" spans="8:50" x14ac:dyDescent="0.25"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7">
        <f t="shared" ca="1" si="13"/>
        <v>-0.10048973011892019</v>
      </c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</row>
    <row r="845" spans="8:50" x14ac:dyDescent="0.25"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7">
        <f t="shared" ca="1" si="13"/>
        <v>-0.36974349065707168</v>
      </c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</row>
    <row r="846" spans="8:50" x14ac:dyDescent="0.25"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7">
        <f t="shared" ca="1" si="13"/>
        <v>0.21293007036309297</v>
      </c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</row>
    <row r="847" spans="8:50" x14ac:dyDescent="0.25"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7">
        <f t="shared" ca="1" si="13"/>
        <v>0.40752544985039357</v>
      </c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</row>
    <row r="848" spans="8:50" x14ac:dyDescent="0.25"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7">
        <f t="shared" ca="1" si="13"/>
        <v>-2.4001914290906409E-2</v>
      </c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</row>
    <row r="849" spans="8:50" x14ac:dyDescent="0.25"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7">
        <f t="shared" ca="1" si="13"/>
        <v>0.11557161681496092</v>
      </c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</row>
    <row r="850" spans="8:50" x14ac:dyDescent="0.25"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7">
        <f t="shared" ca="1" si="13"/>
        <v>9.2590258941500692E-2</v>
      </c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</row>
    <row r="851" spans="8:50" x14ac:dyDescent="0.25"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7">
        <f t="shared" ca="1" si="13"/>
        <v>0.19437991130050164</v>
      </c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</row>
    <row r="852" spans="8:50" x14ac:dyDescent="0.25"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7">
        <f t="shared" ca="1" si="13"/>
        <v>-4.2724288899298954E-2</v>
      </c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</row>
    <row r="853" spans="8:50" x14ac:dyDescent="0.25"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7">
        <f t="shared" ca="1" si="13"/>
        <v>-4.7033234688711276E-2</v>
      </c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</row>
    <row r="854" spans="8:50" x14ac:dyDescent="0.25"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7">
        <f t="shared" ca="1" si="13"/>
        <v>0.16625123071649756</v>
      </c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</row>
    <row r="855" spans="8:50" x14ac:dyDescent="0.25"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7">
        <f t="shared" ca="1" si="13"/>
        <v>7.3163368643574339E-2</v>
      </c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</row>
    <row r="856" spans="8:50" x14ac:dyDescent="0.25"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7">
        <f t="shared" ca="1" si="13"/>
        <v>0.31003319533491192</v>
      </c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</row>
    <row r="857" spans="8:50" x14ac:dyDescent="0.25"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7">
        <f t="shared" ca="1" si="13"/>
        <v>-7.7043272406972022E-2</v>
      </c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</row>
    <row r="858" spans="8:50" x14ac:dyDescent="0.25"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7">
        <f t="shared" ca="1" si="13"/>
        <v>0.12003659109538771</v>
      </c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</row>
    <row r="859" spans="8:50" x14ac:dyDescent="0.25"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7">
        <f t="shared" ca="1" si="13"/>
        <v>0.12063797054994914</v>
      </c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</row>
    <row r="860" spans="8:50" x14ac:dyDescent="0.25"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7">
        <f t="shared" ca="1" si="13"/>
        <v>7.8812947236178849E-3</v>
      </c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</row>
    <row r="861" spans="8:50" x14ac:dyDescent="0.25"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7">
        <f t="shared" ca="1" si="13"/>
        <v>6.8816790954186802E-2</v>
      </c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</row>
    <row r="862" spans="8:50" x14ac:dyDescent="0.25"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7">
        <f t="shared" ca="1" si="13"/>
        <v>0.15158924298966248</v>
      </c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</row>
    <row r="863" spans="8:50" x14ac:dyDescent="0.25"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7">
        <f t="shared" ca="1" si="13"/>
        <v>2.3931768262056285E-2</v>
      </c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</row>
    <row r="864" spans="8:50" x14ac:dyDescent="0.25"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7">
        <f t="shared" ca="1" si="13"/>
        <v>-8.1101108056713944E-3</v>
      </c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</row>
    <row r="865" spans="8:50" x14ac:dyDescent="0.25"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7">
        <f t="shared" ca="1" si="13"/>
        <v>0.32224907831067778</v>
      </c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</row>
    <row r="866" spans="8:50" x14ac:dyDescent="0.25"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7">
        <f t="shared" ca="1" si="13"/>
        <v>0.17570704642556845</v>
      </c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</row>
    <row r="867" spans="8:50" x14ac:dyDescent="0.25"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7">
        <f t="shared" ca="1" si="13"/>
        <v>-6.0697239651270565E-2</v>
      </c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</row>
    <row r="868" spans="8:50" x14ac:dyDescent="0.25"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7">
        <f t="shared" ca="1" si="13"/>
        <v>0.3065914665757703</v>
      </c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</row>
    <row r="869" spans="8:50" x14ac:dyDescent="0.25"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7">
        <f t="shared" ca="1" si="13"/>
        <v>0.54387370558347226</v>
      </c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</row>
    <row r="870" spans="8:50" x14ac:dyDescent="0.25"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7">
        <f t="shared" ca="1" si="13"/>
        <v>1.5690859789736875E-2</v>
      </c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</row>
    <row r="871" spans="8:50" x14ac:dyDescent="0.25"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7">
        <f t="shared" ca="1" si="13"/>
        <v>2.6579751186613751E-2</v>
      </c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</row>
    <row r="872" spans="8:50" x14ac:dyDescent="0.25"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7">
        <f t="shared" ca="1" si="13"/>
        <v>-0.22384640751598156</v>
      </c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</row>
    <row r="873" spans="8:50" x14ac:dyDescent="0.25"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7">
        <f t="shared" ca="1" si="13"/>
        <v>-0.30661043708703223</v>
      </c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</row>
    <row r="874" spans="8:50" x14ac:dyDescent="0.25"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7">
        <f t="shared" ca="1" si="13"/>
        <v>0.41878047220166748</v>
      </c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</row>
    <row r="875" spans="8:50" x14ac:dyDescent="0.25"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7">
        <f t="shared" ca="1" si="13"/>
        <v>-7.1446192953637258E-2</v>
      </c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</row>
    <row r="876" spans="8:50" x14ac:dyDescent="0.25"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7">
        <f t="shared" ca="1" si="13"/>
        <v>0.1671313488345752</v>
      </c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</row>
    <row r="877" spans="8:50" x14ac:dyDescent="0.25"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7">
        <f t="shared" ca="1" si="13"/>
        <v>-0.19960870746595261</v>
      </c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</row>
    <row r="878" spans="8:50" x14ac:dyDescent="0.25"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7">
        <f t="shared" ca="1" si="13"/>
        <v>3.2322688371613881E-2</v>
      </c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</row>
    <row r="879" spans="8:50" x14ac:dyDescent="0.25"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7">
        <f t="shared" ca="1" si="13"/>
        <v>0.38957562139468105</v>
      </c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</row>
    <row r="880" spans="8:50" x14ac:dyDescent="0.25"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7">
        <f t="shared" ca="1" si="13"/>
        <v>0.10545042389272542</v>
      </c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</row>
    <row r="881" spans="8:50" x14ac:dyDescent="0.25"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7">
        <f t="shared" ca="1" si="13"/>
        <v>0.14378127796165968</v>
      </c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</row>
    <row r="882" spans="8:50" x14ac:dyDescent="0.25"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7">
        <f t="shared" ca="1" si="13"/>
        <v>-4.6117889531207448E-2</v>
      </c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</row>
    <row r="883" spans="8:50" x14ac:dyDescent="0.25"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7">
        <f t="shared" ca="1" si="13"/>
        <v>0.31689647285153877</v>
      </c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</row>
    <row r="884" spans="8:50" x14ac:dyDescent="0.25"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7">
        <f t="shared" ca="1" si="13"/>
        <v>0.15730020050116844</v>
      </c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</row>
    <row r="885" spans="8:50" x14ac:dyDescent="0.25"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7">
        <f t="shared" ca="1" si="13"/>
        <v>0.22600667621268306</v>
      </c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</row>
    <row r="886" spans="8:50" x14ac:dyDescent="0.25"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7">
        <f t="shared" ca="1" si="13"/>
        <v>7.2380354453721818E-2</v>
      </c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</row>
    <row r="887" spans="8:50" x14ac:dyDescent="0.25"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7">
        <f t="shared" ca="1" si="13"/>
        <v>7.2758423160038777E-2</v>
      </c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</row>
    <row r="888" spans="8:50" x14ac:dyDescent="0.25"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7">
        <f t="shared" ca="1" si="13"/>
        <v>0.18838862418743033</v>
      </c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</row>
    <row r="889" spans="8:50" x14ac:dyDescent="0.25"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7">
        <f t="shared" ca="1" si="13"/>
        <v>-5.1784899811958926E-2</v>
      </c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</row>
    <row r="890" spans="8:50" x14ac:dyDescent="0.25"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7">
        <f t="shared" ca="1" si="13"/>
        <v>2.584562117943906E-2</v>
      </c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</row>
    <row r="891" spans="8:50" x14ac:dyDescent="0.25"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7">
        <f t="shared" ca="1" si="13"/>
        <v>0.1643936389677054</v>
      </c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</row>
    <row r="892" spans="8:50" x14ac:dyDescent="0.25"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7">
        <f t="shared" ca="1" si="13"/>
        <v>-6.4610315127733853E-3</v>
      </c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</row>
    <row r="893" spans="8:50" x14ac:dyDescent="0.25"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7">
        <f t="shared" ca="1" si="13"/>
        <v>-0.26288795548895888</v>
      </c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</row>
    <row r="894" spans="8:50" x14ac:dyDescent="0.25"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7">
        <f t="shared" ca="1" si="13"/>
        <v>1.5919877033451352E-3</v>
      </c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</row>
    <row r="895" spans="8:50" x14ac:dyDescent="0.25"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7">
        <f t="shared" ca="1" si="13"/>
        <v>-3.7707855172082125E-2</v>
      </c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</row>
    <row r="896" spans="8:50" x14ac:dyDescent="0.25"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7">
        <f t="shared" ca="1" si="13"/>
        <v>-0.13113325796470887</v>
      </c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</row>
    <row r="897" spans="8:50" x14ac:dyDescent="0.25"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7">
        <f t="shared" ca="1" si="13"/>
        <v>-0.14338716504283389</v>
      </c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</row>
    <row r="898" spans="8:50" x14ac:dyDescent="0.25"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7">
        <f t="shared" ca="1" si="13"/>
        <v>0.20658823291354605</v>
      </c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</row>
    <row r="899" spans="8:50" x14ac:dyDescent="0.25"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7">
        <f t="shared" ca="1" si="13"/>
        <v>0.14173340766305761</v>
      </c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</row>
    <row r="900" spans="8:50" x14ac:dyDescent="0.25"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7">
        <f t="shared" ca="1" si="13"/>
        <v>0.38975772111973095</v>
      </c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</row>
    <row r="901" spans="8:50" x14ac:dyDescent="0.25"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7">
        <f t="shared" ca="1" si="13"/>
        <v>0.1809249417363375</v>
      </c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</row>
    <row r="902" spans="8:50" x14ac:dyDescent="0.25"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7">
        <f t="shared" ref="W902:W965" ca="1" si="14">+NORMINV(RAND(),$U$2,$U$3)</f>
        <v>0.15308169651509856</v>
      </c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</row>
    <row r="903" spans="8:50" x14ac:dyDescent="0.25"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7">
        <f t="shared" ca="1" si="14"/>
        <v>7.1524578713485942E-2</v>
      </c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</row>
    <row r="904" spans="8:50" x14ac:dyDescent="0.25"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7">
        <f t="shared" ca="1" si="14"/>
        <v>0.33872657698405384</v>
      </c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</row>
    <row r="905" spans="8:50" x14ac:dyDescent="0.25"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7">
        <f t="shared" ca="1" si="14"/>
        <v>0.18439284901159597</v>
      </c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</row>
    <row r="906" spans="8:50" x14ac:dyDescent="0.25"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7">
        <f t="shared" ca="1" si="14"/>
        <v>0.41404078665719485</v>
      </c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</row>
    <row r="907" spans="8:50" x14ac:dyDescent="0.25"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7">
        <f t="shared" ca="1" si="14"/>
        <v>0.25281954195490314</v>
      </c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</row>
    <row r="908" spans="8:50" x14ac:dyDescent="0.25"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7">
        <f t="shared" ca="1" si="14"/>
        <v>0.40078782582549433</v>
      </c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</row>
    <row r="909" spans="8:50" x14ac:dyDescent="0.25"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7">
        <f t="shared" ca="1" si="14"/>
        <v>0.17553659701403707</v>
      </c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</row>
    <row r="910" spans="8:50" x14ac:dyDescent="0.25"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7">
        <f t="shared" ca="1" si="14"/>
        <v>-0.36860579290908446</v>
      </c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</row>
    <row r="911" spans="8:50" x14ac:dyDescent="0.25"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7">
        <f t="shared" ca="1" si="14"/>
        <v>0.29967966261901097</v>
      </c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</row>
    <row r="912" spans="8:50" x14ac:dyDescent="0.25"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7">
        <f t="shared" ca="1" si="14"/>
        <v>0.25381002095683119</v>
      </c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</row>
    <row r="913" spans="8:50" x14ac:dyDescent="0.25"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7">
        <f t="shared" ca="1" si="14"/>
        <v>4.285061804568599E-2</v>
      </c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</row>
    <row r="914" spans="8:50" x14ac:dyDescent="0.25"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7">
        <f t="shared" ca="1" si="14"/>
        <v>0.10508379006676796</v>
      </c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</row>
    <row r="915" spans="8:50" x14ac:dyDescent="0.25"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7">
        <f t="shared" ca="1" si="14"/>
        <v>0.32140789177658963</v>
      </c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</row>
    <row r="916" spans="8:50" x14ac:dyDescent="0.25"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7">
        <f t="shared" ca="1" si="14"/>
        <v>0.2679615318329539</v>
      </c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</row>
    <row r="917" spans="8:50" x14ac:dyDescent="0.25"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7">
        <f t="shared" ca="1" si="14"/>
        <v>0.19481597804778941</v>
      </c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</row>
    <row r="918" spans="8:50" x14ac:dyDescent="0.25"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7">
        <f t="shared" ca="1" si="14"/>
        <v>0.37813451159718203</v>
      </c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</row>
    <row r="919" spans="8:50" x14ac:dyDescent="0.25"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7">
        <f t="shared" ca="1" si="14"/>
        <v>7.4291758126802582E-2</v>
      </c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</row>
    <row r="920" spans="8:50" x14ac:dyDescent="0.25"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7">
        <f t="shared" ca="1" si="14"/>
        <v>-0.15990888238727363</v>
      </c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</row>
    <row r="921" spans="8:50" x14ac:dyDescent="0.25"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7">
        <f t="shared" ca="1" si="14"/>
        <v>-5.0674858324621472E-2</v>
      </c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</row>
    <row r="922" spans="8:50" x14ac:dyDescent="0.25"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7">
        <f t="shared" ca="1" si="14"/>
        <v>0.23307117032616514</v>
      </c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</row>
    <row r="923" spans="8:50" x14ac:dyDescent="0.25"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7">
        <f t="shared" ca="1" si="14"/>
        <v>9.492801858434749E-3</v>
      </c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</row>
    <row r="924" spans="8:50" x14ac:dyDescent="0.25"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7">
        <f t="shared" ca="1" si="14"/>
        <v>0.12523493327877869</v>
      </c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</row>
    <row r="925" spans="8:50" x14ac:dyDescent="0.25"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7">
        <f t="shared" ca="1" si="14"/>
        <v>-3.045948486467169E-2</v>
      </c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</row>
    <row r="926" spans="8:50" x14ac:dyDescent="0.25"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7">
        <f t="shared" ca="1" si="14"/>
        <v>-9.6368906688295272E-2</v>
      </c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</row>
    <row r="927" spans="8:50" x14ac:dyDescent="0.25"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7">
        <f t="shared" ca="1" si="14"/>
        <v>0.25992787443893473</v>
      </c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</row>
    <row r="928" spans="8:50" x14ac:dyDescent="0.25"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7">
        <f t="shared" ca="1" si="14"/>
        <v>-2.8191351809268156E-3</v>
      </c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</row>
    <row r="929" spans="8:50" x14ac:dyDescent="0.25"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7">
        <f t="shared" ca="1" si="14"/>
        <v>-0.10757768080507786</v>
      </c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</row>
    <row r="930" spans="8:50" x14ac:dyDescent="0.25"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7">
        <f t="shared" ca="1" si="14"/>
        <v>-5.4146635217077507E-2</v>
      </c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</row>
    <row r="931" spans="8:50" x14ac:dyDescent="0.25"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7">
        <f t="shared" ca="1" si="14"/>
        <v>0.10247911096262161</v>
      </c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</row>
    <row r="932" spans="8:50" x14ac:dyDescent="0.25"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7">
        <f t="shared" ca="1" si="14"/>
        <v>0.59525290512791507</v>
      </c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</row>
    <row r="933" spans="8:50" x14ac:dyDescent="0.25"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7">
        <f t="shared" ca="1" si="14"/>
        <v>4.2317300160032947E-2</v>
      </c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</row>
    <row r="934" spans="8:50" x14ac:dyDescent="0.25"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7">
        <f t="shared" ca="1" si="14"/>
        <v>9.1250109091165627E-2</v>
      </c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</row>
    <row r="935" spans="8:50" x14ac:dyDescent="0.25"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7">
        <f t="shared" ca="1" si="14"/>
        <v>-0.35323002515760465</v>
      </c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</row>
    <row r="936" spans="8:50" x14ac:dyDescent="0.25"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7">
        <f t="shared" ca="1" si="14"/>
        <v>0.20340996150727497</v>
      </c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</row>
    <row r="937" spans="8:50" x14ac:dyDescent="0.25"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7">
        <f t="shared" ca="1" si="14"/>
        <v>8.1561366286771644E-2</v>
      </c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</row>
    <row r="938" spans="8:50" x14ac:dyDescent="0.25"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7">
        <f t="shared" ca="1" si="14"/>
        <v>0.31053564030412345</v>
      </c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</row>
    <row r="939" spans="8:50" x14ac:dyDescent="0.25"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7">
        <f t="shared" ca="1" si="14"/>
        <v>0.41052963642779278</v>
      </c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</row>
    <row r="940" spans="8:50" x14ac:dyDescent="0.25"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7">
        <f t="shared" ca="1" si="14"/>
        <v>8.9043633999743091E-2</v>
      </c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</row>
    <row r="941" spans="8:50" x14ac:dyDescent="0.25"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7">
        <f t="shared" ca="1" si="14"/>
        <v>0.12276287881167722</v>
      </c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</row>
    <row r="942" spans="8:50" x14ac:dyDescent="0.25"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7">
        <f t="shared" ca="1" si="14"/>
        <v>0.24692736795976261</v>
      </c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</row>
    <row r="943" spans="8:50" x14ac:dyDescent="0.25"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7">
        <f t="shared" ca="1" si="14"/>
        <v>4.0889742028901693E-2</v>
      </c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</row>
    <row r="944" spans="8:50" x14ac:dyDescent="0.25"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7">
        <f t="shared" ca="1" si="14"/>
        <v>0.21457086224981861</v>
      </c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</row>
    <row r="945" spans="8:50" x14ac:dyDescent="0.25"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7">
        <f t="shared" ca="1" si="14"/>
        <v>-0.16750455062106734</v>
      </c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</row>
    <row r="946" spans="8:50" x14ac:dyDescent="0.25"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7">
        <f t="shared" ca="1" si="14"/>
        <v>9.6324089966468601E-2</v>
      </c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</row>
    <row r="947" spans="8:50" x14ac:dyDescent="0.25"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7">
        <f t="shared" ca="1" si="14"/>
        <v>0.17868328995539773</v>
      </c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</row>
    <row r="948" spans="8:50" x14ac:dyDescent="0.25"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7">
        <f t="shared" ca="1" si="14"/>
        <v>0.30067119236697637</v>
      </c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</row>
    <row r="949" spans="8:50" x14ac:dyDescent="0.25"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7">
        <f t="shared" ca="1" si="14"/>
        <v>-5.6859531464834592E-2</v>
      </c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</row>
    <row r="950" spans="8:50" x14ac:dyDescent="0.25"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7">
        <f t="shared" ca="1" si="14"/>
        <v>0.39968981594020525</v>
      </c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</row>
    <row r="951" spans="8:50" x14ac:dyDescent="0.25"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7">
        <f t="shared" ca="1" si="14"/>
        <v>0.24494526463802069</v>
      </c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</row>
    <row r="952" spans="8:50" x14ac:dyDescent="0.25"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7">
        <f t="shared" ca="1" si="14"/>
        <v>0.12394220368392064</v>
      </c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</row>
    <row r="953" spans="8:50" x14ac:dyDescent="0.25"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7">
        <f t="shared" ca="1" si="14"/>
        <v>-3.7591200503254582E-2</v>
      </c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</row>
    <row r="954" spans="8:50" x14ac:dyDescent="0.25"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7">
        <f t="shared" ca="1" si="14"/>
        <v>-3.648083675092785E-2</v>
      </c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</row>
    <row r="955" spans="8:50" x14ac:dyDescent="0.25"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7">
        <f t="shared" ca="1" si="14"/>
        <v>0.20325931056791721</v>
      </c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</row>
    <row r="956" spans="8:50" x14ac:dyDescent="0.25"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7">
        <f t="shared" ca="1" si="14"/>
        <v>-0.40548332705130241</v>
      </c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</row>
    <row r="957" spans="8:50" x14ac:dyDescent="0.25"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7">
        <f t="shared" ca="1" si="14"/>
        <v>-8.7705801286392937E-3</v>
      </c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</row>
    <row r="958" spans="8:50" x14ac:dyDescent="0.25"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7">
        <f t="shared" ca="1" si="14"/>
        <v>0.2258302095227023</v>
      </c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</row>
    <row r="959" spans="8:50" x14ac:dyDescent="0.25"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7">
        <f t="shared" ca="1" si="14"/>
        <v>-0.12713790159632449</v>
      </c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</row>
    <row r="960" spans="8:50" x14ac:dyDescent="0.25"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7">
        <f t="shared" ca="1" si="14"/>
        <v>-0.14527951541944117</v>
      </c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</row>
    <row r="961" spans="8:50" x14ac:dyDescent="0.25"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7">
        <f t="shared" ca="1" si="14"/>
        <v>0.2413473518951606</v>
      </c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</row>
    <row r="962" spans="8:50" x14ac:dyDescent="0.25"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7">
        <f t="shared" ca="1" si="14"/>
        <v>-3.089669395976509E-2</v>
      </c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</row>
    <row r="963" spans="8:50" x14ac:dyDescent="0.25"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7">
        <f t="shared" ca="1" si="14"/>
        <v>-0.23393826200565043</v>
      </c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</row>
    <row r="964" spans="8:50" x14ac:dyDescent="0.25"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7">
        <f t="shared" ca="1" si="14"/>
        <v>0.50169360383791972</v>
      </c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</row>
    <row r="965" spans="8:50" x14ac:dyDescent="0.25"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7">
        <f t="shared" ca="1" si="14"/>
        <v>-0.24089564889139897</v>
      </c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</row>
    <row r="966" spans="8:50" x14ac:dyDescent="0.25"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7">
        <f t="shared" ref="W966:W1029" ca="1" si="15">+NORMINV(RAND(),$U$2,$U$3)</f>
        <v>-0.34235619879790663</v>
      </c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</row>
    <row r="967" spans="8:50" x14ac:dyDescent="0.25"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7">
        <f t="shared" ca="1" si="15"/>
        <v>0.15731988651253276</v>
      </c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</row>
    <row r="968" spans="8:50" x14ac:dyDescent="0.25"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7">
        <f t="shared" ca="1" si="15"/>
        <v>2.570749204408071E-3</v>
      </c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</row>
    <row r="969" spans="8:50" x14ac:dyDescent="0.25"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7">
        <f t="shared" ca="1" si="15"/>
        <v>0.11661178693701274</v>
      </c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</row>
    <row r="970" spans="8:50" x14ac:dyDescent="0.25"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7">
        <f t="shared" ca="1" si="15"/>
        <v>0.44660047968354127</v>
      </c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</row>
    <row r="971" spans="8:50" x14ac:dyDescent="0.25"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7">
        <f t="shared" ca="1" si="15"/>
        <v>-2.7930420252297319E-2</v>
      </c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</row>
    <row r="972" spans="8:50" x14ac:dyDescent="0.25"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7">
        <f t="shared" ca="1" si="15"/>
        <v>-0.18309543284867924</v>
      </c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</row>
    <row r="973" spans="8:50" x14ac:dyDescent="0.25"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7">
        <f t="shared" ca="1" si="15"/>
        <v>7.4610356366678371E-2</v>
      </c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</row>
    <row r="974" spans="8:50" x14ac:dyDescent="0.25"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7">
        <f t="shared" ca="1" si="15"/>
        <v>0.13278600343296842</v>
      </c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</row>
    <row r="975" spans="8:50" x14ac:dyDescent="0.25"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7">
        <f t="shared" ca="1" si="15"/>
        <v>6.0417636933098463E-2</v>
      </c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</row>
    <row r="976" spans="8:50" x14ac:dyDescent="0.25"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7">
        <f t="shared" ca="1" si="15"/>
        <v>-0.31829056187752347</v>
      </c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</row>
    <row r="977" spans="8:50" x14ac:dyDescent="0.25"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7">
        <f t="shared" ca="1" si="15"/>
        <v>0.18323832979272309</v>
      </c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</row>
    <row r="978" spans="8:50" x14ac:dyDescent="0.25"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7">
        <f t="shared" ca="1" si="15"/>
        <v>-0.21288570606192148</v>
      </c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</row>
    <row r="979" spans="8:50" x14ac:dyDescent="0.25"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7">
        <f t="shared" ca="1" si="15"/>
        <v>6.1177907322467445E-2</v>
      </c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</row>
    <row r="980" spans="8:50" x14ac:dyDescent="0.25"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7">
        <f t="shared" ca="1" si="15"/>
        <v>0.27953375745451398</v>
      </c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</row>
    <row r="981" spans="8:50" x14ac:dyDescent="0.25"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7">
        <f t="shared" ca="1" si="15"/>
        <v>0.37726956214857255</v>
      </c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</row>
    <row r="982" spans="8:50" x14ac:dyDescent="0.25"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7">
        <f t="shared" ca="1" si="15"/>
        <v>7.0380867005429643E-2</v>
      </c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</row>
    <row r="983" spans="8:50" x14ac:dyDescent="0.25"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7">
        <f t="shared" ca="1" si="15"/>
        <v>-0.21499195173377195</v>
      </c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</row>
    <row r="984" spans="8:50" x14ac:dyDescent="0.25"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7">
        <f t="shared" ca="1" si="15"/>
        <v>7.5883598605381214E-2</v>
      </c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</row>
    <row r="985" spans="8:50" x14ac:dyDescent="0.25"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7">
        <f t="shared" ca="1" si="15"/>
        <v>0.35333368350546956</v>
      </c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</row>
    <row r="986" spans="8:50" x14ac:dyDescent="0.25"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7">
        <f t="shared" ca="1" si="15"/>
        <v>4.4990068205809586E-2</v>
      </c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</row>
    <row r="987" spans="8:50" x14ac:dyDescent="0.25"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7">
        <f t="shared" ca="1" si="15"/>
        <v>0.30295269697141441</v>
      </c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</row>
    <row r="988" spans="8:50" x14ac:dyDescent="0.25"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7">
        <f t="shared" ca="1" si="15"/>
        <v>0.3016018761599818</v>
      </c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</row>
    <row r="989" spans="8:50" x14ac:dyDescent="0.25"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7">
        <f t="shared" ca="1" si="15"/>
        <v>4.075491488056554E-2</v>
      </c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</row>
    <row r="990" spans="8:50" x14ac:dyDescent="0.25"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7">
        <f t="shared" ca="1" si="15"/>
        <v>0.20081834004096519</v>
      </c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</row>
    <row r="991" spans="8:50" x14ac:dyDescent="0.25"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7">
        <f t="shared" ca="1" si="15"/>
        <v>-3.2397711600340162E-3</v>
      </c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</row>
    <row r="992" spans="8:50" x14ac:dyDescent="0.25"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7">
        <f t="shared" ca="1" si="15"/>
        <v>0.43693883311840781</v>
      </c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</row>
    <row r="993" spans="8:50" x14ac:dyDescent="0.25"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7">
        <f t="shared" ca="1" si="15"/>
        <v>6.7699171013779549E-2</v>
      </c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</row>
    <row r="994" spans="8:50" x14ac:dyDescent="0.25"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7">
        <f t="shared" ca="1" si="15"/>
        <v>0.13972111360863995</v>
      </c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</row>
    <row r="995" spans="8:50" x14ac:dyDescent="0.25"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7">
        <f t="shared" ca="1" si="15"/>
        <v>0.21028330342661389</v>
      </c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</row>
    <row r="996" spans="8:50" x14ac:dyDescent="0.25"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7">
        <f t="shared" ca="1" si="15"/>
        <v>-7.3796439364619867E-2</v>
      </c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</row>
    <row r="997" spans="8:50" x14ac:dyDescent="0.25"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7">
        <f t="shared" ca="1" si="15"/>
        <v>0.38275440494430013</v>
      </c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</row>
    <row r="998" spans="8:50" x14ac:dyDescent="0.25"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7">
        <f t="shared" ca="1" si="15"/>
        <v>-3.6686594004405451E-2</v>
      </c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</row>
    <row r="999" spans="8:50" x14ac:dyDescent="0.25"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7">
        <f t="shared" ca="1" si="15"/>
        <v>0.14885824188060623</v>
      </c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</row>
    <row r="1000" spans="8:50" x14ac:dyDescent="0.25"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7">
        <f t="shared" ca="1" si="15"/>
        <v>0.11152561478918253</v>
      </c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</row>
    <row r="1001" spans="8:50" x14ac:dyDescent="0.25"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7">
        <f t="shared" ca="1" si="15"/>
        <v>-2.8169060140613392E-2</v>
      </c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</row>
    <row r="1002" spans="8:50" x14ac:dyDescent="0.25"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7">
        <f t="shared" ca="1" si="15"/>
        <v>9.9976879638128763E-2</v>
      </c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</row>
    <row r="1003" spans="8:50" x14ac:dyDescent="0.25"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7">
        <f t="shared" ca="1" si="15"/>
        <v>0.21762986505031484</v>
      </c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</row>
    <row r="1004" spans="8:50" x14ac:dyDescent="0.25"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7">
        <f t="shared" ca="1" si="15"/>
        <v>0.10461323729453947</v>
      </c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</row>
    <row r="1005" spans="8:50" x14ac:dyDescent="0.25"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7">
        <f t="shared" ca="1" si="15"/>
        <v>-8.6407244248459344E-2</v>
      </c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</row>
    <row r="1006" spans="8:50" x14ac:dyDescent="0.25"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7">
        <f t="shared" ca="1" si="15"/>
        <v>0.11256220636318912</v>
      </c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</row>
    <row r="1007" spans="8:50" x14ac:dyDescent="0.25"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7">
        <f t="shared" ca="1" si="15"/>
        <v>0.11524705989758961</v>
      </c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</row>
    <row r="1008" spans="8:50" x14ac:dyDescent="0.25"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7">
        <f t="shared" ca="1" si="15"/>
        <v>0.2643796738611599</v>
      </c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</row>
    <row r="1009" spans="8:50" x14ac:dyDescent="0.25"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7">
        <f t="shared" ca="1" si="15"/>
        <v>0.36022740589581626</v>
      </c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</row>
    <row r="1010" spans="8:50" x14ac:dyDescent="0.25"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7">
        <f t="shared" ca="1" si="15"/>
        <v>-7.7932464605307963E-2</v>
      </c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</row>
    <row r="1011" spans="8:50" x14ac:dyDescent="0.25"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7">
        <f t="shared" ca="1" si="15"/>
        <v>0.35866613960207389</v>
      </c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</row>
    <row r="1012" spans="8:50" x14ac:dyDescent="0.25"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7">
        <f t="shared" ca="1" si="15"/>
        <v>0.36327198851072384</v>
      </c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</row>
    <row r="1013" spans="8:50" x14ac:dyDescent="0.25"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7">
        <f t="shared" ca="1" si="15"/>
        <v>0.19814673568437022</v>
      </c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</row>
    <row r="1014" spans="8:50" x14ac:dyDescent="0.25"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7">
        <f t="shared" ca="1" si="15"/>
        <v>8.9738141789028003E-2</v>
      </c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</row>
    <row r="1015" spans="8:50" x14ac:dyDescent="0.25"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7">
        <f t="shared" ca="1" si="15"/>
        <v>-0.20002148420909238</v>
      </c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</row>
    <row r="1016" spans="8:50" x14ac:dyDescent="0.25"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7">
        <f t="shared" ca="1" si="15"/>
        <v>3.6356370623491091E-2</v>
      </c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</row>
    <row r="1017" spans="8:50" x14ac:dyDescent="0.25"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7">
        <f t="shared" ca="1" si="15"/>
        <v>0.34972123904843533</v>
      </c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</row>
    <row r="1018" spans="8:50" x14ac:dyDescent="0.25"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7">
        <f t="shared" ca="1" si="15"/>
        <v>0.12252590195489432</v>
      </c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</row>
    <row r="1019" spans="8:50" x14ac:dyDescent="0.25"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7">
        <f t="shared" ca="1" si="15"/>
        <v>0.29302043266778161</v>
      </c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</row>
    <row r="1020" spans="8:50" x14ac:dyDescent="0.25"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7">
        <f t="shared" ca="1" si="15"/>
        <v>0.3818883402319363</v>
      </c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</row>
    <row r="1021" spans="8:50" x14ac:dyDescent="0.25"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7">
        <f t="shared" ca="1" si="15"/>
        <v>-1.6605403182825731E-2</v>
      </c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</row>
    <row r="1022" spans="8:50" x14ac:dyDescent="0.25"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7">
        <f t="shared" ca="1" si="15"/>
        <v>8.8733961742895426E-2</v>
      </c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</row>
    <row r="1023" spans="8:50" x14ac:dyDescent="0.25"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7">
        <f t="shared" ca="1" si="15"/>
        <v>0.1656745735222632</v>
      </c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</row>
    <row r="1024" spans="8:50" x14ac:dyDescent="0.25"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7">
        <f t="shared" ca="1" si="15"/>
        <v>0.50893103729364353</v>
      </c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</row>
    <row r="1025" spans="8:50" x14ac:dyDescent="0.25"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7">
        <f t="shared" ca="1" si="15"/>
        <v>9.6426529397569724E-2</v>
      </c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</row>
    <row r="1026" spans="8:50" x14ac:dyDescent="0.25"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7">
        <f t="shared" ca="1" si="15"/>
        <v>1.7599906400336873E-2</v>
      </c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</row>
    <row r="1027" spans="8:50" x14ac:dyDescent="0.25"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7">
        <f t="shared" ca="1" si="15"/>
        <v>9.0205404238196299E-2</v>
      </c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</row>
    <row r="1028" spans="8:50" x14ac:dyDescent="0.25"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7">
        <f t="shared" ca="1" si="15"/>
        <v>0.14768824248755733</v>
      </c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</row>
    <row r="1029" spans="8:50" x14ac:dyDescent="0.25"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7">
        <f t="shared" ca="1" si="15"/>
        <v>-0.12046747780960355</v>
      </c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</row>
    <row r="1030" spans="8:50" x14ac:dyDescent="0.25"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7">
        <f t="shared" ref="W1030:W1093" ca="1" si="16">+NORMINV(RAND(),$U$2,$U$3)</f>
        <v>-0.14124406317538063</v>
      </c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</row>
    <row r="1031" spans="8:50" x14ac:dyDescent="0.25"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7">
        <f t="shared" ca="1" si="16"/>
        <v>4.6921143148246081E-3</v>
      </c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</row>
    <row r="1032" spans="8:50" x14ac:dyDescent="0.25"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7">
        <f t="shared" ca="1" si="16"/>
        <v>7.6175739301896667E-2</v>
      </c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</row>
    <row r="1033" spans="8:50" x14ac:dyDescent="0.25"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7">
        <f t="shared" ca="1" si="16"/>
        <v>-7.8428188976700078E-2</v>
      </c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</row>
    <row r="1034" spans="8:50" x14ac:dyDescent="0.25"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7">
        <f t="shared" ca="1" si="16"/>
        <v>1.6487041233818708E-2</v>
      </c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</row>
    <row r="1035" spans="8:50" x14ac:dyDescent="0.25"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7">
        <f t="shared" ca="1" si="16"/>
        <v>-9.7744234464966231E-2</v>
      </c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</row>
    <row r="1036" spans="8:50" x14ac:dyDescent="0.25"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7">
        <f t="shared" ca="1" si="16"/>
        <v>-9.3916909101067911E-2</v>
      </c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</row>
    <row r="1037" spans="8:50" x14ac:dyDescent="0.25"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7">
        <f t="shared" ca="1" si="16"/>
        <v>8.4288412011534197E-2</v>
      </c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</row>
    <row r="1038" spans="8:50" x14ac:dyDescent="0.25"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7">
        <f t="shared" ca="1" si="16"/>
        <v>3.7973184058025605E-2</v>
      </c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</row>
    <row r="1039" spans="8:50" x14ac:dyDescent="0.25"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7">
        <f t="shared" ca="1" si="16"/>
        <v>-3.5484951330446574E-3</v>
      </c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</row>
    <row r="1040" spans="8:50" x14ac:dyDescent="0.25"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7">
        <f t="shared" ca="1" si="16"/>
        <v>0.22340858514073786</v>
      </c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</row>
    <row r="1041" spans="8:50" x14ac:dyDescent="0.25"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7">
        <f t="shared" ca="1" si="16"/>
        <v>7.431980669496957E-2</v>
      </c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</row>
    <row r="1042" spans="8:50" x14ac:dyDescent="0.25"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7">
        <f t="shared" ca="1" si="16"/>
        <v>9.5177391161736236E-3</v>
      </c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</row>
    <row r="1043" spans="8:50" x14ac:dyDescent="0.25"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7">
        <f t="shared" ca="1" si="16"/>
        <v>0.42878796672685981</v>
      </c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</row>
    <row r="1044" spans="8:50" x14ac:dyDescent="0.25"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7">
        <f t="shared" ca="1" si="16"/>
        <v>-0.23859434662131246</v>
      </c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</row>
    <row r="1045" spans="8:50" x14ac:dyDescent="0.25"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7">
        <f t="shared" ca="1" si="16"/>
        <v>8.2371825267835846E-3</v>
      </c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</row>
    <row r="1046" spans="8:50" x14ac:dyDescent="0.25"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7">
        <f t="shared" ca="1" si="16"/>
        <v>-0.16662968555777097</v>
      </c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</row>
    <row r="1047" spans="8:50" x14ac:dyDescent="0.25"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7">
        <f t="shared" ca="1" si="16"/>
        <v>0.19830403027765303</v>
      </c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</row>
    <row r="1048" spans="8:50" x14ac:dyDescent="0.25"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7">
        <f t="shared" ca="1" si="16"/>
        <v>-5.0802648413497825E-3</v>
      </c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</row>
    <row r="1049" spans="8:50" x14ac:dyDescent="0.25"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7">
        <f t="shared" ca="1" si="16"/>
        <v>0.29193324307043328</v>
      </c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</row>
    <row r="1050" spans="8:50" x14ac:dyDescent="0.25"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7">
        <f t="shared" ca="1" si="16"/>
        <v>0.28591429197367113</v>
      </c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</row>
    <row r="1051" spans="8:50" x14ac:dyDescent="0.25"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7">
        <f t="shared" ca="1" si="16"/>
        <v>0.20451098560173492</v>
      </c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</row>
    <row r="1052" spans="8:50" x14ac:dyDescent="0.25"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7">
        <f t="shared" ca="1" si="16"/>
        <v>0.31550675244911608</v>
      </c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</row>
    <row r="1053" spans="8:50" x14ac:dyDescent="0.25"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7">
        <f t="shared" ca="1" si="16"/>
        <v>-4.1334193981031622E-2</v>
      </c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</row>
    <row r="1054" spans="8:50" x14ac:dyDescent="0.25"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7">
        <f t="shared" ca="1" si="16"/>
        <v>0.4786461824529063</v>
      </c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</row>
    <row r="1055" spans="8:50" x14ac:dyDescent="0.25"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7">
        <f t="shared" ca="1" si="16"/>
        <v>0.12053292447219978</v>
      </c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</row>
    <row r="1056" spans="8:50" x14ac:dyDescent="0.25"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7">
        <f t="shared" ca="1" si="16"/>
        <v>-0.10346976200024978</v>
      </c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</row>
    <row r="1057" spans="8:50" x14ac:dyDescent="0.25"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7">
        <f t="shared" ca="1" si="16"/>
        <v>0.21538990383495354</v>
      </c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</row>
    <row r="1058" spans="8:50" x14ac:dyDescent="0.25"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7">
        <f t="shared" ca="1" si="16"/>
        <v>0.19386368127184239</v>
      </c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</row>
    <row r="1059" spans="8:50" x14ac:dyDescent="0.25"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7">
        <f t="shared" ca="1" si="16"/>
        <v>-0.10797065983145497</v>
      </c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</row>
    <row r="1060" spans="8:50" x14ac:dyDescent="0.25"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7">
        <f t="shared" ca="1" si="16"/>
        <v>0.1034491960863483</v>
      </c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</row>
    <row r="1061" spans="8:50" x14ac:dyDescent="0.25"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7">
        <f t="shared" ca="1" si="16"/>
        <v>-2.5592827994785725E-2</v>
      </c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</row>
    <row r="1062" spans="8:50" x14ac:dyDescent="0.25"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7">
        <f t="shared" ca="1" si="16"/>
        <v>8.0281920096432924E-2</v>
      </c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</row>
    <row r="1063" spans="8:50" x14ac:dyDescent="0.25"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7">
        <f t="shared" ca="1" si="16"/>
        <v>0.14854894452358933</v>
      </c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</row>
    <row r="1064" spans="8:50" x14ac:dyDescent="0.25"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7">
        <f t="shared" ca="1" si="16"/>
        <v>1.8213270406667814E-2</v>
      </c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</row>
    <row r="1065" spans="8:50" x14ac:dyDescent="0.25"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7">
        <f t="shared" ca="1" si="16"/>
        <v>6.0550909508965182E-2</v>
      </c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</row>
    <row r="1066" spans="8:50" x14ac:dyDescent="0.25"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7">
        <f t="shared" ca="1" si="16"/>
        <v>-0.15580839033076876</v>
      </c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</row>
    <row r="1067" spans="8:50" x14ac:dyDescent="0.25"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7">
        <f t="shared" ca="1" si="16"/>
        <v>0.17109188303867354</v>
      </c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</row>
    <row r="1068" spans="8:50" x14ac:dyDescent="0.25"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7">
        <f t="shared" ca="1" si="16"/>
        <v>-0.11855189791905109</v>
      </c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</row>
    <row r="1069" spans="8:50" x14ac:dyDescent="0.25"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7">
        <f t="shared" ca="1" si="16"/>
        <v>0.14435557209734184</v>
      </c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</row>
    <row r="1070" spans="8:50" x14ac:dyDescent="0.25"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7">
        <f t="shared" ca="1" si="16"/>
        <v>-5.120828653828402E-3</v>
      </c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</row>
    <row r="1071" spans="8:50" x14ac:dyDescent="0.25"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7">
        <f t="shared" ca="1" si="16"/>
        <v>0.28898964935906363</v>
      </c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</row>
    <row r="1072" spans="8:50" x14ac:dyDescent="0.25"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7">
        <f t="shared" ca="1" si="16"/>
        <v>-1.2001168683929989E-2</v>
      </c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</row>
    <row r="1073" spans="8:50" x14ac:dyDescent="0.25"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7">
        <f t="shared" ca="1" si="16"/>
        <v>0.20276185942177982</v>
      </c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</row>
    <row r="1074" spans="8:50" x14ac:dyDescent="0.25"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7">
        <f t="shared" ca="1" si="16"/>
        <v>0.37069183001452516</v>
      </c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</row>
    <row r="1075" spans="8:50" x14ac:dyDescent="0.25"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7">
        <f t="shared" ca="1" si="16"/>
        <v>-0.22337526368231214</v>
      </c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</row>
    <row r="1076" spans="8:50" x14ac:dyDescent="0.25"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7">
        <f t="shared" ca="1" si="16"/>
        <v>1.3280267934990819E-3</v>
      </c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</row>
    <row r="1077" spans="8:50" x14ac:dyDescent="0.25"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7">
        <f t="shared" ca="1" si="16"/>
        <v>0.18686152676364706</v>
      </c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</row>
    <row r="1078" spans="8:50" x14ac:dyDescent="0.25"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7">
        <f t="shared" ca="1" si="16"/>
        <v>3.9512227955431495E-3</v>
      </c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</row>
    <row r="1079" spans="8:50" x14ac:dyDescent="0.25"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7">
        <f t="shared" ca="1" si="16"/>
        <v>4.5065777934175211E-2</v>
      </c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</row>
    <row r="1080" spans="8:50" x14ac:dyDescent="0.25"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7">
        <f t="shared" ca="1" si="16"/>
        <v>0.2276088685127424</v>
      </c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</row>
    <row r="1081" spans="8:50" x14ac:dyDescent="0.25"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7">
        <f t="shared" ca="1" si="16"/>
        <v>5.4090328523373268E-2</v>
      </c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</row>
    <row r="1082" spans="8:50" x14ac:dyDescent="0.25"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7">
        <f t="shared" ca="1" si="16"/>
        <v>-2.1107052512930394E-2</v>
      </c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</row>
    <row r="1083" spans="8:50" x14ac:dyDescent="0.25"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7">
        <f t="shared" ca="1" si="16"/>
        <v>8.6620333605937197E-2</v>
      </c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</row>
    <row r="1084" spans="8:50" x14ac:dyDescent="0.25"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7">
        <f t="shared" ca="1" si="16"/>
        <v>-0.14941243585828706</v>
      </c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</row>
    <row r="1085" spans="8:50" x14ac:dyDescent="0.25"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7">
        <f t="shared" ca="1" si="16"/>
        <v>-7.9702178141119198E-2</v>
      </c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</row>
    <row r="1086" spans="8:50" x14ac:dyDescent="0.25"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7">
        <f t="shared" ca="1" si="16"/>
        <v>0.18357663490504311</v>
      </c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</row>
    <row r="1087" spans="8:50" x14ac:dyDescent="0.25"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7">
        <f t="shared" ca="1" si="16"/>
        <v>0.1702499483108626</v>
      </c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</row>
    <row r="1088" spans="8:50" x14ac:dyDescent="0.25"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7">
        <f t="shared" ca="1" si="16"/>
        <v>-2.2722307362634322E-2</v>
      </c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</row>
    <row r="1089" spans="8:50" x14ac:dyDescent="0.25"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7">
        <f t="shared" ca="1" si="16"/>
        <v>-0.16633681401672923</v>
      </c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</row>
    <row r="1090" spans="8:50" x14ac:dyDescent="0.25"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7">
        <f t="shared" ca="1" si="16"/>
        <v>9.3593579138973038E-3</v>
      </c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</row>
    <row r="1091" spans="8:50" x14ac:dyDescent="0.25"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7">
        <f t="shared" ca="1" si="16"/>
        <v>0.21250757357917929</v>
      </c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</row>
    <row r="1092" spans="8:50" x14ac:dyDescent="0.25"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7">
        <f t="shared" ca="1" si="16"/>
        <v>0.23397366035830378</v>
      </c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</row>
    <row r="1093" spans="8:50" x14ac:dyDescent="0.25"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7">
        <f t="shared" ca="1" si="16"/>
        <v>0.12334822321923393</v>
      </c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</row>
    <row r="1094" spans="8:50" x14ac:dyDescent="0.25"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7">
        <f t="shared" ref="W1094:W1157" ca="1" si="17">+NORMINV(RAND(),$U$2,$U$3)</f>
        <v>0.44473209704928696</v>
      </c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</row>
    <row r="1095" spans="8:50" x14ac:dyDescent="0.25"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7">
        <f t="shared" ca="1" si="17"/>
        <v>0.1853454422778637</v>
      </c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</row>
    <row r="1096" spans="8:50" x14ac:dyDescent="0.25"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7">
        <f t="shared" ca="1" si="17"/>
        <v>0.16269130248551206</v>
      </c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</row>
    <row r="1097" spans="8:50" x14ac:dyDescent="0.25"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7">
        <f t="shared" ca="1" si="17"/>
        <v>3.0887475320990634E-2</v>
      </c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</row>
    <row r="1098" spans="8:50" x14ac:dyDescent="0.25"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7">
        <f t="shared" ca="1" si="17"/>
        <v>-6.1938094240654648E-2</v>
      </c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</row>
    <row r="1099" spans="8:50" x14ac:dyDescent="0.25"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7">
        <f t="shared" ca="1" si="17"/>
        <v>0.11304985543107786</v>
      </c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</row>
    <row r="1100" spans="8:50" x14ac:dyDescent="0.25"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7">
        <f t="shared" ca="1" si="17"/>
        <v>-3.6022954464083781E-2</v>
      </c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</row>
    <row r="1101" spans="8:50" x14ac:dyDescent="0.25"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7">
        <f t="shared" ca="1" si="17"/>
        <v>-0.1527229761789925</v>
      </c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</row>
    <row r="1102" spans="8:50" x14ac:dyDescent="0.25"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7">
        <f t="shared" ca="1" si="17"/>
        <v>0.24424765079927313</v>
      </c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</row>
    <row r="1103" spans="8:50" x14ac:dyDescent="0.25"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7">
        <f t="shared" ca="1" si="17"/>
        <v>0.37697573124148515</v>
      </c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</row>
    <row r="1104" spans="8:50" x14ac:dyDescent="0.25"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7">
        <f t="shared" ca="1" si="17"/>
        <v>0.10286295128025713</v>
      </c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</row>
    <row r="1105" spans="8:50" x14ac:dyDescent="0.25"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7">
        <f t="shared" ca="1" si="17"/>
        <v>0.12153626562442187</v>
      </c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</row>
    <row r="1106" spans="8:50" x14ac:dyDescent="0.25"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7">
        <f t="shared" ca="1" si="17"/>
        <v>-1.0769536682257233E-2</v>
      </c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</row>
    <row r="1107" spans="8:50" x14ac:dyDescent="0.25"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7">
        <f t="shared" ca="1" si="17"/>
        <v>0.13768633173246186</v>
      </c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</row>
    <row r="1108" spans="8:50" x14ac:dyDescent="0.25"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7">
        <f t="shared" ca="1" si="17"/>
        <v>8.390894435379076E-2</v>
      </c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</row>
    <row r="1109" spans="8:50" x14ac:dyDescent="0.25"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7">
        <f t="shared" ca="1" si="17"/>
        <v>2.4314332317072751E-3</v>
      </c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</row>
    <row r="1110" spans="8:50" x14ac:dyDescent="0.25"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7">
        <f t="shared" ca="1" si="17"/>
        <v>-7.3931489466359107E-3</v>
      </c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</row>
    <row r="1111" spans="8:50" x14ac:dyDescent="0.25"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7">
        <f t="shared" ca="1" si="17"/>
        <v>-5.4750816501910007E-2</v>
      </c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</row>
    <row r="1112" spans="8:50" x14ac:dyDescent="0.25"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7">
        <f t="shared" ca="1" si="17"/>
        <v>5.6840585293012606E-2</v>
      </c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</row>
    <row r="1113" spans="8:50" x14ac:dyDescent="0.25"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7">
        <f t="shared" ca="1" si="17"/>
        <v>-1.7865965620266808E-2</v>
      </c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</row>
    <row r="1114" spans="8:50" x14ac:dyDescent="0.25"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7">
        <f t="shared" ca="1" si="17"/>
        <v>0.45182719246548103</v>
      </c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</row>
    <row r="1115" spans="8:50" x14ac:dyDescent="0.25"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7">
        <f t="shared" ca="1" si="17"/>
        <v>1.8650878697455367E-2</v>
      </c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</row>
    <row r="1116" spans="8:50" x14ac:dyDescent="0.25"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7">
        <f t="shared" ca="1" si="17"/>
        <v>-0.11446988398218112</v>
      </c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</row>
    <row r="1117" spans="8:50" x14ac:dyDescent="0.25"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7">
        <f t="shared" ca="1" si="17"/>
        <v>0.25098631392203297</v>
      </c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</row>
    <row r="1118" spans="8:50" x14ac:dyDescent="0.25"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7">
        <f t="shared" ca="1" si="17"/>
        <v>4.7337604169887207E-2</v>
      </c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</row>
    <row r="1119" spans="8:50" x14ac:dyDescent="0.25"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7">
        <f t="shared" ca="1" si="17"/>
        <v>-7.9142708992635216E-2</v>
      </c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</row>
    <row r="1120" spans="8:50" x14ac:dyDescent="0.25"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7">
        <f t="shared" ca="1" si="17"/>
        <v>6.8022982379977448E-2</v>
      </c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</row>
    <row r="1121" spans="8:50" x14ac:dyDescent="0.25"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7">
        <f t="shared" ca="1" si="17"/>
        <v>0.17754064556279936</v>
      </c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</row>
    <row r="1122" spans="8:50" x14ac:dyDescent="0.25"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7">
        <f t="shared" ca="1" si="17"/>
        <v>0.20077324024751375</v>
      </c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</row>
    <row r="1123" spans="8:50" x14ac:dyDescent="0.25"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7">
        <f t="shared" ca="1" si="17"/>
        <v>0.23409667021727593</v>
      </c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</row>
    <row r="1124" spans="8:50" x14ac:dyDescent="0.25"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7">
        <f t="shared" ca="1" si="17"/>
        <v>8.4141199753663215E-2</v>
      </c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</row>
    <row r="1125" spans="8:50" x14ac:dyDescent="0.25"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7">
        <f t="shared" ca="1" si="17"/>
        <v>9.9912364663241438E-2</v>
      </c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</row>
    <row r="1126" spans="8:50" x14ac:dyDescent="0.25"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7">
        <f t="shared" ca="1" si="17"/>
        <v>6.4587853028044429E-2</v>
      </c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</row>
    <row r="1127" spans="8:50" x14ac:dyDescent="0.25"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7">
        <f t="shared" ca="1" si="17"/>
        <v>0.28598552150368883</v>
      </c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</row>
    <row r="1128" spans="8:50" x14ac:dyDescent="0.25"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7">
        <f t="shared" ca="1" si="17"/>
        <v>1.2024079229678825E-2</v>
      </c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</row>
    <row r="1129" spans="8:50" x14ac:dyDescent="0.25"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7">
        <f t="shared" ca="1" si="17"/>
        <v>-0.32131326378172564</v>
      </c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</row>
    <row r="1130" spans="8:50" x14ac:dyDescent="0.25"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7">
        <f t="shared" ca="1" si="17"/>
        <v>-0.13872614707942871</v>
      </c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</row>
    <row r="1131" spans="8:50" x14ac:dyDescent="0.25"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7">
        <f t="shared" ca="1" si="17"/>
        <v>0.17934170222909962</v>
      </c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</row>
    <row r="1132" spans="8:50" x14ac:dyDescent="0.25"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7">
        <f t="shared" ca="1" si="17"/>
        <v>-0.11575814184103479</v>
      </c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</row>
    <row r="1133" spans="8:50" x14ac:dyDescent="0.25"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7">
        <f t="shared" ca="1" si="17"/>
        <v>-0.22821223148586606</v>
      </c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</row>
    <row r="1134" spans="8:50" x14ac:dyDescent="0.25"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7">
        <f t="shared" ca="1" si="17"/>
        <v>3.4488576201138835E-2</v>
      </c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</row>
    <row r="1135" spans="8:50" x14ac:dyDescent="0.25"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7">
        <f t="shared" ca="1" si="17"/>
        <v>0.31976785521937384</v>
      </c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</row>
    <row r="1136" spans="8:50" x14ac:dyDescent="0.25"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7">
        <f t="shared" ca="1" si="17"/>
        <v>4.5107918054834717E-2</v>
      </c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</row>
    <row r="1137" spans="8:50" x14ac:dyDescent="0.25"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7">
        <f t="shared" ca="1" si="17"/>
        <v>3.470696381245239E-2</v>
      </c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</row>
    <row r="1138" spans="8:50" x14ac:dyDescent="0.25"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7">
        <f t="shared" ca="1" si="17"/>
        <v>0.20853916385952226</v>
      </c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</row>
    <row r="1139" spans="8:50" x14ac:dyDescent="0.25"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7">
        <f t="shared" ca="1" si="17"/>
        <v>0.51443873093346026</v>
      </c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</row>
    <row r="1140" spans="8:50" x14ac:dyDescent="0.25"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7">
        <f t="shared" ca="1" si="17"/>
        <v>-9.871495420909919E-2</v>
      </c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</row>
    <row r="1141" spans="8:50" x14ac:dyDescent="0.25"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7">
        <f t="shared" ca="1" si="17"/>
        <v>0.24280004461178434</v>
      </c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</row>
    <row r="1142" spans="8:50" x14ac:dyDescent="0.25"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7">
        <f t="shared" ca="1" si="17"/>
        <v>-9.6471125549102296E-2</v>
      </c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</row>
    <row r="1143" spans="8:50" x14ac:dyDescent="0.25"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7">
        <f t="shared" ca="1" si="17"/>
        <v>0.23404294140786142</v>
      </c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</row>
    <row r="1144" spans="8:50" x14ac:dyDescent="0.25"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7">
        <f t="shared" ca="1" si="17"/>
        <v>-0.47166306376410594</v>
      </c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</row>
    <row r="1145" spans="8:50" x14ac:dyDescent="0.25"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7">
        <f t="shared" ca="1" si="17"/>
        <v>-9.0272433598969457E-2</v>
      </c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</row>
    <row r="1146" spans="8:50" x14ac:dyDescent="0.25"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7">
        <f t="shared" ca="1" si="17"/>
        <v>0.31403130616123393</v>
      </c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</row>
    <row r="1147" spans="8:50" x14ac:dyDescent="0.25"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7">
        <f t="shared" ca="1" si="17"/>
        <v>-0.37251397067854419</v>
      </c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</row>
    <row r="1148" spans="8:50" x14ac:dyDescent="0.25"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7">
        <f t="shared" ca="1" si="17"/>
        <v>-0.14760207564131067</v>
      </c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</row>
    <row r="1149" spans="8:50" x14ac:dyDescent="0.25"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7">
        <f t="shared" ca="1" si="17"/>
        <v>-2.5244362317333055E-2</v>
      </c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</row>
    <row r="1150" spans="8:50" x14ac:dyDescent="0.25"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7">
        <f t="shared" ca="1" si="17"/>
        <v>0.21314871103568797</v>
      </c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</row>
    <row r="1151" spans="8:50" x14ac:dyDescent="0.25"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7">
        <f t="shared" ca="1" si="17"/>
        <v>0.15845199040424829</v>
      </c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</row>
    <row r="1152" spans="8:50" x14ac:dyDescent="0.25"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7">
        <f t="shared" ca="1" si="17"/>
        <v>9.2407183032494622E-2</v>
      </c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</row>
    <row r="1153" spans="8:50" x14ac:dyDescent="0.25"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7">
        <f t="shared" ca="1" si="17"/>
        <v>-4.3694175510719482E-2</v>
      </c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</row>
    <row r="1154" spans="8:50" x14ac:dyDescent="0.25"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7">
        <f t="shared" ca="1" si="17"/>
        <v>-1.9560963299678283E-2</v>
      </c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</row>
    <row r="1155" spans="8:50" x14ac:dyDescent="0.25"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7">
        <f t="shared" ca="1" si="17"/>
        <v>-7.6033188714420274E-3</v>
      </c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</row>
    <row r="1156" spans="8:50" x14ac:dyDescent="0.25"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7">
        <f t="shared" ca="1" si="17"/>
        <v>0.28043894534248215</v>
      </c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</row>
    <row r="1157" spans="8:50" x14ac:dyDescent="0.25"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7">
        <f t="shared" ca="1" si="17"/>
        <v>5.7504499662748176E-2</v>
      </c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</row>
    <row r="1158" spans="8:50" x14ac:dyDescent="0.25"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7">
        <f t="shared" ref="W1158:W1221" ca="1" si="18">+NORMINV(RAND(),$U$2,$U$3)</f>
        <v>0.10440649125486888</v>
      </c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</row>
    <row r="1159" spans="8:50" x14ac:dyDescent="0.25"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7">
        <f t="shared" ca="1" si="18"/>
        <v>-0.13273836092617797</v>
      </c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</row>
    <row r="1160" spans="8:50" x14ac:dyDescent="0.25"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7">
        <f t="shared" ca="1" si="18"/>
        <v>-0.28359821463010415</v>
      </c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</row>
    <row r="1161" spans="8:50" x14ac:dyDescent="0.25"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7">
        <f t="shared" ca="1" si="18"/>
        <v>0.42149050399771854</v>
      </c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</row>
    <row r="1162" spans="8:50" x14ac:dyDescent="0.25"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7">
        <f t="shared" ca="1" si="18"/>
        <v>9.2309799643737256E-2</v>
      </c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</row>
    <row r="1163" spans="8:50" x14ac:dyDescent="0.25"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7">
        <f t="shared" ca="1" si="18"/>
        <v>0.23121710793651362</v>
      </c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</row>
    <row r="1164" spans="8:50" x14ac:dyDescent="0.25"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7">
        <f t="shared" ca="1" si="18"/>
        <v>9.4363421012499962E-2</v>
      </c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</row>
    <row r="1165" spans="8:50" x14ac:dyDescent="0.25"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7">
        <f t="shared" ca="1" si="18"/>
        <v>-4.6591651377890134E-2</v>
      </c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</row>
    <row r="1166" spans="8:50" x14ac:dyDescent="0.25"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7">
        <f t="shared" ca="1" si="18"/>
        <v>0.12137415042089018</v>
      </c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</row>
    <row r="1167" spans="8:50" x14ac:dyDescent="0.25"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7">
        <f t="shared" ca="1" si="18"/>
        <v>0.20676099883580085</v>
      </c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</row>
    <row r="1168" spans="8:50" x14ac:dyDescent="0.25"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7">
        <f t="shared" ca="1" si="18"/>
        <v>0.34498464588370059</v>
      </c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</row>
    <row r="1169" spans="8:50" x14ac:dyDescent="0.25"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7">
        <f t="shared" ca="1" si="18"/>
        <v>0.13641105873337311</v>
      </c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</row>
    <row r="1170" spans="8:50" x14ac:dyDescent="0.25"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7">
        <f t="shared" ca="1" si="18"/>
        <v>5.4191079338328015E-2</v>
      </c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</row>
    <row r="1171" spans="8:50" x14ac:dyDescent="0.25"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7">
        <f t="shared" ca="1" si="18"/>
        <v>0.45255111990764546</v>
      </c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</row>
    <row r="1172" spans="8:50" x14ac:dyDescent="0.25"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7">
        <f t="shared" ca="1" si="18"/>
        <v>-0.11307051849958651</v>
      </c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</row>
    <row r="1173" spans="8:50" x14ac:dyDescent="0.25"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7">
        <f t="shared" ca="1" si="18"/>
        <v>0.43723174936766546</v>
      </c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</row>
    <row r="1174" spans="8:50" x14ac:dyDescent="0.25"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7">
        <f t="shared" ca="1" si="18"/>
        <v>-4.4524199374884985E-2</v>
      </c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</row>
    <row r="1175" spans="8:50" x14ac:dyDescent="0.25"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7">
        <f t="shared" ca="1" si="18"/>
        <v>8.7770615004103603E-2</v>
      </c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</row>
    <row r="1176" spans="8:50" x14ac:dyDescent="0.25"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7">
        <f t="shared" ca="1" si="18"/>
        <v>0.36218083585460481</v>
      </c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</row>
    <row r="1177" spans="8:50" x14ac:dyDescent="0.25"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7">
        <f t="shared" ca="1" si="18"/>
        <v>0.26707216425917413</v>
      </c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</row>
    <row r="1178" spans="8:50" x14ac:dyDescent="0.25"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7">
        <f t="shared" ca="1" si="18"/>
        <v>2.9303870074954871E-2</v>
      </c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</row>
    <row r="1179" spans="8:50" x14ac:dyDescent="0.25"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7">
        <f t="shared" ca="1" si="18"/>
        <v>8.3842336438577719E-2</v>
      </c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</row>
    <row r="1180" spans="8:50" x14ac:dyDescent="0.25"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7">
        <f t="shared" ca="1" si="18"/>
        <v>0.33243429690904019</v>
      </c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</row>
    <row r="1181" spans="8:50" x14ac:dyDescent="0.25"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7">
        <f t="shared" ca="1" si="18"/>
        <v>4.5074963607690824E-2</v>
      </c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</row>
    <row r="1182" spans="8:50" x14ac:dyDescent="0.25"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7">
        <f t="shared" ca="1" si="18"/>
        <v>0.13780316353874777</v>
      </c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</row>
    <row r="1183" spans="8:50" x14ac:dyDescent="0.25"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7">
        <f t="shared" ca="1" si="18"/>
        <v>0.1933169246297062</v>
      </c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</row>
    <row r="1184" spans="8:50" x14ac:dyDescent="0.25"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7">
        <f t="shared" ca="1" si="18"/>
        <v>0.14580862962182567</v>
      </c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</row>
    <row r="1185" spans="8:50" x14ac:dyDescent="0.25"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7">
        <f t="shared" ca="1" si="18"/>
        <v>0.1479417162660803</v>
      </c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</row>
    <row r="1186" spans="8:50" x14ac:dyDescent="0.25"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7">
        <f t="shared" ca="1" si="18"/>
        <v>0.301368397585971</v>
      </c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</row>
    <row r="1187" spans="8:50" x14ac:dyDescent="0.25"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7">
        <f t="shared" ca="1" si="18"/>
        <v>0.14972792647360175</v>
      </c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</row>
    <row r="1188" spans="8:50" x14ac:dyDescent="0.25"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7">
        <f t="shared" ca="1" si="18"/>
        <v>0.14613716741112934</v>
      </c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</row>
    <row r="1189" spans="8:50" x14ac:dyDescent="0.25"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7">
        <f t="shared" ca="1" si="18"/>
        <v>4.5174114384760586E-2</v>
      </c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</row>
    <row r="1190" spans="8:50" x14ac:dyDescent="0.25"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7">
        <f t="shared" ca="1" si="18"/>
        <v>0.16961637927286327</v>
      </c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</row>
    <row r="1191" spans="8:50" x14ac:dyDescent="0.25"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7">
        <f t="shared" ca="1" si="18"/>
        <v>0.11594587295731704</v>
      </c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</row>
    <row r="1192" spans="8:50" x14ac:dyDescent="0.25"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7">
        <f t="shared" ca="1" si="18"/>
        <v>0.15765520304470107</v>
      </c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</row>
    <row r="1193" spans="8:50" x14ac:dyDescent="0.25"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7">
        <f t="shared" ca="1" si="18"/>
        <v>0.21410000496321371</v>
      </c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</row>
    <row r="1194" spans="8:50" x14ac:dyDescent="0.25"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7">
        <f t="shared" ca="1" si="18"/>
        <v>0.26461300126308179</v>
      </c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</row>
    <row r="1195" spans="8:50" x14ac:dyDescent="0.25"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7">
        <f t="shared" ca="1" si="18"/>
        <v>0.4523045132975923</v>
      </c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</row>
    <row r="1196" spans="8:50" x14ac:dyDescent="0.25"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7">
        <f t="shared" ca="1" si="18"/>
        <v>9.0312826075307134E-2</v>
      </c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</row>
    <row r="1197" spans="8:50" x14ac:dyDescent="0.25"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7">
        <f t="shared" ca="1" si="18"/>
        <v>-7.7007907171231946E-2</v>
      </c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</row>
    <row r="1198" spans="8:50" x14ac:dyDescent="0.25"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7">
        <f t="shared" ca="1" si="18"/>
        <v>-0.21016209555567378</v>
      </c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</row>
    <row r="1199" spans="8:50" x14ac:dyDescent="0.25"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7">
        <f t="shared" ca="1" si="18"/>
        <v>0.29010049782925262</v>
      </c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</row>
    <row r="1200" spans="8:50" x14ac:dyDescent="0.25"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7">
        <f t="shared" ca="1" si="18"/>
        <v>5.3805308839406311E-2</v>
      </c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</row>
    <row r="1201" spans="8:50" x14ac:dyDescent="0.25"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7">
        <f t="shared" ca="1" si="18"/>
        <v>0.43622629762993659</v>
      </c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</row>
    <row r="1202" spans="8:50" x14ac:dyDescent="0.25"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7">
        <f t="shared" ca="1" si="18"/>
        <v>0.27633536844845424</v>
      </c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</row>
    <row r="1203" spans="8:50" x14ac:dyDescent="0.25"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7">
        <f t="shared" ca="1" si="18"/>
        <v>2.911589387487841E-2</v>
      </c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</row>
    <row r="1204" spans="8:50" x14ac:dyDescent="0.25"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7">
        <f t="shared" ca="1" si="18"/>
        <v>0.51025963317543799</v>
      </c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</row>
    <row r="1205" spans="8:50" x14ac:dyDescent="0.25"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7">
        <f t="shared" ca="1" si="18"/>
        <v>-2.8570335899296417E-3</v>
      </c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</row>
    <row r="1206" spans="8:50" x14ac:dyDescent="0.25"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7">
        <f t="shared" ca="1" si="18"/>
        <v>3.1167219773734017E-2</v>
      </c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</row>
    <row r="1207" spans="8:50" x14ac:dyDescent="0.25"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7">
        <f t="shared" ca="1" si="18"/>
        <v>4.6675161791736461E-2</v>
      </c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</row>
    <row r="1208" spans="8:50" x14ac:dyDescent="0.25"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7">
        <f t="shared" ca="1" si="18"/>
        <v>5.6310336835090548E-2</v>
      </c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</row>
    <row r="1209" spans="8:50" x14ac:dyDescent="0.25"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7">
        <f t="shared" ca="1" si="18"/>
        <v>-3.1088806908229058E-2</v>
      </c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</row>
    <row r="1210" spans="8:50" x14ac:dyDescent="0.25"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7">
        <f t="shared" ca="1" si="18"/>
        <v>0.17234994836407394</v>
      </c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</row>
    <row r="1211" spans="8:50" x14ac:dyDescent="0.25"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7">
        <f t="shared" ca="1" si="18"/>
        <v>5.7814651278407528E-2</v>
      </c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</row>
    <row r="1212" spans="8:50" x14ac:dyDescent="0.25"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7">
        <f t="shared" ca="1" si="18"/>
        <v>7.4812882120541019E-2</v>
      </c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</row>
    <row r="1213" spans="8:50" x14ac:dyDescent="0.25"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7">
        <f t="shared" ca="1" si="18"/>
        <v>0.75522119145379496</v>
      </c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</row>
    <row r="1214" spans="8:50" x14ac:dyDescent="0.25"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7">
        <f t="shared" ca="1" si="18"/>
        <v>0.25784738675892127</v>
      </c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</row>
    <row r="1215" spans="8:50" x14ac:dyDescent="0.25"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7">
        <f t="shared" ca="1" si="18"/>
        <v>-9.1939568477039671E-2</v>
      </c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</row>
    <row r="1216" spans="8:50" x14ac:dyDescent="0.25"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7">
        <f t="shared" ca="1" si="18"/>
        <v>0.1101662527206317</v>
      </c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</row>
    <row r="1217" spans="8:50" x14ac:dyDescent="0.25"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7">
        <f t="shared" ca="1" si="18"/>
        <v>2.1194281090388997E-2</v>
      </c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</row>
    <row r="1218" spans="8:50" x14ac:dyDescent="0.25"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7">
        <f t="shared" ca="1" si="18"/>
        <v>9.3708072286636385E-2</v>
      </c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</row>
    <row r="1219" spans="8:50" x14ac:dyDescent="0.25"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7">
        <f t="shared" ca="1" si="18"/>
        <v>0.33017781259165357</v>
      </c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</row>
    <row r="1220" spans="8:50" x14ac:dyDescent="0.25"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7">
        <f t="shared" ca="1" si="18"/>
        <v>-0.12934891640667651</v>
      </c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</row>
    <row r="1221" spans="8:50" x14ac:dyDescent="0.25"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7">
        <f t="shared" ca="1" si="18"/>
        <v>0.14090968826571082</v>
      </c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</row>
    <row r="1222" spans="8:50" x14ac:dyDescent="0.25"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7">
        <f t="shared" ref="W1222:W1285" ca="1" si="19">+NORMINV(RAND(),$U$2,$U$3)</f>
        <v>0.12043703008437728</v>
      </c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</row>
    <row r="1223" spans="8:50" x14ac:dyDescent="0.25"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7">
        <f t="shared" ca="1" si="19"/>
        <v>0.44346355196861309</v>
      </c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</row>
    <row r="1224" spans="8:50" x14ac:dyDescent="0.25"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7">
        <f t="shared" ca="1" si="19"/>
        <v>0.15226107797117852</v>
      </c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</row>
    <row r="1225" spans="8:50" x14ac:dyDescent="0.25"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7">
        <f t="shared" ca="1" si="19"/>
        <v>0.10937896656553739</v>
      </c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</row>
    <row r="1226" spans="8:50" x14ac:dyDescent="0.25"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7">
        <f t="shared" ca="1" si="19"/>
        <v>0.20242030053248658</v>
      </c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</row>
    <row r="1227" spans="8:50" x14ac:dyDescent="0.25"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7">
        <f t="shared" ca="1" si="19"/>
        <v>0.23891741274682748</v>
      </c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</row>
    <row r="1228" spans="8:50" x14ac:dyDescent="0.25"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7">
        <f t="shared" ca="1" si="19"/>
        <v>-6.4650437641800493E-2</v>
      </c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</row>
    <row r="1229" spans="8:50" x14ac:dyDescent="0.25"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7">
        <f t="shared" ca="1" si="19"/>
        <v>-3.8901056828370931E-2</v>
      </c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</row>
    <row r="1230" spans="8:50" x14ac:dyDescent="0.25"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7">
        <f t="shared" ca="1" si="19"/>
        <v>-0.12772846238837504</v>
      </c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</row>
    <row r="1231" spans="8:50" x14ac:dyDescent="0.25"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7">
        <f t="shared" ca="1" si="19"/>
        <v>-2.3375198918648463E-2</v>
      </c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</row>
    <row r="1232" spans="8:50" x14ac:dyDescent="0.25"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7">
        <f t="shared" ca="1" si="19"/>
        <v>0.39737480968542288</v>
      </c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</row>
    <row r="1233" spans="8:50" x14ac:dyDescent="0.25"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7">
        <f t="shared" ca="1" si="19"/>
        <v>3.4344003262319775E-2</v>
      </c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</row>
    <row r="1234" spans="8:50" x14ac:dyDescent="0.25"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7">
        <f t="shared" ca="1" si="19"/>
        <v>0.21983556060312026</v>
      </c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</row>
    <row r="1235" spans="8:50" x14ac:dyDescent="0.25"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7">
        <f t="shared" ca="1" si="19"/>
        <v>-4.4004886840731158E-2</v>
      </c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</row>
    <row r="1236" spans="8:50" x14ac:dyDescent="0.25"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7">
        <f t="shared" ca="1" si="19"/>
        <v>0.23971918102217693</v>
      </c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</row>
    <row r="1237" spans="8:50" x14ac:dyDescent="0.25"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7">
        <f t="shared" ca="1" si="19"/>
        <v>1.8615392083975724E-2</v>
      </c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</row>
    <row r="1238" spans="8:50" x14ac:dyDescent="0.25"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7">
        <f t="shared" ca="1" si="19"/>
        <v>1.4100906574847152E-2</v>
      </c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</row>
    <row r="1239" spans="8:50" x14ac:dyDescent="0.25"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7">
        <f t="shared" ca="1" si="19"/>
        <v>-4.287071892791941E-3</v>
      </c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</row>
    <row r="1240" spans="8:50" x14ac:dyDescent="0.25"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7">
        <f t="shared" ca="1" si="19"/>
        <v>-0.11448870825081693</v>
      </c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</row>
    <row r="1241" spans="8:50" x14ac:dyDescent="0.25"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7">
        <f t="shared" ca="1" si="19"/>
        <v>-7.5008731578079593E-2</v>
      </c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</row>
    <row r="1242" spans="8:50" x14ac:dyDescent="0.25"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7">
        <f t="shared" ca="1" si="19"/>
        <v>-5.6464284117261052E-2</v>
      </c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</row>
    <row r="1243" spans="8:50" x14ac:dyDescent="0.25"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7">
        <f t="shared" ca="1" si="19"/>
        <v>0.13292493173800127</v>
      </c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</row>
    <row r="1244" spans="8:50" x14ac:dyDescent="0.25"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7">
        <f t="shared" ca="1" si="19"/>
        <v>0.27759748364346748</v>
      </c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</row>
    <row r="1245" spans="8:50" x14ac:dyDescent="0.25"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7">
        <f t="shared" ca="1" si="19"/>
        <v>0.22588805185410021</v>
      </c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</row>
    <row r="1246" spans="8:50" x14ac:dyDescent="0.25"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7">
        <f t="shared" ca="1" si="19"/>
        <v>0.32874820964245022</v>
      </c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</row>
    <row r="1247" spans="8:50" x14ac:dyDescent="0.25"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7">
        <f t="shared" ca="1" si="19"/>
        <v>-6.5729072800488245E-2</v>
      </c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</row>
    <row r="1248" spans="8:50" x14ac:dyDescent="0.25"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7">
        <f t="shared" ca="1" si="19"/>
        <v>0.21390091518436721</v>
      </c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</row>
    <row r="1249" spans="8:50" x14ac:dyDescent="0.25"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7">
        <f t="shared" ca="1" si="19"/>
        <v>3.4051689616324668E-2</v>
      </c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</row>
    <row r="1250" spans="8:50" x14ac:dyDescent="0.25"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7">
        <f t="shared" ca="1" si="19"/>
        <v>0.42107291175990985</v>
      </c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</row>
    <row r="1251" spans="8:50" x14ac:dyDescent="0.25"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7">
        <f t="shared" ca="1" si="19"/>
        <v>3.9684322020679119E-4</v>
      </c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</row>
    <row r="1252" spans="8:50" x14ac:dyDescent="0.25"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7">
        <f t="shared" ca="1" si="19"/>
        <v>-0.14160200598366462</v>
      </c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</row>
    <row r="1253" spans="8:50" x14ac:dyDescent="0.25"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7">
        <f t="shared" ca="1" si="19"/>
        <v>-8.7745531915104716E-2</v>
      </c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</row>
    <row r="1254" spans="8:50" x14ac:dyDescent="0.25"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7">
        <f t="shared" ca="1" si="19"/>
        <v>1.4971936843258121E-2</v>
      </c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</row>
    <row r="1255" spans="8:50" x14ac:dyDescent="0.25"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7">
        <f t="shared" ca="1" si="19"/>
        <v>1.5227520652047674E-2</v>
      </c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</row>
    <row r="1256" spans="8:50" x14ac:dyDescent="0.25"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7">
        <f t="shared" ca="1" si="19"/>
        <v>-7.5157729619271793E-2</v>
      </c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</row>
    <row r="1257" spans="8:50" x14ac:dyDescent="0.25"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7">
        <f t="shared" ca="1" si="19"/>
        <v>2.9391535309913758E-3</v>
      </c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</row>
    <row r="1258" spans="8:50" x14ac:dyDescent="0.25"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7">
        <f t="shared" ca="1" si="19"/>
        <v>0.30791854299208826</v>
      </c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</row>
    <row r="1259" spans="8:50" x14ac:dyDescent="0.25"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7">
        <f t="shared" ca="1" si="19"/>
        <v>0.34354789282141684</v>
      </c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</row>
    <row r="1260" spans="8:50" x14ac:dyDescent="0.25"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7">
        <f t="shared" ca="1" si="19"/>
        <v>-0.32117212089626845</v>
      </c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</row>
    <row r="1261" spans="8:50" x14ac:dyDescent="0.25"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7">
        <f t="shared" ca="1" si="19"/>
        <v>-1.7805232878310803E-2</v>
      </c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</row>
    <row r="1262" spans="8:50" x14ac:dyDescent="0.25"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7">
        <f t="shared" ca="1" si="19"/>
        <v>0.12131045612914668</v>
      </c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</row>
    <row r="1263" spans="8:50" x14ac:dyDescent="0.25"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7">
        <f t="shared" ca="1" si="19"/>
        <v>6.428424042005422E-2</v>
      </c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</row>
    <row r="1264" spans="8:50" x14ac:dyDescent="0.25"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7">
        <f t="shared" ca="1" si="19"/>
        <v>1.3807224654682065E-3</v>
      </c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</row>
    <row r="1265" spans="8:50" x14ac:dyDescent="0.25"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7">
        <f t="shared" ca="1" si="19"/>
        <v>0.16001189107822597</v>
      </c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</row>
    <row r="1266" spans="8:50" x14ac:dyDescent="0.25"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7">
        <f t="shared" ca="1" si="19"/>
        <v>6.0193360040004855E-2</v>
      </c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</row>
    <row r="1267" spans="8:50" x14ac:dyDescent="0.25"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7">
        <f t="shared" ca="1" si="19"/>
        <v>0.23706176354527769</v>
      </c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</row>
    <row r="1268" spans="8:50" x14ac:dyDescent="0.25"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7">
        <f t="shared" ca="1" si="19"/>
        <v>-9.6024339768351757E-3</v>
      </c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</row>
    <row r="1269" spans="8:50" x14ac:dyDescent="0.25"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7">
        <f t="shared" ca="1" si="19"/>
        <v>0.16478245189099042</v>
      </c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</row>
    <row r="1270" spans="8:50" x14ac:dyDescent="0.25"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7">
        <f t="shared" ca="1" si="19"/>
        <v>0.36223091839482857</v>
      </c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</row>
    <row r="1271" spans="8:50" x14ac:dyDescent="0.25"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7">
        <f t="shared" ca="1" si="19"/>
        <v>6.7272492263987724E-2</v>
      </c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</row>
    <row r="1272" spans="8:50" x14ac:dyDescent="0.25"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7">
        <f t="shared" ca="1" si="19"/>
        <v>0.30280614998465094</v>
      </c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</row>
    <row r="1273" spans="8:50" x14ac:dyDescent="0.25"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7">
        <f t="shared" ca="1" si="19"/>
        <v>0.26664652353736534</v>
      </c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</row>
    <row r="1274" spans="8:50" x14ac:dyDescent="0.25"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7">
        <f t="shared" ca="1" si="19"/>
        <v>0.2369930382534845</v>
      </c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</row>
    <row r="1275" spans="8:50" x14ac:dyDescent="0.25"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7">
        <f t="shared" ca="1" si="19"/>
        <v>0.26926397644866001</v>
      </c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</row>
    <row r="1276" spans="8:50" x14ac:dyDescent="0.25"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7">
        <f t="shared" ca="1" si="19"/>
        <v>0.21508799036574566</v>
      </c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</row>
    <row r="1277" spans="8:50" x14ac:dyDescent="0.25"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7">
        <f t="shared" ca="1" si="19"/>
        <v>0.51173256369137943</v>
      </c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</row>
    <row r="1278" spans="8:50" x14ac:dyDescent="0.25"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7">
        <f t="shared" ca="1" si="19"/>
        <v>0.25154651376652953</v>
      </c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</row>
    <row r="1279" spans="8:50" x14ac:dyDescent="0.25"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7">
        <f t="shared" ca="1" si="19"/>
        <v>0.13243981768965818</v>
      </c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</row>
    <row r="1280" spans="8:50" x14ac:dyDescent="0.25"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7">
        <f t="shared" ca="1" si="19"/>
        <v>0.22193465254187766</v>
      </c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</row>
    <row r="1281" spans="8:50" x14ac:dyDescent="0.25"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7">
        <f t="shared" ca="1" si="19"/>
        <v>-0.20673260441461239</v>
      </c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</row>
    <row r="1282" spans="8:50" x14ac:dyDescent="0.25"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7">
        <f t="shared" ca="1" si="19"/>
        <v>0.42263882963200722</v>
      </c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</row>
    <row r="1283" spans="8:50" x14ac:dyDescent="0.25"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7">
        <f t="shared" ca="1" si="19"/>
        <v>0.12944276123334936</v>
      </c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</row>
    <row r="1284" spans="8:50" x14ac:dyDescent="0.25"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7">
        <f t="shared" ca="1" si="19"/>
        <v>0.25338201596900417</v>
      </c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</row>
    <row r="1285" spans="8:50" x14ac:dyDescent="0.25"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7">
        <f t="shared" ca="1" si="19"/>
        <v>0.2802869820286133</v>
      </c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</row>
    <row r="1286" spans="8:50" x14ac:dyDescent="0.25"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7">
        <f t="shared" ref="W1286:W1349" ca="1" si="20">+NORMINV(RAND(),$U$2,$U$3)</f>
        <v>0.26049894729009471</v>
      </c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</row>
    <row r="1287" spans="8:50" x14ac:dyDescent="0.25"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7">
        <f t="shared" ca="1" si="20"/>
        <v>0.23779478685814648</v>
      </c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</row>
    <row r="1288" spans="8:50" x14ac:dyDescent="0.25"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7">
        <f t="shared" ca="1" si="20"/>
        <v>9.1540862127281256E-2</v>
      </c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</row>
    <row r="1289" spans="8:50" x14ac:dyDescent="0.25"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7">
        <f t="shared" ca="1" si="20"/>
        <v>0.23591545507765849</v>
      </c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</row>
    <row r="1290" spans="8:50" x14ac:dyDescent="0.25"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7">
        <f t="shared" ca="1" si="20"/>
        <v>0.38804148479809969</v>
      </c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</row>
    <row r="1291" spans="8:50" x14ac:dyDescent="0.25"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7">
        <f t="shared" ca="1" si="20"/>
        <v>2.6623730468390019E-2</v>
      </c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</row>
    <row r="1292" spans="8:50" x14ac:dyDescent="0.25"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7">
        <f t="shared" ca="1" si="20"/>
        <v>0.18651434126469474</v>
      </c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</row>
    <row r="1293" spans="8:50" x14ac:dyDescent="0.25"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7">
        <f t="shared" ca="1" si="20"/>
        <v>7.1837962729763408E-2</v>
      </c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</row>
    <row r="1294" spans="8:50" x14ac:dyDescent="0.25"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7">
        <f t="shared" ca="1" si="20"/>
        <v>0.21995274617823998</v>
      </c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</row>
    <row r="1295" spans="8:50" x14ac:dyDescent="0.25"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7">
        <f t="shared" ca="1" si="20"/>
        <v>8.5761635252623369E-2</v>
      </c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</row>
    <row r="1296" spans="8:50" x14ac:dyDescent="0.25"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7">
        <f t="shared" ca="1" si="20"/>
        <v>0.25676865279031386</v>
      </c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</row>
    <row r="1297" spans="8:50" x14ac:dyDescent="0.25"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7">
        <f t="shared" ca="1" si="20"/>
        <v>5.1497135526025042E-2</v>
      </c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</row>
    <row r="1298" spans="8:50" x14ac:dyDescent="0.25"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7">
        <f t="shared" ca="1" si="20"/>
        <v>0.19284917746863836</v>
      </c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</row>
    <row r="1299" spans="8:50" x14ac:dyDescent="0.25"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7">
        <f t="shared" ca="1" si="20"/>
        <v>0.197928896801707</v>
      </c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</row>
    <row r="1300" spans="8:50" x14ac:dyDescent="0.25"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7">
        <f t="shared" ca="1" si="20"/>
        <v>0.20078899727266719</v>
      </c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</row>
    <row r="1301" spans="8:50" x14ac:dyDescent="0.25"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7">
        <f t="shared" ca="1" si="20"/>
        <v>0.1903643484824584</v>
      </c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</row>
    <row r="1302" spans="8:50" x14ac:dyDescent="0.25"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7">
        <f t="shared" ca="1" si="20"/>
        <v>5.874534474616646E-2</v>
      </c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</row>
    <row r="1303" spans="8:50" x14ac:dyDescent="0.25"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7">
        <f t="shared" ca="1" si="20"/>
        <v>-5.8950218163911869E-2</v>
      </c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</row>
    <row r="1304" spans="8:50" x14ac:dyDescent="0.25"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7">
        <f t="shared" ca="1" si="20"/>
        <v>-0.14293335843535743</v>
      </c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</row>
    <row r="1305" spans="8:50" x14ac:dyDescent="0.25"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7">
        <f t="shared" ca="1" si="20"/>
        <v>0.16848619967429485</v>
      </c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</row>
    <row r="1306" spans="8:50" x14ac:dyDescent="0.25"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7">
        <f t="shared" ca="1" si="20"/>
        <v>-0.16877374607887041</v>
      </c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</row>
    <row r="1307" spans="8:50" x14ac:dyDescent="0.25"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7">
        <f t="shared" ca="1" si="20"/>
        <v>3.4588065733334269E-2</v>
      </c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</row>
    <row r="1308" spans="8:50" x14ac:dyDescent="0.25"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7">
        <f t="shared" ca="1" si="20"/>
        <v>0.14390950066396135</v>
      </c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</row>
    <row r="1309" spans="8:50" x14ac:dyDescent="0.25"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7">
        <f t="shared" ca="1" si="20"/>
        <v>0.160608112614951</v>
      </c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</row>
    <row r="1310" spans="8:50" x14ac:dyDescent="0.25"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7">
        <f t="shared" ca="1" si="20"/>
        <v>0.21795825852214651</v>
      </c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</row>
    <row r="1311" spans="8:50" x14ac:dyDescent="0.25"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7">
        <f t="shared" ca="1" si="20"/>
        <v>-0.12329262748867954</v>
      </c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</row>
    <row r="1312" spans="8:50" x14ac:dyDescent="0.25"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7">
        <f t="shared" ca="1" si="20"/>
        <v>0.22620671121407404</v>
      </c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</row>
    <row r="1313" spans="8:50" x14ac:dyDescent="0.25"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7">
        <f t="shared" ca="1" si="20"/>
        <v>0.35929613909861002</v>
      </c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</row>
    <row r="1314" spans="8:50" x14ac:dyDescent="0.25"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7">
        <f t="shared" ca="1" si="20"/>
        <v>0.28978142837012821</v>
      </c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</row>
    <row r="1315" spans="8:50" x14ac:dyDescent="0.25"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7">
        <f t="shared" ca="1" si="20"/>
        <v>0.21427583943338502</v>
      </c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</row>
    <row r="1316" spans="8:50" x14ac:dyDescent="0.25"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7">
        <f t="shared" ca="1" si="20"/>
        <v>0.13530762286941181</v>
      </c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</row>
    <row r="1317" spans="8:50" x14ac:dyDescent="0.25"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7">
        <f t="shared" ca="1" si="20"/>
        <v>0.20330573428639098</v>
      </c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</row>
    <row r="1318" spans="8:50" x14ac:dyDescent="0.25"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7">
        <f t="shared" ca="1" si="20"/>
        <v>-0.11015511871995064</v>
      </c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</row>
    <row r="1319" spans="8:50" x14ac:dyDescent="0.25"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7">
        <f t="shared" ca="1" si="20"/>
        <v>0.12832932477397926</v>
      </c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</row>
    <row r="1320" spans="8:50" x14ac:dyDescent="0.25"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7">
        <f t="shared" ca="1" si="20"/>
        <v>-4.1770384785723383E-2</v>
      </c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</row>
    <row r="1321" spans="8:50" x14ac:dyDescent="0.25"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7">
        <f t="shared" ca="1" si="20"/>
        <v>0.33363391328136455</v>
      </c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</row>
    <row r="1322" spans="8:50" x14ac:dyDescent="0.25"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7">
        <f t="shared" ca="1" si="20"/>
        <v>9.4239270836991115E-2</v>
      </c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</row>
    <row r="1323" spans="8:50" x14ac:dyDescent="0.25"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7">
        <f t="shared" ca="1" si="20"/>
        <v>-9.1081744659757866E-2</v>
      </c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</row>
    <row r="1324" spans="8:50" x14ac:dyDescent="0.25"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7">
        <f t="shared" ca="1" si="20"/>
        <v>0.28584879611271319</v>
      </c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</row>
    <row r="1325" spans="8:50" x14ac:dyDescent="0.25"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7">
        <f t="shared" ca="1" si="20"/>
        <v>0.19495709240904452</v>
      </c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</row>
    <row r="1326" spans="8:50" x14ac:dyDescent="0.25"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7">
        <f t="shared" ca="1" si="20"/>
        <v>8.7164070015691764E-2</v>
      </c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</row>
    <row r="1327" spans="8:50" x14ac:dyDescent="0.25"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7">
        <f t="shared" ca="1" si="20"/>
        <v>-1.2207574819259312E-2</v>
      </c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</row>
    <row r="1328" spans="8:50" x14ac:dyDescent="0.25"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7">
        <f t="shared" ca="1" si="20"/>
        <v>-0.16833061548362721</v>
      </c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</row>
    <row r="1329" spans="8:50" x14ac:dyDescent="0.25"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7">
        <f t="shared" ca="1" si="20"/>
        <v>0.39157659863729471</v>
      </c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</row>
    <row r="1330" spans="8:50" x14ac:dyDescent="0.25"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7">
        <f t="shared" ca="1" si="20"/>
        <v>3.1997280029823882E-2</v>
      </c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</row>
    <row r="1331" spans="8:50" x14ac:dyDescent="0.25"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7">
        <f t="shared" ca="1" si="20"/>
        <v>0.15610436784098733</v>
      </c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</row>
    <row r="1332" spans="8:50" x14ac:dyDescent="0.25"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7">
        <f t="shared" ca="1" si="20"/>
        <v>2.9996428514143678E-2</v>
      </c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</row>
    <row r="1333" spans="8:50" x14ac:dyDescent="0.25"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7">
        <f t="shared" ca="1" si="20"/>
        <v>0.24692890696440062</v>
      </c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</row>
    <row r="1334" spans="8:50" x14ac:dyDescent="0.25"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7">
        <f t="shared" ca="1" si="20"/>
        <v>0.12206452498198593</v>
      </c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</row>
    <row r="1335" spans="8:50" x14ac:dyDescent="0.25"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7">
        <f t="shared" ca="1" si="20"/>
        <v>0.23666536530777058</v>
      </c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</row>
    <row r="1336" spans="8:50" x14ac:dyDescent="0.25"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7">
        <f t="shared" ca="1" si="20"/>
        <v>-1.2798792300045728E-2</v>
      </c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</row>
    <row r="1337" spans="8:50" x14ac:dyDescent="0.25"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7">
        <f t="shared" ca="1" si="20"/>
        <v>-2.5444522040768677E-2</v>
      </c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</row>
    <row r="1338" spans="8:50" x14ac:dyDescent="0.25"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7">
        <f t="shared" ca="1" si="20"/>
        <v>0.58736675678564487</v>
      </c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</row>
    <row r="1339" spans="8:50" x14ac:dyDescent="0.25"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7">
        <f t="shared" ca="1" si="20"/>
        <v>0.35159853510805383</v>
      </c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</row>
    <row r="1340" spans="8:50" x14ac:dyDescent="0.25"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7">
        <f t="shared" ca="1" si="20"/>
        <v>-5.2270223624325943E-2</v>
      </c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</row>
    <row r="1341" spans="8:50" x14ac:dyDescent="0.25"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7">
        <f t="shared" ca="1" si="20"/>
        <v>0.41862338741860639</v>
      </c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</row>
    <row r="1342" spans="8:50" x14ac:dyDescent="0.25"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7">
        <f t="shared" ca="1" si="20"/>
        <v>0.34571501116079489</v>
      </c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</row>
    <row r="1343" spans="8:50" x14ac:dyDescent="0.25"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7">
        <f t="shared" ca="1" si="20"/>
        <v>0.23685985318996008</v>
      </c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</row>
    <row r="1344" spans="8:50" x14ac:dyDescent="0.25"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7">
        <f t="shared" ca="1" si="20"/>
        <v>0.12765635411841747</v>
      </c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</row>
    <row r="1345" spans="8:50" x14ac:dyDescent="0.25"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7">
        <f t="shared" ca="1" si="20"/>
        <v>-5.9932008368953557E-2</v>
      </c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</row>
    <row r="1346" spans="8:50" x14ac:dyDescent="0.25"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7">
        <f t="shared" ca="1" si="20"/>
        <v>0.15636803159960638</v>
      </c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</row>
    <row r="1347" spans="8:50" x14ac:dyDescent="0.25"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7">
        <f t="shared" ca="1" si="20"/>
        <v>0.37281458345043972</v>
      </c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</row>
    <row r="1348" spans="8:50" x14ac:dyDescent="0.25"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7">
        <f t="shared" ca="1" si="20"/>
        <v>3.2051152206887298E-2</v>
      </c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</row>
    <row r="1349" spans="8:50" x14ac:dyDescent="0.25"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7">
        <f t="shared" ca="1" si="20"/>
        <v>0.2588214768574722</v>
      </c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</row>
    <row r="1350" spans="8:50" x14ac:dyDescent="0.25"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7">
        <f t="shared" ref="W1350:W1413" ca="1" si="21">+NORMINV(RAND(),$U$2,$U$3)</f>
        <v>0.19926500185390505</v>
      </c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</row>
    <row r="1351" spans="8:50" x14ac:dyDescent="0.25"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7">
        <f t="shared" ca="1" si="21"/>
        <v>0.2965020996560393</v>
      </c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</row>
    <row r="1352" spans="8:50" x14ac:dyDescent="0.25"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7">
        <f t="shared" ca="1" si="21"/>
        <v>1.5766497232750282E-2</v>
      </c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</row>
    <row r="1353" spans="8:50" x14ac:dyDescent="0.25"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7">
        <f t="shared" ca="1" si="21"/>
        <v>0.32770577439081139</v>
      </c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</row>
    <row r="1354" spans="8:50" x14ac:dyDescent="0.25"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7">
        <f t="shared" ca="1" si="21"/>
        <v>-0.13155062196114919</v>
      </c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</row>
    <row r="1355" spans="8:50" x14ac:dyDescent="0.25"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7">
        <f t="shared" ca="1" si="21"/>
        <v>1.5033457341006626E-2</v>
      </c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</row>
    <row r="1356" spans="8:50" x14ac:dyDescent="0.25"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7">
        <f t="shared" ca="1" si="21"/>
        <v>-0.23502365153065502</v>
      </c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</row>
    <row r="1357" spans="8:50" x14ac:dyDescent="0.25"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7">
        <f t="shared" ca="1" si="21"/>
        <v>-0.10381178551611796</v>
      </c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</row>
    <row r="1358" spans="8:50" x14ac:dyDescent="0.25"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7">
        <f t="shared" ca="1" si="21"/>
        <v>0.34038021282525599</v>
      </c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</row>
    <row r="1359" spans="8:50" x14ac:dyDescent="0.25"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7">
        <f t="shared" ca="1" si="21"/>
        <v>0.44884559917146583</v>
      </c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</row>
    <row r="1360" spans="8:50" x14ac:dyDescent="0.25"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7">
        <f t="shared" ca="1" si="21"/>
        <v>8.6407933347696017E-2</v>
      </c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</row>
    <row r="1361" spans="8:50" x14ac:dyDescent="0.25"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7">
        <f t="shared" ca="1" si="21"/>
        <v>0.2541240376401584</v>
      </c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</row>
    <row r="1362" spans="8:50" x14ac:dyDescent="0.25"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7">
        <f t="shared" ca="1" si="21"/>
        <v>0.32244184461773467</v>
      </c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</row>
    <row r="1363" spans="8:50" x14ac:dyDescent="0.25"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7">
        <f t="shared" ca="1" si="21"/>
        <v>-2.7963540015265367E-2</v>
      </c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</row>
    <row r="1364" spans="8:50" x14ac:dyDescent="0.25"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7">
        <f t="shared" ca="1" si="21"/>
        <v>-0.24565576592558985</v>
      </c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</row>
    <row r="1365" spans="8:50" x14ac:dyDescent="0.25"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7">
        <f t="shared" ca="1" si="21"/>
        <v>0.15717085978685574</v>
      </c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</row>
    <row r="1366" spans="8:50" x14ac:dyDescent="0.25"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7">
        <f t="shared" ca="1" si="21"/>
        <v>0.16651551160336042</v>
      </c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</row>
    <row r="1367" spans="8:50" x14ac:dyDescent="0.25"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7">
        <f t="shared" ca="1" si="21"/>
        <v>0.19706230530762409</v>
      </c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</row>
    <row r="1368" spans="8:50" x14ac:dyDescent="0.25"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7">
        <f t="shared" ca="1" si="21"/>
        <v>4.3813762488600555E-2</v>
      </c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</row>
    <row r="1369" spans="8:50" x14ac:dyDescent="0.25"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7">
        <f t="shared" ca="1" si="21"/>
        <v>7.23847765367895E-2</v>
      </c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</row>
    <row r="1370" spans="8:50" x14ac:dyDescent="0.25"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7">
        <f t="shared" ca="1" si="21"/>
        <v>0.26022431753431008</v>
      </c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</row>
    <row r="1371" spans="8:50" x14ac:dyDescent="0.25"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7">
        <f t="shared" ca="1" si="21"/>
        <v>-0.30548310841945087</v>
      </c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</row>
    <row r="1372" spans="8:50" x14ac:dyDescent="0.25"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7">
        <f t="shared" ca="1" si="21"/>
        <v>0.26206700178750009</v>
      </c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</row>
    <row r="1373" spans="8:50" x14ac:dyDescent="0.25"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7">
        <f t="shared" ca="1" si="21"/>
        <v>0.24982600257428883</v>
      </c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</row>
    <row r="1374" spans="8:50" x14ac:dyDescent="0.25"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7">
        <f t="shared" ca="1" si="21"/>
        <v>-6.9204210988130191E-2</v>
      </c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</row>
    <row r="1375" spans="8:50" x14ac:dyDescent="0.25"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7">
        <f t="shared" ca="1" si="21"/>
        <v>-3.46902330139333E-2</v>
      </c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</row>
    <row r="1376" spans="8:50" x14ac:dyDescent="0.25"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7">
        <f t="shared" ca="1" si="21"/>
        <v>-8.9768807214882687E-2</v>
      </c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</row>
    <row r="1377" spans="8:50" x14ac:dyDescent="0.25"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7">
        <f t="shared" ca="1" si="21"/>
        <v>7.1338451559656541E-2</v>
      </c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</row>
    <row r="1378" spans="8:50" x14ac:dyDescent="0.25"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7">
        <f t="shared" ca="1" si="21"/>
        <v>2.5858765125400127E-2</v>
      </c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</row>
    <row r="1379" spans="8:50" x14ac:dyDescent="0.25"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7">
        <f t="shared" ca="1" si="21"/>
        <v>6.3486783724428925E-2</v>
      </c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</row>
    <row r="1380" spans="8:50" x14ac:dyDescent="0.25"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7">
        <f t="shared" ca="1" si="21"/>
        <v>-7.8251832224513346E-3</v>
      </c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</row>
    <row r="1381" spans="8:50" x14ac:dyDescent="0.25"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7">
        <f t="shared" ca="1" si="21"/>
        <v>0.22509463795350429</v>
      </c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</row>
    <row r="1382" spans="8:50" x14ac:dyDescent="0.25"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7">
        <f t="shared" ca="1" si="21"/>
        <v>0.27435216767832016</v>
      </c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</row>
    <row r="1383" spans="8:50" x14ac:dyDescent="0.25"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7">
        <f t="shared" ca="1" si="21"/>
        <v>6.6388041492197666E-2</v>
      </c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</row>
    <row r="1384" spans="8:50" x14ac:dyDescent="0.25"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7">
        <f t="shared" ca="1" si="21"/>
        <v>0.12858142438192885</v>
      </c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</row>
    <row r="1385" spans="8:50" x14ac:dyDescent="0.25"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7">
        <f t="shared" ca="1" si="21"/>
        <v>5.4118327050869074E-2</v>
      </c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</row>
    <row r="1386" spans="8:50" x14ac:dyDescent="0.25"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7">
        <f t="shared" ca="1" si="21"/>
        <v>0.12687238110069751</v>
      </c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</row>
    <row r="1387" spans="8:50" x14ac:dyDescent="0.25"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7">
        <f t="shared" ca="1" si="21"/>
        <v>-0.12212825094760883</v>
      </c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</row>
    <row r="1388" spans="8:50" x14ac:dyDescent="0.25"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7">
        <f t="shared" ca="1" si="21"/>
        <v>5.0406618811082646E-2</v>
      </c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</row>
    <row r="1389" spans="8:50" x14ac:dyDescent="0.25"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7">
        <f t="shared" ca="1" si="21"/>
        <v>0.54279138722191256</v>
      </c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</row>
    <row r="1390" spans="8:50" x14ac:dyDescent="0.25"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7">
        <f t="shared" ca="1" si="21"/>
        <v>0.29133760075111381</v>
      </c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</row>
    <row r="1391" spans="8:50" x14ac:dyDescent="0.25"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7">
        <f t="shared" ca="1" si="21"/>
        <v>0.26629736097010087</v>
      </c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</row>
    <row r="1392" spans="8:50" x14ac:dyDescent="0.25"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7">
        <f t="shared" ca="1" si="21"/>
        <v>0.45399144955817583</v>
      </c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</row>
    <row r="1393" spans="8:50" x14ac:dyDescent="0.25"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7">
        <f t="shared" ca="1" si="21"/>
        <v>0.41109262738303193</v>
      </c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</row>
    <row r="1394" spans="8:50" x14ac:dyDescent="0.25"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7">
        <f t="shared" ca="1" si="21"/>
        <v>0.27963489415551046</v>
      </c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</row>
    <row r="1395" spans="8:50" x14ac:dyDescent="0.25"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7">
        <f t="shared" ca="1" si="21"/>
        <v>5.1207491072899299E-2</v>
      </c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</row>
    <row r="1396" spans="8:50" x14ac:dyDescent="0.25"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7">
        <f t="shared" ca="1" si="21"/>
        <v>0.30290783228155227</v>
      </c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</row>
    <row r="1397" spans="8:50" x14ac:dyDescent="0.25"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7">
        <f t="shared" ca="1" si="21"/>
        <v>-2.9968624849562434E-2</v>
      </c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</row>
    <row r="1398" spans="8:50" x14ac:dyDescent="0.25"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7">
        <f t="shared" ca="1" si="21"/>
        <v>0.13297477088904774</v>
      </c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</row>
    <row r="1399" spans="8:50" x14ac:dyDescent="0.25"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7">
        <f t="shared" ca="1" si="21"/>
        <v>0.14318773254343983</v>
      </c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</row>
    <row r="1400" spans="8:50" x14ac:dyDescent="0.25"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7">
        <f t="shared" ca="1" si="21"/>
        <v>2.4921170172631221E-2</v>
      </c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</row>
    <row r="1401" spans="8:50" x14ac:dyDescent="0.25"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7">
        <f t="shared" ca="1" si="21"/>
        <v>6.9449367439493093E-2</v>
      </c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</row>
    <row r="1402" spans="8:50" x14ac:dyDescent="0.25"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7">
        <f t="shared" ca="1" si="21"/>
        <v>5.5042827504615199E-2</v>
      </c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</row>
    <row r="1403" spans="8:50" x14ac:dyDescent="0.25"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7">
        <f t="shared" ca="1" si="21"/>
        <v>-0.21969513078769976</v>
      </c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</row>
    <row r="1404" spans="8:50" x14ac:dyDescent="0.25"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7">
        <f t="shared" ca="1" si="21"/>
        <v>0.23011778457775894</v>
      </c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</row>
    <row r="1405" spans="8:50" x14ac:dyDescent="0.25"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7">
        <f t="shared" ca="1" si="21"/>
        <v>0.2772400677446562</v>
      </c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</row>
    <row r="1406" spans="8:50" x14ac:dyDescent="0.25"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7">
        <f t="shared" ca="1" si="21"/>
        <v>8.7725886244098564E-2</v>
      </c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</row>
    <row r="1407" spans="8:50" x14ac:dyDescent="0.25"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7">
        <f t="shared" ca="1" si="21"/>
        <v>0.18552174561632651</v>
      </c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</row>
    <row r="1408" spans="8:50" x14ac:dyDescent="0.25"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7">
        <f t="shared" ca="1" si="21"/>
        <v>0.1897274243630459</v>
      </c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</row>
    <row r="1409" spans="8:50" x14ac:dyDescent="0.25"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7">
        <f t="shared" ca="1" si="21"/>
        <v>0.17863746158816252</v>
      </c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</row>
    <row r="1410" spans="8:50" x14ac:dyDescent="0.25"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7">
        <f t="shared" ca="1" si="21"/>
        <v>8.6270968193550512E-2</v>
      </c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</row>
    <row r="1411" spans="8:50" x14ac:dyDescent="0.25"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7">
        <f t="shared" ca="1" si="21"/>
        <v>-2.4671624621958307E-2</v>
      </c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</row>
    <row r="1412" spans="8:50" x14ac:dyDescent="0.25"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7">
        <f t="shared" ca="1" si="21"/>
        <v>5.4405873980663585E-2</v>
      </c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</row>
    <row r="1413" spans="8:50" x14ac:dyDescent="0.25"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7">
        <f t="shared" ca="1" si="21"/>
        <v>0.14129540287003675</v>
      </c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</row>
    <row r="1414" spans="8:50" x14ac:dyDescent="0.25"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7">
        <f t="shared" ref="W1414:W1477" ca="1" si="22">+NORMINV(RAND(),$U$2,$U$3)</f>
        <v>0.20923063909353584</v>
      </c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</row>
    <row r="1415" spans="8:50" x14ac:dyDescent="0.25"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7">
        <f t="shared" ca="1" si="22"/>
        <v>-6.9186840827512155E-2</v>
      </c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</row>
    <row r="1416" spans="8:50" x14ac:dyDescent="0.25"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7">
        <f t="shared" ca="1" si="22"/>
        <v>0.13989173825853674</v>
      </c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</row>
    <row r="1417" spans="8:50" x14ac:dyDescent="0.25"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7">
        <f t="shared" ca="1" si="22"/>
        <v>0.13629491104478017</v>
      </c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</row>
    <row r="1418" spans="8:50" x14ac:dyDescent="0.25"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7">
        <f t="shared" ca="1" si="22"/>
        <v>0.39149862182636147</v>
      </c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</row>
    <row r="1419" spans="8:50" x14ac:dyDescent="0.25"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7">
        <f t="shared" ca="1" si="22"/>
        <v>-1.8017929499682395E-3</v>
      </c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</row>
    <row r="1420" spans="8:50" x14ac:dyDescent="0.25"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7">
        <f t="shared" ca="1" si="22"/>
        <v>5.128958534407068E-2</v>
      </c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</row>
    <row r="1421" spans="8:50" x14ac:dyDescent="0.25"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7">
        <f t="shared" ca="1" si="22"/>
        <v>0.13362861610572702</v>
      </c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</row>
    <row r="1422" spans="8:50" x14ac:dyDescent="0.25"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7">
        <f t="shared" ca="1" si="22"/>
        <v>0.22370129355600463</v>
      </c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</row>
    <row r="1423" spans="8:50" x14ac:dyDescent="0.25"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7">
        <f t="shared" ca="1" si="22"/>
        <v>-0.18798898487997162</v>
      </c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</row>
    <row r="1424" spans="8:50" x14ac:dyDescent="0.25"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7">
        <f t="shared" ca="1" si="22"/>
        <v>0.13657995091205027</v>
      </c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</row>
    <row r="1425" spans="8:50" x14ac:dyDescent="0.25"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7">
        <f t="shared" ca="1" si="22"/>
        <v>0.13315466042328505</v>
      </c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</row>
    <row r="1426" spans="8:50" x14ac:dyDescent="0.25"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7">
        <f t="shared" ca="1" si="22"/>
        <v>0.36414647895789326</v>
      </c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</row>
    <row r="1427" spans="8:50" x14ac:dyDescent="0.25"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7">
        <f t="shared" ca="1" si="22"/>
        <v>-0.32828134952713278</v>
      </c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</row>
    <row r="1428" spans="8:50" x14ac:dyDescent="0.25"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7">
        <f t="shared" ca="1" si="22"/>
        <v>0.18553675236233991</v>
      </c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</row>
    <row r="1429" spans="8:50" x14ac:dyDescent="0.25"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7">
        <f t="shared" ca="1" si="22"/>
        <v>0.25834867449125043</v>
      </c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</row>
    <row r="1430" spans="8:50" x14ac:dyDescent="0.25"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7">
        <f t="shared" ca="1" si="22"/>
        <v>0.27418635222062587</v>
      </c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</row>
    <row r="1431" spans="8:50" x14ac:dyDescent="0.25"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7">
        <f t="shared" ca="1" si="22"/>
        <v>-0.14898590647692289</v>
      </c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</row>
    <row r="1432" spans="8:50" x14ac:dyDescent="0.25"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7">
        <f t="shared" ca="1" si="22"/>
        <v>-0.14803319703961182</v>
      </c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</row>
    <row r="1433" spans="8:50" x14ac:dyDescent="0.25"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7">
        <f t="shared" ca="1" si="22"/>
        <v>0.34901859406661534</v>
      </c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</row>
    <row r="1434" spans="8:50" x14ac:dyDescent="0.25"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7">
        <f t="shared" ca="1" si="22"/>
        <v>0.20418519603404206</v>
      </c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</row>
    <row r="1435" spans="8:50" x14ac:dyDescent="0.25"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7">
        <f t="shared" ca="1" si="22"/>
        <v>-2.2118502679110266E-2</v>
      </c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</row>
    <row r="1436" spans="8:50" x14ac:dyDescent="0.25"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7">
        <f t="shared" ca="1" si="22"/>
        <v>-0.35755574784659144</v>
      </c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</row>
    <row r="1437" spans="8:50" x14ac:dyDescent="0.25"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7">
        <f t="shared" ca="1" si="22"/>
        <v>0.36515600945080934</v>
      </c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</row>
    <row r="1438" spans="8:50" x14ac:dyDescent="0.25"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7">
        <f t="shared" ca="1" si="22"/>
        <v>-9.9815668048036515E-3</v>
      </c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</row>
    <row r="1439" spans="8:50" x14ac:dyDescent="0.25"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7">
        <f t="shared" ca="1" si="22"/>
        <v>-0.19311010462530864</v>
      </c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</row>
    <row r="1440" spans="8:50" x14ac:dyDescent="0.25"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7">
        <f t="shared" ca="1" si="22"/>
        <v>6.5323049107186698E-3</v>
      </c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</row>
    <row r="1441" spans="8:50" x14ac:dyDescent="0.25"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7">
        <f t="shared" ca="1" si="22"/>
        <v>2.4958984446656923E-2</v>
      </c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</row>
    <row r="1442" spans="8:50" x14ac:dyDescent="0.25"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7">
        <f t="shared" ca="1" si="22"/>
        <v>0.24800236933965791</v>
      </c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</row>
    <row r="1443" spans="8:50" x14ac:dyDescent="0.25"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7">
        <f t="shared" ca="1" si="22"/>
        <v>-0.13149611324314253</v>
      </c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</row>
    <row r="1444" spans="8:50" x14ac:dyDescent="0.25"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7">
        <f t="shared" ca="1" si="22"/>
        <v>-0.10992955715884033</v>
      </c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</row>
    <row r="1445" spans="8:50" x14ac:dyDescent="0.25"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7">
        <f t="shared" ca="1" si="22"/>
        <v>0.64511644236842447</v>
      </c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</row>
    <row r="1446" spans="8:50" x14ac:dyDescent="0.25"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7">
        <f t="shared" ca="1" si="22"/>
        <v>0.38632216122984858</v>
      </c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</row>
    <row r="1447" spans="8:50" x14ac:dyDescent="0.25"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7">
        <f t="shared" ca="1" si="22"/>
        <v>0.20229144031898555</v>
      </c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</row>
    <row r="1448" spans="8:50" x14ac:dyDescent="0.25"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7">
        <f t="shared" ca="1" si="22"/>
        <v>9.50338234842662E-2</v>
      </c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</row>
    <row r="1449" spans="8:50" x14ac:dyDescent="0.25"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7">
        <f t="shared" ca="1" si="22"/>
        <v>-0.11861649746317159</v>
      </c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</row>
    <row r="1450" spans="8:50" x14ac:dyDescent="0.25"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7">
        <f t="shared" ca="1" si="22"/>
        <v>0.28960911253409205</v>
      </c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</row>
    <row r="1451" spans="8:50" x14ac:dyDescent="0.25"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7">
        <f t="shared" ca="1" si="22"/>
        <v>0.19279326715102124</v>
      </c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</row>
    <row r="1452" spans="8:50" x14ac:dyDescent="0.25"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7">
        <f t="shared" ca="1" si="22"/>
        <v>1.2979114770856129E-2</v>
      </c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</row>
    <row r="1453" spans="8:50" x14ac:dyDescent="0.25"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7">
        <f t="shared" ca="1" si="22"/>
        <v>0.3930443034152219</v>
      </c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</row>
    <row r="1454" spans="8:50" x14ac:dyDescent="0.25"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7">
        <f t="shared" ca="1" si="22"/>
        <v>0.25058130802792533</v>
      </c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</row>
    <row r="1455" spans="8:50" x14ac:dyDescent="0.25"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7">
        <f t="shared" ca="1" si="22"/>
        <v>0.48460503205011163</v>
      </c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</row>
    <row r="1456" spans="8:50" x14ac:dyDescent="0.25"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7">
        <f t="shared" ca="1" si="22"/>
        <v>0.14366001063312756</v>
      </c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</row>
    <row r="1457" spans="8:50" x14ac:dyDescent="0.25"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7">
        <f t="shared" ca="1" si="22"/>
        <v>6.4809470513053302E-2</v>
      </c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</row>
    <row r="1458" spans="8:50" x14ac:dyDescent="0.25"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7">
        <f t="shared" ca="1" si="22"/>
        <v>-9.4769763093057444E-2</v>
      </c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</row>
    <row r="1459" spans="8:50" x14ac:dyDescent="0.25"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7">
        <f t="shared" ca="1" si="22"/>
        <v>0.55259038545023631</v>
      </c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</row>
    <row r="1460" spans="8:50" x14ac:dyDescent="0.25"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7">
        <f t="shared" ca="1" si="22"/>
        <v>7.1774652967765945E-2</v>
      </c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</row>
    <row r="1461" spans="8:50" x14ac:dyDescent="0.25"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7">
        <f t="shared" ca="1" si="22"/>
        <v>0.1861738040062223</v>
      </c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</row>
    <row r="1462" spans="8:50" x14ac:dyDescent="0.25"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7">
        <f t="shared" ca="1" si="22"/>
        <v>0.25150572546811267</v>
      </c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</row>
    <row r="1463" spans="8:50" x14ac:dyDescent="0.25"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7">
        <f t="shared" ca="1" si="22"/>
        <v>0.11444529302196348</v>
      </c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</row>
    <row r="1464" spans="8:50" x14ac:dyDescent="0.25"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7">
        <f t="shared" ca="1" si="22"/>
        <v>0.23872416625696163</v>
      </c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</row>
    <row r="1465" spans="8:50" x14ac:dyDescent="0.25"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7">
        <f t="shared" ca="1" si="22"/>
        <v>0.1945170366635548</v>
      </c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</row>
    <row r="1466" spans="8:50" x14ac:dyDescent="0.25"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7">
        <f t="shared" ca="1" si="22"/>
        <v>0.13099835541832014</v>
      </c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</row>
    <row r="1467" spans="8:50" x14ac:dyDescent="0.25"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7">
        <f t="shared" ca="1" si="22"/>
        <v>0.18500289526637348</v>
      </c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</row>
    <row r="1468" spans="8:50" x14ac:dyDescent="0.25"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7">
        <f t="shared" ca="1" si="22"/>
        <v>0.18701044766561617</v>
      </c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</row>
    <row r="1469" spans="8:50" x14ac:dyDescent="0.25"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7">
        <f t="shared" ca="1" si="22"/>
        <v>0.52572769623969762</v>
      </c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</row>
    <row r="1470" spans="8:50" x14ac:dyDescent="0.25"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7">
        <f t="shared" ca="1" si="22"/>
        <v>0.12464083527192929</v>
      </c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</row>
    <row r="1471" spans="8:50" x14ac:dyDescent="0.25"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7">
        <f t="shared" ca="1" si="22"/>
        <v>-0.18484113124992968</v>
      </c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</row>
    <row r="1472" spans="8:50" x14ac:dyDescent="0.25"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7">
        <f t="shared" ca="1" si="22"/>
        <v>0.21115751816302464</v>
      </c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</row>
    <row r="1473" spans="8:50" x14ac:dyDescent="0.25"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7">
        <f t="shared" ca="1" si="22"/>
        <v>0.12215838459846655</v>
      </c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</row>
    <row r="1474" spans="8:50" x14ac:dyDescent="0.25"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7">
        <f t="shared" ca="1" si="22"/>
        <v>0.28168238117189348</v>
      </c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</row>
    <row r="1475" spans="8:50" x14ac:dyDescent="0.25"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7">
        <f t="shared" ca="1" si="22"/>
        <v>0.11622759308360872</v>
      </c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</row>
    <row r="1476" spans="8:50" x14ac:dyDescent="0.25"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7">
        <f t="shared" ca="1" si="22"/>
        <v>1.0478624085608609E-2</v>
      </c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</row>
    <row r="1477" spans="8:50" x14ac:dyDescent="0.25"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7">
        <f t="shared" ca="1" si="22"/>
        <v>0.10466453974828296</v>
      </c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</row>
    <row r="1478" spans="8:50" x14ac:dyDescent="0.25"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7">
        <f t="shared" ref="W1478:W1516" ca="1" si="23">+NORMINV(RAND(),$U$2,$U$3)</f>
        <v>0.13292878643959602</v>
      </c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</row>
    <row r="1479" spans="8:50" x14ac:dyDescent="0.25"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7">
        <f t="shared" ca="1" si="23"/>
        <v>0.25988485380268722</v>
      </c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</row>
    <row r="1480" spans="8:50" x14ac:dyDescent="0.25"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7">
        <f t="shared" ca="1" si="23"/>
        <v>-3.2570106612311703E-2</v>
      </c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</row>
    <row r="1481" spans="8:50" x14ac:dyDescent="0.25"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7">
        <f t="shared" ca="1" si="23"/>
        <v>-0.16903428645429719</v>
      </c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</row>
    <row r="1482" spans="8:50" x14ac:dyDescent="0.25"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7">
        <f t="shared" ca="1" si="23"/>
        <v>0.10575855001507216</v>
      </c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</row>
    <row r="1483" spans="8:50" x14ac:dyDescent="0.25"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7">
        <f t="shared" ca="1" si="23"/>
        <v>0.16356071631003172</v>
      </c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</row>
    <row r="1484" spans="8:50" x14ac:dyDescent="0.25"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7">
        <f t="shared" ca="1" si="23"/>
        <v>0.12883253544033146</v>
      </c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</row>
    <row r="1485" spans="8:50" x14ac:dyDescent="0.25"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7">
        <f t="shared" ca="1" si="23"/>
        <v>-8.3613772219066809E-2</v>
      </c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</row>
    <row r="1486" spans="8:50" x14ac:dyDescent="0.25"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7">
        <f t="shared" ca="1" si="23"/>
        <v>-5.7839898396007519E-2</v>
      </c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</row>
    <row r="1487" spans="8:50" x14ac:dyDescent="0.25"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7">
        <f t="shared" ca="1" si="23"/>
        <v>-0.39314740660281167</v>
      </c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</row>
    <row r="1488" spans="8:50" x14ac:dyDescent="0.25"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7">
        <f t="shared" ca="1" si="23"/>
        <v>0.28572108598253709</v>
      </c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</row>
    <row r="1489" spans="8:50" x14ac:dyDescent="0.25"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7">
        <f t="shared" ca="1" si="23"/>
        <v>-0.15274590623347833</v>
      </c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</row>
    <row r="1490" spans="8:50" x14ac:dyDescent="0.25"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7">
        <f t="shared" ca="1" si="23"/>
        <v>0.17192460534121648</v>
      </c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</row>
    <row r="1491" spans="8:50" x14ac:dyDescent="0.25"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7">
        <f t="shared" ca="1" si="23"/>
        <v>0.16453465501668849</v>
      </c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</row>
    <row r="1492" spans="8:50" x14ac:dyDescent="0.25"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7">
        <f t="shared" ca="1" si="23"/>
        <v>0.36335280244897605</v>
      </c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</row>
    <row r="1493" spans="8:50" x14ac:dyDescent="0.25"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7">
        <f t="shared" ca="1" si="23"/>
        <v>0.43547177402634818</v>
      </c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</row>
    <row r="1494" spans="8:50" x14ac:dyDescent="0.25"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7">
        <f t="shared" ca="1" si="23"/>
        <v>0.46624365449194988</v>
      </c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</row>
    <row r="1495" spans="8:50" x14ac:dyDescent="0.25"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7">
        <f t="shared" ca="1" si="23"/>
        <v>-2.5920043803011925E-2</v>
      </c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</row>
    <row r="1496" spans="8:50" x14ac:dyDescent="0.25"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7">
        <f t="shared" ca="1" si="23"/>
        <v>8.7052671567961898E-2</v>
      </c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</row>
    <row r="1497" spans="8:50" x14ac:dyDescent="0.25"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7">
        <f t="shared" ca="1" si="23"/>
        <v>0.13029077483791776</v>
      </c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</row>
    <row r="1498" spans="8:50" x14ac:dyDescent="0.25"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7">
        <f t="shared" ca="1" si="23"/>
        <v>0.17410491738949524</v>
      </c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</row>
    <row r="1499" spans="8:50" x14ac:dyDescent="0.25"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7">
        <f t="shared" ca="1" si="23"/>
        <v>0.19158165969794183</v>
      </c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</row>
    <row r="1500" spans="8:50" x14ac:dyDescent="0.25"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7">
        <f t="shared" ca="1" si="23"/>
        <v>0.22416332185419854</v>
      </c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</row>
    <row r="1501" spans="8:50" x14ac:dyDescent="0.25"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7">
        <f t="shared" ca="1" si="23"/>
        <v>-8.4537267268859365E-2</v>
      </c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</row>
    <row r="1502" spans="8:50" x14ac:dyDescent="0.25"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7">
        <f t="shared" ca="1" si="23"/>
        <v>9.6172813676329544E-2</v>
      </c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</row>
    <row r="1503" spans="8:50" x14ac:dyDescent="0.25"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7">
        <f t="shared" ca="1" si="23"/>
        <v>7.6369667624363424E-2</v>
      </c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</row>
    <row r="1504" spans="8:50" x14ac:dyDescent="0.25"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7">
        <f t="shared" ca="1" si="23"/>
        <v>-8.2400491497387221E-2</v>
      </c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</row>
    <row r="1505" spans="8:50" x14ac:dyDescent="0.25"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7">
        <f t="shared" ca="1" si="23"/>
        <v>0.34369222611448846</v>
      </c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</row>
    <row r="1506" spans="8:50" x14ac:dyDescent="0.25"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7">
        <f t="shared" ca="1" si="23"/>
        <v>0.25902722665755418</v>
      </c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</row>
    <row r="1507" spans="8:50" x14ac:dyDescent="0.25"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7">
        <f t="shared" ca="1" si="23"/>
        <v>1.0261066444820638E-3</v>
      </c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</row>
    <row r="1508" spans="8:50" x14ac:dyDescent="0.25"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7">
        <f t="shared" ca="1" si="23"/>
        <v>-5.1427654062645309E-2</v>
      </c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</row>
    <row r="1509" spans="8:50" x14ac:dyDescent="0.25"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7">
        <f t="shared" ca="1" si="23"/>
        <v>-6.0237594603101782E-2</v>
      </c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</row>
    <row r="1510" spans="8:50" x14ac:dyDescent="0.25"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7">
        <f t="shared" ca="1" si="23"/>
        <v>-0.11016396382400319</v>
      </c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</row>
    <row r="1511" spans="8:50" x14ac:dyDescent="0.25"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7">
        <f t="shared" ca="1" si="23"/>
        <v>0.40638893176050911</v>
      </c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</row>
    <row r="1512" spans="8:50" x14ac:dyDescent="0.25"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7">
        <f t="shared" ca="1" si="23"/>
        <v>0.30636230661302793</v>
      </c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</row>
    <row r="1513" spans="8:50" x14ac:dyDescent="0.25"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7">
        <f t="shared" ca="1" si="23"/>
        <v>-0.20813926413937772</v>
      </c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</row>
    <row r="1514" spans="8:50" x14ac:dyDescent="0.25"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7">
        <f t="shared" ca="1" si="23"/>
        <v>4.9778711729667455E-2</v>
      </c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</row>
    <row r="1515" spans="8:50" x14ac:dyDescent="0.25"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7">
        <f t="shared" ca="1" si="23"/>
        <v>-0.17435454827031927</v>
      </c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</row>
    <row r="1516" spans="8:50" x14ac:dyDescent="0.25"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7">
        <f t="shared" ca="1" si="23"/>
        <v>0.29044594846863442</v>
      </c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</row>
    <row r="1517" spans="8:50" x14ac:dyDescent="0.25"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</row>
    <row r="1518" spans="8:50" x14ac:dyDescent="0.25"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</row>
    <row r="1519" spans="8:50" x14ac:dyDescent="0.25"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</row>
    <row r="1520" spans="8:50" x14ac:dyDescent="0.25"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</row>
    <row r="1521" spans="8:50" x14ac:dyDescent="0.25"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</row>
    <row r="1522" spans="8:50" x14ac:dyDescent="0.25"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</row>
    <row r="1523" spans="8:50" x14ac:dyDescent="0.25"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</row>
    <row r="1524" spans="8:50" x14ac:dyDescent="0.25"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</row>
    <row r="1525" spans="8:50" x14ac:dyDescent="0.25"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</row>
    <row r="1526" spans="8:50" x14ac:dyDescent="0.25"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</row>
    <row r="1527" spans="8:50" x14ac:dyDescent="0.25"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</row>
    <row r="1528" spans="8:50" x14ac:dyDescent="0.25"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</row>
    <row r="1529" spans="8:50" x14ac:dyDescent="0.25"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</row>
    <row r="1530" spans="8:50" x14ac:dyDescent="0.25"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</row>
    <row r="1531" spans="8:50" x14ac:dyDescent="0.25"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</row>
    <row r="1532" spans="8:50" x14ac:dyDescent="0.25"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</row>
    <row r="1533" spans="8:50" x14ac:dyDescent="0.25"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</row>
    <row r="1534" spans="8:50" x14ac:dyDescent="0.25"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</row>
    <row r="1535" spans="8:50" x14ac:dyDescent="0.25"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</row>
    <row r="1536" spans="8:50" x14ac:dyDescent="0.25"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</row>
    <row r="1537" spans="8:50" x14ac:dyDescent="0.25"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</row>
    <row r="1538" spans="8:50" x14ac:dyDescent="0.25"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</row>
    <row r="1539" spans="8:50" x14ac:dyDescent="0.25"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</row>
    <row r="1540" spans="8:50" x14ac:dyDescent="0.25"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</row>
    <row r="1541" spans="8:50" x14ac:dyDescent="0.25"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</row>
    <row r="1542" spans="8:50" x14ac:dyDescent="0.25"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</row>
    <row r="1543" spans="8:50" x14ac:dyDescent="0.25"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</row>
    <row r="1544" spans="8:50" x14ac:dyDescent="0.25"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</row>
    <row r="1545" spans="8:50" x14ac:dyDescent="0.25"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</row>
    <row r="1546" spans="8:50" x14ac:dyDescent="0.25"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</row>
    <row r="1547" spans="8:50" x14ac:dyDescent="0.25"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</row>
    <row r="1548" spans="8:50" x14ac:dyDescent="0.25"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</row>
    <row r="1549" spans="8:50" x14ac:dyDescent="0.25"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</row>
    <row r="1550" spans="8:50" x14ac:dyDescent="0.25"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</row>
    <row r="1551" spans="8:50" x14ac:dyDescent="0.25"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</row>
    <row r="1552" spans="8:50" x14ac:dyDescent="0.25"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</row>
    <row r="1553" spans="8:50" x14ac:dyDescent="0.25"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</row>
    <row r="1554" spans="8:50" x14ac:dyDescent="0.25"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</row>
    <row r="1555" spans="8:50" x14ac:dyDescent="0.25"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</row>
    <row r="1556" spans="8:50" x14ac:dyDescent="0.25"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</row>
    <row r="1557" spans="8:50" x14ac:dyDescent="0.25"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</row>
    <row r="1558" spans="8:50" x14ac:dyDescent="0.25"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</row>
    <row r="1559" spans="8:50" x14ac:dyDescent="0.25"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</row>
    <row r="1560" spans="8:50" x14ac:dyDescent="0.25"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</row>
    <row r="1561" spans="8:50" x14ac:dyDescent="0.25"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</row>
    <row r="1562" spans="8:50" x14ac:dyDescent="0.25"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</row>
    <row r="1563" spans="8:50" x14ac:dyDescent="0.25"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</row>
    <row r="1564" spans="8:50" x14ac:dyDescent="0.25"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</row>
    <row r="1565" spans="8:50" x14ac:dyDescent="0.25"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</row>
    <row r="1566" spans="8:50" x14ac:dyDescent="0.25"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</row>
    <row r="1567" spans="8:50" x14ac:dyDescent="0.25"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</row>
    <row r="1568" spans="8:50" x14ac:dyDescent="0.25"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</row>
    <row r="1569" spans="8:50" x14ac:dyDescent="0.25"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</row>
    <row r="1570" spans="8:50" x14ac:dyDescent="0.25"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</row>
    <row r="1571" spans="8:50" x14ac:dyDescent="0.25"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</row>
    <row r="1572" spans="8:50" x14ac:dyDescent="0.25"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</row>
    <row r="1573" spans="8:50" x14ac:dyDescent="0.25"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</row>
    <row r="1574" spans="8:50" x14ac:dyDescent="0.25"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</row>
    <row r="1575" spans="8:50" x14ac:dyDescent="0.25"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</row>
    <row r="1576" spans="8:50" x14ac:dyDescent="0.25"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</row>
    <row r="1577" spans="8:50" x14ac:dyDescent="0.25"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</row>
    <row r="1578" spans="8:50" x14ac:dyDescent="0.25"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</row>
    <row r="1579" spans="8:50" x14ac:dyDescent="0.25"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</row>
    <row r="1580" spans="8:50" x14ac:dyDescent="0.25"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</row>
    <row r="1581" spans="8:50" x14ac:dyDescent="0.25"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</row>
    <row r="1582" spans="8:50" x14ac:dyDescent="0.25"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</row>
    <row r="1583" spans="8:50" x14ac:dyDescent="0.25"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</row>
    <row r="1584" spans="8:50" x14ac:dyDescent="0.25"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</row>
    <row r="1585" spans="8:50" x14ac:dyDescent="0.25"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</row>
    <row r="1586" spans="8:50" x14ac:dyDescent="0.25"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</row>
    <row r="1587" spans="8:50" x14ac:dyDescent="0.25"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</row>
    <row r="1588" spans="8:50" x14ac:dyDescent="0.25"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</row>
    <row r="1589" spans="8:50" x14ac:dyDescent="0.25"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</row>
    <row r="1590" spans="8:50" x14ac:dyDescent="0.25"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</row>
    <row r="1591" spans="8:50" x14ac:dyDescent="0.25"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</row>
    <row r="1592" spans="8:50" x14ac:dyDescent="0.25"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</row>
    <row r="1593" spans="8:50" x14ac:dyDescent="0.25"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</row>
    <row r="1594" spans="8:50" x14ac:dyDescent="0.25"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</row>
    <row r="1595" spans="8:50" x14ac:dyDescent="0.25"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</row>
    <row r="1596" spans="8:50" x14ac:dyDescent="0.25"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</row>
    <row r="1597" spans="8:50" x14ac:dyDescent="0.25"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</row>
    <row r="1598" spans="8:50" x14ac:dyDescent="0.25"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</row>
    <row r="1599" spans="8:50" x14ac:dyDescent="0.25"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</row>
    <row r="1600" spans="8:50" x14ac:dyDescent="0.25"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</row>
    <row r="1601" spans="8:50" x14ac:dyDescent="0.25"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</row>
    <row r="1602" spans="8:50" x14ac:dyDescent="0.25"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</row>
    <row r="1603" spans="8:50" x14ac:dyDescent="0.25"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</row>
    <row r="1604" spans="8:50" x14ac:dyDescent="0.25"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</row>
    <row r="1605" spans="8:50" x14ac:dyDescent="0.25"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</row>
    <row r="1606" spans="8:50" x14ac:dyDescent="0.25"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</row>
    <row r="1607" spans="8:50" x14ac:dyDescent="0.25"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</row>
    <row r="1608" spans="8:50" x14ac:dyDescent="0.25"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</row>
    <row r="1609" spans="8:50" x14ac:dyDescent="0.25"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</row>
    <row r="1610" spans="8:50" x14ac:dyDescent="0.25"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</row>
    <row r="1611" spans="8:50" x14ac:dyDescent="0.25"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</row>
    <row r="1612" spans="8:50" x14ac:dyDescent="0.25"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</row>
    <row r="1613" spans="8:50" x14ac:dyDescent="0.25"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</row>
    <row r="1614" spans="8:50" x14ac:dyDescent="0.25"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</row>
    <row r="1615" spans="8:50" x14ac:dyDescent="0.25"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</row>
    <row r="1616" spans="8:50" x14ac:dyDescent="0.25"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</row>
    <row r="1617" spans="8:50" x14ac:dyDescent="0.25"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</row>
    <row r="1618" spans="8:50" x14ac:dyDescent="0.25"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</row>
    <row r="1619" spans="8:50" x14ac:dyDescent="0.25"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</row>
    <row r="1620" spans="8:50" x14ac:dyDescent="0.25"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</row>
    <row r="1621" spans="8:50" x14ac:dyDescent="0.25"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</row>
    <row r="1622" spans="8:50" x14ac:dyDescent="0.25"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</row>
    <row r="1623" spans="8:50" x14ac:dyDescent="0.25"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</row>
    <row r="1624" spans="8:50" x14ac:dyDescent="0.25"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404F44-8DEE-4BB2-8899-CB6EDB24D1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Markets</vt:lpstr>
      <vt:lpstr>S&amp;P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2024-05-29T15:25:23Z</dcterms:created>
  <dcterms:modified xsi:type="dcterms:W3CDTF">2026-08-03T09:10:20Z</dcterms:modified>
</cp:coreProperties>
</file>