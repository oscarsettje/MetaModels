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E14C641-6D6A-4692-A6ED-56A5767121FC}" xr6:coauthVersionLast="47" xr6:coauthVersionMax="47" xr10:uidLastSave="{00000000-0000-0000-0000-000000000000}"/>
  <bookViews>
    <workbookView xWindow="225" yWindow="4290" windowWidth="38175" windowHeight="15240" activeTab="2" xr2:uid="{3200E5B3-0EFC-4FC5-8F9E-F74C0FC60A47}"/>
  </bookViews>
  <sheets>
    <sheet name="Markets" sheetId="1" r:id="rId1"/>
    <sheet name="Commodities" sheetId="3" r:id="rId2"/>
    <sheet name="S&amp;P" sheetId="5" r:id="rId3"/>
  </sheets>
  <definedNames>
    <definedName name="_xlchart.v1.0" hidden="1">'S&amp;P'!$W$6:$W$1516</definedName>
    <definedName name="_xlchart.v1.1" hidden="1">'S&amp;P'!$J$3:$J$100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5" l="1"/>
  <c r="U4" i="5"/>
  <c r="U3" i="5"/>
  <c r="U2" i="5"/>
  <c r="W1268" i="5"/>
  <c r="W777" i="5" l="1"/>
  <c r="W779" i="5"/>
  <c r="W795" i="5"/>
  <c r="W796" i="5"/>
  <c r="W801" i="5"/>
  <c r="W860" i="5"/>
  <c r="W861" i="5"/>
  <c r="W863" i="5"/>
  <c r="W864" i="5"/>
  <c r="W865" i="5"/>
  <c r="W1083" i="5"/>
  <c r="W1147" i="5"/>
  <c r="W927" i="5"/>
  <c r="W485" i="5"/>
  <c r="W1148" i="5"/>
  <c r="W492" i="5"/>
  <c r="W1149" i="5"/>
  <c r="W493" i="5"/>
  <c r="W1151" i="5"/>
  <c r="W532" i="5"/>
  <c r="W1153" i="5"/>
  <c r="W533" i="5"/>
  <c r="W1215" i="5"/>
  <c r="W534" i="5"/>
  <c r="W1216" i="5"/>
  <c r="W536" i="5"/>
  <c r="W1217" i="5"/>
  <c r="W547" i="5"/>
  <c r="W1218" i="5"/>
  <c r="W590" i="5"/>
  <c r="W1219" i="5"/>
  <c r="W591" i="5"/>
  <c r="W1453" i="5"/>
  <c r="W592" i="5"/>
  <c r="W1456" i="5"/>
  <c r="W1296" i="5"/>
  <c r="W930" i="5"/>
  <c r="W993" i="5"/>
  <c r="W413" i="5"/>
  <c r="W995" i="5"/>
  <c r="W414" i="5"/>
  <c r="W1363" i="5"/>
  <c r="W651" i="5"/>
  <c r="W997" i="5"/>
  <c r="W417" i="5"/>
  <c r="W1370" i="5"/>
  <c r="W711" i="5"/>
  <c r="W1371" i="5"/>
  <c r="W715" i="5"/>
  <c r="W1064" i="5"/>
  <c r="W1437" i="5"/>
  <c r="W593" i="5"/>
  <c r="W928" i="5"/>
  <c r="W1281" i="5"/>
  <c r="W594" i="5"/>
  <c r="W929" i="5"/>
  <c r="W1283" i="5"/>
  <c r="W595" i="5"/>
  <c r="W647" i="5"/>
  <c r="W931" i="5"/>
  <c r="W1299" i="5"/>
  <c r="W648" i="5"/>
  <c r="W1300" i="5"/>
  <c r="W649" i="5"/>
  <c r="W1362" i="5"/>
  <c r="W650" i="5"/>
  <c r="W996" i="5"/>
  <c r="W416" i="5"/>
  <c r="W1369" i="5"/>
  <c r="W710" i="5"/>
  <c r="W998" i="5"/>
  <c r="W426" i="5"/>
  <c r="W1060" i="5"/>
  <c r="W429" i="5"/>
  <c r="W714" i="5"/>
  <c r="W1061" i="5"/>
  <c r="W1436" i="5"/>
  <c r="W471" i="5"/>
  <c r="W472" i="5"/>
  <c r="W716" i="5"/>
  <c r="W1082" i="5"/>
  <c r="W1440" i="5"/>
  <c r="W494" i="5"/>
  <c r="W551" i="5"/>
  <c r="W652" i="5"/>
  <c r="W866" i="5"/>
  <c r="W932" i="5"/>
  <c r="W999" i="5"/>
  <c r="W1084" i="5"/>
  <c r="W1154" i="5"/>
  <c r="W1457" i="5"/>
  <c r="W495" i="5"/>
  <c r="W606" i="5"/>
  <c r="W737" i="5"/>
  <c r="W804" i="5"/>
  <c r="W1089" i="5"/>
  <c r="W1155" i="5"/>
  <c r="W1458" i="5"/>
  <c r="W496" i="5"/>
  <c r="W497" i="5"/>
  <c r="W612" i="5"/>
  <c r="W869" i="5"/>
  <c r="W1023" i="5"/>
  <c r="W1092" i="5"/>
  <c r="W1463" i="5"/>
  <c r="W441" i="5"/>
  <c r="W498" i="5"/>
  <c r="W613" i="5"/>
  <c r="W872" i="5"/>
  <c r="W951" i="5"/>
  <c r="W1024" i="5"/>
  <c r="W1175" i="5"/>
  <c r="W1464" i="5"/>
  <c r="W499" i="5"/>
  <c r="W556" i="5"/>
  <c r="W677" i="5"/>
  <c r="W954" i="5"/>
  <c r="W1025" i="5"/>
  <c r="W1095" i="5"/>
  <c r="W1176" i="5"/>
  <c r="W1465" i="5"/>
  <c r="W29" i="5"/>
  <c r="W500" i="5"/>
  <c r="W557" i="5"/>
  <c r="W680" i="5"/>
  <c r="W875" i="5"/>
  <c r="W955" i="5"/>
  <c r="W1026" i="5"/>
  <c r="W1106" i="5"/>
  <c r="W1177" i="5"/>
  <c r="W1466" i="5"/>
  <c r="W150" i="5"/>
  <c r="W501" i="5"/>
  <c r="W558" i="5"/>
  <c r="W616" i="5"/>
  <c r="W810" i="5"/>
  <c r="W956" i="5"/>
  <c r="W1027" i="5"/>
  <c r="W1109" i="5"/>
  <c r="W1178" i="5"/>
  <c r="W1467" i="5"/>
  <c r="W204" i="5"/>
  <c r="W503" i="5"/>
  <c r="W560" i="5"/>
  <c r="W617" i="5"/>
  <c r="W891" i="5"/>
  <c r="W962" i="5"/>
  <c r="W1031" i="5"/>
  <c r="W1112" i="5"/>
  <c r="W1468" i="5"/>
  <c r="W206" i="5"/>
  <c r="W504" i="5"/>
  <c r="W561" i="5"/>
  <c r="W686" i="5"/>
  <c r="W892" i="5"/>
  <c r="W963" i="5"/>
  <c r="W1045" i="5"/>
  <c r="W1113" i="5"/>
  <c r="W1180" i="5"/>
  <c r="W1491" i="5"/>
  <c r="W456" i="5"/>
  <c r="W563" i="5"/>
  <c r="W687" i="5"/>
  <c r="W830" i="5"/>
  <c r="W964" i="5"/>
  <c r="U5" i="5"/>
  <c r="W1485" i="5"/>
  <c r="W1455" i="5"/>
  <c r="W1424" i="5"/>
  <c r="W1392" i="5"/>
  <c r="W1361" i="5"/>
  <c r="W1331" i="5"/>
  <c r="W1298" i="5"/>
  <c r="W1267" i="5"/>
  <c r="W1237" i="5"/>
  <c r="W1204" i="5"/>
  <c r="W1171" i="5"/>
  <c r="W1141" i="5"/>
  <c r="W1108" i="5"/>
  <c r="W1077" i="5"/>
  <c r="W1047" i="5"/>
  <c r="W1016" i="5"/>
  <c r="W984" i="5"/>
  <c r="W953" i="5"/>
  <c r="W923" i="5"/>
  <c r="W890" i="5"/>
  <c r="W859" i="5"/>
  <c r="W827" i="5"/>
  <c r="W794" i="5"/>
  <c r="W763" i="5"/>
  <c r="W733" i="5"/>
  <c r="W700" i="5"/>
  <c r="W669" i="5"/>
  <c r="W639" i="5"/>
  <c r="W609" i="5"/>
  <c r="W579" i="5"/>
  <c r="W549" i="5"/>
  <c r="W520" i="5"/>
  <c r="W488" i="5"/>
  <c r="W458" i="5"/>
  <c r="W428" i="5"/>
  <c r="W205" i="5"/>
  <c r="W1516" i="5"/>
  <c r="W1484" i="5"/>
  <c r="W1454" i="5"/>
  <c r="W1421" i="5"/>
  <c r="W1391" i="5"/>
  <c r="W1360" i="5"/>
  <c r="W1329" i="5"/>
  <c r="W1297" i="5"/>
  <c r="W1266" i="5"/>
  <c r="W1236" i="5"/>
  <c r="W1203" i="5"/>
  <c r="W1170" i="5"/>
  <c r="W1140" i="5"/>
  <c r="W1107" i="5"/>
  <c r="W1076" i="5"/>
  <c r="W1046" i="5"/>
  <c r="W1013" i="5"/>
  <c r="W983" i="5"/>
  <c r="W952" i="5"/>
  <c r="W921" i="5"/>
  <c r="W889" i="5"/>
  <c r="W858" i="5"/>
  <c r="W825" i="5"/>
  <c r="W793" i="5"/>
  <c r="W762" i="5"/>
  <c r="W732" i="5"/>
  <c r="W699" i="5"/>
  <c r="W668" i="5"/>
  <c r="W638" i="5"/>
  <c r="W608" i="5"/>
  <c r="W578" i="5"/>
  <c r="W548" i="5"/>
  <c r="W519" i="5"/>
  <c r="W486" i="5"/>
  <c r="W457" i="5"/>
  <c r="W427" i="5"/>
  <c r="W1514" i="5"/>
  <c r="W1482" i="5"/>
  <c r="W1452" i="5"/>
  <c r="W1419" i="5"/>
  <c r="W1388" i="5"/>
  <c r="W1358" i="5"/>
  <c r="W1325" i="5"/>
  <c r="W1295" i="5"/>
  <c r="W1264" i="5"/>
  <c r="W1233" i="5"/>
  <c r="W1199" i="5"/>
  <c r="W1168" i="5"/>
  <c r="W1137" i="5"/>
  <c r="W1105" i="5"/>
  <c r="W1074" i="5"/>
  <c r="W1044" i="5"/>
  <c r="W1011" i="5"/>
  <c r="W980" i="5"/>
  <c r="W950" i="5"/>
  <c r="W917" i="5"/>
  <c r="W887" i="5"/>
  <c r="W854" i="5"/>
  <c r="W821" i="5"/>
  <c r="W791" i="5"/>
  <c r="W760" i="5"/>
  <c r="W729" i="5"/>
  <c r="W697" i="5"/>
  <c r="W666" i="5"/>
  <c r="W636" i="5"/>
  <c r="W605" i="5"/>
  <c r="W576" i="5"/>
  <c r="W546" i="5"/>
  <c r="W515" i="5"/>
  <c r="W484" i="5"/>
  <c r="W455" i="5"/>
  <c r="W425" i="5"/>
  <c r="W149" i="5"/>
  <c r="W1448" i="5"/>
  <c r="W1322" i="5"/>
  <c r="W1226" i="5"/>
  <c r="W1132" i="5"/>
  <c r="W1071" i="5"/>
  <c r="W977" i="5"/>
  <c r="W881" i="5"/>
  <c r="W818" i="5"/>
  <c r="W757" i="5"/>
  <c r="W693" i="5"/>
  <c r="W632" i="5"/>
  <c r="W541" i="5"/>
  <c r="W451" i="5"/>
  <c r="W508" i="5"/>
  <c r="W84" i="5"/>
  <c r="W1443" i="5"/>
  <c r="W1349" i="5"/>
  <c r="W1286" i="5"/>
  <c r="W1223" i="5"/>
  <c r="W1129" i="5"/>
  <c r="W1035" i="5"/>
  <c r="W974" i="5"/>
  <c r="W845" i="5"/>
  <c r="W721" i="5"/>
  <c r="W596" i="5"/>
  <c r="W477" i="5"/>
  <c r="W1442" i="5"/>
  <c r="W1315" i="5"/>
  <c r="W1221" i="5"/>
  <c r="W1128" i="5"/>
  <c r="W1003" i="5"/>
  <c r="W877" i="5"/>
  <c r="W752" i="5"/>
  <c r="W1513" i="5"/>
  <c r="W1481" i="5"/>
  <c r="W1451" i="5"/>
  <c r="W1418" i="5"/>
  <c r="W1387" i="5"/>
  <c r="W1357" i="5"/>
  <c r="W1324" i="5"/>
  <c r="W1293" i="5"/>
  <c r="W1263" i="5"/>
  <c r="W1228" i="5"/>
  <c r="W1197" i="5"/>
  <c r="W1167" i="5"/>
  <c r="W1136" i="5"/>
  <c r="W1104" i="5"/>
  <c r="W1073" i="5"/>
  <c r="W1043" i="5"/>
  <c r="W1010" i="5"/>
  <c r="W979" i="5"/>
  <c r="W949" i="5"/>
  <c r="W916" i="5"/>
  <c r="W883" i="5"/>
  <c r="W853" i="5"/>
  <c r="W820" i="5"/>
  <c r="W789" i="5"/>
  <c r="W759" i="5"/>
  <c r="W728" i="5"/>
  <c r="W696" i="5"/>
  <c r="W665" i="5"/>
  <c r="W635" i="5"/>
  <c r="W604" i="5"/>
  <c r="W575" i="5"/>
  <c r="W543" i="5"/>
  <c r="W513" i="5"/>
  <c r="W483" i="5"/>
  <c r="W453" i="5"/>
  <c r="W424" i="5"/>
  <c r="W148" i="5"/>
  <c r="W1479" i="5"/>
  <c r="W1416" i="5"/>
  <c r="W1385" i="5"/>
  <c r="W1355" i="5"/>
  <c r="W1291" i="5"/>
  <c r="W1259" i="5"/>
  <c r="W1195" i="5"/>
  <c r="W1101" i="5"/>
  <c r="W1008" i="5"/>
  <c r="W912" i="5"/>
  <c r="W787" i="5"/>
  <c r="W663" i="5"/>
  <c r="W570" i="5"/>
  <c r="W481" i="5"/>
  <c r="W87" i="5"/>
  <c r="W479" i="5"/>
  <c r="W1476" i="5"/>
  <c r="W1253" i="5"/>
  <c r="W1098" i="5"/>
  <c r="W908" i="5"/>
  <c r="W753" i="5"/>
  <c r="W628" i="5"/>
  <c r="W507" i="5"/>
  <c r="W419" i="5"/>
  <c r="W1505" i="5"/>
  <c r="W1252" i="5"/>
  <c r="W1097" i="5"/>
  <c r="W938" i="5"/>
  <c r="W813" i="5"/>
  <c r="W720" i="5"/>
  <c r="W1512" i="5"/>
  <c r="W1480" i="5"/>
  <c r="W1449" i="5"/>
  <c r="W1417" i="5"/>
  <c r="W1386" i="5"/>
  <c r="W1356" i="5"/>
  <c r="W1323" i="5"/>
  <c r="W1292" i="5"/>
  <c r="W1262" i="5"/>
  <c r="W1227" i="5"/>
  <c r="W1196" i="5"/>
  <c r="W1166" i="5"/>
  <c r="W1133" i="5"/>
  <c r="W1103" i="5"/>
  <c r="W1072" i="5"/>
  <c r="W1041" i="5"/>
  <c r="W1009" i="5"/>
  <c r="W978" i="5"/>
  <c r="W948" i="5"/>
  <c r="W915" i="5"/>
  <c r="W882" i="5"/>
  <c r="W852" i="5"/>
  <c r="W819" i="5"/>
  <c r="W788" i="5"/>
  <c r="W758" i="5"/>
  <c r="W725" i="5"/>
  <c r="W695" i="5"/>
  <c r="W664" i="5"/>
  <c r="W633" i="5"/>
  <c r="W603" i="5"/>
  <c r="W573" i="5"/>
  <c r="W542" i="5"/>
  <c r="W512" i="5"/>
  <c r="W482" i="5"/>
  <c r="W452" i="5"/>
  <c r="W423" i="5"/>
  <c r="W146" i="5"/>
  <c r="W1509" i="5"/>
  <c r="W1165" i="5"/>
  <c r="W1040" i="5"/>
  <c r="W947" i="5"/>
  <c r="W851" i="5"/>
  <c r="W724" i="5"/>
  <c r="W602" i="5"/>
  <c r="W510" i="5"/>
  <c r="W422" i="5"/>
  <c r="W449" i="5"/>
  <c r="W1506" i="5"/>
  <c r="W1382" i="5"/>
  <c r="W1161" i="5"/>
  <c r="W1004" i="5"/>
  <c r="W878" i="5"/>
  <c r="W815" i="5"/>
  <c r="W690" i="5"/>
  <c r="W567" i="5"/>
  <c r="W448" i="5"/>
  <c r="W1475" i="5"/>
  <c r="W1348" i="5"/>
  <c r="W1191" i="5"/>
  <c r="W1067" i="5"/>
  <c r="W971" i="5"/>
  <c r="W844" i="5"/>
  <c r="W1508" i="5"/>
  <c r="W1478" i="5"/>
  <c r="W1445" i="5"/>
  <c r="W1415" i="5"/>
  <c r="W1384" i="5"/>
  <c r="W1353" i="5"/>
  <c r="W1321" i="5"/>
  <c r="W1290" i="5"/>
  <c r="W1257" i="5"/>
  <c r="W1225" i="5"/>
  <c r="W1194" i="5"/>
  <c r="W1164" i="5"/>
  <c r="W1131" i="5"/>
  <c r="W1100" i="5"/>
  <c r="W1070" i="5"/>
  <c r="W1037" i="5"/>
  <c r="W1007" i="5"/>
  <c r="W976" i="5"/>
  <c r="W945" i="5"/>
  <c r="W911" i="5"/>
  <c r="W880" i="5"/>
  <c r="W849" i="5"/>
  <c r="W817" i="5"/>
  <c r="W786" i="5"/>
  <c r="W756" i="5"/>
  <c r="W723" i="5"/>
  <c r="W692" i="5"/>
  <c r="W662" i="5"/>
  <c r="W630" i="5"/>
  <c r="W601" i="5"/>
  <c r="W569" i="5"/>
  <c r="W540" i="5"/>
  <c r="W509" i="5"/>
  <c r="W480" i="5"/>
  <c r="W450" i="5"/>
  <c r="W421" i="5"/>
  <c r="W85" i="5"/>
  <c r="W1507" i="5"/>
  <c r="W1477" i="5"/>
  <c r="W1444" i="5"/>
  <c r="W1413" i="5"/>
  <c r="W1383" i="5"/>
  <c r="W1352" i="5"/>
  <c r="W1320" i="5"/>
  <c r="W1287" i="5"/>
  <c r="W1256" i="5"/>
  <c r="W1224" i="5"/>
  <c r="W1193" i="5"/>
  <c r="W1163" i="5"/>
  <c r="W1130" i="5"/>
  <c r="W1099" i="5"/>
  <c r="W1069" i="5"/>
  <c r="W1036" i="5"/>
  <c r="W1005" i="5"/>
  <c r="W975" i="5"/>
  <c r="W940" i="5"/>
  <c r="W909" i="5"/>
  <c r="W879" i="5"/>
  <c r="W848" i="5"/>
  <c r="W816" i="5"/>
  <c r="W785" i="5"/>
  <c r="W755" i="5"/>
  <c r="W722" i="5"/>
  <c r="W691" i="5"/>
  <c r="W661" i="5"/>
  <c r="W629" i="5"/>
  <c r="W597" i="5"/>
  <c r="W568" i="5"/>
  <c r="W539" i="5"/>
  <c r="W420" i="5"/>
  <c r="W1412" i="5"/>
  <c r="W1319" i="5"/>
  <c r="W1192" i="5"/>
  <c r="W1068" i="5"/>
  <c r="W939" i="5"/>
  <c r="W784" i="5"/>
  <c r="W660" i="5"/>
  <c r="W537" i="5"/>
  <c r="W83" i="5"/>
  <c r="W1411" i="5"/>
  <c r="W1381" i="5"/>
  <c r="W1285" i="5"/>
  <c r="W1160" i="5"/>
  <c r="W1034" i="5"/>
  <c r="W907" i="5"/>
  <c r="W1504" i="5"/>
  <c r="W1473" i="5"/>
  <c r="W1441" i="5"/>
  <c r="W1410" i="5"/>
  <c r="W1380" i="5"/>
  <c r="W1347" i="5"/>
  <c r="W1314" i="5"/>
  <c r="W1284" i="5"/>
  <c r="W1251" i="5"/>
  <c r="W1220" i="5"/>
  <c r="W1190" i="5"/>
  <c r="W1157" i="5"/>
  <c r="W1127" i="5"/>
  <c r="W1096" i="5"/>
  <c r="W1065" i="5"/>
  <c r="W1033" i="5"/>
  <c r="W1002" i="5"/>
  <c r="W969" i="5"/>
  <c r="W937" i="5"/>
  <c r="W906" i="5"/>
  <c r="W876" i="5"/>
  <c r="W843" i="5"/>
  <c r="W812" i="5"/>
  <c r="W782" i="5"/>
  <c r="W749" i="5"/>
  <c r="W719" i="5"/>
  <c r="W688" i="5"/>
  <c r="W657" i="5"/>
  <c r="W1500" i="5"/>
  <c r="W1439" i="5"/>
  <c r="W1389" i="5"/>
  <c r="W1333" i="5"/>
  <c r="W1272" i="5"/>
  <c r="W1213" i="5"/>
  <c r="W1152" i="5"/>
  <c r="W1093" i="5"/>
  <c r="W1032" i="5"/>
  <c r="W985" i="5"/>
  <c r="W926" i="5"/>
  <c r="W1488" i="5"/>
  <c r="W1429" i="5"/>
  <c r="W1368" i="5"/>
  <c r="W1309" i="5"/>
  <c r="W1248" i="5"/>
  <c r="W1189" i="5"/>
  <c r="W1142" i="5"/>
  <c r="W1081" i="5"/>
  <c r="W1022" i="5"/>
  <c r="W961" i="5"/>
  <c r="W902" i="5"/>
  <c r="W841" i="5"/>
  <c r="W792" i="5"/>
  <c r="W736" i="5"/>
  <c r="W676" i="5"/>
  <c r="W621" i="5"/>
  <c r="W581" i="5"/>
  <c r="W529" i="5"/>
  <c r="W476" i="5"/>
  <c r="W436" i="5"/>
  <c r="W27" i="5"/>
  <c r="W1487" i="5"/>
  <c r="W1428" i="5"/>
  <c r="W1367" i="5"/>
  <c r="W1308" i="5"/>
  <c r="W1247" i="5"/>
  <c r="W1188" i="5"/>
  <c r="W1139" i="5"/>
  <c r="W1080" i="5"/>
  <c r="W1021" i="5"/>
  <c r="W960" i="5"/>
  <c r="W901" i="5"/>
  <c r="W840" i="5"/>
  <c r="W783" i="5"/>
  <c r="W735" i="5"/>
  <c r="W675" i="5"/>
  <c r="W620" i="5"/>
  <c r="W580" i="5"/>
  <c r="W528" i="5"/>
  <c r="W475" i="5"/>
  <c r="W433" i="5"/>
  <c r="W26" i="5"/>
  <c r="W1483" i="5"/>
  <c r="W1427" i="5"/>
  <c r="W1365" i="5"/>
  <c r="W1307" i="5"/>
  <c r="W1245" i="5"/>
  <c r="W1187" i="5"/>
  <c r="W1125" i="5"/>
  <c r="W1079" i="5"/>
  <c r="W1020" i="5"/>
  <c r="W959" i="5"/>
  <c r="W900" i="5"/>
  <c r="W839" i="5"/>
  <c r="W781" i="5"/>
  <c r="W734" i="5"/>
  <c r="W674" i="5"/>
  <c r="W619" i="5"/>
  <c r="W577" i="5"/>
  <c r="W527" i="5"/>
  <c r="W474" i="5"/>
  <c r="W432" i="5"/>
  <c r="W25" i="5"/>
  <c r="W1472" i="5"/>
  <c r="W1425" i="5"/>
  <c r="W1364" i="5"/>
  <c r="W1305" i="5"/>
  <c r="W1244" i="5"/>
  <c r="W1185" i="5"/>
  <c r="W1124" i="5"/>
  <c r="W1075" i="5"/>
  <c r="W1019" i="5"/>
  <c r="W957" i="5"/>
  <c r="W899" i="5"/>
  <c r="W837" i="5"/>
  <c r="W780" i="5"/>
  <c r="W731" i="5"/>
  <c r="W673" i="5"/>
  <c r="W618" i="5"/>
  <c r="W566" i="5"/>
  <c r="W525" i="5"/>
  <c r="W473" i="5"/>
  <c r="W431" i="5"/>
  <c r="W1469" i="5"/>
  <c r="W1420" i="5"/>
  <c r="W738" i="5"/>
  <c r="W1017" i="5"/>
  <c r="W1379" i="5"/>
  <c r="W440" i="5"/>
  <c r="W806" i="5"/>
  <c r="W1169" i="5"/>
  <c r="W672" i="5"/>
  <c r="W1394" i="5"/>
  <c r="W744" i="5"/>
  <c r="W1313" i="5"/>
  <c r="W444" i="5"/>
  <c r="W809" i="5"/>
  <c r="W1243" i="5"/>
  <c r="W445" i="5"/>
  <c r="W888" i="5"/>
  <c r="W1332" i="5"/>
  <c r="W811" i="5"/>
  <c r="W1334" i="5"/>
  <c r="W748" i="5"/>
  <c r="W1335" i="5"/>
  <c r="W207" i="5"/>
  <c r="W761" i="5"/>
  <c r="W1115" i="5"/>
  <c r="W1336" i="5"/>
  <c r="W267" i="5"/>
  <c r="W564" i="5"/>
  <c r="W831" i="5"/>
  <c r="W1118" i="5"/>
  <c r="W1493" i="5"/>
  <c r="W516" i="5"/>
  <c r="W698" i="5"/>
  <c r="W897" i="5"/>
  <c r="W1119" i="5"/>
  <c r="W1496" i="5"/>
  <c r="W464" i="5"/>
  <c r="W582" i="5"/>
  <c r="W701" i="5"/>
  <c r="W833" i="5"/>
  <c r="W1051" i="5"/>
  <c r="W1120" i="5"/>
  <c r="W1273" i="5"/>
  <c r="W1408" i="5"/>
  <c r="W465" i="5"/>
  <c r="W641" i="5"/>
  <c r="W768" i="5"/>
  <c r="W904" i="5"/>
  <c r="W1052" i="5"/>
  <c r="W1274" i="5"/>
  <c r="W1499" i="5"/>
  <c r="W347" i="5"/>
  <c r="W467" i="5"/>
  <c r="W523" i="5"/>
  <c r="W585" i="5"/>
  <c r="W642" i="5"/>
  <c r="W705" i="5"/>
  <c r="W771" i="5"/>
  <c r="W835" i="5"/>
  <c r="W905" i="5"/>
  <c r="W987" i="5"/>
  <c r="W1053" i="5"/>
  <c r="W1122" i="5"/>
  <c r="W1209" i="5"/>
  <c r="W1275" i="5"/>
  <c r="W1341" i="5"/>
  <c r="W1430" i="5"/>
  <c r="W1501" i="5"/>
  <c r="W717" i="5"/>
  <c r="W1301" i="5"/>
  <c r="W552" i="5"/>
  <c r="W933" i="5"/>
  <c r="W1377" i="5"/>
  <c r="W553" i="5"/>
  <c r="W667" i="5"/>
  <c r="W868" i="5"/>
  <c r="W1156" i="5"/>
  <c r="W1310" i="5"/>
  <c r="W554" i="5"/>
  <c r="W936" i="5"/>
  <c r="W1311" i="5"/>
  <c r="W807" i="5"/>
  <c r="W1241" i="5"/>
  <c r="W614" i="5"/>
  <c r="W1395" i="5"/>
  <c r="W615" i="5"/>
  <c r="W1328" i="5"/>
  <c r="W681" i="5"/>
  <c r="W1397" i="5"/>
  <c r="W683" i="5"/>
  <c r="W1250" i="5"/>
  <c r="W623" i="5"/>
  <c r="W1401" i="5"/>
  <c r="W624" i="5"/>
  <c r="W1048" i="5"/>
  <c r="W1492" i="5"/>
  <c r="W459" i="5"/>
  <c r="W625" i="5"/>
  <c r="W764" i="5"/>
  <c r="W896" i="5"/>
  <c r="W1049" i="5"/>
  <c r="W1269" i="5"/>
  <c r="W1337" i="5"/>
  <c r="W268" i="5"/>
  <c r="W565" i="5"/>
  <c r="W765" i="5"/>
  <c r="W968" i="5"/>
  <c r="W1200" i="5"/>
  <c r="W1407" i="5"/>
  <c r="W521" i="5"/>
  <c r="W767" i="5"/>
  <c r="W981" i="5"/>
  <c r="W1205" i="5"/>
  <c r="W1497" i="5"/>
  <c r="W584" i="5"/>
  <c r="W704" i="5"/>
  <c r="W834" i="5"/>
  <c r="W986" i="5"/>
  <c r="W1121" i="5"/>
  <c r="W1208" i="5"/>
  <c r="W1340" i="5"/>
  <c r="W1409" i="5"/>
  <c r="W410" i="5"/>
  <c r="W468" i="5"/>
  <c r="W524" i="5"/>
  <c r="W587" i="5"/>
  <c r="W643" i="5"/>
  <c r="W707" i="5"/>
  <c r="W772" i="5"/>
  <c r="W836" i="5"/>
  <c r="W920" i="5"/>
  <c r="W988" i="5"/>
  <c r="W1055" i="5"/>
  <c r="W1123" i="5"/>
  <c r="W1211" i="5"/>
  <c r="W1276" i="5"/>
  <c r="W1343" i="5"/>
  <c r="W1431" i="5"/>
  <c r="W1502" i="5"/>
  <c r="W1372" i="5"/>
  <c r="W659" i="5"/>
  <c r="W1012" i="5"/>
  <c r="W1304" i="5"/>
  <c r="W611" i="5"/>
  <c r="W935" i="5"/>
  <c r="W1459" i="5"/>
  <c r="W671" i="5"/>
  <c r="W1240" i="5"/>
  <c r="W555" i="5"/>
  <c r="W1312" i="5"/>
  <c r="W443" i="5"/>
  <c r="W873" i="5"/>
  <c r="W1400" i="5"/>
  <c r="W803" i="5"/>
  <c r="W1235" i="5"/>
  <c r="W437" i="5"/>
  <c r="W867" i="5"/>
  <c r="W1238" i="5"/>
  <c r="W438" i="5"/>
  <c r="W805" i="5"/>
  <c r="W1091" i="5"/>
  <c r="W1239" i="5"/>
  <c r="W739" i="5"/>
  <c r="W1393" i="5"/>
  <c r="W743" i="5"/>
  <c r="W1094" i="5"/>
  <c r="W28" i="5"/>
  <c r="W808" i="5"/>
  <c r="W1242" i="5"/>
  <c r="W745" i="5"/>
  <c r="W1396" i="5"/>
  <c r="W746" i="5"/>
  <c r="W1249" i="5"/>
  <c r="W446" i="5"/>
  <c r="W747" i="5"/>
  <c r="W1179" i="5"/>
  <c r="W447" i="5"/>
  <c r="W824" i="5"/>
  <c r="W1265" i="5"/>
  <c r="W505" i="5"/>
  <c r="W893" i="5"/>
  <c r="W1181" i="5"/>
  <c r="W1403" i="5"/>
  <c r="W506" i="5"/>
  <c r="W689" i="5"/>
  <c r="W965" i="5"/>
  <c r="W1184" i="5"/>
  <c r="W1406" i="5"/>
  <c r="W460" i="5"/>
  <c r="W637" i="5"/>
  <c r="W832" i="5"/>
  <c r="W1050" i="5"/>
  <c r="W1271" i="5"/>
  <c r="W1338" i="5"/>
  <c r="W269" i="5"/>
  <c r="W640" i="5"/>
  <c r="W903" i="5"/>
  <c r="W1339" i="5"/>
  <c r="W270" i="5"/>
  <c r="W522" i="5"/>
  <c r="W411" i="5"/>
  <c r="W469" i="5"/>
  <c r="W530" i="5"/>
  <c r="W588" i="5"/>
  <c r="W644" i="5"/>
  <c r="W708" i="5"/>
  <c r="W773" i="5"/>
  <c r="W842" i="5"/>
  <c r="W924" i="5"/>
  <c r="W989" i="5"/>
  <c r="W1056" i="5"/>
  <c r="W1143" i="5"/>
  <c r="W1212" i="5"/>
  <c r="W1277" i="5"/>
  <c r="W1344" i="5"/>
  <c r="W1434" i="5"/>
  <c r="W1503" i="5"/>
  <c r="W412" i="5"/>
  <c r="W470" i="5"/>
  <c r="W531" i="5"/>
  <c r="W589" i="5"/>
  <c r="W645" i="5"/>
  <c r="W709" i="5"/>
  <c r="W776" i="5"/>
  <c r="W855" i="5"/>
  <c r="W925" i="5"/>
  <c r="W992" i="5"/>
  <c r="W1059" i="5"/>
  <c r="W1146" i="5"/>
  <c r="W1214" i="5"/>
  <c r="W1280" i="5"/>
  <c r="W1359" i="5"/>
  <c r="W1435" i="5"/>
  <c r="W1515" i="5"/>
  <c r="W388" i="5"/>
  <c r="U10" i="5"/>
  <c r="W1498" i="5"/>
  <c r="W1474" i="5"/>
  <c r="W1450" i="5"/>
  <c r="W1426" i="5"/>
  <c r="W1402" i="5"/>
  <c r="W1378" i="5"/>
  <c r="W1354" i="5"/>
  <c r="W1330" i="5"/>
  <c r="W1306" i="5"/>
  <c r="W1282" i="5"/>
  <c r="W1258" i="5"/>
  <c r="W1234" i="5"/>
  <c r="W1210" i="5"/>
  <c r="W1186" i="5"/>
  <c r="W1162" i="5"/>
  <c r="W1138" i="5"/>
  <c r="W1114" i="5"/>
  <c r="W1090" i="5"/>
  <c r="W1066" i="5"/>
  <c r="W1042" i="5"/>
  <c r="W1018" i="5"/>
  <c r="W994" i="5"/>
  <c r="W970" i="5"/>
  <c r="W946" i="5"/>
  <c r="W922" i="5"/>
  <c r="W898" i="5"/>
  <c r="W874" i="5"/>
  <c r="W850" i="5"/>
  <c r="W826" i="5"/>
  <c r="W802" i="5"/>
  <c r="W778" i="5"/>
  <c r="W754" i="5"/>
  <c r="W730" i="5"/>
  <c r="W706" i="5"/>
  <c r="W682" i="5"/>
  <c r="W658" i="5"/>
  <c r="W634" i="5"/>
  <c r="W610" i="5"/>
  <c r="W586" i="5"/>
  <c r="W562" i="5"/>
  <c r="W538" i="5"/>
  <c r="W514" i="5"/>
  <c r="W490" i="5"/>
  <c r="W466" i="5"/>
  <c r="W442" i="5"/>
  <c r="W418" i="5"/>
  <c r="W147" i="5"/>
  <c r="U7" i="5"/>
  <c r="W1495" i="5"/>
  <c r="W1471" i="5"/>
  <c r="W1447" i="5"/>
  <c r="W1423" i="5"/>
  <c r="W1399" i="5"/>
  <c r="W1375" i="5"/>
  <c r="W1351" i="5"/>
  <c r="W1327" i="5"/>
  <c r="W1303" i="5"/>
  <c r="W1279" i="5"/>
  <c r="W1255" i="5"/>
  <c r="W1231" i="5"/>
  <c r="W1207" i="5"/>
  <c r="W1183" i="5"/>
  <c r="W1159" i="5"/>
  <c r="W1135" i="5"/>
  <c r="W1111" i="5"/>
  <c r="W1087" i="5"/>
  <c r="W1063" i="5"/>
  <c r="W1039" i="5"/>
  <c r="W1015" i="5"/>
  <c r="W991" i="5"/>
  <c r="W967" i="5"/>
  <c r="W943" i="5"/>
  <c r="W919" i="5"/>
  <c r="W895" i="5"/>
  <c r="W871" i="5"/>
  <c r="W847" i="5"/>
  <c r="W823" i="5"/>
  <c r="W799" i="5"/>
  <c r="W775" i="5"/>
  <c r="W751" i="5"/>
  <c r="W727" i="5"/>
  <c r="W703" i="5"/>
  <c r="W679" i="5"/>
  <c r="W655" i="5"/>
  <c r="W631" i="5"/>
  <c r="W607" i="5"/>
  <c r="W583" i="5"/>
  <c r="W559" i="5"/>
  <c r="W535" i="5"/>
  <c r="W511" i="5"/>
  <c r="W487" i="5"/>
  <c r="W463" i="5"/>
  <c r="W439" i="5"/>
  <c r="W415" i="5"/>
  <c r="W86" i="5"/>
  <c r="U6" i="5"/>
  <c r="W1494" i="5"/>
  <c r="W1470" i="5"/>
  <c r="W1446" i="5"/>
  <c r="W1422" i="5"/>
  <c r="W1398" i="5"/>
  <c r="W1374" i="5"/>
  <c r="W1350" i="5"/>
  <c r="W1326" i="5"/>
  <c r="W1302" i="5"/>
  <c r="W1278" i="5"/>
  <c r="W1254" i="5"/>
  <c r="W1230" i="5"/>
  <c r="W1206" i="5"/>
  <c r="W1182" i="5"/>
  <c r="W1158" i="5"/>
  <c r="W1134" i="5"/>
  <c r="W1110" i="5"/>
  <c r="W1086" i="5"/>
  <c r="W1062" i="5"/>
  <c r="W1038" i="5"/>
  <c r="W1014" i="5"/>
  <c r="W990" i="5"/>
  <c r="W966" i="5"/>
  <c r="W942" i="5"/>
  <c r="W918" i="5"/>
  <c r="W894" i="5"/>
  <c r="W870" i="5"/>
  <c r="W846" i="5"/>
  <c r="W822" i="5"/>
  <c r="W798" i="5"/>
  <c r="W774" i="5"/>
  <c r="W750" i="5"/>
  <c r="W726" i="5"/>
  <c r="W702" i="5"/>
  <c r="W678" i="5"/>
  <c r="W654" i="5"/>
  <c r="W1511" i="5"/>
  <c r="W1510" i="5"/>
  <c r="W1486" i="5"/>
  <c r="W1462" i="5"/>
  <c r="W1438" i="5"/>
  <c r="W1414" i="5"/>
  <c r="W1390" i="5"/>
  <c r="W1366" i="5"/>
  <c r="W1342" i="5"/>
  <c r="W1318" i="5"/>
  <c r="W1294" i="5"/>
  <c r="W1270" i="5"/>
  <c r="W1246" i="5"/>
  <c r="W1222" i="5"/>
  <c r="W1198" i="5"/>
  <c r="W1174" i="5"/>
  <c r="W1150" i="5"/>
  <c r="W1126" i="5"/>
  <c r="W1102" i="5"/>
  <c r="W1078" i="5"/>
  <c r="W1054" i="5"/>
  <c r="W1030" i="5"/>
  <c r="W1006" i="5"/>
  <c r="W982" i="5"/>
  <c r="W958" i="5"/>
  <c r="W934" i="5"/>
  <c r="W910" i="5"/>
  <c r="W886" i="5"/>
  <c r="W862" i="5"/>
  <c r="W838" i="5"/>
  <c r="W814" i="5"/>
  <c r="W790" i="5"/>
  <c r="W766" i="5"/>
  <c r="W742" i="5"/>
  <c r="W718" i="5"/>
  <c r="W694" i="5"/>
  <c r="W670" i="5"/>
  <c r="W646" i="5"/>
  <c r="W622" i="5"/>
  <c r="W598" i="5"/>
  <c r="W574" i="5"/>
  <c r="W550" i="5"/>
  <c r="W526" i="5"/>
  <c r="W502" i="5"/>
  <c r="W478" i="5"/>
  <c r="W454" i="5"/>
  <c r="W430" i="5"/>
  <c r="W326" i="5"/>
  <c r="W327" i="5"/>
  <c r="W434" i="5"/>
  <c r="W461" i="5"/>
  <c r="W489" i="5"/>
  <c r="W517" i="5"/>
  <c r="W544" i="5"/>
  <c r="W571" i="5"/>
  <c r="W599" i="5"/>
  <c r="W626" i="5"/>
  <c r="W653" i="5"/>
  <c r="W684" i="5"/>
  <c r="W712" i="5"/>
  <c r="W740" i="5"/>
  <c r="W769" i="5"/>
  <c r="W797" i="5"/>
  <c r="W828" i="5"/>
  <c r="W856" i="5"/>
  <c r="W884" i="5"/>
  <c r="W913" i="5"/>
  <c r="W941" i="5"/>
  <c r="W972" i="5"/>
  <c r="W1000" i="5"/>
  <c r="W1028" i="5"/>
  <c r="W1057" i="5"/>
  <c r="W1085" i="5"/>
  <c r="W1116" i="5"/>
  <c r="W1144" i="5"/>
  <c r="W1172" i="5"/>
  <c r="W1201" i="5"/>
  <c r="W1229" i="5"/>
  <c r="W1260" i="5"/>
  <c r="W1288" i="5"/>
  <c r="W1316" i="5"/>
  <c r="W1345" i="5"/>
  <c r="W1373" i="5"/>
  <c r="W1404" i="5"/>
  <c r="W1432" i="5"/>
  <c r="W1460" i="5"/>
  <c r="W1489" i="5"/>
  <c r="U8" i="5"/>
  <c r="W328" i="5"/>
  <c r="W435" i="5"/>
  <c r="W462" i="5"/>
  <c r="W491" i="5"/>
  <c r="W518" i="5"/>
  <c r="W545" i="5"/>
  <c r="W572" i="5"/>
  <c r="W600" i="5"/>
  <c r="W627" i="5"/>
  <c r="W656" i="5"/>
  <c r="W685" i="5"/>
  <c r="W713" i="5"/>
  <c r="W741" i="5"/>
  <c r="W770" i="5"/>
  <c r="W800" i="5"/>
  <c r="W829" i="5"/>
  <c r="W857" i="5"/>
  <c r="W885" i="5"/>
  <c r="W914" i="5"/>
  <c r="W944" i="5"/>
  <c r="W973" i="5"/>
  <c r="W1001" i="5"/>
  <c r="W1029" i="5"/>
  <c r="W1058" i="5"/>
  <c r="W1088" i="5"/>
  <c r="W1117" i="5"/>
  <c r="W1145" i="5"/>
  <c r="W1173" i="5"/>
  <c r="W1202" i="5"/>
  <c r="W1232" i="5"/>
  <c r="W1261" i="5"/>
  <c r="W1289" i="5"/>
  <c r="W1317" i="5"/>
  <c r="W1346" i="5"/>
  <c r="W1376" i="5"/>
  <c r="W1405" i="5"/>
  <c r="W1433" i="5"/>
  <c r="W1461" i="5"/>
  <c r="W1490" i="5"/>
  <c r="U9" i="5"/>
  <c r="W208" i="5"/>
  <c r="W289" i="5"/>
  <c r="W348" i="5"/>
  <c r="W42" i="5"/>
  <c r="W105" i="5"/>
  <c r="W163" i="5"/>
  <c r="W226" i="5"/>
  <c r="W290" i="5"/>
  <c r="W349" i="5"/>
  <c r="W107" i="5"/>
  <c r="W228" i="5"/>
  <c r="W292" i="5"/>
  <c r="W50" i="5"/>
  <c r="W171" i="5"/>
  <c r="W293" i="5"/>
  <c r="W109" i="5"/>
  <c r="W294" i="5"/>
  <c r="W110" i="5"/>
  <c r="W231" i="5"/>
  <c r="W354" i="5"/>
  <c r="W53" i="5"/>
  <c r="W174" i="5"/>
  <c r="W355" i="5"/>
  <c r="W54" i="5"/>
  <c r="W175" i="5"/>
  <c r="W233" i="5"/>
  <c r="W297" i="5"/>
  <c r="W55" i="5"/>
  <c r="W298" i="5"/>
  <c r="W235" i="5"/>
  <c r="W178" i="5"/>
  <c r="W241" i="5"/>
  <c r="W300" i="5"/>
  <c r="W377" i="5"/>
  <c r="W58" i="5"/>
  <c r="W179" i="5"/>
  <c r="W378" i="5"/>
  <c r="W76" i="5"/>
  <c r="W197" i="5"/>
  <c r="W319" i="5"/>
  <c r="W14" i="5"/>
  <c r="W135" i="5"/>
  <c r="W256" i="5"/>
  <c r="W320" i="5"/>
  <c r="W78" i="5"/>
  <c r="W199" i="5"/>
  <c r="W257" i="5"/>
  <c r="W386" i="5"/>
  <c r="W137" i="5"/>
  <c r="W322" i="5"/>
  <c r="W17" i="5"/>
  <c r="W138" i="5"/>
  <c r="W259" i="5"/>
  <c r="W408" i="5"/>
  <c r="W384" i="5"/>
  <c r="W360" i="5"/>
  <c r="W336" i="5"/>
  <c r="W312" i="5"/>
  <c r="W288" i="5"/>
  <c r="W264" i="5"/>
  <c r="W240" i="5"/>
  <c r="W216" i="5"/>
  <c r="W192" i="5"/>
  <c r="W168" i="5"/>
  <c r="W144" i="5"/>
  <c r="W120" i="5"/>
  <c r="W96" i="5"/>
  <c r="W72" i="5"/>
  <c r="W48" i="5"/>
  <c r="W24" i="5"/>
  <c r="W407" i="5"/>
  <c r="W383" i="5"/>
  <c r="W359" i="5"/>
  <c r="W335" i="5"/>
  <c r="W311" i="5"/>
  <c r="W287" i="5"/>
  <c r="W263" i="5"/>
  <c r="W239" i="5"/>
  <c r="W215" i="5"/>
  <c r="W191" i="5"/>
  <c r="W167" i="5"/>
  <c r="W143" i="5"/>
  <c r="W119" i="5"/>
  <c r="W95" i="5"/>
  <c r="W71" i="5"/>
  <c r="W47" i="5"/>
  <c r="W23" i="5"/>
  <c r="W406" i="5"/>
  <c r="W382" i="5"/>
  <c r="W358" i="5"/>
  <c r="W334" i="5"/>
  <c r="W310" i="5"/>
  <c r="W286" i="5"/>
  <c r="W262" i="5"/>
  <c r="W238" i="5"/>
  <c r="W214" i="5"/>
  <c r="W190" i="5"/>
  <c r="W166" i="5"/>
  <c r="W142" i="5"/>
  <c r="W118" i="5"/>
  <c r="W94" i="5"/>
  <c r="W70" i="5"/>
  <c r="W46" i="5"/>
  <c r="W22" i="5"/>
  <c r="W405" i="5"/>
  <c r="W381" i="5"/>
  <c r="W357" i="5"/>
  <c r="W333" i="5"/>
  <c r="W309" i="5"/>
  <c r="W285" i="5"/>
  <c r="W261" i="5"/>
  <c r="W237" i="5"/>
  <c r="W213" i="5"/>
  <c r="W189" i="5"/>
  <c r="W165" i="5"/>
  <c r="W141" i="5"/>
  <c r="W117" i="5"/>
  <c r="W93" i="5"/>
  <c r="W69" i="5"/>
  <c r="W45" i="5"/>
  <c r="W21" i="5"/>
  <c r="W404" i="5"/>
  <c r="W380" i="5"/>
  <c r="W356" i="5"/>
  <c r="W332" i="5"/>
  <c r="W308" i="5"/>
  <c r="W284" i="5"/>
  <c r="W260" i="5"/>
  <c r="W236" i="5"/>
  <c r="W212" i="5"/>
  <c r="W188" i="5"/>
  <c r="W164" i="5"/>
  <c r="W140" i="5"/>
  <c r="W116" i="5"/>
  <c r="W92" i="5"/>
  <c r="W68" i="5"/>
  <c r="W44" i="5"/>
  <c r="W20" i="5"/>
  <c r="W409" i="5"/>
  <c r="W375" i="5"/>
  <c r="W346" i="5"/>
  <c r="W317" i="5"/>
  <c r="W283" i="5"/>
  <c r="W254" i="5"/>
  <c r="W225" i="5"/>
  <c r="W196" i="5"/>
  <c r="W162" i="5"/>
  <c r="W133" i="5"/>
  <c r="W104" i="5"/>
  <c r="W75" i="5"/>
  <c r="W41" i="5"/>
  <c r="W12" i="5"/>
  <c r="W403" i="5"/>
  <c r="W374" i="5"/>
  <c r="W345" i="5"/>
  <c r="W316" i="5"/>
  <c r="W282" i="5"/>
  <c r="W253" i="5"/>
  <c r="W224" i="5"/>
  <c r="W195" i="5"/>
  <c r="W161" i="5"/>
  <c r="W132" i="5"/>
  <c r="W103" i="5"/>
  <c r="W74" i="5"/>
  <c r="W40" i="5"/>
  <c r="W11" i="5"/>
  <c r="W9" i="5"/>
  <c r="W400" i="5"/>
  <c r="W342" i="5"/>
  <c r="W313" i="5"/>
  <c r="W279" i="5"/>
  <c r="W221" i="5"/>
  <c r="W187" i="5"/>
  <c r="W129" i="5"/>
  <c r="W66" i="5"/>
  <c r="W8" i="5"/>
  <c r="W370" i="5"/>
  <c r="W307" i="5"/>
  <c r="W249" i="5"/>
  <c r="W186" i="5"/>
  <c r="W128" i="5"/>
  <c r="W65" i="5"/>
  <c r="W7" i="5"/>
  <c r="W369" i="5"/>
  <c r="W340" i="5"/>
  <c r="W277" i="5"/>
  <c r="W248" i="5"/>
  <c r="W185" i="5"/>
  <c r="W127" i="5"/>
  <c r="W64" i="5"/>
  <c r="W6" i="5"/>
  <c r="W368" i="5"/>
  <c r="W305" i="5"/>
  <c r="W247" i="5"/>
  <c r="W184" i="5"/>
  <c r="W126" i="5"/>
  <c r="W63" i="5"/>
  <c r="W367" i="5"/>
  <c r="W246" i="5"/>
  <c r="W183" i="5"/>
  <c r="W125" i="5"/>
  <c r="W62" i="5"/>
  <c r="W366" i="5"/>
  <c r="W303" i="5"/>
  <c r="W245" i="5"/>
  <c r="W211" i="5"/>
  <c r="W182" i="5"/>
  <c r="W124" i="5"/>
  <c r="W90" i="5"/>
  <c r="W32" i="5"/>
  <c r="W365" i="5"/>
  <c r="W210" i="5"/>
  <c r="W123" i="5"/>
  <c r="W60" i="5"/>
  <c r="W364" i="5"/>
  <c r="W330" i="5"/>
  <c r="W272" i="5"/>
  <c r="W209" i="5"/>
  <c r="W151" i="5"/>
  <c r="W88" i="5"/>
  <c r="W30" i="5"/>
  <c r="W392" i="5"/>
  <c r="W329" i="5"/>
  <c r="W402" i="5"/>
  <c r="W373" i="5"/>
  <c r="W344" i="5"/>
  <c r="W315" i="5"/>
  <c r="W281" i="5"/>
  <c r="W252" i="5"/>
  <c r="W223" i="5"/>
  <c r="W194" i="5"/>
  <c r="W160" i="5"/>
  <c r="W131" i="5"/>
  <c r="W102" i="5"/>
  <c r="W73" i="5"/>
  <c r="W39" i="5"/>
  <c r="W10" i="5"/>
  <c r="W401" i="5"/>
  <c r="W372" i="5"/>
  <c r="W343" i="5"/>
  <c r="W314" i="5"/>
  <c r="W280" i="5"/>
  <c r="W251" i="5"/>
  <c r="W222" i="5"/>
  <c r="W193" i="5"/>
  <c r="W159" i="5"/>
  <c r="W130" i="5"/>
  <c r="W101" i="5"/>
  <c r="W67" i="5"/>
  <c r="W38" i="5"/>
  <c r="W371" i="5"/>
  <c r="W250" i="5"/>
  <c r="W158" i="5"/>
  <c r="W100" i="5"/>
  <c r="W37" i="5"/>
  <c r="W399" i="5"/>
  <c r="W341" i="5"/>
  <c r="W278" i="5"/>
  <c r="W220" i="5"/>
  <c r="W157" i="5"/>
  <c r="W99" i="5"/>
  <c r="W36" i="5"/>
  <c r="W398" i="5"/>
  <c r="W306" i="5"/>
  <c r="W219" i="5"/>
  <c r="W156" i="5"/>
  <c r="W98" i="5"/>
  <c r="W35" i="5"/>
  <c r="W397" i="5"/>
  <c r="W339" i="5"/>
  <c r="W276" i="5"/>
  <c r="W218" i="5"/>
  <c r="W155" i="5"/>
  <c r="W97" i="5"/>
  <c r="W34" i="5"/>
  <c r="W396" i="5"/>
  <c r="W338" i="5"/>
  <c r="W275" i="5"/>
  <c r="W217" i="5"/>
  <c r="W154" i="5"/>
  <c r="W91" i="5"/>
  <c r="W33" i="5"/>
  <c r="W395" i="5"/>
  <c r="W337" i="5"/>
  <c r="W274" i="5"/>
  <c r="W153" i="5"/>
  <c r="W61" i="5"/>
  <c r="W394" i="5"/>
  <c r="W331" i="5"/>
  <c r="W302" i="5"/>
  <c r="W273" i="5"/>
  <c r="W244" i="5"/>
  <c r="W181" i="5"/>
  <c r="W152" i="5"/>
  <c r="W89" i="5"/>
  <c r="W31" i="5"/>
  <c r="W393" i="5"/>
  <c r="W301" i="5"/>
  <c r="W243" i="5"/>
  <c r="W180" i="5"/>
  <c r="W122" i="5"/>
  <c r="W59" i="5"/>
  <c r="W363" i="5"/>
  <c r="W271" i="5"/>
  <c r="W304" i="5"/>
  <c r="W391" i="5"/>
  <c r="W43" i="5"/>
  <c r="W106" i="5"/>
  <c r="W169" i="5"/>
  <c r="W227" i="5"/>
  <c r="W291" i="5"/>
  <c r="W350" i="5"/>
  <c r="W49" i="5"/>
  <c r="W170" i="5"/>
  <c r="W351" i="5"/>
  <c r="W108" i="5"/>
  <c r="W229" i="5"/>
  <c r="W352" i="5"/>
  <c r="W51" i="5"/>
  <c r="W172" i="5"/>
  <c r="W230" i="5"/>
  <c r="W353" i="5"/>
  <c r="W52" i="5"/>
  <c r="W173" i="5"/>
  <c r="W295" i="5"/>
  <c r="W111" i="5"/>
  <c r="W232" i="5"/>
  <c r="W296" i="5"/>
  <c r="W112" i="5"/>
  <c r="W361" i="5"/>
  <c r="W113" i="5"/>
  <c r="W176" i="5"/>
  <c r="W234" i="5"/>
  <c r="W362" i="5"/>
  <c r="W56" i="5"/>
  <c r="W114" i="5"/>
  <c r="W177" i="5"/>
  <c r="W299" i="5"/>
  <c r="W376" i="5"/>
  <c r="W57" i="5"/>
  <c r="W121" i="5"/>
  <c r="W242" i="5"/>
  <c r="W318" i="5"/>
  <c r="W13" i="5"/>
  <c r="W134" i="5"/>
  <c r="W255" i="5"/>
  <c r="W379" i="5"/>
  <c r="W77" i="5"/>
  <c r="W198" i="5"/>
  <c r="W385" i="5"/>
  <c r="W15" i="5"/>
  <c r="W136" i="5"/>
  <c r="W321" i="5"/>
  <c r="W16" i="5"/>
  <c r="W79" i="5"/>
  <c r="W200" i="5"/>
  <c r="W258" i="5"/>
  <c r="W387" i="5"/>
  <c r="W80" i="5"/>
  <c r="W201" i="5"/>
  <c r="W323" i="5"/>
  <c r="W18" i="5"/>
  <c r="W81" i="5"/>
  <c r="W139" i="5"/>
  <c r="W202" i="5"/>
  <c r="W265" i="5"/>
  <c r="W324" i="5"/>
  <c r="W389" i="5"/>
  <c r="W19" i="5"/>
  <c r="W82" i="5"/>
  <c r="W145" i="5"/>
  <c r="W203" i="5"/>
  <c r="W266" i="5"/>
  <c r="W325" i="5"/>
  <c r="W390" i="5"/>
  <c r="Y4" i="5" l="1"/>
  <c r="Y3" i="5"/>
  <c r="U12" i="5"/>
  <c r="U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ACF467-4DD8-41E6-88F9-9666E382FC13}" keepAlive="1" name="Query - Document" description="Connection to the 'Document' query in the workbook." type="5" refreshedVersion="0" background="1">
    <dbPr connection="Provider=Microsoft.Mashup.OleDb.1;Data Source=$Workbook$;Location=Document;Extended Properties=&quot;&quot;" command="SELECT * FROM [Document]"/>
  </connection>
</connections>
</file>

<file path=xl/sharedStrings.xml><?xml version="1.0" encoding="utf-8"?>
<sst xmlns="http://schemas.openxmlformats.org/spreadsheetml/2006/main" count="31" uniqueCount="30">
  <si>
    <t>Makro-Sheet</t>
  </si>
  <si>
    <t>Mean</t>
  </si>
  <si>
    <t>Standard.Dev (S)</t>
  </si>
  <si>
    <t>Standard.Dev (P)</t>
  </si>
  <si>
    <t xml:space="preserve">Monte Carl Sim </t>
  </si>
  <si>
    <t>Median</t>
  </si>
  <si>
    <t xml:space="preserve">Hisotical S&amp;P 500 Returns </t>
  </si>
  <si>
    <t>Commodites</t>
  </si>
  <si>
    <t>S&amp;P500</t>
  </si>
  <si>
    <t>NASDAQ</t>
  </si>
  <si>
    <t>DAX</t>
  </si>
  <si>
    <t>DOW Jones</t>
  </si>
  <si>
    <t>Russel 2000</t>
  </si>
  <si>
    <t>US</t>
  </si>
  <si>
    <t>EU</t>
  </si>
  <si>
    <t>MDAX</t>
  </si>
  <si>
    <t>SDAX</t>
  </si>
  <si>
    <t>CAC40</t>
  </si>
  <si>
    <t>FTSE MIB</t>
  </si>
  <si>
    <t>IBEX 35</t>
  </si>
  <si>
    <t xml:space="preserve">Swiss Market Index </t>
  </si>
  <si>
    <t>Max</t>
  </si>
  <si>
    <t>Min</t>
  </si>
  <si>
    <t>1 Sigma low</t>
  </si>
  <si>
    <t>1 Sigma high</t>
  </si>
  <si>
    <t>2 Sigma low</t>
  </si>
  <si>
    <t>2 Sigma high</t>
  </si>
  <si>
    <t>3 Sigma low</t>
  </si>
  <si>
    <t>3 Sigma high</t>
  </si>
  <si>
    <t>Hisotical S&amp;P 500 Returns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</si>
</sst>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9">
    <xf numFmtId="0" fontId="0" fillId="0" borderId="0" xfId="0"/>
    <xf numFmtId="0" fontId="1" fillId="0" borderId="0" xfId="0" applyFont="1"/>
    <xf numFmtId="9" fontId="0" fillId="0" borderId="0" xfId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164" fontId="18" fillId="0" borderId="0" xfId="0" applyNumberFormat="1" applyFont="1"/>
    <xf numFmtId="9" fontId="18" fillId="0" borderId="0" xfId="1" applyFont="1"/>
    <xf numFmtId="164" fontId="18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Distribution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'S&amp;P'!$W$512:$W$1516</c:f>
              <c:numCache>
                <c:formatCode>0%</c:formatCode>
                <c:ptCount val="1005"/>
                <c:pt idx="0">
                  <c:v>0.54818263341855611</c:v>
                </c:pt>
                <c:pt idx="1">
                  <c:v>-0.10314304776682641</c:v>
                </c:pt>
                <c:pt idx="2">
                  <c:v>3.9196324983171937E-2</c:v>
                </c:pt>
                <c:pt idx="3">
                  <c:v>3.2531221213292119E-2</c:v>
                </c:pt>
                <c:pt idx="4">
                  <c:v>0.134286900782075</c:v>
                </c:pt>
                <c:pt idx="5">
                  <c:v>3.1136024819389235E-2</c:v>
                </c:pt>
                <c:pt idx="6">
                  <c:v>0.16966479016921449</c:v>
                </c:pt>
                <c:pt idx="7">
                  <c:v>0.4162467019911778</c:v>
                </c:pt>
                <c:pt idx="8">
                  <c:v>0.13111418125423296</c:v>
                </c:pt>
                <c:pt idx="9">
                  <c:v>0.41816965205257978</c:v>
                </c:pt>
                <c:pt idx="10">
                  <c:v>-3.1728325781920488E-2</c:v>
                </c:pt>
                <c:pt idx="11">
                  <c:v>6.3738094465283335E-2</c:v>
                </c:pt>
                <c:pt idx="12">
                  <c:v>-0.12908234548004954</c:v>
                </c:pt>
                <c:pt idx="13">
                  <c:v>8.0377902723627187E-3</c:v>
                </c:pt>
                <c:pt idx="14">
                  <c:v>5.152369460174909E-2</c:v>
                </c:pt>
                <c:pt idx="15">
                  <c:v>2.7527331655328766E-2</c:v>
                </c:pt>
                <c:pt idx="16">
                  <c:v>0.2378663795191156</c:v>
                </c:pt>
                <c:pt idx="17">
                  <c:v>0.16821371625094234</c:v>
                </c:pt>
                <c:pt idx="18">
                  <c:v>0.30222343335674129</c:v>
                </c:pt>
                <c:pt idx="19">
                  <c:v>2.3244375995316077E-2</c:v>
                </c:pt>
                <c:pt idx="20">
                  <c:v>0.1385751623428737</c:v>
                </c:pt>
                <c:pt idx="21">
                  <c:v>5.6638375062559372E-2</c:v>
                </c:pt>
                <c:pt idx="22">
                  <c:v>7.0666844910066279E-2</c:v>
                </c:pt>
                <c:pt idx="23">
                  <c:v>0.38369522597296191</c:v>
                </c:pt>
                <c:pt idx="24">
                  <c:v>0.15515420571216432</c:v>
                </c:pt>
                <c:pt idx="25">
                  <c:v>-0.12489968397005434</c:v>
                </c:pt>
                <c:pt idx="26">
                  <c:v>0.24127546626277852</c:v>
                </c:pt>
                <c:pt idx="27">
                  <c:v>-7.3684877737087942E-2</c:v>
                </c:pt>
                <c:pt idx="28">
                  <c:v>0.189192602888762</c:v>
                </c:pt>
                <c:pt idx="29">
                  <c:v>0.51793409299317161</c:v>
                </c:pt>
                <c:pt idx="30">
                  <c:v>4.7454711775305747E-2</c:v>
                </c:pt>
                <c:pt idx="31">
                  <c:v>0.26547134949232631</c:v>
                </c:pt>
                <c:pt idx="32">
                  <c:v>-0.14043032314588993</c:v>
                </c:pt>
                <c:pt idx="33">
                  <c:v>-0.11135226618664855</c:v>
                </c:pt>
                <c:pt idx="34">
                  <c:v>0.25669564889491048</c:v>
                </c:pt>
                <c:pt idx="35">
                  <c:v>0.15421673159356997</c:v>
                </c:pt>
                <c:pt idx="36">
                  <c:v>0.15317228833185481</c:v>
                </c:pt>
                <c:pt idx="37">
                  <c:v>-2.3998720840999035E-2</c:v>
                </c:pt>
                <c:pt idx="38">
                  <c:v>-0.29939698505954931</c:v>
                </c:pt>
                <c:pt idx="39">
                  <c:v>-2.435723443773917E-2</c:v>
                </c:pt>
                <c:pt idx="40">
                  <c:v>4.9387303112932393E-2</c:v>
                </c:pt>
                <c:pt idx="41">
                  <c:v>5.5938086625625862E-2</c:v>
                </c:pt>
                <c:pt idx="42">
                  <c:v>0.47907044356659395</c:v>
                </c:pt>
                <c:pt idx="43">
                  <c:v>5.7037234260652561E-2</c:v>
                </c:pt>
                <c:pt idx="44">
                  <c:v>0.42416568788037912</c:v>
                </c:pt>
                <c:pt idx="45">
                  <c:v>-8.2469134994874196E-2</c:v>
                </c:pt>
                <c:pt idx="46">
                  <c:v>0.33822222648742217</c:v>
                </c:pt>
                <c:pt idx="47">
                  <c:v>0.25729802184103373</c:v>
                </c:pt>
                <c:pt idx="48">
                  <c:v>0.31255822940209177</c:v>
                </c:pt>
                <c:pt idx="49">
                  <c:v>0.33408184415397985</c:v>
                </c:pt>
                <c:pt idx="50">
                  <c:v>-4.5816097207669701E-2</c:v>
                </c:pt>
                <c:pt idx="51">
                  <c:v>3.4637853103086702E-2</c:v>
                </c:pt>
                <c:pt idx="52">
                  <c:v>-9.1406789629420546E-2</c:v>
                </c:pt>
                <c:pt idx="53">
                  <c:v>-9.8837036002320175E-2</c:v>
                </c:pt>
                <c:pt idx="54">
                  <c:v>0.38641404478775915</c:v>
                </c:pt>
                <c:pt idx="55">
                  <c:v>0.16540286109118119</c:v>
                </c:pt>
                <c:pt idx="56">
                  <c:v>3.9427594006419098E-2</c:v>
                </c:pt>
                <c:pt idx="57">
                  <c:v>0.18949190589050849</c:v>
                </c:pt>
                <c:pt idx="58">
                  <c:v>4.1305317764511101E-2</c:v>
                </c:pt>
                <c:pt idx="59">
                  <c:v>-0.17820848516676813</c:v>
                </c:pt>
                <c:pt idx="60">
                  <c:v>-1.2818733944613483E-2</c:v>
                </c:pt>
                <c:pt idx="61">
                  <c:v>-6.2276167605224156E-2</c:v>
                </c:pt>
                <c:pt idx="62">
                  <c:v>0.13554342060190228</c:v>
                </c:pt>
                <c:pt idx="63">
                  <c:v>-0.58688255544613299</c:v>
                </c:pt>
                <c:pt idx="64">
                  <c:v>3.6260920466512914E-3</c:v>
                </c:pt>
                <c:pt idx="65">
                  <c:v>-8.0686491368290827E-2</c:v>
                </c:pt>
                <c:pt idx="66">
                  <c:v>-0.17949364673472412</c:v>
                </c:pt>
                <c:pt idx="67">
                  <c:v>0.30215590612403292</c:v>
                </c:pt>
                <c:pt idx="68">
                  <c:v>0.34344543484691231</c:v>
                </c:pt>
                <c:pt idx="69">
                  <c:v>-0.11505131034463896</c:v>
                </c:pt>
                <c:pt idx="70">
                  <c:v>0.2501516864053942</c:v>
                </c:pt>
                <c:pt idx="71">
                  <c:v>0.29081727545165059</c:v>
                </c:pt>
                <c:pt idx="72">
                  <c:v>0.32185210024641564</c:v>
                </c:pt>
                <c:pt idx="73">
                  <c:v>-0.25223795054712306</c:v>
                </c:pt>
                <c:pt idx="74">
                  <c:v>0.32799642399393447</c:v>
                </c:pt>
                <c:pt idx="75">
                  <c:v>-0.23126305987326712</c:v>
                </c:pt>
                <c:pt idx="76">
                  <c:v>0.34068674012451722</c:v>
                </c:pt>
                <c:pt idx="77">
                  <c:v>-3.7347505483971005E-3</c:v>
                </c:pt>
                <c:pt idx="78">
                  <c:v>-0.3476163185824902</c:v>
                </c:pt>
                <c:pt idx="79">
                  <c:v>0.32316638317927215</c:v>
                </c:pt>
                <c:pt idx="80">
                  <c:v>0.24045443013233936</c:v>
                </c:pt>
                <c:pt idx="81">
                  <c:v>0.27870074165521208</c:v>
                </c:pt>
                <c:pt idx="82">
                  <c:v>0.26357618180097175</c:v>
                </c:pt>
                <c:pt idx="83">
                  <c:v>0.34940641360180424</c:v>
                </c:pt>
                <c:pt idx="84">
                  <c:v>8.1529890191894702E-2</c:v>
                </c:pt>
                <c:pt idx="85">
                  <c:v>-1.9632455726555489E-2</c:v>
                </c:pt>
                <c:pt idx="86">
                  <c:v>3.59680838498386E-2</c:v>
                </c:pt>
                <c:pt idx="87">
                  <c:v>0.15269145158803829</c:v>
                </c:pt>
                <c:pt idx="88">
                  <c:v>0.13958440542452721</c:v>
                </c:pt>
                <c:pt idx="89">
                  <c:v>2.0455034968397026E-2</c:v>
                </c:pt>
                <c:pt idx="90">
                  <c:v>-8.2627467513682606E-3</c:v>
                </c:pt>
                <c:pt idx="91">
                  <c:v>0.15518289300773691</c:v>
                </c:pt>
                <c:pt idx="92">
                  <c:v>-4.5837655810020833E-3</c:v>
                </c:pt>
                <c:pt idx="93">
                  <c:v>0.20161272777456776</c:v>
                </c:pt>
                <c:pt idx="94">
                  <c:v>-0.18154741216189091</c:v>
                </c:pt>
                <c:pt idx="95">
                  <c:v>2.3683917375251523E-2</c:v>
                </c:pt>
                <c:pt idx="96">
                  <c:v>0.24374541235379971</c:v>
                </c:pt>
                <c:pt idx="97">
                  <c:v>0.13769728441889537</c:v>
                </c:pt>
                <c:pt idx="98">
                  <c:v>0.2026559358070994</c:v>
                </c:pt>
                <c:pt idx="99">
                  <c:v>0.24302169358191505</c:v>
                </c:pt>
                <c:pt idx="100">
                  <c:v>-0.15281624243899311</c:v>
                </c:pt>
                <c:pt idx="101">
                  <c:v>0.30641240826473481</c:v>
                </c:pt>
                <c:pt idx="102">
                  <c:v>0.62478843936830408</c:v>
                </c:pt>
                <c:pt idx="103">
                  <c:v>4.4407469931159141E-2</c:v>
                </c:pt>
                <c:pt idx="104">
                  <c:v>0.13651488098900941</c:v>
                </c:pt>
                <c:pt idx="105">
                  <c:v>2.8498012960618657E-2</c:v>
                </c:pt>
                <c:pt idx="106">
                  <c:v>0.11865129347691739</c:v>
                </c:pt>
                <c:pt idx="107">
                  <c:v>-4.0431308285315756E-2</c:v>
                </c:pt>
                <c:pt idx="108">
                  <c:v>4.7178935444529488E-2</c:v>
                </c:pt>
                <c:pt idx="109">
                  <c:v>0.14481917167226752</c:v>
                </c:pt>
                <c:pt idx="110">
                  <c:v>0.15888261538606177</c:v>
                </c:pt>
                <c:pt idx="111">
                  <c:v>9.5333594666348664E-2</c:v>
                </c:pt>
                <c:pt idx="112">
                  <c:v>0.33090812135893788</c:v>
                </c:pt>
                <c:pt idx="113">
                  <c:v>0.11708910339752904</c:v>
                </c:pt>
                <c:pt idx="114">
                  <c:v>-0.19735045228049108</c:v>
                </c:pt>
                <c:pt idx="115">
                  <c:v>0.19583771474133516</c:v>
                </c:pt>
                <c:pt idx="116">
                  <c:v>1.1434816898737266E-2</c:v>
                </c:pt>
                <c:pt idx="117">
                  <c:v>7.8724020005899537E-2</c:v>
                </c:pt>
                <c:pt idx="118">
                  <c:v>-0.20222341560801205</c:v>
                </c:pt>
                <c:pt idx="119">
                  <c:v>8.1619576538522393E-2</c:v>
                </c:pt>
                <c:pt idx="120">
                  <c:v>0.23288490946810039</c:v>
                </c:pt>
                <c:pt idx="121">
                  <c:v>0.16291444259529264</c:v>
                </c:pt>
                <c:pt idx="122">
                  <c:v>-5.142510715017444E-2</c:v>
                </c:pt>
                <c:pt idx="123">
                  <c:v>0.15903643150472779</c:v>
                </c:pt>
                <c:pt idx="124">
                  <c:v>-0.14261797168296697</c:v>
                </c:pt>
                <c:pt idx="125">
                  <c:v>0.24656637030644557</c:v>
                </c:pt>
                <c:pt idx="126">
                  <c:v>-0.21863160393361336</c:v>
                </c:pt>
                <c:pt idx="127">
                  <c:v>0.13187923363995852</c:v>
                </c:pt>
                <c:pt idx="128">
                  <c:v>0.18772256484923483</c:v>
                </c:pt>
                <c:pt idx="129">
                  <c:v>0.41401887540681559</c:v>
                </c:pt>
                <c:pt idx="130">
                  <c:v>0.43324600116517747</c:v>
                </c:pt>
                <c:pt idx="131">
                  <c:v>0.12357345314497584</c:v>
                </c:pt>
                <c:pt idx="132">
                  <c:v>0.14762765211507697</c:v>
                </c:pt>
                <c:pt idx="133">
                  <c:v>0.24590211721295108</c:v>
                </c:pt>
                <c:pt idx="134">
                  <c:v>8.8660986048660143E-2</c:v>
                </c:pt>
                <c:pt idx="135">
                  <c:v>-0.14507359394203567</c:v>
                </c:pt>
                <c:pt idx="136">
                  <c:v>0.23058291791638338</c:v>
                </c:pt>
                <c:pt idx="137">
                  <c:v>0.12264004453474149</c:v>
                </c:pt>
                <c:pt idx="138">
                  <c:v>0.23402776028102507</c:v>
                </c:pt>
                <c:pt idx="139">
                  <c:v>-0.23947571490106973</c:v>
                </c:pt>
                <c:pt idx="140">
                  <c:v>-0.1950185030442198</c:v>
                </c:pt>
                <c:pt idx="141">
                  <c:v>9.0525269619137039E-2</c:v>
                </c:pt>
                <c:pt idx="142">
                  <c:v>-7.7311693617671554E-2</c:v>
                </c:pt>
                <c:pt idx="143">
                  <c:v>4.7513502727649398E-2</c:v>
                </c:pt>
                <c:pt idx="144">
                  <c:v>0.19094792772491168</c:v>
                </c:pt>
                <c:pt idx="145">
                  <c:v>0.16657735422757253</c:v>
                </c:pt>
                <c:pt idx="146">
                  <c:v>0.23480477147721909</c:v>
                </c:pt>
                <c:pt idx="147">
                  <c:v>0.20175212627994016</c:v>
                </c:pt>
                <c:pt idx="148">
                  <c:v>3.4698525124773921E-2</c:v>
                </c:pt>
                <c:pt idx="149">
                  <c:v>0.30748524899202773</c:v>
                </c:pt>
                <c:pt idx="150">
                  <c:v>-2.8091215219657087E-2</c:v>
                </c:pt>
                <c:pt idx="151">
                  <c:v>-4.1836449132952244E-2</c:v>
                </c:pt>
                <c:pt idx="152">
                  <c:v>0.54282893939920551</c:v>
                </c:pt>
                <c:pt idx="153">
                  <c:v>0.2689992518567802</c:v>
                </c:pt>
                <c:pt idx="154">
                  <c:v>0.25912212367682569</c:v>
                </c:pt>
                <c:pt idx="155">
                  <c:v>6.7758892843001142E-2</c:v>
                </c:pt>
                <c:pt idx="156">
                  <c:v>-7.9606397558455402E-2</c:v>
                </c:pt>
                <c:pt idx="157">
                  <c:v>-0.16703282058997992</c:v>
                </c:pt>
                <c:pt idx="158">
                  <c:v>-7.4355398185004806E-3</c:v>
                </c:pt>
                <c:pt idx="159">
                  <c:v>0.13520882369979342</c:v>
                </c:pt>
                <c:pt idx="160">
                  <c:v>0.33674929898273243</c:v>
                </c:pt>
                <c:pt idx="161">
                  <c:v>-0.31804918984214459</c:v>
                </c:pt>
                <c:pt idx="162">
                  <c:v>-2.2242453594764497E-2</c:v>
                </c:pt>
                <c:pt idx="163">
                  <c:v>-7.5211959840134499E-2</c:v>
                </c:pt>
                <c:pt idx="164">
                  <c:v>-2.6502005365649908E-2</c:v>
                </c:pt>
                <c:pt idx="165">
                  <c:v>0.1849473466754839</c:v>
                </c:pt>
                <c:pt idx="166">
                  <c:v>0.17888995006061753</c:v>
                </c:pt>
                <c:pt idx="167">
                  <c:v>0.15768007787812577</c:v>
                </c:pt>
                <c:pt idx="168">
                  <c:v>8.4740487794027361E-2</c:v>
                </c:pt>
                <c:pt idx="169">
                  <c:v>2.4526777525747556E-2</c:v>
                </c:pt>
                <c:pt idx="170">
                  <c:v>9.4078224858492959E-2</c:v>
                </c:pt>
                <c:pt idx="171">
                  <c:v>9.1352685689248758E-2</c:v>
                </c:pt>
                <c:pt idx="172">
                  <c:v>3.067555769456759E-2</c:v>
                </c:pt>
                <c:pt idx="173">
                  <c:v>0.5177586995674861</c:v>
                </c:pt>
                <c:pt idx="174">
                  <c:v>0.2318828568516923</c:v>
                </c:pt>
                <c:pt idx="175">
                  <c:v>-4.7142651224426499E-2</c:v>
                </c:pt>
                <c:pt idx="176">
                  <c:v>-0.12855668520276969</c:v>
                </c:pt>
                <c:pt idx="177">
                  <c:v>2.383748770154305E-2</c:v>
                </c:pt>
                <c:pt idx="178">
                  <c:v>0.21451383278833047</c:v>
                </c:pt>
                <c:pt idx="179">
                  <c:v>9.0292525078343275E-2</c:v>
                </c:pt>
                <c:pt idx="180">
                  <c:v>3.1699504472654669E-2</c:v>
                </c:pt>
                <c:pt idx="181">
                  <c:v>0.12726639985348884</c:v>
                </c:pt>
                <c:pt idx="182">
                  <c:v>0.19605319735815063</c:v>
                </c:pt>
                <c:pt idx="183">
                  <c:v>1.7977692809152582E-2</c:v>
                </c:pt>
                <c:pt idx="184">
                  <c:v>0.11071937043167597</c:v>
                </c:pt>
                <c:pt idx="185">
                  <c:v>-2.5200313289622592E-2</c:v>
                </c:pt>
                <c:pt idx="186">
                  <c:v>0.14016762156214352</c:v>
                </c:pt>
                <c:pt idx="187">
                  <c:v>0.15075435978428009</c:v>
                </c:pt>
                <c:pt idx="188">
                  <c:v>0.23338891153791569</c:v>
                </c:pt>
                <c:pt idx="189">
                  <c:v>-5.895336152439562E-3</c:v>
                </c:pt>
                <c:pt idx="190">
                  <c:v>8.7413265197754039E-2</c:v>
                </c:pt>
                <c:pt idx="191">
                  <c:v>0.19985660578682407</c:v>
                </c:pt>
                <c:pt idx="192">
                  <c:v>0.10792964152345795</c:v>
                </c:pt>
                <c:pt idx="193">
                  <c:v>-5.4460824078864919E-2</c:v>
                </c:pt>
                <c:pt idx="194">
                  <c:v>-0.2405122536705282</c:v>
                </c:pt>
                <c:pt idx="195">
                  <c:v>0.20065805989865451</c:v>
                </c:pt>
                <c:pt idx="196">
                  <c:v>0.11820042199218253</c:v>
                </c:pt>
                <c:pt idx="197">
                  <c:v>0.41149972510343802</c:v>
                </c:pt>
                <c:pt idx="198">
                  <c:v>0.12609698488038112</c:v>
                </c:pt>
                <c:pt idx="199">
                  <c:v>-4.3352896221987611E-2</c:v>
                </c:pt>
                <c:pt idx="200">
                  <c:v>0.414633287684055</c:v>
                </c:pt>
                <c:pt idx="201">
                  <c:v>-0.32625150047655666</c:v>
                </c:pt>
                <c:pt idx="202">
                  <c:v>0.2662430814160644</c:v>
                </c:pt>
                <c:pt idx="203">
                  <c:v>-0.18546615433842251</c:v>
                </c:pt>
                <c:pt idx="204">
                  <c:v>-5.6373578991914905E-2</c:v>
                </c:pt>
                <c:pt idx="205">
                  <c:v>-2.7707956675510695E-2</c:v>
                </c:pt>
                <c:pt idx="206">
                  <c:v>0.11768915297747125</c:v>
                </c:pt>
                <c:pt idx="207">
                  <c:v>0.18660036056573809</c:v>
                </c:pt>
                <c:pt idx="208">
                  <c:v>-2.8424858051708926E-2</c:v>
                </c:pt>
                <c:pt idx="209">
                  <c:v>4.4868357431339462E-2</c:v>
                </c:pt>
                <c:pt idx="210">
                  <c:v>5.5878841540828672E-2</c:v>
                </c:pt>
                <c:pt idx="211">
                  <c:v>-0.23521103503252055</c:v>
                </c:pt>
                <c:pt idx="212">
                  <c:v>-4.7978097341720427E-3</c:v>
                </c:pt>
                <c:pt idx="213">
                  <c:v>7.5248169422544933E-2</c:v>
                </c:pt>
                <c:pt idx="214">
                  <c:v>-4.1116092461431122E-2</c:v>
                </c:pt>
                <c:pt idx="215">
                  <c:v>4.2017512806772975E-2</c:v>
                </c:pt>
                <c:pt idx="216">
                  <c:v>-2.6089923855985339E-2</c:v>
                </c:pt>
                <c:pt idx="217">
                  <c:v>0.30144671545246821</c:v>
                </c:pt>
                <c:pt idx="218">
                  <c:v>0.33912899379199002</c:v>
                </c:pt>
                <c:pt idx="219">
                  <c:v>0.22963644213128431</c:v>
                </c:pt>
                <c:pt idx="220">
                  <c:v>0.10600035178211908</c:v>
                </c:pt>
                <c:pt idx="221">
                  <c:v>6.7316881536273715E-2</c:v>
                </c:pt>
                <c:pt idx="222">
                  <c:v>4.8339684905030156E-2</c:v>
                </c:pt>
                <c:pt idx="223">
                  <c:v>6.3073315323313936E-2</c:v>
                </c:pt>
                <c:pt idx="224">
                  <c:v>-0.11701233379466584</c:v>
                </c:pt>
                <c:pt idx="225">
                  <c:v>-1.5911119699637447E-2</c:v>
                </c:pt>
                <c:pt idx="226">
                  <c:v>-6.4884615438204993E-2</c:v>
                </c:pt>
                <c:pt idx="227">
                  <c:v>0.22789636860644752</c:v>
                </c:pt>
                <c:pt idx="228">
                  <c:v>-9.2252605179504871E-3</c:v>
                </c:pt>
                <c:pt idx="229">
                  <c:v>8.9192231008331527E-2</c:v>
                </c:pt>
                <c:pt idx="230">
                  <c:v>0.27322809648802865</c:v>
                </c:pt>
                <c:pt idx="231">
                  <c:v>-3.9743159477705445E-2</c:v>
                </c:pt>
                <c:pt idx="232">
                  <c:v>0.17040803457752396</c:v>
                </c:pt>
                <c:pt idx="233">
                  <c:v>9.2839533059872331E-2</c:v>
                </c:pt>
                <c:pt idx="234">
                  <c:v>0.15440364490466391</c:v>
                </c:pt>
                <c:pt idx="235">
                  <c:v>7.6715701851689161E-2</c:v>
                </c:pt>
                <c:pt idx="236">
                  <c:v>-9.0693707512167862E-2</c:v>
                </c:pt>
                <c:pt idx="237">
                  <c:v>0.29420261917126883</c:v>
                </c:pt>
                <c:pt idx="238">
                  <c:v>0.17201299927083152</c:v>
                </c:pt>
                <c:pt idx="239">
                  <c:v>0.25535328642625127</c:v>
                </c:pt>
                <c:pt idx="240">
                  <c:v>-0.24757354420354427</c:v>
                </c:pt>
                <c:pt idx="241">
                  <c:v>-1.047744353579233E-2</c:v>
                </c:pt>
                <c:pt idx="242">
                  <c:v>6.0330858930534803E-2</c:v>
                </c:pt>
                <c:pt idx="243">
                  <c:v>0.22890143563365384</c:v>
                </c:pt>
                <c:pt idx="244">
                  <c:v>0.20111037149298591</c:v>
                </c:pt>
                <c:pt idx="245">
                  <c:v>0.22734481148904392</c:v>
                </c:pt>
                <c:pt idx="246">
                  <c:v>-0.10029623956509433</c:v>
                </c:pt>
                <c:pt idx="247">
                  <c:v>0.10963437396617043</c:v>
                </c:pt>
                <c:pt idx="248">
                  <c:v>-9.3488525219305244E-2</c:v>
                </c:pt>
                <c:pt idx="249">
                  <c:v>0.15702860875310745</c:v>
                </c:pt>
                <c:pt idx="250">
                  <c:v>0.31537189860818615</c:v>
                </c:pt>
                <c:pt idx="251">
                  <c:v>0.25906674447747158</c:v>
                </c:pt>
                <c:pt idx="252">
                  <c:v>-5.92513390697013E-2</c:v>
                </c:pt>
                <c:pt idx="253">
                  <c:v>8.1655398754302694E-3</c:v>
                </c:pt>
                <c:pt idx="254">
                  <c:v>6.6238176898044815E-3</c:v>
                </c:pt>
                <c:pt idx="255">
                  <c:v>-0.12973315155970744</c:v>
                </c:pt>
                <c:pt idx="256">
                  <c:v>0.12641313147440358</c:v>
                </c:pt>
                <c:pt idx="257">
                  <c:v>0.61094151555881715</c:v>
                </c:pt>
                <c:pt idx="258">
                  <c:v>0.10326404997764427</c:v>
                </c:pt>
                <c:pt idx="259">
                  <c:v>0.24818034993147015</c:v>
                </c:pt>
                <c:pt idx="260">
                  <c:v>0.41417511775476717</c:v>
                </c:pt>
                <c:pt idx="261">
                  <c:v>0.26899302222503996</c:v>
                </c:pt>
                <c:pt idx="262">
                  <c:v>0.26262086211426705</c:v>
                </c:pt>
                <c:pt idx="263">
                  <c:v>-7.4534949928884583E-2</c:v>
                </c:pt>
                <c:pt idx="264">
                  <c:v>-1.7554831344815794E-2</c:v>
                </c:pt>
                <c:pt idx="265">
                  <c:v>4.1064165431574443E-2</c:v>
                </c:pt>
                <c:pt idx="266">
                  <c:v>0.33583694002855807</c:v>
                </c:pt>
                <c:pt idx="267">
                  <c:v>4.6303848152009108E-2</c:v>
                </c:pt>
                <c:pt idx="268">
                  <c:v>-0.19573841181833379</c:v>
                </c:pt>
                <c:pt idx="269">
                  <c:v>6.539500164861918E-2</c:v>
                </c:pt>
                <c:pt idx="270">
                  <c:v>0.14186458457906431</c:v>
                </c:pt>
                <c:pt idx="271">
                  <c:v>9.7270795343046335E-2</c:v>
                </c:pt>
                <c:pt idx="272">
                  <c:v>0.1164163463416456</c:v>
                </c:pt>
                <c:pt idx="273">
                  <c:v>0.28875994297801244</c:v>
                </c:pt>
                <c:pt idx="274">
                  <c:v>6.107025988703832E-2</c:v>
                </c:pt>
                <c:pt idx="275">
                  <c:v>6.726427260294901E-2</c:v>
                </c:pt>
                <c:pt idx="276">
                  <c:v>-3.6158694308235109E-2</c:v>
                </c:pt>
                <c:pt idx="277">
                  <c:v>0.15301603466887598</c:v>
                </c:pt>
                <c:pt idx="278">
                  <c:v>0.15397870662821705</c:v>
                </c:pt>
                <c:pt idx="279">
                  <c:v>3.3918843762040102E-2</c:v>
                </c:pt>
                <c:pt idx="280">
                  <c:v>4.7732450575888916E-2</c:v>
                </c:pt>
                <c:pt idx="281">
                  <c:v>0.15436106208419509</c:v>
                </c:pt>
                <c:pt idx="282">
                  <c:v>4.2907052243962296E-2</c:v>
                </c:pt>
                <c:pt idx="283">
                  <c:v>3.9352291336256187E-2</c:v>
                </c:pt>
                <c:pt idx="284">
                  <c:v>0.13618350021880476</c:v>
                </c:pt>
                <c:pt idx="285">
                  <c:v>0.28477983347474961</c:v>
                </c:pt>
                <c:pt idx="286">
                  <c:v>0.1274791988019755</c:v>
                </c:pt>
                <c:pt idx="287">
                  <c:v>0.10376794457952947</c:v>
                </c:pt>
                <c:pt idx="288">
                  <c:v>3.4832016024230264E-2</c:v>
                </c:pt>
                <c:pt idx="289">
                  <c:v>4.8221283754196292E-2</c:v>
                </c:pt>
                <c:pt idx="290">
                  <c:v>0.23172594256531787</c:v>
                </c:pt>
                <c:pt idx="291">
                  <c:v>0.14351219757006853</c:v>
                </c:pt>
                <c:pt idx="292">
                  <c:v>0.46840885625933987</c:v>
                </c:pt>
                <c:pt idx="293">
                  <c:v>0.13018073231857558</c:v>
                </c:pt>
                <c:pt idx="294">
                  <c:v>0.13147086533256122</c:v>
                </c:pt>
                <c:pt idx="295">
                  <c:v>0.23976474656743446</c:v>
                </c:pt>
                <c:pt idx="296">
                  <c:v>0.25253196663361621</c:v>
                </c:pt>
                <c:pt idx="297">
                  <c:v>-0.15893197223817568</c:v>
                </c:pt>
                <c:pt idx="298">
                  <c:v>0.29575719753200391</c:v>
                </c:pt>
                <c:pt idx="299">
                  <c:v>0.35285645929292375</c:v>
                </c:pt>
                <c:pt idx="300">
                  <c:v>-7.3310965387068397E-2</c:v>
                </c:pt>
                <c:pt idx="301">
                  <c:v>-9.6798755092267527E-2</c:v>
                </c:pt>
                <c:pt idx="302">
                  <c:v>-5.6139093950480015E-2</c:v>
                </c:pt>
                <c:pt idx="303">
                  <c:v>-0.1400208463972894</c:v>
                </c:pt>
                <c:pt idx="304">
                  <c:v>-9.9851414031489047E-2</c:v>
                </c:pt>
                <c:pt idx="305">
                  <c:v>0.39286280380114325</c:v>
                </c:pt>
                <c:pt idx="306">
                  <c:v>0.232326274274782</c:v>
                </c:pt>
                <c:pt idx="307">
                  <c:v>6.3470498512716689E-2</c:v>
                </c:pt>
                <c:pt idx="308">
                  <c:v>-0.15203954027401823</c:v>
                </c:pt>
                <c:pt idx="309">
                  <c:v>8.8333296535933414E-2</c:v>
                </c:pt>
                <c:pt idx="310">
                  <c:v>0.2079530193133412</c:v>
                </c:pt>
                <c:pt idx="311">
                  <c:v>0.47859910552493951</c:v>
                </c:pt>
                <c:pt idx="312">
                  <c:v>2.7910198547455814E-2</c:v>
                </c:pt>
                <c:pt idx="313">
                  <c:v>-2.2969019332245572E-3</c:v>
                </c:pt>
                <c:pt idx="314">
                  <c:v>0.20397537426482082</c:v>
                </c:pt>
                <c:pt idx="315">
                  <c:v>1.8312296334050737E-2</c:v>
                </c:pt>
                <c:pt idx="316">
                  <c:v>0.16183693169303043</c:v>
                </c:pt>
                <c:pt idx="317">
                  <c:v>0.1574451933449888</c:v>
                </c:pt>
                <c:pt idx="318">
                  <c:v>-0.12212872105117055</c:v>
                </c:pt>
                <c:pt idx="319">
                  <c:v>-2.988771791951815E-2</c:v>
                </c:pt>
                <c:pt idx="320">
                  <c:v>-2.400202748655024E-2</c:v>
                </c:pt>
                <c:pt idx="321">
                  <c:v>0.49026762406301838</c:v>
                </c:pt>
                <c:pt idx="322">
                  <c:v>9.3161566990061812E-2</c:v>
                </c:pt>
                <c:pt idx="323">
                  <c:v>-1.999618116778594E-2</c:v>
                </c:pt>
                <c:pt idx="324">
                  <c:v>0.30897480853870596</c:v>
                </c:pt>
                <c:pt idx="325">
                  <c:v>6.9423329454491284E-2</c:v>
                </c:pt>
                <c:pt idx="326">
                  <c:v>-0.23423011087753887</c:v>
                </c:pt>
                <c:pt idx="327">
                  <c:v>-0.22588829462208615</c:v>
                </c:pt>
                <c:pt idx="328">
                  <c:v>-3.8831441335934205E-2</c:v>
                </c:pt>
                <c:pt idx="329">
                  <c:v>-0.21441228353906439</c:v>
                </c:pt>
                <c:pt idx="330">
                  <c:v>-0.18356453738753581</c:v>
                </c:pt>
                <c:pt idx="331">
                  <c:v>0.19049254088077094</c:v>
                </c:pt>
                <c:pt idx="332">
                  <c:v>0.24970478620257386</c:v>
                </c:pt>
                <c:pt idx="333">
                  <c:v>0.11226450329966335</c:v>
                </c:pt>
                <c:pt idx="334">
                  <c:v>1.3915674354423466E-2</c:v>
                </c:pt>
                <c:pt idx="335">
                  <c:v>7.2605577407507033E-2</c:v>
                </c:pt>
                <c:pt idx="336">
                  <c:v>0.27158364915069722</c:v>
                </c:pt>
                <c:pt idx="337">
                  <c:v>-0.1212832009586453</c:v>
                </c:pt>
                <c:pt idx="338">
                  <c:v>0.16773826402080194</c:v>
                </c:pt>
                <c:pt idx="339">
                  <c:v>0.22256452330316079</c:v>
                </c:pt>
                <c:pt idx="340">
                  <c:v>-0.19694393077290356</c:v>
                </c:pt>
                <c:pt idx="341">
                  <c:v>0.28030752331905984</c:v>
                </c:pt>
                <c:pt idx="342">
                  <c:v>0.47100964201638112</c:v>
                </c:pt>
                <c:pt idx="343">
                  <c:v>5.287948025320334E-2</c:v>
                </c:pt>
                <c:pt idx="344">
                  <c:v>-0.12957544838555274</c:v>
                </c:pt>
                <c:pt idx="345">
                  <c:v>0.40271131119872822</c:v>
                </c:pt>
                <c:pt idx="346">
                  <c:v>-0.17437548483371407</c:v>
                </c:pt>
                <c:pt idx="347">
                  <c:v>9.2558115543011535E-2</c:v>
                </c:pt>
                <c:pt idx="348">
                  <c:v>8.278811123946142E-2</c:v>
                </c:pt>
                <c:pt idx="349">
                  <c:v>0.39835854659008652</c:v>
                </c:pt>
                <c:pt idx="350">
                  <c:v>0.20370831807117029</c:v>
                </c:pt>
                <c:pt idx="351">
                  <c:v>0.26731844531467119</c:v>
                </c:pt>
                <c:pt idx="352">
                  <c:v>-5.489525960815006E-3</c:v>
                </c:pt>
                <c:pt idx="353">
                  <c:v>-7.9296420775475565E-2</c:v>
                </c:pt>
                <c:pt idx="354">
                  <c:v>0.36501122067464542</c:v>
                </c:pt>
                <c:pt idx="355">
                  <c:v>0.20420816555610824</c:v>
                </c:pt>
                <c:pt idx="356">
                  <c:v>0.30705301628159098</c:v>
                </c:pt>
                <c:pt idx="357">
                  <c:v>0.23678821176301851</c:v>
                </c:pt>
                <c:pt idx="358">
                  <c:v>0.112373973633804</c:v>
                </c:pt>
                <c:pt idx="359">
                  <c:v>0.48953557046762219</c:v>
                </c:pt>
                <c:pt idx="360">
                  <c:v>0.33802109186933305</c:v>
                </c:pt>
                <c:pt idx="361">
                  <c:v>1.5313237111715255E-3</c:v>
                </c:pt>
                <c:pt idx="362">
                  <c:v>0.20098801794931898</c:v>
                </c:pt>
                <c:pt idx="363">
                  <c:v>0.2677664483391341</c:v>
                </c:pt>
                <c:pt idx="364">
                  <c:v>-0.11928852681462372</c:v>
                </c:pt>
                <c:pt idx="365">
                  <c:v>0.33858449066114399</c:v>
                </c:pt>
                <c:pt idx="366">
                  <c:v>5.9883597059316174E-3</c:v>
                </c:pt>
                <c:pt idx="367">
                  <c:v>0.66022900754618652</c:v>
                </c:pt>
                <c:pt idx="368">
                  <c:v>0.2953548428982265</c:v>
                </c:pt>
                <c:pt idx="369">
                  <c:v>9.0371529124422381E-2</c:v>
                </c:pt>
                <c:pt idx="370">
                  <c:v>0.1463361780000012</c:v>
                </c:pt>
                <c:pt idx="371">
                  <c:v>-5.051102392535349E-2</c:v>
                </c:pt>
                <c:pt idx="372">
                  <c:v>0.28009178452443539</c:v>
                </c:pt>
                <c:pt idx="373">
                  <c:v>0.18513085536213758</c:v>
                </c:pt>
                <c:pt idx="374">
                  <c:v>-0.19167488638091373</c:v>
                </c:pt>
                <c:pt idx="375">
                  <c:v>0.10807328469122876</c:v>
                </c:pt>
                <c:pt idx="376">
                  <c:v>-0.22887009035356748</c:v>
                </c:pt>
                <c:pt idx="377">
                  <c:v>-8.1692119490310203E-2</c:v>
                </c:pt>
                <c:pt idx="378">
                  <c:v>-5.7966624312774398E-2</c:v>
                </c:pt>
                <c:pt idx="379">
                  <c:v>8.14957309518555E-2</c:v>
                </c:pt>
                <c:pt idx="380">
                  <c:v>-5.9039058358790183E-2</c:v>
                </c:pt>
                <c:pt idx="381">
                  <c:v>-7.9693849637608297E-2</c:v>
                </c:pt>
                <c:pt idx="382">
                  <c:v>0.26991911692902798</c:v>
                </c:pt>
                <c:pt idx="383">
                  <c:v>-0.33597320762430133</c:v>
                </c:pt>
                <c:pt idx="384">
                  <c:v>0.25124558332826685</c:v>
                </c:pt>
                <c:pt idx="385">
                  <c:v>0.18465314505908947</c:v>
                </c:pt>
                <c:pt idx="386">
                  <c:v>0.16834231698045188</c:v>
                </c:pt>
                <c:pt idx="387">
                  <c:v>0.24620787310087383</c:v>
                </c:pt>
                <c:pt idx="388">
                  <c:v>0.33809002363724067</c:v>
                </c:pt>
                <c:pt idx="389">
                  <c:v>0.11768093273599803</c:v>
                </c:pt>
                <c:pt idx="390">
                  <c:v>0.33469726820821794</c:v>
                </c:pt>
                <c:pt idx="391">
                  <c:v>-2.564706717538566E-2</c:v>
                </c:pt>
                <c:pt idx="392">
                  <c:v>0.3241269201944933</c:v>
                </c:pt>
                <c:pt idx="393">
                  <c:v>2.0217978802054171E-2</c:v>
                </c:pt>
                <c:pt idx="394">
                  <c:v>-0.33075651896705299</c:v>
                </c:pt>
                <c:pt idx="395">
                  <c:v>0.48451586804780544</c:v>
                </c:pt>
                <c:pt idx="396">
                  <c:v>0.13111251383681594</c:v>
                </c:pt>
                <c:pt idx="397">
                  <c:v>0.112255627674809</c:v>
                </c:pt>
                <c:pt idx="398">
                  <c:v>0.49704088688870551</c:v>
                </c:pt>
                <c:pt idx="399">
                  <c:v>0.17434925770350354</c:v>
                </c:pt>
                <c:pt idx="400">
                  <c:v>0.2951677819564168</c:v>
                </c:pt>
                <c:pt idx="401">
                  <c:v>8.1869825864092527E-2</c:v>
                </c:pt>
                <c:pt idx="402">
                  <c:v>0.29938994525854656</c:v>
                </c:pt>
                <c:pt idx="403">
                  <c:v>5.1783890829104756E-3</c:v>
                </c:pt>
                <c:pt idx="404">
                  <c:v>9.4095598108025758E-3</c:v>
                </c:pt>
                <c:pt idx="405">
                  <c:v>0.15055473458262048</c:v>
                </c:pt>
                <c:pt idx="406">
                  <c:v>0.32713334282815304</c:v>
                </c:pt>
                <c:pt idx="407">
                  <c:v>0.34703062354926717</c:v>
                </c:pt>
                <c:pt idx="408">
                  <c:v>-1.674153369103272E-2</c:v>
                </c:pt>
                <c:pt idx="409">
                  <c:v>0.53898931901001501</c:v>
                </c:pt>
                <c:pt idx="410">
                  <c:v>0.10993830332864633</c:v>
                </c:pt>
                <c:pt idx="411">
                  <c:v>9.3555533356508527E-2</c:v>
                </c:pt>
                <c:pt idx="412">
                  <c:v>0.18482351273652969</c:v>
                </c:pt>
                <c:pt idx="413">
                  <c:v>0.13929783644297053</c:v>
                </c:pt>
                <c:pt idx="414">
                  <c:v>4.8904844875999373E-2</c:v>
                </c:pt>
                <c:pt idx="415">
                  <c:v>0.11011180874263463</c:v>
                </c:pt>
                <c:pt idx="416">
                  <c:v>5.5637226876160635E-2</c:v>
                </c:pt>
                <c:pt idx="417">
                  <c:v>6.2019078184168228E-2</c:v>
                </c:pt>
                <c:pt idx="418">
                  <c:v>-0.19294324406502839</c:v>
                </c:pt>
                <c:pt idx="419">
                  <c:v>-0.27012429137095417</c:v>
                </c:pt>
                <c:pt idx="420">
                  <c:v>0.42285590535129419</c:v>
                </c:pt>
                <c:pt idx="421">
                  <c:v>0.49974750925357381</c:v>
                </c:pt>
                <c:pt idx="422">
                  <c:v>0.41335135174185322</c:v>
                </c:pt>
                <c:pt idx="423">
                  <c:v>0.14612488000101043</c:v>
                </c:pt>
                <c:pt idx="424">
                  <c:v>0.29545039878472257</c:v>
                </c:pt>
                <c:pt idx="425">
                  <c:v>6.2507321784002201E-3</c:v>
                </c:pt>
                <c:pt idx="426">
                  <c:v>-0.10009912052423404</c:v>
                </c:pt>
                <c:pt idx="427">
                  <c:v>0.44038951687967504</c:v>
                </c:pt>
                <c:pt idx="428">
                  <c:v>0.23905613612746168</c:v>
                </c:pt>
                <c:pt idx="429">
                  <c:v>0.33151711182581267</c:v>
                </c:pt>
                <c:pt idx="430">
                  <c:v>0.10726337741215725</c:v>
                </c:pt>
                <c:pt idx="431">
                  <c:v>-9.6758935707408414E-2</c:v>
                </c:pt>
                <c:pt idx="432">
                  <c:v>6.450895173365026E-2</c:v>
                </c:pt>
                <c:pt idx="433">
                  <c:v>0.24814736431927525</c:v>
                </c:pt>
                <c:pt idx="434">
                  <c:v>0.39273609995527387</c:v>
                </c:pt>
                <c:pt idx="435">
                  <c:v>1.8251573031569074E-2</c:v>
                </c:pt>
                <c:pt idx="436">
                  <c:v>0.20751191963803822</c:v>
                </c:pt>
                <c:pt idx="437">
                  <c:v>0.43579748345323904</c:v>
                </c:pt>
                <c:pt idx="438">
                  <c:v>8.9065369850993614E-2</c:v>
                </c:pt>
                <c:pt idx="439">
                  <c:v>-0.10299336445695019</c:v>
                </c:pt>
                <c:pt idx="440">
                  <c:v>0.20180138759963032</c:v>
                </c:pt>
                <c:pt idx="441">
                  <c:v>0.10915939842939296</c:v>
                </c:pt>
                <c:pt idx="442">
                  <c:v>-6.9145515839633784E-2</c:v>
                </c:pt>
                <c:pt idx="443">
                  <c:v>0.10824852272788675</c:v>
                </c:pt>
                <c:pt idx="444">
                  <c:v>3.7141308689297062E-2</c:v>
                </c:pt>
                <c:pt idx="445">
                  <c:v>0.23451066992610137</c:v>
                </c:pt>
                <c:pt idx="446">
                  <c:v>0.38983180673227036</c:v>
                </c:pt>
                <c:pt idx="447">
                  <c:v>-7.8687842488808349E-2</c:v>
                </c:pt>
                <c:pt idx="448">
                  <c:v>0.18098589173275251</c:v>
                </c:pt>
                <c:pt idx="449">
                  <c:v>4.4590416530808585E-2</c:v>
                </c:pt>
                <c:pt idx="450">
                  <c:v>-0.15338845925757871</c:v>
                </c:pt>
                <c:pt idx="451">
                  <c:v>0.20080815867778976</c:v>
                </c:pt>
                <c:pt idx="452">
                  <c:v>4.327537568014031E-3</c:v>
                </c:pt>
                <c:pt idx="453">
                  <c:v>0.33226675171745657</c:v>
                </c:pt>
                <c:pt idx="454">
                  <c:v>0.24169450033813394</c:v>
                </c:pt>
                <c:pt idx="455">
                  <c:v>0.16489705673527644</c:v>
                </c:pt>
                <c:pt idx="456">
                  <c:v>0.20943391600974193</c:v>
                </c:pt>
                <c:pt idx="457">
                  <c:v>0.58524791234035511</c:v>
                </c:pt>
                <c:pt idx="458">
                  <c:v>7.6089364455964786E-2</c:v>
                </c:pt>
                <c:pt idx="459">
                  <c:v>0.5278342182995952</c:v>
                </c:pt>
                <c:pt idx="460">
                  <c:v>1.0613104081173053E-2</c:v>
                </c:pt>
                <c:pt idx="461">
                  <c:v>0.23499376954325726</c:v>
                </c:pt>
                <c:pt idx="462">
                  <c:v>0.19991057579197957</c:v>
                </c:pt>
                <c:pt idx="463">
                  <c:v>9.4835496068732261E-2</c:v>
                </c:pt>
                <c:pt idx="464">
                  <c:v>0.2572621154019496</c:v>
                </c:pt>
                <c:pt idx="465">
                  <c:v>0.4058811602087537</c:v>
                </c:pt>
                <c:pt idx="466">
                  <c:v>-1.5472634458016568E-2</c:v>
                </c:pt>
                <c:pt idx="467">
                  <c:v>-2.1921105136502445E-3</c:v>
                </c:pt>
                <c:pt idx="468">
                  <c:v>4.4876152075469591E-2</c:v>
                </c:pt>
                <c:pt idx="469">
                  <c:v>0.17811645145440558</c:v>
                </c:pt>
                <c:pt idx="470">
                  <c:v>-2.5100242129097824E-2</c:v>
                </c:pt>
                <c:pt idx="471">
                  <c:v>5.6913744255630838E-4</c:v>
                </c:pt>
                <c:pt idx="472">
                  <c:v>-4.1484921989757104E-2</c:v>
                </c:pt>
                <c:pt idx="473">
                  <c:v>0.38157056105201725</c:v>
                </c:pt>
                <c:pt idx="474">
                  <c:v>4.9578245843574842E-2</c:v>
                </c:pt>
                <c:pt idx="475">
                  <c:v>0.36113641717148631</c:v>
                </c:pt>
                <c:pt idx="476">
                  <c:v>0.39731775843229084</c:v>
                </c:pt>
                <c:pt idx="477">
                  <c:v>0.14707138082623192</c:v>
                </c:pt>
                <c:pt idx="478">
                  <c:v>-2.3856731951683099E-2</c:v>
                </c:pt>
                <c:pt idx="479">
                  <c:v>-0.19147010816863064</c:v>
                </c:pt>
                <c:pt idx="480">
                  <c:v>-2.5964923461730946E-2</c:v>
                </c:pt>
                <c:pt idx="481">
                  <c:v>8.0224511637161489E-2</c:v>
                </c:pt>
                <c:pt idx="482">
                  <c:v>0.30823011893819763</c:v>
                </c:pt>
                <c:pt idx="483">
                  <c:v>7.2544092098196872E-2</c:v>
                </c:pt>
                <c:pt idx="484">
                  <c:v>-0.28178808538415506</c:v>
                </c:pt>
                <c:pt idx="485">
                  <c:v>-0.26764424788142799</c:v>
                </c:pt>
                <c:pt idx="486">
                  <c:v>-0.10145809512856184</c:v>
                </c:pt>
                <c:pt idx="487">
                  <c:v>0.15339447911534795</c:v>
                </c:pt>
                <c:pt idx="488">
                  <c:v>0.42144593760781179</c:v>
                </c:pt>
                <c:pt idx="489">
                  <c:v>0.15297998699823093</c:v>
                </c:pt>
                <c:pt idx="490">
                  <c:v>0.11996653052887137</c:v>
                </c:pt>
                <c:pt idx="491">
                  <c:v>0.36813211359404768</c:v>
                </c:pt>
                <c:pt idx="492">
                  <c:v>0.39663732150960257</c:v>
                </c:pt>
                <c:pt idx="493">
                  <c:v>-0.13137332110000183</c:v>
                </c:pt>
                <c:pt idx="494">
                  <c:v>0.16803390002632007</c:v>
                </c:pt>
                <c:pt idx="495">
                  <c:v>-0.16056168757766776</c:v>
                </c:pt>
                <c:pt idx="496">
                  <c:v>1.6276703403694387E-2</c:v>
                </c:pt>
                <c:pt idx="497">
                  <c:v>0.1703792342419474</c:v>
                </c:pt>
                <c:pt idx="498">
                  <c:v>0.26136565553142116</c:v>
                </c:pt>
                <c:pt idx="499">
                  <c:v>0.2975692644839143</c:v>
                </c:pt>
                <c:pt idx="500">
                  <c:v>3.487755122893596E-2</c:v>
                </c:pt>
                <c:pt idx="501">
                  <c:v>0.18381699451119596</c:v>
                </c:pt>
                <c:pt idx="502">
                  <c:v>0.27034404731780942</c:v>
                </c:pt>
                <c:pt idx="503">
                  <c:v>0.36722305737264616</c:v>
                </c:pt>
                <c:pt idx="504">
                  <c:v>-0.1811781118456488</c:v>
                </c:pt>
                <c:pt idx="505">
                  <c:v>9.5900423611697344E-2</c:v>
                </c:pt>
                <c:pt idx="506">
                  <c:v>0.23087442146456238</c:v>
                </c:pt>
                <c:pt idx="507">
                  <c:v>-5.1516676236427791E-2</c:v>
                </c:pt>
                <c:pt idx="508">
                  <c:v>9.5714745142242708E-3</c:v>
                </c:pt>
                <c:pt idx="509">
                  <c:v>-6.9836514838149191E-2</c:v>
                </c:pt>
                <c:pt idx="510">
                  <c:v>0.18855499242130255</c:v>
                </c:pt>
                <c:pt idx="511">
                  <c:v>-0.11982365655983605</c:v>
                </c:pt>
                <c:pt idx="512">
                  <c:v>0.19729932042791037</c:v>
                </c:pt>
                <c:pt idx="513">
                  <c:v>0.16953769034627608</c:v>
                </c:pt>
                <c:pt idx="514">
                  <c:v>8.1203945569327252E-3</c:v>
                </c:pt>
                <c:pt idx="515">
                  <c:v>0.44432132105976591</c:v>
                </c:pt>
                <c:pt idx="516">
                  <c:v>0.25987889696219074</c:v>
                </c:pt>
                <c:pt idx="517">
                  <c:v>0.27435144693188163</c:v>
                </c:pt>
                <c:pt idx="518">
                  <c:v>0.33199844359579134</c:v>
                </c:pt>
                <c:pt idx="519">
                  <c:v>0.33663071054242322</c:v>
                </c:pt>
                <c:pt idx="520">
                  <c:v>-3.6510436723155307E-2</c:v>
                </c:pt>
                <c:pt idx="521">
                  <c:v>-0.36616166852071108</c:v>
                </c:pt>
                <c:pt idx="522">
                  <c:v>1.3436527335366072E-3</c:v>
                </c:pt>
                <c:pt idx="523">
                  <c:v>2.8663789388359701E-3</c:v>
                </c:pt>
                <c:pt idx="524">
                  <c:v>3.8503568235565305E-2</c:v>
                </c:pt>
                <c:pt idx="525">
                  <c:v>0.24383422623687806</c:v>
                </c:pt>
                <c:pt idx="526">
                  <c:v>0.22575197836562017</c:v>
                </c:pt>
                <c:pt idx="527">
                  <c:v>2.8761278942399063E-2</c:v>
                </c:pt>
                <c:pt idx="528">
                  <c:v>1.1850499602429732E-2</c:v>
                </c:pt>
                <c:pt idx="529">
                  <c:v>-3.6862794798892831E-2</c:v>
                </c:pt>
                <c:pt idx="530">
                  <c:v>0.43688277224359345</c:v>
                </c:pt>
                <c:pt idx="531">
                  <c:v>0.19196171703341047</c:v>
                </c:pt>
                <c:pt idx="532">
                  <c:v>0.27790956710799447</c:v>
                </c:pt>
                <c:pt idx="533">
                  <c:v>0.17354176292956605</c:v>
                </c:pt>
                <c:pt idx="534">
                  <c:v>0.12586364680708811</c:v>
                </c:pt>
                <c:pt idx="535">
                  <c:v>0.21873889626396864</c:v>
                </c:pt>
                <c:pt idx="536">
                  <c:v>0.18832301700654613</c:v>
                </c:pt>
                <c:pt idx="537">
                  <c:v>4.9572052377393205E-4</c:v>
                </c:pt>
                <c:pt idx="538">
                  <c:v>-1.7435173704399981E-3</c:v>
                </c:pt>
                <c:pt idx="539">
                  <c:v>0.20413587796092811</c:v>
                </c:pt>
                <c:pt idx="540">
                  <c:v>0.24335805370234387</c:v>
                </c:pt>
                <c:pt idx="541">
                  <c:v>-1.1343583536041632E-2</c:v>
                </c:pt>
                <c:pt idx="542">
                  <c:v>0.15545185750478832</c:v>
                </c:pt>
                <c:pt idx="543">
                  <c:v>0.15699760569207988</c:v>
                </c:pt>
                <c:pt idx="544">
                  <c:v>0.2544321281069476</c:v>
                </c:pt>
                <c:pt idx="545">
                  <c:v>-5.9038308508227041E-2</c:v>
                </c:pt>
                <c:pt idx="546">
                  <c:v>7.4726282412333533E-2</c:v>
                </c:pt>
                <c:pt idx="547">
                  <c:v>0.33370434898818319</c:v>
                </c:pt>
                <c:pt idx="548">
                  <c:v>0.13235320964345901</c:v>
                </c:pt>
                <c:pt idx="549">
                  <c:v>0.11241953508134608</c:v>
                </c:pt>
                <c:pt idx="550">
                  <c:v>0.19898141850062503</c:v>
                </c:pt>
                <c:pt idx="551">
                  <c:v>4.8818656515873374E-2</c:v>
                </c:pt>
                <c:pt idx="552">
                  <c:v>0.38204961006711724</c:v>
                </c:pt>
                <c:pt idx="553">
                  <c:v>0.31382022273891402</c:v>
                </c:pt>
                <c:pt idx="554">
                  <c:v>0.24522308852413954</c:v>
                </c:pt>
                <c:pt idx="555">
                  <c:v>9.9182891576422072E-2</c:v>
                </c:pt>
                <c:pt idx="556">
                  <c:v>0.1840702998724765</c:v>
                </c:pt>
                <c:pt idx="557">
                  <c:v>-0.11563965337981059</c:v>
                </c:pt>
                <c:pt idx="558">
                  <c:v>0.22518478977012457</c:v>
                </c:pt>
                <c:pt idx="559">
                  <c:v>0.3445509413638877</c:v>
                </c:pt>
                <c:pt idx="560">
                  <c:v>-1.4623997075379855E-2</c:v>
                </c:pt>
                <c:pt idx="561">
                  <c:v>-0.17603093589978891</c:v>
                </c:pt>
                <c:pt idx="562">
                  <c:v>0.14710581738671402</c:v>
                </c:pt>
                <c:pt idx="563">
                  <c:v>0.40354660427756195</c:v>
                </c:pt>
                <c:pt idx="564">
                  <c:v>0.24237963280340502</c:v>
                </c:pt>
                <c:pt idx="565">
                  <c:v>4.9281418961766674E-2</c:v>
                </c:pt>
                <c:pt idx="566">
                  <c:v>0.27476199211266683</c:v>
                </c:pt>
                <c:pt idx="567">
                  <c:v>0.48689640695710856</c:v>
                </c:pt>
                <c:pt idx="568">
                  <c:v>-5.5285445782296896E-2</c:v>
                </c:pt>
                <c:pt idx="569">
                  <c:v>0.24762196080896043</c:v>
                </c:pt>
                <c:pt idx="570">
                  <c:v>0.28345137312416679</c:v>
                </c:pt>
                <c:pt idx="571">
                  <c:v>7.8503185728460545E-2</c:v>
                </c:pt>
                <c:pt idx="572">
                  <c:v>0.50490551665487238</c:v>
                </c:pt>
                <c:pt idx="573">
                  <c:v>0.2806309733551578</c:v>
                </c:pt>
                <c:pt idx="574">
                  <c:v>-0.10818842826071652</c:v>
                </c:pt>
                <c:pt idx="575">
                  <c:v>-5.1670438666687468E-3</c:v>
                </c:pt>
                <c:pt idx="576">
                  <c:v>0.27109495782949888</c:v>
                </c:pt>
                <c:pt idx="577">
                  <c:v>3.7834215082964834E-2</c:v>
                </c:pt>
                <c:pt idx="578">
                  <c:v>0.20922163850210512</c:v>
                </c:pt>
                <c:pt idx="579">
                  <c:v>8.8463863207646168E-2</c:v>
                </c:pt>
                <c:pt idx="580">
                  <c:v>-8.5703424127507685E-2</c:v>
                </c:pt>
                <c:pt idx="581">
                  <c:v>-4.6272600699160796E-2</c:v>
                </c:pt>
                <c:pt idx="582">
                  <c:v>-2.71358160652687E-2</c:v>
                </c:pt>
                <c:pt idx="583">
                  <c:v>0.13106397547891724</c:v>
                </c:pt>
                <c:pt idx="584">
                  <c:v>-6.518843895269362E-2</c:v>
                </c:pt>
                <c:pt idx="585">
                  <c:v>3.329780727769753E-2</c:v>
                </c:pt>
                <c:pt idx="586">
                  <c:v>0.3297896682261276</c:v>
                </c:pt>
                <c:pt idx="587">
                  <c:v>0.25627307942699212</c:v>
                </c:pt>
                <c:pt idx="588">
                  <c:v>9.6856480968195394E-2</c:v>
                </c:pt>
                <c:pt idx="589">
                  <c:v>0.16591110978047052</c:v>
                </c:pt>
                <c:pt idx="590">
                  <c:v>0.1627959504701533</c:v>
                </c:pt>
                <c:pt idx="591">
                  <c:v>0.21639894975660928</c:v>
                </c:pt>
                <c:pt idx="592">
                  <c:v>-8.4426456809368347E-2</c:v>
                </c:pt>
                <c:pt idx="593">
                  <c:v>-5.8868049807163189E-2</c:v>
                </c:pt>
                <c:pt idx="594">
                  <c:v>-1.8828478308370603E-2</c:v>
                </c:pt>
                <c:pt idx="595">
                  <c:v>0.5776796930921172</c:v>
                </c:pt>
                <c:pt idx="596">
                  <c:v>0.13159343572709487</c:v>
                </c:pt>
                <c:pt idx="597">
                  <c:v>5.7798071210819091E-2</c:v>
                </c:pt>
                <c:pt idx="598">
                  <c:v>0.11863573280611496</c:v>
                </c:pt>
                <c:pt idx="599">
                  <c:v>-3.0703362278276872E-2</c:v>
                </c:pt>
                <c:pt idx="600">
                  <c:v>0.25459272739899946</c:v>
                </c:pt>
                <c:pt idx="601">
                  <c:v>9.7047213108158045E-2</c:v>
                </c:pt>
                <c:pt idx="602">
                  <c:v>0.40983997940948647</c:v>
                </c:pt>
                <c:pt idx="603">
                  <c:v>0.10550541392156425</c:v>
                </c:pt>
                <c:pt idx="604">
                  <c:v>-6.2413580610884076E-2</c:v>
                </c:pt>
                <c:pt idx="605">
                  <c:v>0.17377748670119658</c:v>
                </c:pt>
                <c:pt idx="606">
                  <c:v>-3.4304025983265166E-2</c:v>
                </c:pt>
                <c:pt idx="607">
                  <c:v>-9.2386540250965002E-2</c:v>
                </c:pt>
                <c:pt idx="608">
                  <c:v>-0.10274433580167459</c:v>
                </c:pt>
                <c:pt idx="609">
                  <c:v>0.14095666808029678</c:v>
                </c:pt>
                <c:pt idx="610">
                  <c:v>9.4244872464935958E-2</c:v>
                </c:pt>
                <c:pt idx="611">
                  <c:v>8.568800773537126E-2</c:v>
                </c:pt>
                <c:pt idx="612">
                  <c:v>9.7831669911081082E-3</c:v>
                </c:pt>
                <c:pt idx="613">
                  <c:v>4.5102776048053558E-2</c:v>
                </c:pt>
                <c:pt idx="614">
                  <c:v>-0.19246008661019148</c:v>
                </c:pt>
                <c:pt idx="615">
                  <c:v>7.9020598330022188E-2</c:v>
                </c:pt>
                <c:pt idx="616">
                  <c:v>-9.1061721957459721E-2</c:v>
                </c:pt>
                <c:pt idx="617">
                  <c:v>0.31721183609244608</c:v>
                </c:pt>
                <c:pt idx="618">
                  <c:v>0.18063234785881618</c:v>
                </c:pt>
                <c:pt idx="619">
                  <c:v>8.2820495424684143E-2</c:v>
                </c:pt>
                <c:pt idx="620">
                  <c:v>3.3310983067625907E-2</c:v>
                </c:pt>
                <c:pt idx="621">
                  <c:v>0.29162878923743457</c:v>
                </c:pt>
                <c:pt idx="622">
                  <c:v>0.25951678738815903</c:v>
                </c:pt>
                <c:pt idx="623">
                  <c:v>0.21762543259633421</c:v>
                </c:pt>
                <c:pt idx="624">
                  <c:v>0.30282740279265941</c:v>
                </c:pt>
                <c:pt idx="625">
                  <c:v>0.15023462649604269</c:v>
                </c:pt>
                <c:pt idx="626">
                  <c:v>0.24026184586610377</c:v>
                </c:pt>
                <c:pt idx="627">
                  <c:v>0.12699545945326568</c:v>
                </c:pt>
                <c:pt idx="628">
                  <c:v>-2.2694188823766934E-2</c:v>
                </c:pt>
                <c:pt idx="629">
                  <c:v>0.24160534460689981</c:v>
                </c:pt>
                <c:pt idx="630">
                  <c:v>0.26254653479432405</c:v>
                </c:pt>
                <c:pt idx="631">
                  <c:v>-0.29267787838556275</c:v>
                </c:pt>
                <c:pt idx="632">
                  <c:v>0.32464263599091275</c:v>
                </c:pt>
                <c:pt idx="633">
                  <c:v>-0.10663177922139407</c:v>
                </c:pt>
                <c:pt idx="634">
                  <c:v>3.0080867826528926E-2</c:v>
                </c:pt>
                <c:pt idx="635">
                  <c:v>0.16708653990982711</c:v>
                </c:pt>
                <c:pt idx="636">
                  <c:v>0.20718331770879855</c:v>
                </c:pt>
                <c:pt idx="637">
                  <c:v>-0.37294888950420213</c:v>
                </c:pt>
                <c:pt idx="638">
                  <c:v>0.17564379461493226</c:v>
                </c:pt>
                <c:pt idx="639">
                  <c:v>-0.15273059153301438</c:v>
                </c:pt>
                <c:pt idx="640">
                  <c:v>5.6608756596785478E-2</c:v>
                </c:pt>
                <c:pt idx="641">
                  <c:v>0.16258022977291761</c:v>
                </c:pt>
                <c:pt idx="642">
                  <c:v>0.11520164539153968</c:v>
                </c:pt>
                <c:pt idx="643">
                  <c:v>0.40094642131071412</c:v>
                </c:pt>
                <c:pt idx="644">
                  <c:v>-0.25240997998954051</c:v>
                </c:pt>
                <c:pt idx="645">
                  <c:v>-2.9032750410129052E-2</c:v>
                </c:pt>
                <c:pt idx="646">
                  <c:v>1.2135539705167384E-2</c:v>
                </c:pt>
                <c:pt idx="647">
                  <c:v>0.24667241245306942</c:v>
                </c:pt>
                <c:pt idx="648">
                  <c:v>0.3682455591262318</c:v>
                </c:pt>
                <c:pt idx="649">
                  <c:v>0.44442552449885425</c:v>
                </c:pt>
                <c:pt idx="650">
                  <c:v>0.23196960251270982</c:v>
                </c:pt>
                <c:pt idx="651">
                  <c:v>-3.5215550488705186E-2</c:v>
                </c:pt>
                <c:pt idx="652">
                  <c:v>0.20285958334540746</c:v>
                </c:pt>
                <c:pt idx="653">
                  <c:v>0.35567490699277221</c:v>
                </c:pt>
                <c:pt idx="654">
                  <c:v>2.3341386945323866E-2</c:v>
                </c:pt>
                <c:pt idx="655">
                  <c:v>0.21542370172564018</c:v>
                </c:pt>
                <c:pt idx="656">
                  <c:v>-0.12136642499243298</c:v>
                </c:pt>
                <c:pt idx="657">
                  <c:v>0.13958460126800579</c:v>
                </c:pt>
                <c:pt idx="658">
                  <c:v>0.10464780116082797</c:v>
                </c:pt>
                <c:pt idx="659">
                  <c:v>-0.11170875668849513</c:v>
                </c:pt>
                <c:pt idx="660">
                  <c:v>-6.0820464235504787E-2</c:v>
                </c:pt>
                <c:pt idx="661">
                  <c:v>-0.11411311381520327</c:v>
                </c:pt>
                <c:pt idx="662">
                  <c:v>0.21324549428912104</c:v>
                </c:pt>
                <c:pt idx="663">
                  <c:v>7.8819778222574466E-2</c:v>
                </c:pt>
                <c:pt idx="664">
                  <c:v>-5.860232921808288E-2</c:v>
                </c:pt>
                <c:pt idx="665">
                  <c:v>8.2355875043440663E-2</c:v>
                </c:pt>
                <c:pt idx="666">
                  <c:v>0.18004417619108337</c:v>
                </c:pt>
                <c:pt idx="667">
                  <c:v>0.57837330013213561</c:v>
                </c:pt>
                <c:pt idx="668">
                  <c:v>0.29236760438789156</c:v>
                </c:pt>
                <c:pt idx="669">
                  <c:v>7.1459083027870268E-2</c:v>
                </c:pt>
                <c:pt idx="670">
                  <c:v>-0.21355346923689383</c:v>
                </c:pt>
                <c:pt idx="671">
                  <c:v>0.17831574825434282</c:v>
                </c:pt>
                <c:pt idx="672">
                  <c:v>0.38918584454885286</c:v>
                </c:pt>
                <c:pt idx="673">
                  <c:v>0.22845985864080157</c:v>
                </c:pt>
                <c:pt idx="674">
                  <c:v>0.20397440213652687</c:v>
                </c:pt>
                <c:pt idx="675">
                  <c:v>0.13748829753696126</c:v>
                </c:pt>
                <c:pt idx="676">
                  <c:v>0.38161833578529192</c:v>
                </c:pt>
                <c:pt idx="677">
                  <c:v>0.25930702164694641</c:v>
                </c:pt>
                <c:pt idx="678">
                  <c:v>-2.0784888770260537E-2</c:v>
                </c:pt>
                <c:pt idx="679">
                  <c:v>0.1780257004379146</c:v>
                </c:pt>
                <c:pt idx="680">
                  <c:v>0.3208987801511845</c:v>
                </c:pt>
                <c:pt idx="681">
                  <c:v>0.24948598172367864</c:v>
                </c:pt>
                <c:pt idx="682">
                  <c:v>0.13741353761353001</c:v>
                </c:pt>
                <c:pt idx="683">
                  <c:v>-9.5016330946633101E-2</c:v>
                </c:pt>
                <c:pt idx="684">
                  <c:v>0.26763022407926634</c:v>
                </c:pt>
                <c:pt idx="685">
                  <c:v>9.3629641118700313E-2</c:v>
                </c:pt>
                <c:pt idx="686">
                  <c:v>0.11592534634182278</c:v>
                </c:pt>
                <c:pt idx="687">
                  <c:v>0.10434998438134338</c:v>
                </c:pt>
                <c:pt idx="688">
                  <c:v>4.3570269303938744E-2</c:v>
                </c:pt>
                <c:pt idx="689">
                  <c:v>0.36186659180458924</c:v>
                </c:pt>
                <c:pt idx="690">
                  <c:v>0.2667924237355534</c:v>
                </c:pt>
                <c:pt idx="691">
                  <c:v>2.6473811773564088E-2</c:v>
                </c:pt>
                <c:pt idx="692">
                  <c:v>0.22048521552937358</c:v>
                </c:pt>
                <c:pt idx="693">
                  <c:v>0.26832169765047797</c:v>
                </c:pt>
                <c:pt idx="694">
                  <c:v>-2.5159880388772912E-2</c:v>
                </c:pt>
                <c:pt idx="695">
                  <c:v>0.16385861057982121</c:v>
                </c:pt>
                <c:pt idx="696">
                  <c:v>0.63656233851677779</c:v>
                </c:pt>
                <c:pt idx="697">
                  <c:v>-3.4979538415010406E-2</c:v>
                </c:pt>
                <c:pt idx="698">
                  <c:v>0.37010229448176402</c:v>
                </c:pt>
                <c:pt idx="699">
                  <c:v>-0.25319016203478895</c:v>
                </c:pt>
                <c:pt idx="700">
                  <c:v>1.7701133791252918E-2</c:v>
                </c:pt>
                <c:pt idx="701">
                  <c:v>-6.3042674790412576E-2</c:v>
                </c:pt>
                <c:pt idx="702">
                  <c:v>-0.25251120408623023</c:v>
                </c:pt>
                <c:pt idx="703">
                  <c:v>-0.1218990936137075</c:v>
                </c:pt>
                <c:pt idx="704">
                  <c:v>0.15402765596281309</c:v>
                </c:pt>
                <c:pt idx="705">
                  <c:v>-9.2971445821333584E-2</c:v>
                </c:pt>
                <c:pt idx="706">
                  <c:v>-2.6890743073707327E-2</c:v>
                </c:pt>
                <c:pt idx="707">
                  <c:v>0.3851995668566941</c:v>
                </c:pt>
                <c:pt idx="708">
                  <c:v>-0.22237061283600817</c:v>
                </c:pt>
                <c:pt idx="709">
                  <c:v>-7.0941955732086628E-2</c:v>
                </c:pt>
                <c:pt idx="710">
                  <c:v>-4.9094297298441433E-2</c:v>
                </c:pt>
                <c:pt idx="711">
                  <c:v>0.43570078618647362</c:v>
                </c:pt>
                <c:pt idx="712">
                  <c:v>0.1307035090528294</c:v>
                </c:pt>
                <c:pt idx="713">
                  <c:v>-3.6838902130526416E-2</c:v>
                </c:pt>
                <c:pt idx="714">
                  <c:v>-9.6982980537360527E-2</c:v>
                </c:pt>
                <c:pt idx="715">
                  <c:v>0.26115073651434195</c:v>
                </c:pt>
                <c:pt idx="716">
                  <c:v>0.20928320890005189</c:v>
                </c:pt>
                <c:pt idx="717">
                  <c:v>0.1165067224517929</c:v>
                </c:pt>
                <c:pt idx="718">
                  <c:v>-0.26520483211476492</c:v>
                </c:pt>
                <c:pt idx="719">
                  <c:v>0.26460139933604299</c:v>
                </c:pt>
                <c:pt idx="720">
                  <c:v>0.11774934627845247</c:v>
                </c:pt>
                <c:pt idx="721">
                  <c:v>-9.2628709015324232E-2</c:v>
                </c:pt>
                <c:pt idx="722">
                  <c:v>-1.3037509921743254E-2</c:v>
                </c:pt>
                <c:pt idx="723">
                  <c:v>0.1366258240988103</c:v>
                </c:pt>
                <c:pt idx="724">
                  <c:v>6.5204641118176254E-2</c:v>
                </c:pt>
                <c:pt idx="725">
                  <c:v>0.3850449426163518</c:v>
                </c:pt>
                <c:pt idx="726">
                  <c:v>-0.15834603461807512</c:v>
                </c:pt>
                <c:pt idx="727">
                  <c:v>0.16458726672246121</c:v>
                </c:pt>
                <c:pt idx="728">
                  <c:v>0.14118456121228118</c:v>
                </c:pt>
                <c:pt idx="729">
                  <c:v>3.2544976910507784E-2</c:v>
                </c:pt>
                <c:pt idx="730">
                  <c:v>-8.3703271991408881E-2</c:v>
                </c:pt>
                <c:pt idx="731">
                  <c:v>0.24185265135032613</c:v>
                </c:pt>
                <c:pt idx="732">
                  <c:v>-8.8181358810248453E-2</c:v>
                </c:pt>
                <c:pt idx="733">
                  <c:v>0.2214597890689774</c:v>
                </c:pt>
                <c:pt idx="734">
                  <c:v>-0.10504965492158878</c:v>
                </c:pt>
                <c:pt idx="735">
                  <c:v>-0.32187609145057017</c:v>
                </c:pt>
                <c:pt idx="736">
                  <c:v>0.31535636857691823</c:v>
                </c:pt>
                <c:pt idx="737">
                  <c:v>0.10946231474870372</c:v>
                </c:pt>
                <c:pt idx="738">
                  <c:v>0.13345261803980835</c:v>
                </c:pt>
                <c:pt idx="739">
                  <c:v>0.31572897396377259</c:v>
                </c:pt>
                <c:pt idx="740">
                  <c:v>-9.6471741160419691E-2</c:v>
                </c:pt>
                <c:pt idx="741">
                  <c:v>0.31604247823336096</c:v>
                </c:pt>
                <c:pt idx="742">
                  <c:v>-2.4802364845331673E-2</c:v>
                </c:pt>
                <c:pt idx="743">
                  <c:v>-2.7948407128641981E-2</c:v>
                </c:pt>
                <c:pt idx="744">
                  <c:v>8.8987719452882669E-2</c:v>
                </c:pt>
                <c:pt idx="745">
                  <c:v>-0.17751555893059995</c:v>
                </c:pt>
                <c:pt idx="746">
                  <c:v>5.8451550009561551E-2</c:v>
                </c:pt>
                <c:pt idx="747">
                  <c:v>-9.9104270771151207E-2</c:v>
                </c:pt>
                <c:pt idx="748">
                  <c:v>-0.1092472969605799</c:v>
                </c:pt>
                <c:pt idx="749">
                  <c:v>0.26589178731397423</c:v>
                </c:pt>
                <c:pt idx="750">
                  <c:v>0.17576091730118137</c:v>
                </c:pt>
                <c:pt idx="751">
                  <c:v>0.12006304944097335</c:v>
                </c:pt>
                <c:pt idx="752">
                  <c:v>0.2431198395001799</c:v>
                </c:pt>
                <c:pt idx="753">
                  <c:v>8.0588653092371149E-2</c:v>
                </c:pt>
                <c:pt idx="754">
                  <c:v>0.43422993625590933</c:v>
                </c:pt>
                <c:pt idx="755">
                  <c:v>0.29854863209493843</c:v>
                </c:pt>
                <c:pt idx="756">
                  <c:v>0.14517925306911028</c:v>
                </c:pt>
                <c:pt idx="757">
                  <c:v>0.13538134139581928</c:v>
                </c:pt>
                <c:pt idx="758">
                  <c:v>-6.4863192875946787E-2</c:v>
                </c:pt>
                <c:pt idx="759">
                  <c:v>0.40788006700432916</c:v>
                </c:pt>
                <c:pt idx="760">
                  <c:v>-9.56383415948628E-2</c:v>
                </c:pt>
                <c:pt idx="761">
                  <c:v>0.35984925444907717</c:v>
                </c:pt>
                <c:pt idx="762">
                  <c:v>-0.13572538944224855</c:v>
                </c:pt>
                <c:pt idx="763">
                  <c:v>0.2032558763031771</c:v>
                </c:pt>
                <c:pt idx="764">
                  <c:v>-0.25692868327000429</c:v>
                </c:pt>
                <c:pt idx="765">
                  <c:v>0.49878361438453078</c:v>
                </c:pt>
                <c:pt idx="766">
                  <c:v>0.26938235054515652</c:v>
                </c:pt>
                <c:pt idx="767">
                  <c:v>-7.0798587225497964E-2</c:v>
                </c:pt>
                <c:pt idx="768">
                  <c:v>0.157872776393881</c:v>
                </c:pt>
                <c:pt idx="769">
                  <c:v>6.5442724321652102E-2</c:v>
                </c:pt>
                <c:pt idx="770">
                  <c:v>0.35673940641381013</c:v>
                </c:pt>
                <c:pt idx="771">
                  <c:v>0.36547430268988618</c:v>
                </c:pt>
                <c:pt idx="772">
                  <c:v>0.11587773898955289</c:v>
                </c:pt>
                <c:pt idx="773">
                  <c:v>0.12565118434277969</c:v>
                </c:pt>
                <c:pt idx="774">
                  <c:v>0.1747548923768151</c:v>
                </c:pt>
                <c:pt idx="775">
                  <c:v>0.13168631930179653</c:v>
                </c:pt>
                <c:pt idx="776">
                  <c:v>3.5690781643500549E-2</c:v>
                </c:pt>
                <c:pt idx="777">
                  <c:v>2.4322387606661361E-2</c:v>
                </c:pt>
                <c:pt idx="778">
                  <c:v>0.23992452164584871</c:v>
                </c:pt>
                <c:pt idx="779">
                  <c:v>0.10684438420034517</c:v>
                </c:pt>
                <c:pt idx="780">
                  <c:v>0.40428955580360115</c:v>
                </c:pt>
                <c:pt idx="781">
                  <c:v>-7.6733072611558512E-3</c:v>
                </c:pt>
                <c:pt idx="782">
                  <c:v>0.12255367959663033</c:v>
                </c:pt>
                <c:pt idx="783">
                  <c:v>0.34223169792432362</c:v>
                </c:pt>
                <c:pt idx="784">
                  <c:v>-0.15025725455075145</c:v>
                </c:pt>
                <c:pt idx="785">
                  <c:v>0.5031346327733186</c:v>
                </c:pt>
                <c:pt idx="786">
                  <c:v>0.18590136327452877</c:v>
                </c:pt>
                <c:pt idx="787">
                  <c:v>-1.3237209833447325E-2</c:v>
                </c:pt>
                <c:pt idx="788">
                  <c:v>-0.30603695012272858</c:v>
                </c:pt>
                <c:pt idx="789">
                  <c:v>2.8481901167088403E-2</c:v>
                </c:pt>
                <c:pt idx="790">
                  <c:v>2.2281414464979957E-2</c:v>
                </c:pt>
                <c:pt idx="791">
                  <c:v>1.7139971021299688E-2</c:v>
                </c:pt>
                <c:pt idx="792">
                  <c:v>-0.10747281527378245</c:v>
                </c:pt>
                <c:pt idx="793">
                  <c:v>-0.24920854251354946</c:v>
                </c:pt>
                <c:pt idx="794">
                  <c:v>0.10191629167016952</c:v>
                </c:pt>
                <c:pt idx="795">
                  <c:v>0.33616808766546513</c:v>
                </c:pt>
                <c:pt idx="796">
                  <c:v>0.16441353249576987</c:v>
                </c:pt>
                <c:pt idx="797">
                  <c:v>0.11837283503545019</c:v>
                </c:pt>
                <c:pt idx="798">
                  <c:v>0.37920252081647199</c:v>
                </c:pt>
                <c:pt idx="799">
                  <c:v>-0.38345541381109016</c:v>
                </c:pt>
                <c:pt idx="800">
                  <c:v>-0.20633049725835545</c:v>
                </c:pt>
                <c:pt idx="801">
                  <c:v>0.34730080432849669</c:v>
                </c:pt>
                <c:pt idx="802">
                  <c:v>0.15470768083543024</c:v>
                </c:pt>
                <c:pt idx="803">
                  <c:v>0.33509308958765321</c:v>
                </c:pt>
                <c:pt idx="804">
                  <c:v>0.18957245303448486</c:v>
                </c:pt>
                <c:pt idx="805">
                  <c:v>0.11932974826333316</c:v>
                </c:pt>
                <c:pt idx="806">
                  <c:v>0.23552966336196957</c:v>
                </c:pt>
                <c:pt idx="807">
                  <c:v>0.22720914858747332</c:v>
                </c:pt>
                <c:pt idx="808">
                  <c:v>6.1982249639011819E-2</c:v>
                </c:pt>
                <c:pt idx="809">
                  <c:v>0.11579440031153634</c:v>
                </c:pt>
                <c:pt idx="810">
                  <c:v>0.32364638734207846</c:v>
                </c:pt>
                <c:pt idx="811">
                  <c:v>0.3190145930182049</c:v>
                </c:pt>
                <c:pt idx="812">
                  <c:v>0.22076849137639259</c:v>
                </c:pt>
                <c:pt idx="813">
                  <c:v>4.3876466217080773E-2</c:v>
                </c:pt>
                <c:pt idx="814">
                  <c:v>-4.3563004140999881E-2</c:v>
                </c:pt>
                <c:pt idx="815">
                  <c:v>0.12885253011060432</c:v>
                </c:pt>
                <c:pt idx="816">
                  <c:v>0.13705229973330005</c:v>
                </c:pt>
                <c:pt idx="817">
                  <c:v>-0.16639559972479417</c:v>
                </c:pt>
                <c:pt idx="818">
                  <c:v>0.19304328978026311</c:v>
                </c:pt>
                <c:pt idx="819">
                  <c:v>0.24252029516077606</c:v>
                </c:pt>
                <c:pt idx="820">
                  <c:v>-2.210563827963731E-2</c:v>
                </c:pt>
                <c:pt idx="821">
                  <c:v>0.32793577675111968</c:v>
                </c:pt>
                <c:pt idx="822">
                  <c:v>-3.5319460731132499E-2</c:v>
                </c:pt>
                <c:pt idx="823">
                  <c:v>0.2008570529159816</c:v>
                </c:pt>
                <c:pt idx="824">
                  <c:v>0.27277032805080642</c:v>
                </c:pt>
                <c:pt idx="825">
                  <c:v>-2.9027957970049242E-2</c:v>
                </c:pt>
                <c:pt idx="826">
                  <c:v>0.14224849040965498</c:v>
                </c:pt>
                <c:pt idx="827">
                  <c:v>0.13650154776126494</c:v>
                </c:pt>
                <c:pt idx="828">
                  <c:v>-4.6369116281662612E-2</c:v>
                </c:pt>
                <c:pt idx="829">
                  <c:v>0.28235070872718299</c:v>
                </c:pt>
                <c:pt idx="830">
                  <c:v>-0.26985918303513873</c:v>
                </c:pt>
                <c:pt idx="831">
                  <c:v>1.8075209747896573E-2</c:v>
                </c:pt>
                <c:pt idx="832">
                  <c:v>-0.20012971634333532</c:v>
                </c:pt>
                <c:pt idx="833">
                  <c:v>-0.13493260785244088</c:v>
                </c:pt>
                <c:pt idx="834">
                  <c:v>0.10849520215806545</c:v>
                </c:pt>
                <c:pt idx="835">
                  <c:v>0.1447143365245234</c:v>
                </c:pt>
                <c:pt idx="836">
                  <c:v>6.1333953928135732E-2</c:v>
                </c:pt>
                <c:pt idx="837">
                  <c:v>0.41632348327585622</c:v>
                </c:pt>
                <c:pt idx="838">
                  <c:v>-0.24914200326398966</c:v>
                </c:pt>
                <c:pt idx="839">
                  <c:v>0.23172555384286103</c:v>
                </c:pt>
                <c:pt idx="840">
                  <c:v>4.4334343648400096E-2</c:v>
                </c:pt>
                <c:pt idx="841">
                  <c:v>-5.1330405856485253E-2</c:v>
                </c:pt>
                <c:pt idx="842">
                  <c:v>0.29433261596149851</c:v>
                </c:pt>
                <c:pt idx="843">
                  <c:v>-6.7395575211217487E-2</c:v>
                </c:pt>
                <c:pt idx="844">
                  <c:v>-0.2692909538436804</c:v>
                </c:pt>
                <c:pt idx="845">
                  <c:v>-9.5655890931325524E-2</c:v>
                </c:pt>
                <c:pt idx="846">
                  <c:v>0.11308377046731401</c:v>
                </c:pt>
                <c:pt idx="847">
                  <c:v>9.1898885235073599E-2</c:v>
                </c:pt>
                <c:pt idx="848">
                  <c:v>0.13774009128309922</c:v>
                </c:pt>
                <c:pt idx="849">
                  <c:v>8.8664738430658308E-2</c:v>
                </c:pt>
                <c:pt idx="850">
                  <c:v>9.8292146123467719E-2</c:v>
                </c:pt>
                <c:pt idx="851">
                  <c:v>0.10050408639381446</c:v>
                </c:pt>
                <c:pt idx="852">
                  <c:v>-0.16702800986220184</c:v>
                </c:pt>
                <c:pt idx="853">
                  <c:v>0.22414915201568361</c:v>
                </c:pt>
                <c:pt idx="854">
                  <c:v>0.18235168961784423</c:v>
                </c:pt>
                <c:pt idx="855">
                  <c:v>0.12892673643335414</c:v>
                </c:pt>
                <c:pt idx="856">
                  <c:v>-0.21172047997737792</c:v>
                </c:pt>
                <c:pt idx="857">
                  <c:v>-7.4893583385316806E-2</c:v>
                </c:pt>
                <c:pt idx="858">
                  <c:v>1.4134758495802147E-2</c:v>
                </c:pt>
                <c:pt idx="859">
                  <c:v>0.29218873484920138</c:v>
                </c:pt>
                <c:pt idx="860">
                  <c:v>5.6348536068536993E-2</c:v>
                </c:pt>
                <c:pt idx="861">
                  <c:v>7.2920158283506759E-2</c:v>
                </c:pt>
                <c:pt idx="862">
                  <c:v>0.29125056077311512</c:v>
                </c:pt>
                <c:pt idx="863">
                  <c:v>0.13827922716626614</c:v>
                </c:pt>
                <c:pt idx="864">
                  <c:v>0.25477272900641806</c:v>
                </c:pt>
                <c:pt idx="865">
                  <c:v>3.2217022116786689E-2</c:v>
                </c:pt>
                <c:pt idx="866">
                  <c:v>3.5002870183231977E-2</c:v>
                </c:pt>
                <c:pt idx="867">
                  <c:v>0.44326269917212574</c:v>
                </c:pt>
                <c:pt idx="868">
                  <c:v>0.25331789044351022</c:v>
                </c:pt>
                <c:pt idx="869">
                  <c:v>0.47202287075022997</c:v>
                </c:pt>
                <c:pt idx="870">
                  <c:v>-2.1150105826309398E-2</c:v>
                </c:pt>
                <c:pt idx="871">
                  <c:v>0.18237266916755546</c:v>
                </c:pt>
                <c:pt idx="872">
                  <c:v>0.28771241481675403</c:v>
                </c:pt>
                <c:pt idx="873">
                  <c:v>0.11118251846962075</c:v>
                </c:pt>
                <c:pt idx="874">
                  <c:v>0.16093875341713373</c:v>
                </c:pt>
                <c:pt idx="875">
                  <c:v>-0.12719098010763868</c:v>
                </c:pt>
                <c:pt idx="876">
                  <c:v>6.1799685509063909E-2</c:v>
                </c:pt>
                <c:pt idx="877">
                  <c:v>0.25139125667229362</c:v>
                </c:pt>
                <c:pt idx="878">
                  <c:v>5.3482693359612324E-2</c:v>
                </c:pt>
                <c:pt idx="879">
                  <c:v>1.2916948355800512E-2</c:v>
                </c:pt>
                <c:pt idx="880">
                  <c:v>-0.33525916233292419</c:v>
                </c:pt>
                <c:pt idx="881">
                  <c:v>3.5049427122997412E-2</c:v>
                </c:pt>
                <c:pt idx="882">
                  <c:v>0.41384395807578245</c:v>
                </c:pt>
                <c:pt idx="883">
                  <c:v>-6.0297247784601715E-3</c:v>
                </c:pt>
                <c:pt idx="884">
                  <c:v>0.16632023640436869</c:v>
                </c:pt>
                <c:pt idx="885">
                  <c:v>0.14407787667331673</c:v>
                </c:pt>
                <c:pt idx="886">
                  <c:v>0.42354915285434047</c:v>
                </c:pt>
                <c:pt idx="887">
                  <c:v>9.8281003208637446E-2</c:v>
                </c:pt>
                <c:pt idx="888">
                  <c:v>0.36324828704750345</c:v>
                </c:pt>
                <c:pt idx="889">
                  <c:v>0.3617811574445724</c:v>
                </c:pt>
                <c:pt idx="890">
                  <c:v>0.20072524098215042</c:v>
                </c:pt>
                <c:pt idx="891">
                  <c:v>0.23993758199349924</c:v>
                </c:pt>
                <c:pt idx="892">
                  <c:v>-0.47357769303152708</c:v>
                </c:pt>
                <c:pt idx="893">
                  <c:v>6.9367303977614647E-2</c:v>
                </c:pt>
                <c:pt idx="894">
                  <c:v>7.9494434681020854E-2</c:v>
                </c:pt>
                <c:pt idx="895">
                  <c:v>0.3280365396616905</c:v>
                </c:pt>
                <c:pt idx="896">
                  <c:v>0.31504812092062789</c:v>
                </c:pt>
                <c:pt idx="897">
                  <c:v>9.3513640135494083E-2</c:v>
                </c:pt>
                <c:pt idx="898">
                  <c:v>0.27523298432054677</c:v>
                </c:pt>
                <c:pt idx="899">
                  <c:v>0.33371293129092311</c:v>
                </c:pt>
                <c:pt idx="900">
                  <c:v>0.1415465693361356</c:v>
                </c:pt>
                <c:pt idx="901">
                  <c:v>5.214657386030494E-2</c:v>
                </c:pt>
                <c:pt idx="902">
                  <c:v>0.11563217609011955</c:v>
                </c:pt>
                <c:pt idx="903">
                  <c:v>5.2672942595976144E-2</c:v>
                </c:pt>
                <c:pt idx="904">
                  <c:v>0.18470173500788231</c:v>
                </c:pt>
                <c:pt idx="905">
                  <c:v>0.20308599176030462</c:v>
                </c:pt>
                <c:pt idx="906">
                  <c:v>4.3907456703020764E-2</c:v>
                </c:pt>
                <c:pt idx="907">
                  <c:v>9.5151822584753853E-2</c:v>
                </c:pt>
                <c:pt idx="908">
                  <c:v>-8.2662522432584998E-2</c:v>
                </c:pt>
                <c:pt idx="909">
                  <c:v>0.30790559406527745</c:v>
                </c:pt>
                <c:pt idx="910">
                  <c:v>-0.10917975491444352</c:v>
                </c:pt>
                <c:pt idx="911">
                  <c:v>0.51864583019024924</c:v>
                </c:pt>
                <c:pt idx="912">
                  <c:v>-4.572401302231148E-2</c:v>
                </c:pt>
                <c:pt idx="913">
                  <c:v>0.3147070356542867</c:v>
                </c:pt>
                <c:pt idx="914">
                  <c:v>0.10971288263029591</c:v>
                </c:pt>
                <c:pt idx="915">
                  <c:v>2.7316927482676223E-2</c:v>
                </c:pt>
                <c:pt idx="916">
                  <c:v>-0.24881828008237372</c:v>
                </c:pt>
                <c:pt idx="917">
                  <c:v>9.5011192466939953E-2</c:v>
                </c:pt>
                <c:pt idx="918">
                  <c:v>0.2815770631401377</c:v>
                </c:pt>
                <c:pt idx="919">
                  <c:v>-0.12169696533382209</c:v>
                </c:pt>
                <c:pt idx="920">
                  <c:v>2.7562236313425442E-2</c:v>
                </c:pt>
                <c:pt idx="921">
                  <c:v>-5.0356161085775411E-2</c:v>
                </c:pt>
                <c:pt idx="922">
                  <c:v>0.24433770073073319</c:v>
                </c:pt>
                <c:pt idx="923">
                  <c:v>-0.10766967339111695</c:v>
                </c:pt>
                <c:pt idx="924">
                  <c:v>-0.10267157200464209</c:v>
                </c:pt>
                <c:pt idx="925">
                  <c:v>3.7983110004843668E-2</c:v>
                </c:pt>
                <c:pt idx="926">
                  <c:v>0.2180042661858736</c:v>
                </c:pt>
                <c:pt idx="927">
                  <c:v>-4.8922706864167678E-2</c:v>
                </c:pt>
                <c:pt idx="928">
                  <c:v>0.25039848929738223</c:v>
                </c:pt>
                <c:pt idx="929">
                  <c:v>0.26100464541735474</c:v>
                </c:pt>
                <c:pt idx="930">
                  <c:v>-5.6539927684044242E-2</c:v>
                </c:pt>
                <c:pt idx="931">
                  <c:v>-0.39569605736439017</c:v>
                </c:pt>
                <c:pt idx="932">
                  <c:v>0.48789276546840082</c:v>
                </c:pt>
                <c:pt idx="933">
                  <c:v>7.0518431944562088E-2</c:v>
                </c:pt>
                <c:pt idx="934">
                  <c:v>-4.3888024475303086E-2</c:v>
                </c:pt>
                <c:pt idx="935">
                  <c:v>-5.0889982511862344E-2</c:v>
                </c:pt>
                <c:pt idx="936">
                  <c:v>0.33437237738349995</c:v>
                </c:pt>
                <c:pt idx="937">
                  <c:v>0.16388613200096172</c:v>
                </c:pt>
                <c:pt idx="938">
                  <c:v>1.4682626719339842E-2</c:v>
                </c:pt>
                <c:pt idx="939">
                  <c:v>0.38299396844969824</c:v>
                </c:pt>
                <c:pt idx="940">
                  <c:v>-6.6944635486621135E-3</c:v>
                </c:pt>
                <c:pt idx="941">
                  <c:v>0.26245910091232061</c:v>
                </c:pt>
                <c:pt idx="942">
                  <c:v>0.23482968349709843</c:v>
                </c:pt>
                <c:pt idx="943">
                  <c:v>-0.1746588552446432</c:v>
                </c:pt>
                <c:pt idx="944">
                  <c:v>0.25912791112418565</c:v>
                </c:pt>
                <c:pt idx="945">
                  <c:v>5.0061044728144904E-2</c:v>
                </c:pt>
                <c:pt idx="946">
                  <c:v>-0.27223236270452877</c:v>
                </c:pt>
                <c:pt idx="947">
                  <c:v>0.35946338308536718</c:v>
                </c:pt>
                <c:pt idx="948">
                  <c:v>0.20522806603390925</c:v>
                </c:pt>
                <c:pt idx="949">
                  <c:v>-0.348747363562524</c:v>
                </c:pt>
                <c:pt idx="950">
                  <c:v>0.34180200539496175</c:v>
                </c:pt>
                <c:pt idx="951">
                  <c:v>0.1430406408531979</c:v>
                </c:pt>
                <c:pt idx="952">
                  <c:v>0.22844812637026768</c:v>
                </c:pt>
                <c:pt idx="953">
                  <c:v>0.10714645044751572</c:v>
                </c:pt>
                <c:pt idx="954">
                  <c:v>0.24262033864061</c:v>
                </c:pt>
                <c:pt idx="955">
                  <c:v>6.8032245548656167E-2</c:v>
                </c:pt>
                <c:pt idx="956">
                  <c:v>0.27866010740164104</c:v>
                </c:pt>
                <c:pt idx="957">
                  <c:v>0.34139201690567067</c:v>
                </c:pt>
                <c:pt idx="958">
                  <c:v>-3.3850535250279784E-3</c:v>
                </c:pt>
                <c:pt idx="959">
                  <c:v>3.2256062398945545E-2</c:v>
                </c:pt>
                <c:pt idx="960">
                  <c:v>6.4735170243161611E-2</c:v>
                </c:pt>
                <c:pt idx="961">
                  <c:v>-7.6918204776763102E-2</c:v>
                </c:pt>
                <c:pt idx="962">
                  <c:v>7.0104158347037857E-2</c:v>
                </c:pt>
                <c:pt idx="963">
                  <c:v>3.7463224825285024E-2</c:v>
                </c:pt>
                <c:pt idx="964">
                  <c:v>0.12582626200419572</c:v>
                </c:pt>
                <c:pt idx="965">
                  <c:v>-0.13624492665930493</c:v>
                </c:pt>
                <c:pt idx="966">
                  <c:v>0.20069796781622951</c:v>
                </c:pt>
                <c:pt idx="967">
                  <c:v>-0.16710162417901642</c:v>
                </c:pt>
                <c:pt idx="968">
                  <c:v>0.18957641053993024</c:v>
                </c:pt>
                <c:pt idx="969">
                  <c:v>7.0969148500963641E-2</c:v>
                </c:pt>
                <c:pt idx="970">
                  <c:v>-0.1286749603684561</c:v>
                </c:pt>
                <c:pt idx="971">
                  <c:v>4.0220856296055457E-2</c:v>
                </c:pt>
                <c:pt idx="972">
                  <c:v>0.14407277629657325</c:v>
                </c:pt>
                <c:pt idx="973">
                  <c:v>0.19043308307577289</c:v>
                </c:pt>
                <c:pt idx="974">
                  <c:v>4.6693703230824113E-2</c:v>
                </c:pt>
                <c:pt idx="975">
                  <c:v>0.25226256693062554</c:v>
                </c:pt>
                <c:pt idx="976">
                  <c:v>0.36741975255884557</c:v>
                </c:pt>
                <c:pt idx="977">
                  <c:v>8.6467487529876971E-2</c:v>
                </c:pt>
                <c:pt idx="978">
                  <c:v>0.26141344046135612</c:v>
                </c:pt>
                <c:pt idx="979">
                  <c:v>0.50588420099410525</c:v>
                </c:pt>
                <c:pt idx="980">
                  <c:v>0.37220206283091689</c:v>
                </c:pt>
                <c:pt idx="981">
                  <c:v>-5.478520863301671E-2</c:v>
                </c:pt>
                <c:pt idx="982">
                  <c:v>0.25808767106857339</c:v>
                </c:pt>
                <c:pt idx="983">
                  <c:v>-3.291929048414953E-2</c:v>
                </c:pt>
                <c:pt idx="984">
                  <c:v>0.44183785011402316</c:v>
                </c:pt>
                <c:pt idx="985">
                  <c:v>0.36750746862437</c:v>
                </c:pt>
                <c:pt idx="986">
                  <c:v>0.17086018595345173</c:v>
                </c:pt>
                <c:pt idx="987">
                  <c:v>-0.23179869744060871</c:v>
                </c:pt>
                <c:pt idx="988">
                  <c:v>2.0429632173796869E-2</c:v>
                </c:pt>
                <c:pt idx="989">
                  <c:v>0.24173785875589959</c:v>
                </c:pt>
                <c:pt idx="990">
                  <c:v>0.1525540757868038</c:v>
                </c:pt>
                <c:pt idx="991">
                  <c:v>5.4063424084265753E-2</c:v>
                </c:pt>
                <c:pt idx="992">
                  <c:v>-9.0074521310198746E-3</c:v>
                </c:pt>
                <c:pt idx="993">
                  <c:v>9.702739348198354E-2</c:v>
                </c:pt>
                <c:pt idx="994">
                  <c:v>2.4690705668168861E-2</c:v>
                </c:pt>
                <c:pt idx="995">
                  <c:v>0.21159368252236771</c:v>
                </c:pt>
                <c:pt idx="996">
                  <c:v>5.7904460781969508E-2</c:v>
                </c:pt>
                <c:pt idx="997">
                  <c:v>0.3672918691889015</c:v>
                </c:pt>
                <c:pt idx="998">
                  <c:v>-3.7887851472702419E-2</c:v>
                </c:pt>
                <c:pt idx="999">
                  <c:v>0.16612147584064171</c:v>
                </c:pt>
                <c:pt idx="1000">
                  <c:v>-2.8788207086373155E-2</c:v>
                </c:pt>
                <c:pt idx="1001">
                  <c:v>0.48099612939953273</c:v>
                </c:pt>
                <c:pt idx="1002">
                  <c:v>6.2487476382040406E-2</c:v>
                </c:pt>
                <c:pt idx="1003">
                  <c:v>0.11677295052334462</c:v>
                </c:pt>
                <c:pt idx="1004">
                  <c:v>0.1617375464118484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C-4B23-AA51-4AB623CC6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545967"/>
        <c:axId val="1518539247"/>
      </c:scatterChart>
      <c:valAx>
        <c:axId val="151854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39247"/>
        <c:crosses val="autoZero"/>
        <c:crossBetween val="midCat"/>
      </c:valAx>
      <c:valAx>
        <c:axId val="151853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Historical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'S&amp;P'!$I$3:$I$100</c:f>
              <c:numCache>
                <c:formatCode>General</c:formatCode>
                <c:ptCount val="98"/>
                <c:pt idx="0">
                  <c:v>1928</c:v>
                </c:pt>
                <c:pt idx="1">
                  <c:v>1929</c:v>
                </c:pt>
                <c:pt idx="2">
                  <c:v>1930</c:v>
                </c:pt>
                <c:pt idx="3">
                  <c:v>1931</c:v>
                </c:pt>
                <c:pt idx="4">
                  <c:v>1932</c:v>
                </c:pt>
                <c:pt idx="5">
                  <c:v>1933</c:v>
                </c:pt>
                <c:pt idx="6">
                  <c:v>1934</c:v>
                </c:pt>
                <c:pt idx="7">
                  <c:v>1935</c:v>
                </c:pt>
                <c:pt idx="8">
                  <c:v>1936</c:v>
                </c:pt>
                <c:pt idx="9">
                  <c:v>1937</c:v>
                </c:pt>
                <c:pt idx="10">
                  <c:v>1938</c:v>
                </c:pt>
                <c:pt idx="11">
                  <c:v>1939</c:v>
                </c:pt>
                <c:pt idx="12">
                  <c:v>1940</c:v>
                </c:pt>
                <c:pt idx="13">
                  <c:v>1941</c:v>
                </c:pt>
                <c:pt idx="14">
                  <c:v>1942</c:v>
                </c:pt>
                <c:pt idx="15">
                  <c:v>1943</c:v>
                </c:pt>
                <c:pt idx="16">
                  <c:v>1944</c:v>
                </c:pt>
                <c:pt idx="17">
                  <c:v>1945</c:v>
                </c:pt>
                <c:pt idx="18">
                  <c:v>1946</c:v>
                </c:pt>
                <c:pt idx="19">
                  <c:v>1947</c:v>
                </c:pt>
                <c:pt idx="20">
                  <c:v>1948</c:v>
                </c:pt>
                <c:pt idx="21">
                  <c:v>1949</c:v>
                </c:pt>
                <c:pt idx="22">
                  <c:v>1950</c:v>
                </c:pt>
                <c:pt idx="23">
                  <c:v>1951</c:v>
                </c:pt>
                <c:pt idx="24">
                  <c:v>1952</c:v>
                </c:pt>
                <c:pt idx="25">
                  <c:v>1953</c:v>
                </c:pt>
                <c:pt idx="26">
                  <c:v>1954</c:v>
                </c:pt>
                <c:pt idx="27">
                  <c:v>1955</c:v>
                </c:pt>
                <c:pt idx="28">
                  <c:v>1956</c:v>
                </c:pt>
                <c:pt idx="29">
                  <c:v>1957</c:v>
                </c:pt>
                <c:pt idx="30">
                  <c:v>1958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1979</c:v>
                </c:pt>
                <c:pt idx="52">
                  <c:v>1980</c:v>
                </c:pt>
                <c:pt idx="53">
                  <c:v>1981</c:v>
                </c:pt>
                <c:pt idx="54">
                  <c:v>1982</c:v>
                </c:pt>
                <c:pt idx="55">
                  <c:v>1983</c:v>
                </c:pt>
                <c:pt idx="56">
                  <c:v>1984</c:v>
                </c:pt>
                <c:pt idx="57">
                  <c:v>1985</c:v>
                </c:pt>
                <c:pt idx="58">
                  <c:v>1986</c:v>
                </c:pt>
                <c:pt idx="59">
                  <c:v>1987</c:v>
                </c:pt>
                <c:pt idx="60">
                  <c:v>1988</c:v>
                </c:pt>
                <c:pt idx="61">
                  <c:v>1989</c:v>
                </c:pt>
                <c:pt idx="62">
                  <c:v>1990</c:v>
                </c:pt>
                <c:pt idx="63">
                  <c:v>1991</c:v>
                </c:pt>
                <c:pt idx="64">
                  <c:v>1992</c:v>
                </c:pt>
                <c:pt idx="65">
                  <c:v>1993</c:v>
                </c:pt>
                <c:pt idx="66">
                  <c:v>1994</c:v>
                </c:pt>
                <c:pt idx="67">
                  <c:v>1995</c:v>
                </c:pt>
                <c:pt idx="68">
                  <c:v>1996</c:v>
                </c:pt>
                <c:pt idx="69">
                  <c:v>1997</c:v>
                </c:pt>
                <c:pt idx="70">
                  <c:v>1998</c:v>
                </c:pt>
                <c:pt idx="71">
                  <c:v>1999</c:v>
                </c:pt>
                <c:pt idx="72">
                  <c:v>2000</c:v>
                </c:pt>
                <c:pt idx="73">
                  <c:v>2001</c:v>
                </c:pt>
                <c:pt idx="74">
                  <c:v>2002</c:v>
                </c:pt>
                <c:pt idx="75">
                  <c:v>2003</c:v>
                </c:pt>
                <c:pt idx="76">
                  <c:v>2004</c:v>
                </c:pt>
                <c:pt idx="77">
                  <c:v>2005</c:v>
                </c:pt>
                <c:pt idx="78">
                  <c:v>2006</c:v>
                </c:pt>
                <c:pt idx="79">
                  <c:v>2007</c:v>
                </c:pt>
                <c:pt idx="80">
                  <c:v>2008</c:v>
                </c:pt>
                <c:pt idx="81">
                  <c:v>2009</c:v>
                </c:pt>
                <c:pt idx="82">
                  <c:v>2010</c:v>
                </c:pt>
                <c:pt idx="83">
                  <c:v>2011</c:v>
                </c:pt>
                <c:pt idx="84">
                  <c:v>2012</c:v>
                </c:pt>
                <c:pt idx="85">
                  <c:v>2013</c:v>
                </c:pt>
                <c:pt idx="86">
                  <c:v>2014</c:v>
                </c:pt>
                <c:pt idx="87">
                  <c:v>2015</c:v>
                </c:pt>
                <c:pt idx="88">
                  <c:v>2016</c:v>
                </c:pt>
                <c:pt idx="89">
                  <c:v>2017</c:v>
                </c:pt>
                <c:pt idx="90">
                  <c:v>2018</c:v>
                </c:pt>
                <c:pt idx="91">
                  <c:v>2019</c:v>
                </c:pt>
                <c:pt idx="92">
                  <c:v>2020</c:v>
                </c:pt>
                <c:pt idx="93">
                  <c:v>2021</c:v>
                </c:pt>
                <c:pt idx="94">
                  <c:v>2022</c:v>
                </c:pt>
                <c:pt idx="95">
                  <c:v>2023</c:v>
                </c:pt>
                <c:pt idx="96">
                  <c:v>2024</c:v>
                </c:pt>
                <c:pt idx="97">
                  <c:v>2025</c:v>
                </c:pt>
              </c:numCache>
            </c:numRef>
          </c:cat>
          <c:val>
            <c:numRef>
              <c:f>'S&amp;P'!$J$3:$J$100</c:f>
              <c:numCache>
                <c:formatCode>0%</c:formatCode>
                <c:ptCount val="98"/>
                <c:pt idx="0">
                  <c:v>0.37880000000000003</c:v>
                </c:pt>
                <c:pt idx="1">
                  <c:v>-0.1191</c:v>
                </c:pt>
                <c:pt idx="2">
                  <c:v>-0.2848</c:v>
                </c:pt>
                <c:pt idx="3">
                  <c:v>-0.47070000000000001</c:v>
                </c:pt>
                <c:pt idx="4">
                  <c:v>-0.1515</c:v>
                </c:pt>
                <c:pt idx="5">
                  <c:v>0.46590000000000004</c:v>
                </c:pt>
                <c:pt idx="6">
                  <c:v>-5.9400000000000001E-2</c:v>
                </c:pt>
                <c:pt idx="7">
                  <c:v>0.41369999999999996</c:v>
                </c:pt>
                <c:pt idx="8">
                  <c:v>0.2792</c:v>
                </c:pt>
                <c:pt idx="9">
                  <c:v>-0.38590000000000002</c:v>
                </c:pt>
                <c:pt idx="10">
                  <c:v>0.25209999999999999</c:v>
                </c:pt>
                <c:pt idx="11">
                  <c:v>-5.45E-2</c:v>
                </c:pt>
                <c:pt idx="12">
                  <c:v>-0.15289999999999998</c:v>
                </c:pt>
                <c:pt idx="13">
                  <c:v>-0.17859999999999998</c:v>
                </c:pt>
                <c:pt idx="14">
                  <c:v>0.12429999999999999</c:v>
                </c:pt>
                <c:pt idx="15">
                  <c:v>0.19450000000000001</c:v>
                </c:pt>
                <c:pt idx="16">
                  <c:v>0.13800000000000001</c:v>
                </c:pt>
                <c:pt idx="17">
                  <c:v>0.30719999999999997</c:v>
                </c:pt>
                <c:pt idx="18">
                  <c:v>0.11869999999999999</c:v>
                </c:pt>
                <c:pt idx="19">
                  <c:v>-0.31</c:v>
                </c:pt>
                <c:pt idx="20">
                  <c:v>-6.5000000000000006E-3</c:v>
                </c:pt>
                <c:pt idx="21">
                  <c:v>0.1026</c:v>
                </c:pt>
                <c:pt idx="22">
                  <c:v>0.21780000000000002</c:v>
                </c:pt>
                <c:pt idx="23">
                  <c:v>0.1646</c:v>
                </c:pt>
                <c:pt idx="24">
                  <c:v>0.11779999999999999</c:v>
                </c:pt>
                <c:pt idx="25">
                  <c:v>-6.6199999999999995E-2</c:v>
                </c:pt>
                <c:pt idx="26">
                  <c:v>0.45020000000000004</c:v>
                </c:pt>
                <c:pt idx="27">
                  <c:v>0.26400000000000001</c:v>
                </c:pt>
                <c:pt idx="28">
                  <c:v>2.6200000000000001E-2</c:v>
                </c:pt>
                <c:pt idx="29">
                  <c:v>0.1431</c:v>
                </c:pt>
                <c:pt idx="30">
                  <c:v>0.38060000000000005</c:v>
                </c:pt>
                <c:pt idx="31">
                  <c:v>8.48E-2</c:v>
                </c:pt>
                <c:pt idx="32">
                  <c:v>-2.9700000000000001E-2</c:v>
                </c:pt>
                <c:pt idx="33">
                  <c:v>0.23129999999999998</c:v>
                </c:pt>
                <c:pt idx="34">
                  <c:v>0.11810000000000001</c:v>
                </c:pt>
                <c:pt idx="35">
                  <c:v>0.18890000000000001</c:v>
                </c:pt>
                <c:pt idx="36">
                  <c:v>0.12970000000000001</c:v>
                </c:pt>
                <c:pt idx="37">
                  <c:v>9.06E-2</c:v>
                </c:pt>
                <c:pt idx="38">
                  <c:v>0.13089999999999999</c:v>
                </c:pt>
                <c:pt idx="39">
                  <c:v>0.2009</c:v>
                </c:pt>
                <c:pt idx="40">
                  <c:v>7.6600000000000001E-2</c:v>
                </c:pt>
                <c:pt idx="41">
                  <c:v>0.11359999999999999</c:v>
                </c:pt>
                <c:pt idx="42">
                  <c:v>1E-3</c:v>
                </c:pt>
                <c:pt idx="43">
                  <c:v>0.1079</c:v>
                </c:pt>
                <c:pt idx="44">
                  <c:v>0.15629999999999999</c:v>
                </c:pt>
                <c:pt idx="45">
                  <c:v>0.17370000000000002</c:v>
                </c:pt>
                <c:pt idx="46">
                  <c:v>0.29719999999999996</c:v>
                </c:pt>
                <c:pt idx="47">
                  <c:v>0.3155</c:v>
                </c:pt>
                <c:pt idx="48">
                  <c:v>0.19149999999999998</c:v>
                </c:pt>
                <c:pt idx="49">
                  <c:v>-0.115</c:v>
                </c:pt>
                <c:pt idx="50">
                  <c:v>1.06E-2</c:v>
                </c:pt>
                <c:pt idx="51">
                  <c:v>0.1231</c:v>
                </c:pt>
                <c:pt idx="52">
                  <c:v>0.25769999999999998</c:v>
                </c:pt>
                <c:pt idx="53">
                  <c:v>-9.7299999999999998E-2</c:v>
                </c:pt>
                <c:pt idx="54">
                  <c:v>0.14760000000000001</c:v>
                </c:pt>
                <c:pt idx="55">
                  <c:v>0.17269999999999999</c:v>
                </c:pt>
                <c:pt idx="56">
                  <c:v>1.3999999999999999E-2</c:v>
                </c:pt>
                <c:pt idx="57">
                  <c:v>0.26329999999999998</c:v>
                </c:pt>
                <c:pt idx="58">
                  <c:v>0.1462</c:v>
                </c:pt>
                <c:pt idx="59">
                  <c:v>2.0299999999999999E-2</c:v>
                </c:pt>
                <c:pt idx="60">
                  <c:v>0.124</c:v>
                </c:pt>
                <c:pt idx="61">
                  <c:v>0.27250000000000002</c:v>
                </c:pt>
                <c:pt idx="62">
                  <c:v>-6.5599999999999992E-2</c:v>
                </c:pt>
                <c:pt idx="63">
                  <c:v>0.2631</c:v>
                </c:pt>
                <c:pt idx="64">
                  <c:v>4.4600000000000001E-2</c:v>
                </c:pt>
                <c:pt idx="65">
                  <c:v>7.0599999999999996E-2</c:v>
                </c:pt>
                <c:pt idx="66">
                  <c:v>-1.54E-2</c:v>
                </c:pt>
                <c:pt idx="67">
                  <c:v>0.34110000000000001</c:v>
                </c:pt>
                <c:pt idx="68">
                  <c:v>0.2026</c:v>
                </c:pt>
                <c:pt idx="69">
                  <c:v>0.31010000000000004</c:v>
                </c:pt>
                <c:pt idx="70">
                  <c:v>0.26669999999999999</c:v>
                </c:pt>
                <c:pt idx="71">
                  <c:v>0.1953</c:v>
                </c:pt>
                <c:pt idx="72">
                  <c:v>0.1014</c:v>
                </c:pt>
                <c:pt idx="73">
                  <c:v>0.13039999999999999</c:v>
                </c:pt>
                <c:pt idx="74">
                  <c:v>0.23370000000000002</c:v>
                </c:pt>
                <c:pt idx="75">
                  <c:v>0.26379999999999998</c:v>
                </c:pt>
                <c:pt idx="76">
                  <c:v>8.9900000000000008E-2</c:v>
                </c:pt>
                <c:pt idx="77">
                  <c:v>-0.30299999999999999</c:v>
                </c:pt>
                <c:pt idx="78">
                  <c:v>0.13619999999999999</c:v>
                </c:pt>
                <c:pt idx="79">
                  <c:v>3.5299999999999998E-2</c:v>
                </c:pt>
                <c:pt idx="80">
                  <c:v>0.38490000000000002</c:v>
                </c:pt>
                <c:pt idx="81">
                  <c:v>0.23449999999999999</c:v>
                </c:pt>
                <c:pt idx="82">
                  <c:v>0.1278</c:v>
                </c:pt>
                <c:pt idx="83">
                  <c:v>-0.3</c:v>
                </c:pt>
                <c:pt idx="84">
                  <c:v>0.1341</c:v>
                </c:pt>
                <c:pt idx="85">
                  <c:v>0.29600000000000004</c:v>
                </c:pt>
                <c:pt idx="86">
                  <c:v>0.1139</c:v>
                </c:pt>
                <c:pt idx="87">
                  <c:v>-7.3000000000000001E-3</c:v>
                </c:pt>
                <c:pt idx="88">
                  <c:v>9.5399999999999985E-2</c:v>
                </c:pt>
                <c:pt idx="89">
                  <c:v>0.19420000000000001</c:v>
                </c:pt>
                <c:pt idx="90">
                  <c:v>-6.2400000000000004E-2</c:v>
                </c:pt>
                <c:pt idx="91">
                  <c:v>0.2888</c:v>
                </c:pt>
                <c:pt idx="92">
                  <c:v>0.16260000000000002</c:v>
                </c:pt>
                <c:pt idx="93">
                  <c:v>0.26890000000000003</c:v>
                </c:pt>
                <c:pt idx="94">
                  <c:v>0.19440000000000002</c:v>
                </c:pt>
                <c:pt idx="95">
                  <c:v>0.24230000000000002</c:v>
                </c:pt>
                <c:pt idx="96">
                  <c:v>0.23309999999999997</c:v>
                </c:pt>
                <c:pt idx="97">
                  <c:v>-9.300000000000001E-3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C6-4F6C-8403-193F4F9A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021232"/>
        <c:axId val="581018352"/>
      </c:lineChart>
      <c:catAx>
        <c:axId val="5810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18352"/>
        <c:crosses val="autoZero"/>
        <c:auto val="1"/>
        <c:lblAlgn val="ctr"/>
        <c:lblOffset val="100"/>
        <c:noMultiLvlLbl val="0"/>
      </c:catAx>
      <c:valAx>
        <c:axId val="58101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2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</a:t>
          </a:r>
        </a:p>
      </cx:txPr>
    </cx:title>
    <cx:plotArea>
      <cx:plotAreaRegion>
        <cx:series layoutId="clusteredColumn" uniqueId="{0DB86561-8B39-4755-B968-070F79FC119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Historical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Historical Distribution</a:t>
          </a:r>
        </a:p>
      </cx:txPr>
    </cx:title>
    <cx:plotArea>
      <cx:plotAreaRegion>
        <cx:series layoutId="clusteredColumn" uniqueId="{4D8B95CD-1ECC-4D14-A83E-20215D3DE40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252412</xdr:colOff>
      <xdr:row>4</xdr:row>
      <xdr:rowOff>186119</xdr:rowOff>
    </xdr:from>
    <xdr:to>
      <xdr:col>34</xdr:col>
      <xdr:colOff>525517</xdr:colOff>
      <xdr:row>24</xdr:row>
      <xdr:rowOff>120430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DE602E-65CE-4E4F-AA68-3912F6900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294290</xdr:colOff>
      <xdr:row>25</xdr:row>
      <xdr:rowOff>20062</xdr:rowOff>
    </xdr:from>
    <xdr:to>
      <xdr:col>34</xdr:col>
      <xdr:colOff>558362</xdr:colOff>
      <xdr:row>45</xdr:row>
      <xdr:rowOff>109483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A687053-1AAF-32D0-A458-7C16064621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86040" y="4782562"/>
              <a:ext cx="6969672" cy="3899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330638</xdr:colOff>
      <xdr:row>1</xdr:row>
      <xdr:rowOff>155684</xdr:rowOff>
    </xdr:from>
    <xdr:to>
      <xdr:col>17</xdr:col>
      <xdr:colOff>610914</xdr:colOff>
      <xdr:row>16</xdr:row>
      <xdr:rowOff>107074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DF5D37-2D0F-B93A-3464-E2D8DB9D1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571500</xdr:colOff>
      <xdr:row>17</xdr:row>
      <xdr:rowOff>24304</xdr:rowOff>
    </xdr:from>
    <xdr:to>
      <xdr:col>18</xdr:col>
      <xdr:colOff>238672</xdr:colOff>
      <xdr:row>31</xdr:row>
      <xdr:rowOff>161815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1469A09-F9C4-65D5-E063-6DF51C1ED1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" y="3262804"/>
              <a:ext cx="4543972" cy="28045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D50D-2B71-4AB6-853B-4212B0707310}">
  <dimension ref="A1:B23"/>
  <sheetViews>
    <sheetView workbookViewId="0">
      <selection activeCell="B23" sqref="A1:B23"/>
    </sheetView>
  </sheetViews>
  <sheetFormatPr defaultRowHeight="15" x14ac:dyDescent="0.25"/>
  <sheetData>
    <row r="1" spans="1:2" x14ac:dyDescent="0.25">
      <c r="A1" s="3" t="s">
        <v>0</v>
      </c>
      <c r="B1" s="3"/>
    </row>
    <row r="2" spans="1:2" x14ac:dyDescent="0.25">
      <c r="A2" s="3"/>
      <c r="B2" s="3"/>
    </row>
    <row r="3" spans="1:2" x14ac:dyDescent="0.25">
      <c r="A3" s="3"/>
      <c r="B3" s="4" t="s">
        <v>13</v>
      </c>
    </row>
    <row r="4" spans="1:2" x14ac:dyDescent="0.25">
      <c r="A4" s="3"/>
      <c r="B4" s="3" t="s">
        <v>8</v>
      </c>
    </row>
    <row r="5" spans="1:2" x14ac:dyDescent="0.25">
      <c r="A5" s="3"/>
      <c r="B5" s="3" t="s">
        <v>9</v>
      </c>
    </row>
    <row r="6" spans="1:2" x14ac:dyDescent="0.25">
      <c r="A6" s="3"/>
      <c r="B6" s="3" t="s">
        <v>11</v>
      </c>
    </row>
    <row r="7" spans="1:2" x14ac:dyDescent="0.25">
      <c r="A7" s="3"/>
      <c r="B7" s="3" t="s">
        <v>12</v>
      </c>
    </row>
    <row r="8" spans="1:2" x14ac:dyDescent="0.25">
      <c r="A8" s="3"/>
      <c r="B8" s="4" t="s">
        <v>14</v>
      </c>
    </row>
    <row r="9" spans="1:2" x14ac:dyDescent="0.25">
      <c r="A9" s="3"/>
      <c r="B9" s="3" t="s">
        <v>10</v>
      </c>
    </row>
    <row r="10" spans="1:2" x14ac:dyDescent="0.25">
      <c r="A10" s="3"/>
      <c r="B10" s="3" t="s">
        <v>15</v>
      </c>
    </row>
    <row r="11" spans="1:2" x14ac:dyDescent="0.25">
      <c r="A11" s="3"/>
      <c r="B11" s="3" t="s">
        <v>16</v>
      </c>
    </row>
    <row r="12" spans="1:2" x14ac:dyDescent="0.25">
      <c r="A12" s="3"/>
      <c r="B12" s="3" t="s">
        <v>17</v>
      </c>
    </row>
    <row r="13" spans="1:2" x14ac:dyDescent="0.25">
      <c r="A13" s="3"/>
      <c r="B13" s="3" t="s">
        <v>18</v>
      </c>
    </row>
    <row r="14" spans="1:2" x14ac:dyDescent="0.25">
      <c r="A14" s="3"/>
      <c r="B14" s="3" t="s">
        <v>19</v>
      </c>
    </row>
    <row r="15" spans="1:2" x14ac:dyDescent="0.25">
      <c r="A15" s="3"/>
      <c r="B15" s="3" t="s">
        <v>20</v>
      </c>
    </row>
    <row r="16" spans="1:2" x14ac:dyDescent="0.25">
      <c r="A16" s="3"/>
      <c r="B16" s="3"/>
    </row>
    <row r="17" spans="1:2" x14ac:dyDescent="0.25">
      <c r="A17" s="3"/>
      <c r="B17" s="3"/>
    </row>
    <row r="18" spans="1:2" x14ac:dyDescent="0.25">
      <c r="A18" s="3"/>
      <c r="B18" s="3"/>
    </row>
    <row r="19" spans="1:2" x14ac:dyDescent="0.25">
      <c r="A19" s="3"/>
      <c r="B19" s="3"/>
    </row>
    <row r="20" spans="1:2" x14ac:dyDescent="0.25">
      <c r="A20" s="3"/>
      <c r="B20" s="3"/>
    </row>
    <row r="21" spans="1:2" x14ac:dyDescent="0.25">
      <c r="A21" s="3"/>
      <c r="B21" s="3"/>
    </row>
    <row r="22" spans="1:2" x14ac:dyDescent="0.25">
      <c r="A22" s="3"/>
      <c r="B22" s="3"/>
    </row>
    <row r="23" spans="1:2" x14ac:dyDescent="0.25">
      <c r="A23" s="3"/>
      <c r="B2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0C68-D9A0-42B3-9DF8-7A5FD6AC853C}">
  <dimension ref="A1"/>
  <sheetViews>
    <sheetView workbookViewId="0">
      <selection activeCell="B55" sqref="B55"/>
    </sheetView>
  </sheetViews>
  <sheetFormatPr defaultRowHeight="15" x14ac:dyDescent="0.25"/>
  <sheetData>
    <row r="1" spans="1:1" x14ac:dyDescent="0.25">
      <c r="A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2AB5-D5F9-489A-965F-DE8701D7E8F8}">
  <dimension ref="A1:AX1624"/>
  <sheetViews>
    <sheetView tabSelected="1" topLeftCell="H1" zoomScale="87" zoomScaleNormal="87" workbookViewId="0">
      <selection activeCell="J4" sqref="J4"/>
    </sheetView>
  </sheetViews>
  <sheetFormatPr defaultRowHeight="15" x14ac:dyDescent="0.25"/>
  <cols>
    <col min="1" max="1" width="4.7109375" hidden="1" customWidth="1"/>
    <col min="2" max="7" width="0" hidden="1" customWidth="1"/>
    <col min="20" max="20" width="15.7109375" bestFit="1" customWidth="1"/>
  </cols>
  <sheetData>
    <row r="1" spans="1:50" x14ac:dyDescent="0.25">
      <c r="A1" s="1" t="s">
        <v>6</v>
      </c>
      <c r="H1" s="3"/>
      <c r="I1" s="5" t="s">
        <v>29</v>
      </c>
      <c r="J1" s="3"/>
      <c r="K1" s="3"/>
      <c r="L1" s="3"/>
      <c r="M1" s="3"/>
      <c r="N1" s="3"/>
      <c r="O1" s="3"/>
      <c r="P1" s="3"/>
      <c r="Q1" s="3"/>
      <c r="R1" s="3"/>
      <c r="S1" s="3"/>
      <c r="T1" s="5" t="s">
        <v>4</v>
      </c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1</v>
      </c>
      <c r="U2" s="6">
        <f>+AVERAGE(J3:J100)</f>
        <v>0.11337142857142855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B3">
        <v>1928</v>
      </c>
      <c r="C3" s="2">
        <v>0.37880000000000003</v>
      </c>
      <c r="H3" s="3"/>
      <c r="I3" s="3">
        <v>1928</v>
      </c>
      <c r="J3" s="7">
        <v>0.37880000000000003</v>
      </c>
      <c r="K3" s="3"/>
      <c r="L3" s="3"/>
      <c r="M3" s="3"/>
      <c r="N3" s="3"/>
      <c r="O3" s="3"/>
      <c r="P3" s="3"/>
      <c r="Q3" s="3"/>
      <c r="R3" s="3"/>
      <c r="S3" s="3"/>
      <c r="T3" s="3" t="s">
        <v>3</v>
      </c>
      <c r="U3" s="3">
        <f>+_xlfn.STDEV.P(J3:J100)</f>
        <v>0.17927227098147991</v>
      </c>
      <c r="V3" s="3"/>
      <c r="W3" s="3"/>
      <c r="X3" s="3" t="s">
        <v>1</v>
      </c>
      <c r="Y3" s="6">
        <f ca="1">+AVERAGE(W6:W1516)</f>
        <v>0.11276806452008331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B4">
        <v>1929</v>
      </c>
      <c r="C4" s="2">
        <v>-0.1191</v>
      </c>
      <c r="H4" s="3"/>
      <c r="I4" s="3">
        <v>1929</v>
      </c>
      <c r="J4" s="7">
        <v>-0.1191</v>
      </c>
      <c r="K4" s="7"/>
      <c r="L4" s="7"/>
      <c r="M4" s="7"/>
      <c r="N4" s="7"/>
      <c r="O4" s="7"/>
      <c r="P4" s="7"/>
      <c r="Q4" s="7"/>
      <c r="R4" s="7"/>
      <c r="S4" s="3"/>
      <c r="T4" s="3" t="s">
        <v>2</v>
      </c>
      <c r="U4" s="3">
        <f>+_xlfn.STDEV.S(J3:J100)</f>
        <v>0.18019398539111686</v>
      </c>
      <c r="V4" s="3"/>
      <c r="W4" s="3"/>
      <c r="X4" s="3" t="s">
        <v>5</v>
      </c>
      <c r="Y4" s="6">
        <f ca="1">+MEDIAN(W6:W1516)</f>
        <v>0.11075582627712384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B5">
        <v>1930</v>
      </c>
      <c r="C5" s="2">
        <v>-0.2848</v>
      </c>
      <c r="H5" s="3"/>
      <c r="I5" s="3">
        <v>1930</v>
      </c>
      <c r="J5" s="7">
        <v>-0.2848</v>
      </c>
      <c r="K5" s="7"/>
      <c r="L5" s="7"/>
      <c r="M5" s="7"/>
      <c r="N5" s="7"/>
      <c r="O5" s="7"/>
      <c r="P5" s="7"/>
      <c r="Q5" s="7"/>
      <c r="R5" s="7"/>
      <c r="S5" s="3"/>
      <c r="T5" s="3" t="s">
        <v>23</v>
      </c>
      <c r="U5" s="8">
        <f>+U2-U3</f>
        <v>-6.5900842410051355E-2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B6">
        <v>1931</v>
      </c>
      <c r="C6" s="2">
        <v>-0.47070000000000001</v>
      </c>
      <c r="H6" s="3"/>
      <c r="I6" s="3">
        <v>1931</v>
      </c>
      <c r="J6" s="7">
        <v>-0.47070000000000001</v>
      </c>
      <c r="K6" s="7"/>
      <c r="L6" s="7"/>
      <c r="M6" s="7"/>
      <c r="N6" s="7"/>
      <c r="O6" s="7"/>
      <c r="P6" s="7"/>
      <c r="Q6" s="7"/>
      <c r="R6" s="7"/>
      <c r="S6" s="3"/>
      <c r="T6" s="3" t="s">
        <v>24</v>
      </c>
      <c r="U6" s="8">
        <f>+U2+U3</f>
        <v>0.29264369955290848</v>
      </c>
      <c r="V6" s="3"/>
      <c r="W6" s="7">
        <f t="shared" ref="W6:W69" ca="1" si="0">+NORMINV(RAND(),$U$2,$U$3)</f>
        <v>0.32257480946221317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B7">
        <v>1932</v>
      </c>
      <c r="C7" s="2">
        <v>-0.1515</v>
      </c>
      <c r="H7" s="3"/>
      <c r="I7" s="3">
        <v>1932</v>
      </c>
      <c r="J7" s="7">
        <v>-0.1515</v>
      </c>
      <c r="K7" s="7"/>
      <c r="L7" s="7"/>
      <c r="M7" s="7"/>
      <c r="N7" s="7"/>
      <c r="O7" s="7"/>
      <c r="P7" s="7"/>
      <c r="Q7" s="7"/>
      <c r="R7" s="7"/>
      <c r="S7" s="3"/>
      <c r="T7" s="3" t="s">
        <v>25</v>
      </c>
      <c r="U7" s="8">
        <f>+U2-2*U3</f>
        <v>-0.24517311339153125</v>
      </c>
      <c r="V7" s="3"/>
      <c r="W7" s="7">
        <f t="shared" ca="1" si="0"/>
        <v>0.30942466377803463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B8">
        <v>1933</v>
      </c>
      <c r="C8" s="2">
        <v>0.46590000000000004</v>
      </c>
      <c r="H8" s="3"/>
      <c r="I8" s="3">
        <v>1933</v>
      </c>
      <c r="J8" s="7">
        <v>0.46590000000000004</v>
      </c>
      <c r="K8" s="7"/>
      <c r="L8" s="7"/>
      <c r="M8" s="7"/>
      <c r="N8" s="7"/>
      <c r="O8" s="7"/>
      <c r="P8" s="7"/>
      <c r="Q8" s="7"/>
      <c r="R8" s="7"/>
      <c r="S8" s="3"/>
      <c r="T8" s="3" t="s">
        <v>26</v>
      </c>
      <c r="U8" s="8">
        <f>+U2+2*U3</f>
        <v>0.47191597053438838</v>
      </c>
      <c r="V8" s="3"/>
      <c r="W8" s="7">
        <f t="shared" ca="1" si="0"/>
        <v>3.1456029131979257E-2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B9">
        <v>1934</v>
      </c>
      <c r="C9" s="2">
        <v>-5.9400000000000001E-2</v>
      </c>
      <c r="H9" s="3"/>
      <c r="I9" s="3">
        <v>1934</v>
      </c>
      <c r="J9" s="7">
        <v>-5.9400000000000001E-2</v>
      </c>
      <c r="K9" s="7"/>
      <c r="L9" s="7"/>
      <c r="M9" s="7"/>
      <c r="N9" s="7"/>
      <c r="O9" s="7"/>
      <c r="P9" s="7"/>
      <c r="Q9" s="7"/>
      <c r="R9" s="7"/>
      <c r="S9" s="3"/>
      <c r="T9" s="3" t="s">
        <v>27</v>
      </c>
      <c r="U9" s="8">
        <f>+U2-3*U3</f>
        <v>-0.42444538437301116</v>
      </c>
      <c r="V9" s="3"/>
      <c r="W9" s="7">
        <f t="shared" ca="1" si="0"/>
        <v>0.21803282412827935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B10">
        <v>1935</v>
      </c>
      <c r="C10" s="2">
        <v>0.41369999999999996</v>
      </c>
      <c r="H10" s="3"/>
      <c r="I10" s="3">
        <v>1935</v>
      </c>
      <c r="J10" s="7">
        <v>0.41369999999999996</v>
      </c>
      <c r="K10" s="7"/>
      <c r="L10" s="7"/>
      <c r="M10" s="7"/>
      <c r="N10" s="7"/>
      <c r="O10" s="7"/>
      <c r="P10" s="7"/>
      <c r="Q10" s="7"/>
      <c r="R10" s="7"/>
      <c r="S10" s="3"/>
      <c r="T10" s="3" t="s">
        <v>28</v>
      </c>
      <c r="U10" s="8">
        <f>+U2+3*U3</f>
        <v>0.65118824151586829</v>
      </c>
      <c r="V10" s="3"/>
      <c r="W10" s="7">
        <f t="shared" ca="1" si="0"/>
        <v>0.11850013374246603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B11">
        <v>1936</v>
      </c>
      <c r="C11" s="2">
        <v>0.2792</v>
      </c>
      <c r="H11" s="3"/>
      <c r="I11" s="3">
        <v>1936</v>
      </c>
      <c r="J11" s="7">
        <v>0.2792</v>
      </c>
      <c r="K11" s="7"/>
      <c r="L11" s="7"/>
      <c r="M11" s="7"/>
      <c r="N11" s="7"/>
      <c r="O11" s="7"/>
      <c r="P11" s="7"/>
      <c r="Q11" s="7"/>
      <c r="R11" s="7"/>
      <c r="S11" s="3"/>
      <c r="T11" s="3" t="s">
        <v>21</v>
      </c>
      <c r="U11" s="6">
        <f ca="1">+MAX(W6:W1516)</f>
        <v>0.66022900754618652</v>
      </c>
      <c r="V11" s="3"/>
      <c r="W11" s="7">
        <f t="shared" ca="1" si="0"/>
        <v>0.42560060413029416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B12">
        <v>1937</v>
      </c>
      <c r="C12" s="2">
        <v>-0.38590000000000002</v>
      </c>
      <c r="H12" s="3"/>
      <c r="I12" s="3">
        <v>1937</v>
      </c>
      <c r="J12" s="7">
        <v>-0.38590000000000002</v>
      </c>
      <c r="K12" s="7"/>
      <c r="L12" s="7"/>
      <c r="M12" s="7"/>
      <c r="N12" s="7"/>
      <c r="O12" s="7"/>
      <c r="P12" s="7"/>
      <c r="Q12" s="7"/>
      <c r="R12" s="7"/>
      <c r="S12" s="3"/>
      <c r="T12" s="3" t="s">
        <v>22</v>
      </c>
      <c r="U12" s="6">
        <f ca="1">+MIN(W6:W1516)</f>
        <v>-0.58688255544613299</v>
      </c>
      <c r="V12" s="3"/>
      <c r="W12" s="7">
        <f t="shared" ca="1" si="0"/>
        <v>8.3629391052030294E-2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B13">
        <v>1938</v>
      </c>
      <c r="C13" s="2">
        <v>0.25209999999999999</v>
      </c>
      <c r="H13" s="3"/>
      <c r="I13" s="3">
        <v>1938</v>
      </c>
      <c r="J13" s="7">
        <v>0.25209999999999999</v>
      </c>
      <c r="K13" s="7"/>
      <c r="L13" s="7"/>
      <c r="M13" s="7"/>
      <c r="N13" s="7"/>
      <c r="O13" s="7"/>
      <c r="P13" s="7"/>
      <c r="Q13" s="7"/>
      <c r="R13" s="7"/>
      <c r="S13" s="3"/>
      <c r="T13" s="3"/>
      <c r="U13" s="3"/>
      <c r="V13" s="3"/>
      <c r="W13" s="7">
        <f t="shared" ca="1" si="0"/>
        <v>9.7407236349039916E-2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B14">
        <v>1939</v>
      </c>
      <c r="C14" s="2">
        <v>-5.45E-2</v>
      </c>
      <c r="H14" s="3"/>
      <c r="I14" s="3">
        <v>1939</v>
      </c>
      <c r="J14" s="7">
        <v>-5.45E-2</v>
      </c>
      <c r="K14" s="7"/>
      <c r="L14" s="7"/>
      <c r="M14" s="7"/>
      <c r="N14" s="7"/>
      <c r="O14" s="7"/>
      <c r="P14" s="7"/>
      <c r="Q14" s="7"/>
      <c r="R14" s="7"/>
      <c r="S14" s="3"/>
      <c r="T14" s="3"/>
      <c r="U14" s="3"/>
      <c r="V14" s="3"/>
      <c r="W14" s="7">
        <f t="shared" ca="1" si="0"/>
        <v>1.6148537029046617E-2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B15">
        <v>1940</v>
      </c>
      <c r="C15" s="2">
        <v>-0.15289999999999998</v>
      </c>
      <c r="H15" s="3"/>
      <c r="I15" s="3">
        <v>1940</v>
      </c>
      <c r="J15" s="7">
        <v>-0.15289999999999998</v>
      </c>
      <c r="K15" s="7"/>
      <c r="L15" s="7"/>
      <c r="M15" s="7"/>
      <c r="N15" s="7"/>
      <c r="O15" s="7"/>
      <c r="P15" s="7"/>
      <c r="Q15" s="7"/>
      <c r="R15" s="7"/>
      <c r="S15" s="3"/>
      <c r="T15" s="3"/>
      <c r="U15" s="3"/>
      <c r="V15" s="3"/>
      <c r="W15" s="7">
        <f t="shared" ca="1" si="0"/>
        <v>0.11492524365933807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B16">
        <v>1941</v>
      </c>
      <c r="C16" s="2">
        <v>-0.17859999999999998</v>
      </c>
      <c r="H16" s="3"/>
      <c r="I16" s="3">
        <v>1941</v>
      </c>
      <c r="J16" s="7">
        <v>-0.17859999999999998</v>
      </c>
      <c r="K16" s="7"/>
      <c r="L16" s="7"/>
      <c r="M16" s="7"/>
      <c r="N16" s="7"/>
      <c r="O16" s="7"/>
      <c r="P16" s="7"/>
      <c r="Q16" s="7"/>
      <c r="R16" s="7"/>
      <c r="S16" s="3"/>
      <c r="T16" s="3"/>
      <c r="U16" s="3"/>
      <c r="V16" s="3"/>
      <c r="W16" s="7">
        <f t="shared" ca="1" si="0"/>
        <v>4.5761237858687784E-2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2:50" x14ac:dyDescent="0.25">
      <c r="B17">
        <v>1942</v>
      </c>
      <c r="C17" s="2">
        <v>0.12429999999999999</v>
      </c>
      <c r="H17" s="3"/>
      <c r="I17" s="3">
        <v>1942</v>
      </c>
      <c r="J17" s="7">
        <v>0.12429999999999999</v>
      </c>
      <c r="K17" s="7"/>
      <c r="L17" s="7"/>
      <c r="M17" s="7"/>
      <c r="N17" s="7"/>
      <c r="O17" s="7"/>
      <c r="P17" s="7"/>
      <c r="Q17" s="7"/>
      <c r="R17" s="7"/>
      <c r="S17" s="3"/>
      <c r="T17" s="3"/>
      <c r="U17" s="3"/>
      <c r="V17" s="3"/>
      <c r="W17" s="7">
        <f t="shared" ca="1" si="0"/>
        <v>2.7836593916160252E-3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2:50" x14ac:dyDescent="0.25">
      <c r="B18">
        <v>1943</v>
      </c>
      <c r="C18" s="2">
        <v>0.19450000000000001</v>
      </c>
      <c r="H18" s="3"/>
      <c r="I18" s="3">
        <v>1943</v>
      </c>
      <c r="J18" s="7">
        <v>0.19450000000000001</v>
      </c>
      <c r="K18" s="7"/>
      <c r="L18" s="7"/>
      <c r="M18" s="7"/>
      <c r="N18" s="7"/>
      <c r="O18" s="7"/>
      <c r="P18" s="7"/>
      <c r="Q18" s="7"/>
      <c r="R18" s="7"/>
      <c r="S18" s="3"/>
      <c r="T18" s="3"/>
      <c r="U18" s="3"/>
      <c r="V18" s="3"/>
      <c r="W18" s="7">
        <f t="shared" ca="1" si="0"/>
        <v>-0.27656139581377348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2:50" x14ac:dyDescent="0.25">
      <c r="B19">
        <v>1944</v>
      </c>
      <c r="C19" s="2">
        <v>0.13800000000000001</v>
      </c>
      <c r="H19" s="3"/>
      <c r="I19" s="3">
        <v>1944</v>
      </c>
      <c r="J19" s="7">
        <v>0.13800000000000001</v>
      </c>
      <c r="K19" s="7"/>
      <c r="L19" s="7"/>
      <c r="M19" s="7"/>
      <c r="N19" s="7"/>
      <c r="O19" s="7"/>
      <c r="P19" s="7"/>
      <c r="Q19" s="7"/>
      <c r="R19" s="7"/>
      <c r="S19" s="3"/>
      <c r="T19" s="3"/>
      <c r="U19" s="3"/>
      <c r="V19" s="3"/>
      <c r="W19" s="7">
        <f t="shared" ca="1" si="0"/>
        <v>0.35322912969101017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2:50" x14ac:dyDescent="0.25">
      <c r="B20">
        <v>1945</v>
      </c>
      <c r="C20" s="2">
        <v>0.30719999999999997</v>
      </c>
      <c r="H20" s="3"/>
      <c r="I20" s="3">
        <v>1945</v>
      </c>
      <c r="J20" s="7">
        <v>0.30719999999999997</v>
      </c>
      <c r="K20" s="7"/>
      <c r="L20" s="7"/>
      <c r="M20" s="7"/>
      <c r="N20" s="7"/>
      <c r="O20" s="7"/>
      <c r="P20" s="7"/>
      <c r="Q20" s="7"/>
      <c r="R20" s="7"/>
      <c r="S20" s="3"/>
      <c r="T20" s="3"/>
      <c r="U20" s="3"/>
      <c r="V20" s="3"/>
      <c r="W20" s="7">
        <f t="shared" ca="1" si="0"/>
        <v>1.6684389441789182E-2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2:50" x14ac:dyDescent="0.25">
      <c r="B21">
        <v>1946</v>
      </c>
      <c r="C21" s="2">
        <v>0.11869999999999999</v>
      </c>
      <c r="H21" s="3"/>
      <c r="I21" s="3">
        <v>1946</v>
      </c>
      <c r="J21" s="7">
        <v>0.11869999999999999</v>
      </c>
      <c r="K21" s="7"/>
      <c r="L21" s="7"/>
      <c r="M21" s="7"/>
      <c r="N21" s="7"/>
      <c r="O21" s="7"/>
      <c r="P21" s="7"/>
      <c r="Q21" s="7"/>
      <c r="R21" s="7"/>
      <c r="S21" s="3"/>
      <c r="T21" s="3"/>
      <c r="U21" s="3"/>
      <c r="V21" s="3"/>
      <c r="W21" s="7">
        <f t="shared" ca="1" si="0"/>
        <v>-0.16379706025417679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2:50" x14ac:dyDescent="0.25">
      <c r="B22">
        <v>1947</v>
      </c>
      <c r="C22" s="2">
        <v>-0.31</v>
      </c>
      <c r="H22" s="3"/>
      <c r="I22" s="3">
        <v>1947</v>
      </c>
      <c r="J22" s="7">
        <v>-0.31</v>
      </c>
      <c r="K22" s="7"/>
      <c r="L22" s="7"/>
      <c r="M22" s="7"/>
      <c r="N22" s="7"/>
      <c r="O22" s="7"/>
      <c r="P22" s="7"/>
      <c r="Q22" s="7"/>
      <c r="R22" s="7"/>
      <c r="S22" s="3"/>
      <c r="T22" s="3"/>
      <c r="U22" s="3"/>
      <c r="V22" s="3"/>
      <c r="W22" s="7">
        <f t="shared" ca="1" si="0"/>
        <v>0.11248336998507963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2:50" x14ac:dyDescent="0.25">
      <c r="B23">
        <v>1948</v>
      </c>
      <c r="C23" s="2">
        <v>-6.5000000000000006E-3</v>
      </c>
      <c r="H23" s="3"/>
      <c r="I23" s="3">
        <v>1948</v>
      </c>
      <c r="J23" s="7">
        <v>-6.5000000000000006E-3</v>
      </c>
      <c r="K23" s="7"/>
      <c r="L23" s="7"/>
      <c r="M23" s="7"/>
      <c r="N23" s="7"/>
      <c r="O23" s="7"/>
      <c r="P23" s="7"/>
      <c r="Q23" s="7"/>
      <c r="R23" s="7"/>
      <c r="S23" s="3"/>
      <c r="T23" s="3"/>
      <c r="U23" s="3"/>
      <c r="V23" s="3"/>
      <c r="W23" s="7">
        <f t="shared" ca="1" si="0"/>
        <v>0.30343522286361857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2:50" x14ac:dyDescent="0.25">
      <c r="B24">
        <v>1949</v>
      </c>
      <c r="C24" s="2">
        <v>0.1026</v>
      </c>
      <c r="H24" s="3"/>
      <c r="I24" s="3">
        <v>1949</v>
      </c>
      <c r="J24" s="7">
        <v>0.1026</v>
      </c>
      <c r="K24" s="7"/>
      <c r="L24" s="7"/>
      <c r="M24" s="7"/>
      <c r="N24" s="7"/>
      <c r="O24" s="7"/>
      <c r="P24" s="7"/>
      <c r="Q24" s="7"/>
      <c r="R24" s="7"/>
      <c r="S24" s="3"/>
      <c r="T24" s="3"/>
      <c r="U24" s="3"/>
      <c r="V24" s="3"/>
      <c r="W24" s="7">
        <f t="shared" ca="1" si="0"/>
        <v>0.21574463760636003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2:50" x14ac:dyDescent="0.25">
      <c r="B25">
        <v>1950</v>
      </c>
      <c r="C25" s="2">
        <v>0.21780000000000002</v>
      </c>
      <c r="H25" s="3"/>
      <c r="I25" s="3">
        <v>1950</v>
      </c>
      <c r="J25" s="7">
        <v>0.21780000000000002</v>
      </c>
      <c r="K25" s="7"/>
      <c r="L25" s="7"/>
      <c r="M25" s="7"/>
      <c r="N25" s="7"/>
      <c r="O25" s="7"/>
      <c r="P25" s="7"/>
      <c r="Q25" s="7"/>
      <c r="R25" s="7"/>
      <c r="S25" s="3"/>
      <c r="T25" s="3"/>
      <c r="U25" s="3"/>
      <c r="V25" s="3"/>
      <c r="W25" s="7">
        <f t="shared" ca="1" si="0"/>
        <v>0.15796926815203255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2:50" x14ac:dyDescent="0.25">
      <c r="B26">
        <v>1951</v>
      </c>
      <c r="C26" s="2">
        <v>0.1646</v>
      </c>
      <c r="H26" s="3"/>
      <c r="I26" s="3">
        <v>1951</v>
      </c>
      <c r="J26" s="7">
        <v>0.1646</v>
      </c>
      <c r="K26" s="7"/>
      <c r="L26" s="7"/>
      <c r="M26" s="7"/>
      <c r="N26" s="7"/>
      <c r="O26" s="7"/>
      <c r="P26" s="7"/>
      <c r="Q26" s="7"/>
      <c r="R26" s="7"/>
      <c r="S26" s="3"/>
      <c r="T26" s="3"/>
      <c r="U26" s="3"/>
      <c r="V26" s="3"/>
      <c r="W26" s="7">
        <f t="shared" ca="1" si="0"/>
        <v>-0.24237862324738829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2:50" x14ac:dyDescent="0.25">
      <c r="B27">
        <v>1952</v>
      </c>
      <c r="C27" s="2">
        <v>0.11779999999999999</v>
      </c>
      <c r="H27" s="3"/>
      <c r="I27" s="3">
        <v>1952</v>
      </c>
      <c r="J27" s="7">
        <v>0.11779999999999999</v>
      </c>
      <c r="K27" s="7"/>
      <c r="L27" s="7"/>
      <c r="M27" s="7"/>
      <c r="N27" s="7"/>
      <c r="O27" s="7"/>
      <c r="P27" s="7"/>
      <c r="Q27" s="7"/>
      <c r="R27" s="7"/>
      <c r="S27" s="3"/>
      <c r="T27" s="3"/>
      <c r="U27" s="3"/>
      <c r="V27" s="3"/>
      <c r="W27" s="7">
        <f t="shared" ca="1" si="0"/>
        <v>0.26574715039354169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2:50" x14ac:dyDescent="0.25">
      <c r="B28">
        <v>1953</v>
      </c>
      <c r="C28" s="2">
        <v>-6.6199999999999995E-2</v>
      </c>
      <c r="H28" s="3"/>
      <c r="I28" s="3">
        <v>1953</v>
      </c>
      <c r="J28" s="7">
        <v>-6.6199999999999995E-2</v>
      </c>
      <c r="K28" s="7"/>
      <c r="L28" s="7"/>
      <c r="M28" s="7"/>
      <c r="N28" s="7"/>
      <c r="O28" s="7"/>
      <c r="P28" s="7"/>
      <c r="Q28" s="7"/>
      <c r="R28" s="7"/>
      <c r="S28" s="3"/>
      <c r="T28" s="3"/>
      <c r="U28" s="3"/>
      <c r="V28" s="3"/>
      <c r="W28" s="7">
        <f t="shared" ca="1" si="0"/>
        <v>9.2501558388348282E-2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2:50" x14ac:dyDescent="0.25">
      <c r="B29">
        <v>1954</v>
      </c>
      <c r="C29" s="2">
        <v>0.45020000000000004</v>
      </c>
      <c r="H29" s="3"/>
      <c r="I29" s="3">
        <v>1954</v>
      </c>
      <c r="J29" s="7">
        <v>0.45020000000000004</v>
      </c>
      <c r="K29" s="7"/>
      <c r="L29" s="7"/>
      <c r="M29" s="7"/>
      <c r="N29" s="7"/>
      <c r="O29" s="7"/>
      <c r="P29" s="7"/>
      <c r="Q29" s="7"/>
      <c r="R29" s="7"/>
      <c r="S29" s="3"/>
      <c r="T29" s="3"/>
      <c r="U29" s="3"/>
      <c r="V29" s="3"/>
      <c r="W29" s="7">
        <f t="shared" ca="1" si="0"/>
        <v>0.2594381599559516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2:50" x14ac:dyDescent="0.25">
      <c r="B30">
        <v>1955</v>
      </c>
      <c r="C30" s="2">
        <v>0.26400000000000001</v>
      </c>
      <c r="H30" s="3"/>
      <c r="I30" s="3">
        <v>1955</v>
      </c>
      <c r="J30" s="7">
        <v>0.26400000000000001</v>
      </c>
      <c r="K30" s="7"/>
      <c r="L30" s="7"/>
      <c r="M30" s="7"/>
      <c r="N30" s="7"/>
      <c r="O30" s="7"/>
      <c r="P30" s="7"/>
      <c r="Q30" s="7"/>
      <c r="R30" s="7"/>
      <c r="S30" s="3"/>
      <c r="T30" s="3"/>
      <c r="U30" s="3"/>
      <c r="V30" s="3"/>
      <c r="W30" s="7">
        <f t="shared" ca="1" si="0"/>
        <v>1.8971451532067835E-3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2:50" x14ac:dyDescent="0.25">
      <c r="B31">
        <v>1956</v>
      </c>
      <c r="C31" s="2">
        <v>2.6200000000000001E-2</v>
      </c>
      <c r="H31" s="3"/>
      <c r="I31" s="3">
        <v>1956</v>
      </c>
      <c r="J31" s="7">
        <v>2.6200000000000001E-2</v>
      </c>
      <c r="K31" s="7"/>
      <c r="L31" s="7"/>
      <c r="M31" s="7"/>
      <c r="N31" s="7"/>
      <c r="O31" s="7"/>
      <c r="P31" s="7"/>
      <c r="Q31" s="7"/>
      <c r="R31" s="7"/>
      <c r="S31" s="3"/>
      <c r="T31" s="3"/>
      <c r="U31" s="3"/>
      <c r="V31" s="3"/>
      <c r="W31" s="7">
        <f t="shared" ca="1" si="0"/>
        <v>0.14276908878144559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2:50" x14ac:dyDescent="0.25">
      <c r="B32">
        <v>1957</v>
      </c>
      <c r="C32" s="2">
        <v>0.1431</v>
      </c>
      <c r="H32" s="3"/>
      <c r="I32" s="3">
        <v>1957</v>
      </c>
      <c r="J32" s="7">
        <v>0.1431</v>
      </c>
      <c r="K32" s="7"/>
      <c r="L32" s="7"/>
      <c r="M32" s="7"/>
      <c r="N32" s="7"/>
      <c r="O32" s="7"/>
      <c r="P32" s="7"/>
      <c r="Q32" s="7"/>
      <c r="R32" s="7"/>
      <c r="S32" s="3"/>
      <c r="T32" s="3"/>
      <c r="U32" s="3"/>
      <c r="V32" s="3"/>
      <c r="W32" s="7">
        <f t="shared" ca="1" si="0"/>
        <v>0.2194797565159699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2:50" x14ac:dyDescent="0.25">
      <c r="B33">
        <v>1958</v>
      </c>
      <c r="C33" s="2">
        <v>0.38060000000000005</v>
      </c>
      <c r="H33" s="3"/>
      <c r="I33" s="3">
        <v>1958</v>
      </c>
      <c r="J33" s="7">
        <v>0.38060000000000005</v>
      </c>
      <c r="K33" s="7"/>
      <c r="L33" s="7"/>
      <c r="M33" s="7"/>
      <c r="N33" s="7"/>
      <c r="O33" s="7"/>
      <c r="P33" s="7"/>
      <c r="Q33" s="7"/>
      <c r="R33" s="7"/>
      <c r="S33" s="3"/>
      <c r="T33" s="3"/>
      <c r="U33" s="3"/>
      <c r="V33" s="3"/>
      <c r="W33" s="7">
        <f t="shared" ca="1" si="0"/>
        <v>0.44863496643018097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2:50" x14ac:dyDescent="0.25">
      <c r="B34">
        <v>1959</v>
      </c>
      <c r="C34" s="2">
        <v>8.48E-2</v>
      </c>
      <c r="H34" s="3"/>
      <c r="I34" s="3">
        <v>1959</v>
      </c>
      <c r="J34" s="7">
        <v>8.48E-2</v>
      </c>
      <c r="K34" s="7"/>
      <c r="L34" s="7"/>
      <c r="M34" s="7"/>
      <c r="N34" s="7"/>
      <c r="O34" s="7"/>
      <c r="P34" s="7"/>
      <c r="Q34" s="7"/>
      <c r="R34" s="7"/>
      <c r="S34" s="3"/>
      <c r="T34" s="3"/>
      <c r="U34" s="3"/>
      <c r="V34" s="3"/>
      <c r="W34" s="7">
        <f t="shared" ca="1" si="0"/>
        <v>-3.2529963485361982E-2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2:50" x14ac:dyDescent="0.25">
      <c r="B35">
        <v>1960</v>
      </c>
      <c r="C35" s="2">
        <v>-2.9700000000000001E-2</v>
      </c>
      <c r="H35" s="3"/>
      <c r="I35" s="3">
        <v>1960</v>
      </c>
      <c r="J35" s="7">
        <v>-2.9700000000000001E-2</v>
      </c>
      <c r="K35" s="7"/>
      <c r="L35" s="7"/>
      <c r="M35" s="7"/>
      <c r="N35" s="7"/>
      <c r="O35" s="7"/>
      <c r="P35" s="7"/>
      <c r="Q35" s="7"/>
      <c r="R35" s="7"/>
      <c r="S35" s="3"/>
      <c r="T35" s="3"/>
      <c r="U35" s="3"/>
      <c r="V35" s="3"/>
      <c r="W35" s="7">
        <f t="shared" ca="1" si="0"/>
        <v>-0.18978382493416718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2:50" x14ac:dyDescent="0.25">
      <c r="B36">
        <v>1961</v>
      </c>
      <c r="C36" s="2">
        <v>0.23129999999999998</v>
      </c>
      <c r="H36" s="3"/>
      <c r="I36" s="3">
        <v>1961</v>
      </c>
      <c r="J36" s="7">
        <v>0.23129999999999998</v>
      </c>
      <c r="K36" s="7"/>
      <c r="L36" s="7"/>
      <c r="M36" s="7"/>
      <c r="N36" s="7"/>
      <c r="O36" s="7"/>
      <c r="P36" s="7"/>
      <c r="Q36" s="7"/>
      <c r="R36" s="7"/>
      <c r="S36" s="3"/>
      <c r="T36" s="3"/>
      <c r="U36" s="3"/>
      <c r="V36" s="3"/>
      <c r="W36" s="7">
        <f t="shared" ca="1" si="0"/>
        <v>0.38665510536944642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2:50" x14ac:dyDescent="0.25">
      <c r="B37">
        <v>1962</v>
      </c>
      <c r="C37" s="2">
        <v>0.11810000000000001</v>
      </c>
      <c r="H37" s="3"/>
      <c r="I37" s="3">
        <v>1962</v>
      </c>
      <c r="J37" s="7">
        <v>0.11810000000000001</v>
      </c>
      <c r="K37" s="7"/>
      <c r="L37" s="7"/>
      <c r="M37" s="7"/>
      <c r="N37" s="7"/>
      <c r="O37" s="7"/>
      <c r="P37" s="7"/>
      <c r="Q37" s="7"/>
      <c r="R37" s="7"/>
      <c r="S37" s="3"/>
      <c r="T37" s="3"/>
      <c r="U37" s="3"/>
      <c r="V37" s="3"/>
      <c r="W37" s="7">
        <f t="shared" ca="1" si="0"/>
        <v>8.7617727579454296E-2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2:50" x14ac:dyDescent="0.25">
      <c r="B38">
        <v>1963</v>
      </c>
      <c r="C38" s="2">
        <v>0.18890000000000001</v>
      </c>
      <c r="H38" s="3"/>
      <c r="I38" s="3">
        <v>1963</v>
      </c>
      <c r="J38" s="7">
        <v>0.18890000000000001</v>
      </c>
      <c r="K38" s="7"/>
      <c r="L38" s="7"/>
      <c r="M38" s="7"/>
      <c r="N38" s="7"/>
      <c r="O38" s="7"/>
      <c r="P38" s="7"/>
      <c r="Q38" s="7"/>
      <c r="R38" s="7"/>
      <c r="S38" s="3"/>
      <c r="T38" s="3"/>
      <c r="U38" s="3"/>
      <c r="V38" s="3"/>
      <c r="W38" s="7">
        <f t="shared" ca="1" si="0"/>
        <v>0.22024217350693803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2:50" x14ac:dyDescent="0.25">
      <c r="B39">
        <v>1964</v>
      </c>
      <c r="C39" s="2">
        <v>0.12970000000000001</v>
      </c>
      <c r="H39" s="3"/>
      <c r="I39" s="3">
        <v>1964</v>
      </c>
      <c r="J39" s="7">
        <v>0.12970000000000001</v>
      </c>
      <c r="K39" s="7"/>
      <c r="L39" s="7"/>
      <c r="M39" s="7"/>
      <c r="N39" s="7"/>
      <c r="O39" s="7"/>
      <c r="P39" s="7"/>
      <c r="Q39" s="7"/>
      <c r="R39" s="7"/>
      <c r="S39" s="3"/>
      <c r="T39" s="3"/>
      <c r="U39" s="3"/>
      <c r="V39" s="3"/>
      <c r="W39" s="7">
        <f t="shared" ca="1" si="0"/>
        <v>-0.10139997232110014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2:50" x14ac:dyDescent="0.25">
      <c r="B40">
        <v>1965</v>
      </c>
      <c r="C40" s="2">
        <v>9.06E-2</v>
      </c>
      <c r="H40" s="3"/>
      <c r="I40" s="3">
        <v>1965</v>
      </c>
      <c r="J40" s="7">
        <v>9.06E-2</v>
      </c>
      <c r="K40" s="7"/>
      <c r="L40" s="7"/>
      <c r="M40" s="7"/>
      <c r="N40" s="7"/>
      <c r="O40" s="7"/>
      <c r="P40" s="7"/>
      <c r="Q40" s="7"/>
      <c r="R40" s="7"/>
      <c r="S40" s="3"/>
      <c r="T40" s="3"/>
      <c r="U40" s="3"/>
      <c r="V40" s="3"/>
      <c r="W40" s="7">
        <f t="shared" ca="1" si="0"/>
        <v>-7.0806518443043157E-2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2:50" x14ac:dyDescent="0.25">
      <c r="B41">
        <v>1966</v>
      </c>
      <c r="C41" s="2">
        <v>0.13089999999999999</v>
      </c>
      <c r="H41" s="3"/>
      <c r="I41" s="3">
        <v>1966</v>
      </c>
      <c r="J41" s="7">
        <v>0.13089999999999999</v>
      </c>
      <c r="K41" s="7"/>
      <c r="L41" s="7"/>
      <c r="M41" s="7"/>
      <c r="N41" s="7"/>
      <c r="O41" s="7"/>
      <c r="P41" s="7"/>
      <c r="Q41" s="7"/>
      <c r="R41" s="7"/>
      <c r="S41" s="3"/>
      <c r="T41" s="3"/>
      <c r="U41" s="3"/>
      <c r="V41" s="3"/>
      <c r="W41" s="7">
        <f t="shared" ca="1" si="0"/>
        <v>0.11310680209372012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2:50" x14ac:dyDescent="0.25">
      <c r="B42">
        <v>1967</v>
      </c>
      <c r="C42" s="2">
        <v>0.2009</v>
      </c>
      <c r="H42" s="3"/>
      <c r="I42" s="3">
        <v>1967</v>
      </c>
      <c r="J42" s="7">
        <v>0.2009</v>
      </c>
      <c r="K42" s="7"/>
      <c r="L42" s="7"/>
      <c r="M42" s="7"/>
      <c r="N42" s="7"/>
      <c r="O42" s="7"/>
      <c r="P42" s="7"/>
      <c r="Q42" s="7"/>
      <c r="R42" s="7"/>
      <c r="S42" s="3"/>
      <c r="T42" s="3"/>
      <c r="U42" s="3"/>
      <c r="V42" s="3"/>
      <c r="W42" s="7">
        <f t="shared" ca="1" si="0"/>
        <v>4.8510904376106889E-2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2:50" x14ac:dyDescent="0.25">
      <c r="B43">
        <v>1968</v>
      </c>
      <c r="C43" s="2">
        <v>7.6600000000000001E-2</v>
      </c>
      <c r="H43" s="3"/>
      <c r="I43" s="3">
        <v>1968</v>
      </c>
      <c r="J43" s="7">
        <v>7.6600000000000001E-2</v>
      </c>
      <c r="K43" s="7"/>
      <c r="L43" s="7"/>
      <c r="M43" s="7"/>
      <c r="N43" s="7"/>
      <c r="O43" s="7"/>
      <c r="P43" s="7"/>
      <c r="Q43" s="7"/>
      <c r="R43" s="7"/>
      <c r="S43" s="3"/>
      <c r="T43" s="3"/>
      <c r="U43" s="3"/>
      <c r="V43" s="3"/>
      <c r="W43" s="7">
        <f t="shared" ca="1" si="0"/>
        <v>0.34633412260104041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2:50" x14ac:dyDescent="0.25">
      <c r="B44">
        <v>1969</v>
      </c>
      <c r="C44" s="2">
        <v>0.11359999999999999</v>
      </c>
      <c r="H44" s="3"/>
      <c r="I44" s="3">
        <v>1969</v>
      </c>
      <c r="J44" s="7">
        <v>0.11359999999999999</v>
      </c>
      <c r="K44" s="7"/>
      <c r="L44" s="7"/>
      <c r="M44" s="7"/>
      <c r="N44" s="7"/>
      <c r="O44" s="7"/>
      <c r="P44" s="7"/>
      <c r="Q44" s="7"/>
      <c r="R44" s="7"/>
      <c r="S44" s="3"/>
      <c r="T44" s="3"/>
      <c r="U44" s="3"/>
      <c r="V44" s="3"/>
      <c r="W44" s="7">
        <f t="shared" ca="1" si="0"/>
        <v>6.1113765383705346E-2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2:50" x14ac:dyDescent="0.25">
      <c r="B45">
        <v>1970</v>
      </c>
      <c r="C45" s="2">
        <v>1E-3</v>
      </c>
      <c r="H45" s="3"/>
      <c r="I45" s="3">
        <v>1970</v>
      </c>
      <c r="J45" s="7">
        <v>1E-3</v>
      </c>
      <c r="K45" s="7"/>
      <c r="L45" s="7"/>
      <c r="M45" s="7"/>
      <c r="N45" s="7"/>
      <c r="O45" s="7"/>
      <c r="P45" s="7"/>
      <c r="Q45" s="7"/>
      <c r="R45" s="7"/>
      <c r="S45" s="3"/>
      <c r="T45" s="3"/>
      <c r="U45" s="3"/>
      <c r="V45" s="3"/>
      <c r="W45" s="7">
        <f t="shared" ca="1" si="0"/>
        <v>0.17166677209333991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2:50" x14ac:dyDescent="0.25">
      <c r="B46">
        <v>1971</v>
      </c>
      <c r="C46" s="2">
        <v>0.1079</v>
      </c>
      <c r="H46" s="3"/>
      <c r="I46" s="3">
        <v>1971</v>
      </c>
      <c r="J46" s="7">
        <v>0.1079</v>
      </c>
      <c r="K46" s="7"/>
      <c r="L46" s="7"/>
      <c r="M46" s="7"/>
      <c r="N46" s="7"/>
      <c r="O46" s="7"/>
      <c r="P46" s="7"/>
      <c r="Q46" s="7"/>
      <c r="R46" s="7"/>
      <c r="S46" s="3"/>
      <c r="T46" s="3"/>
      <c r="U46" s="3"/>
      <c r="V46" s="3"/>
      <c r="W46" s="7">
        <f t="shared" ca="1" si="0"/>
        <v>0.4030836082529291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2:50" x14ac:dyDescent="0.25">
      <c r="B47">
        <v>1972</v>
      </c>
      <c r="C47" s="2">
        <v>0.15629999999999999</v>
      </c>
      <c r="H47" s="3"/>
      <c r="I47" s="3">
        <v>1972</v>
      </c>
      <c r="J47" s="7">
        <v>0.15629999999999999</v>
      </c>
      <c r="K47" s="7"/>
      <c r="L47" s="7"/>
      <c r="M47" s="7"/>
      <c r="N47" s="7"/>
      <c r="O47" s="7"/>
      <c r="P47" s="7"/>
      <c r="Q47" s="7"/>
      <c r="R47" s="7"/>
      <c r="S47" s="3"/>
      <c r="T47" s="3"/>
      <c r="U47" s="3"/>
      <c r="V47" s="3"/>
      <c r="W47" s="7">
        <f t="shared" ca="1" si="0"/>
        <v>-0.193901165955016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2:50" x14ac:dyDescent="0.25">
      <c r="B48">
        <v>1973</v>
      </c>
      <c r="C48" s="2">
        <v>0.17370000000000002</v>
      </c>
      <c r="H48" s="3"/>
      <c r="I48" s="3">
        <v>1973</v>
      </c>
      <c r="J48" s="7">
        <v>0.17370000000000002</v>
      </c>
      <c r="K48" s="7"/>
      <c r="L48" s="7"/>
      <c r="M48" s="7"/>
      <c r="N48" s="7"/>
      <c r="O48" s="7"/>
      <c r="P48" s="7"/>
      <c r="Q48" s="7"/>
      <c r="R48" s="7"/>
      <c r="S48" s="3"/>
      <c r="T48" s="3"/>
      <c r="U48" s="3"/>
      <c r="V48" s="3"/>
      <c r="W48" s="7">
        <f t="shared" ca="1" si="0"/>
        <v>-0.14425364021749149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2:50" x14ac:dyDescent="0.25">
      <c r="B49">
        <v>1974</v>
      </c>
      <c r="C49" s="2">
        <v>0.29719999999999996</v>
      </c>
      <c r="H49" s="3"/>
      <c r="I49" s="3">
        <v>1974</v>
      </c>
      <c r="J49" s="7">
        <v>0.29719999999999996</v>
      </c>
      <c r="K49" s="7"/>
      <c r="L49" s="7"/>
      <c r="M49" s="7"/>
      <c r="N49" s="7"/>
      <c r="O49" s="7"/>
      <c r="P49" s="7"/>
      <c r="Q49" s="7"/>
      <c r="R49" s="7"/>
      <c r="S49" s="3"/>
      <c r="T49" s="3"/>
      <c r="U49" s="3"/>
      <c r="V49" s="3"/>
      <c r="W49" s="7">
        <f t="shared" ca="1" si="0"/>
        <v>0.11075582627712384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2:50" x14ac:dyDescent="0.25">
      <c r="B50">
        <v>1975</v>
      </c>
      <c r="C50" s="2">
        <v>0.3155</v>
      </c>
      <c r="H50" s="3"/>
      <c r="I50" s="3">
        <v>1975</v>
      </c>
      <c r="J50" s="7">
        <v>0.3155</v>
      </c>
      <c r="K50" s="7"/>
      <c r="L50" s="7"/>
      <c r="M50" s="7"/>
      <c r="N50" s="7"/>
      <c r="O50" s="7"/>
      <c r="P50" s="7"/>
      <c r="Q50" s="7"/>
      <c r="R50" s="7"/>
      <c r="S50" s="3"/>
      <c r="T50" s="3"/>
      <c r="U50" s="3"/>
      <c r="V50" s="3"/>
      <c r="W50" s="7">
        <f t="shared" ca="1" si="0"/>
        <v>0.45318644276404796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2:50" x14ac:dyDescent="0.25">
      <c r="B51">
        <v>1976</v>
      </c>
      <c r="C51" s="2">
        <v>0.19149999999999998</v>
      </c>
      <c r="H51" s="3"/>
      <c r="I51" s="3">
        <v>1976</v>
      </c>
      <c r="J51" s="7">
        <v>0.19149999999999998</v>
      </c>
      <c r="K51" s="7"/>
      <c r="L51" s="7"/>
      <c r="M51" s="7"/>
      <c r="N51" s="7"/>
      <c r="O51" s="7"/>
      <c r="P51" s="7"/>
      <c r="Q51" s="7"/>
      <c r="R51" s="7"/>
      <c r="S51" s="3"/>
      <c r="T51" s="3"/>
      <c r="U51" s="3"/>
      <c r="V51" s="3"/>
      <c r="W51" s="7">
        <f t="shared" ca="1" si="0"/>
        <v>-1.3740531058807612E-2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2:50" x14ac:dyDescent="0.25">
      <c r="B52">
        <v>1977</v>
      </c>
      <c r="C52" s="2">
        <v>-0.115</v>
      </c>
      <c r="H52" s="3"/>
      <c r="I52" s="3">
        <v>1977</v>
      </c>
      <c r="J52" s="7">
        <v>-0.115</v>
      </c>
      <c r="K52" s="7"/>
      <c r="L52" s="7"/>
      <c r="M52" s="7"/>
      <c r="N52" s="7"/>
      <c r="O52" s="7"/>
      <c r="P52" s="7"/>
      <c r="Q52" s="7"/>
      <c r="R52" s="7"/>
      <c r="S52" s="3"/>
      <c r="T52" s="3"/>
      <c r="U52" s="3"/>
      <c r="V52" s="3"/>
      <c r="W52" s="7">
        <f t="shared" ca="1" si="0"/>
        <v>-0.18292038217754519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2:50" x14ac:dyDescent="0.25">
      <c r="B53">
        <v>1978</v>
      </c>
      <c r="C53" s="2">
        <v>1.06E-2</v>
      </c>
      <c r="H53" s="3"/>
      <c r="I53" s="3">
        <v>1978</v>
      </c>
      <c r="J53" s="7">
        <v>1.06E-2</v>
      </c>
      <c r="K53" s="7"/>
      <c r="L53" s="7"/>
      <c r="M53" s="7"/>
      <c r="N53" s="7"/>
      <c r="O53" s="7"/>
      <c r="P53" s="7"/>
      <c r="Q53" s="7"/>
      <c r="R53" s="7"/>
      <c r="S53" s="3"/>
      <c r="T53" s="3"/>
      <c r="U53" s="3"/>
      <c r="V53" s="3"/>
      <c r="W53" s="7">
        <f t="shared" ca="1" si="0"/>
        <v>0.3595593309070324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2:50" x14ac:dyDescent="0.25">
      <c r="B54">
        <v>1979</v>
      </c>
      <c r="C54" s="2">
        <v>0.1231</v>
      </c>
      <c r="H54" s="3"/>
      <c r="I54" s="3">
        <v>1979</v>
      </c>
      <c r="J54" s="7">
        <v>0.1231</v>
      </c>
      <c r="K54" s="7"/>
      <c r="L54" s="7"/>
      <c r="M54" s="7"/>
      <c r="N54" s="7"/>
      <c r="O54" s="7"/>
      <c r="P54" s="7"/>
      <c r="Q54" s="7"/>
      <c r="R54" s="7"/>
      <c r="S54" s="3"/>
      <c r="T54" s="3"/>
      <c r="U54" s="3"/>
      <c r="V54" s="3"/>
      <c r="W54" s="7">
        <f t="shared" ca="1" si="0"/>
        <v>-7.9935237284579783E-2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2:50" x14ac:dyDescent="0.25">
      <c r="B55">
        <v>1980</v>
      </c>
      <c r="C55" s="2">
        <v>0.25769999999999998</v>
      </c>
      <c r="H55" s="3"/>
      <c r="I55" s="3">
        <v>1980</v>
      </c>
      <c r="J55" s="7">
        <v>0.25769999999999998</v>
      </c>
      <c r="K55" s="7"/>
      <c r="L55" s="7"/>
      <c r="M55" s="7"/>
      <c r="N55" s="7"/>
      <c r="O55" s="7"/>
      <c r="P55" s="7"/>
      <c r="Q55" s="7"/>
      <c r="R55" s="7"/>
      <c r="S55" s="3"/>
      <c r="T55" s="3"/>
      <c r="U55" s="3"/>
      <c r="V55" s="3"/>
      <c r="W55" s="7">
        <f t="shared" ca="1" si="0"/>
        <v>0.22851389008605882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2:50" x14ac:dyDescent="0.25">
      <c r="B56">
        <v>1981</v>
      </c>
      <c r="C56" s="2">
        <v>-9.7299999999999998E-2</v>
      </c>
      <c r="H56" s="3"/>
      <c r="I56" s="3">
        <v>1981</v>
      </c>
      <c r="J56" s="7">
        <v>-9.7299999999999998E-2</v>
      </c>
      <c r="K56" s="7"/>
      <c r="L56" s="7"/>
      <c r="M56" s="7"/>
      <c r="N56" s="7"/>
      <c r="O56" s="7"/>
      <c r="P56" s="7"/>
      <c r="Q56" s="7"/>
      <c r="R56" s="7"/>
      <c r="S56" s="3"/>
      <c r="T56" s="3"/>
      <c r="U56" s="3"/>
      <c r="V56" s="3"/>
      <c r="W56" s="7">
        <f t="shared" ca="1" si="0"/>
        <v>0.20906659810529266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2:50" x14ac:dyDescent="0.25">
      <c r="B57">
        <v>1982</v>
      </c>
      <c r="C57" s="2">
        <v>0.14760000000000001</v>
      </c>
      <c r="H57" s="3"/>
      <c r="I57" s="3">
        <v>1982</v>
      </c>
      <c r="J57" s="7">
        <v>0.14760000000000001</v>
      </c>
      <c r="K57" s="7"/>
      <c r="L57" s="7"/>
      <c r="M57" s="7"/>
      <c r="N57" s="7"/>
      <c r="O57" s="7"/>
      <c r="P57" s="7"/>
      <c r="Q57" s="7"/>
      <c r="R57" s="7"/>
      <c r="S57" s="3"/>
      <c r="T57" s="3"/>
      <c r="U57" s="3"/>
      <c r="V57" s="3"/>
      <c r="W57" s="7">
        <f t="shared" ca="1" si="0"/>
        <v>0.33914544027058696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2:50" x14ac:dyDescent="0.25">
      <c r="B58">
        <v>1983</v>
      </c>
      <c r="C58" s="2">
        <v>0.17269999999999999</v>
      </c>
      <c r="H58" s="3"/>
      <c r="I58" s="3">
        <v>1983</v>
      </c>
      <c r="J58" s="7">
        <v>0.17269999999999999</v>
      </c>
      <c r="K58" s="7"/>
      <c r="L58" s="7"/>
      <c r="M58" s="7"/>
      <c r="N58" s="7"/>
      <c r="O58" s="7"/>
      <c r="P58" s="7"/>
      <c r="Q58" s="7"/>
      <c r="R58" s="7"/>
      <c r="S58" s="3"/>
      <c r="T58" s="3"/>
      <c r="U58" s="3"/>
      <c r="V58" s="3"/>
      <c r="W58" s="7">
        <f t="shared" ca="1" si="0"/>
        <v>8.7083610840509099E-2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2:50" x14ac:dyDescent="0.25">
      <c r="B59">
        <v>1984</v>
      </c>
      <c r="C59" s="2">
        <v>1.3999999999999999E-2</v>
      </c>
      <c r="H59" s="3"/>
      <c r="I59" s="3">
        <v>1984</v>
      </c>
      <c r="J59" s="7">
        <v>1.3999999999999999E-2</v>
      </c>
      <c r="K59" s="7"/>
      <c r="L59" s="7"/>
      <c r="M59" s="7"/>
      <c r="N59" s="7"/>
      <c r="O59" s="7"/>
      <c r="P59" s="7"/>
      <c r="Q59" s="7"/>
      <c r="R59" s="7"/>
      <c r="S59" s="3"/>
      <c r="T59" s="3"/>
      <c r="U59" s="3"/>
      <c r="V59" s="3"/>
      <c r="W59" s="7">
        <f t="shared" ca="1" si="0"/>
        <v>0.32921766928801471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2:50" x14ac:dyDescent="0.25">
      <c r="B60">
        <v>1985</v>
      </c>
      <c r="C60" s="2">
        <v>0.26329999999999998</v>
      </c>
      <c r="H60" s="3"/>
      <c r="I60" s="3">
        <v>1985</v>
      </c>
      <c r="J60" s="7">
        <v>0.26329999999999998</v>
      </c>
      <c r="K60" s="7"/>
      <c r="L60" s="7"/>
      <c r="M60" s="7"/>
      <c r="N60" s="7"/>
      <c r="O60" s="7"/>
      <c r="P60" s="7"/>
      <c r="Q60" s="7"/>
      <c r="R60" s="7"/>
      <c r="S60" s="3"/>
      <c r="T60" s="3"/>
      <c r="U60" s="3"/>
      <c r="V60" s="3"/>
      <c r="W60" s="7">
        <f t="shared" ca="1" si="0"/>
        <v>0.36078758359895108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2:50" x14ac:dyDescent="0.25">
      <c r="B61">
        <v>1986</v>
      </c>
      <c r="C61" s="2">
        <v>0.1462</v>
      </c>
      <c r="H61" s="3"/>
      <c r="I61" s="3">
        <v>1986</v>
      </c>
      <c r="J61" s="7">
        <v>0.1462</v>
      </c>
      <c r="K61" s="7"/>
      <c r="L61" s="7"/>
      <c r="M61" s="7"/>
      <c r="N61" s="7"/>
      <c r="O61" s="7"/>
      <c r="P61" s="7"/>
      <c r="Q61" s="7"/>
      <c r="R61" s="7"/>
      <c r="S61" s="3"/>
      <c r="T61" s="3"/>
      <c r="U61" s="3"/>
      <c r="V61" s="3"/>
      <c r="W61" s="7">
        <f t="shared" ca="1" si="0"/>
        <v>0.14716651991394461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2:50" x14ac:dyDescent="0.25">
      <c r="B62">
        <v>1987</v>
      </c>
      <c r="C62" s="2">
        <v>2.0299999999999999E-2</v>
      </c>
      <c r="H62" s="3"/>
      <c r="I62" s="3">
        <v>1987</v>
      </c>
      <c r="J62" s="7">
        <v>2.0299999999999999E-2</v>
      </c>
      <c r="K62" s="7"/>
      <c r="L62" s="7"/>
      <c r="M62" s="7"/>
      <c r="N62" s="7"/>
      <c r="O62" s="7"/>
      <c r="P62" s="7"/>
      <c r="Q62" s="7"/>
      <c r="R62" s="7"/>
      <c r="S62" s="3"/>
      <c r="T62" s="3"/>
      <c r="U62" s="3"/>
      <c r="V62" s="3"/>
      <c r="W62" s="7">
        <f t="shared" ca="1" si="0"/>
        <v>0.52757640317975252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2:50" x14ac:dyDescent="0.25">
      <c r="B63">
        <v>1988</v>
      </c>
      <c r="C63" s="2">
        <v>0.124</v>
      </c>
      <c r="H63" s="3"/>
      <c r="I63" s="3">
        <v>1988</v>
      </c>
      <c r="J63" s="7">
        <v>0.124</v>
      </c>
      <c r="K63" s="7"/>
      <c r="L63" s="7"/>
      <c r="M63" s="7"/>
      <c r="N63" s="7"/>
      <c r="O63" s="7"/>
      <c r="P63" s="7"/>
      <c r="Q63" s="7"/>
      <c r="R63" s="7"/>
      <c r="S63" s="3"/>
      <c r="T63" s="3"/>
      <c r="U63" s="3"/>
      <c r="V63" s="3"/>
      <c r="W63" s="7">
        <f t="shared" ca="1" si="0"/>
        <v>-0.11626683367677261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2:50" x14ac:dyDescent="0.25">
      <c r="B64">
        <v>1989</v>
      </c>
      <c r="C64" s="2">
        <v>0.27250000000000002</v>
      </c>
      <c r="H64" s="3"/>
      <c r="I64" s="3">
        <v>1989</v>
      </c>
      <c r="J64" s="7">
        <v>0.27250000000000002</v>
      </c>
      <c r="K64" s="7"/>
      <c r="L64" s="7"/>
      <c r="M64" s="7"/>
      <c r="N64" s="7"/>
      <c r="O64" s="7"/>
      <c r="P64" s="7"/>
      <c r="Q64" s="7"/>
      <c r="R64" s="7"/>
      <c r="S64" s="3"/>
      <c r="T64" s="3"/>
      <c r="U64" s="3"/>
      <c r="V64" s="3"/>
      <c r="W64" s="7">
        <f t="shared" ca="1" si="0"/>
        <v>0.12294028201006707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2:50" x14ac:dyDescent="0.25">
      <c r="B65">
        <v>1990</v>
      </c>
      <c r="C65" s="2">
        <v>-6.5599999999999992E-2</v>
      </c>
      <c r="H65" s="3"/>
      <c r="I65" s="3">
        <v>1990</v>
      </c>
      <c r="J65" s="7">
        <v>-6.5599999999999992E-2</v>
      </c>
      <c r="K65" s="7"/>
      <c r="L65" s="7"/>
      <c r="M65" s="7"/>
      <c r="N65" s="7"/>
      <c r="O65" s="7"/>
      <c r="P65" s="7"/>
      <c r="Q65" s="7"/>
      <c r="R65" s="7"/>
      <c r="S65" s="3"/>
      <c r="T65" s="3"/>
      <c r="U65" s="3"/>
      <c r="V65" s="3"/>
      <c r="W65" s="7">
        <f t="shared" ca="1" si="0"/>
        <v>0.44276516492656809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2:50" x14ac:dyDescent="0.25">
      <c r="B66">
        <v>1991</v>
      </c>
      <c r="C66" s="2">
        <v>0.2631</v>
      </c>
      <c r="H66" s="3"/>
      <c r="I66" s="3">
        <v>1991</v>
      </c>
      <c r="J66" s="7">
        <v>0.2631</v>
      </c>
      <c r="K66" s="7"/>
      <c r="L66" s="7"/>
      <c r="M66" s="7"/>
      <c r="N66" s="7"/>
      <c r="O66" s="7"/>
      <c r="P66" s="7"/>
      <c r="Q66" s="7"/>
      <c r="R66" s="7"/>
      <c r="S66" s="3"/>
      <c r="T66" s="3"/>
      <c r="U66" s="3"/>
      <c r="V66" s="3"/>
      <c r="W66" s="7">
        <f t="shared" ca="1" si="0"/>
        <v>0.36824374354362777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2:50" x14ac:dyDescent="0.25">
      <c r="B67">
        <v>1992</v>
      </c>
      <c r="C67" s="2">
        <v>4.4600000000000001E-2</v>
      </c>
      <c r="H67" s="3"/>
      <c r="I67" s="3">
        <v>1992</v>
      </c>
      <c r="J67" s="7">
        <v>4.4600000000000001E-2</v>
      </c>
      <c r="K67" s="7"/>
      <c r="L67" s="7"/>
      <c r="M67" s="7"/>
      <c r="N67" s="7"/>
      <c r="O67" s="7"/>
      <c r="P67" s="7"/>
      <c r="Q67" s="7"/>
      <c r="R67" s="7"/>
      <c r="S67" s="3"/>
      <c r="T67" s="3"/>
      <c r="U67" s="3"/>
      <c r="V67" s="3"/>
      <c r="W67" s="7">
        <f t="shared" ca="1" si="0"/>
        <v>0.10759171804391998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2:50" x14ac:dyDescent="0.25">
      <c r="B68">
        <v>1993</v>
      </c>
      <c r="C68" s="2">
        <v>7.0599999999999996E-2</v>
      </c>
      <c r="H68" s="3"/>
      <c r="I68" s="3">
        <v>1993</v>
      </c>
      <c r="J68" s="7">
        <v>7.0599999999999996E-2</v>
      </c>
      <c r="K68" s="7"/>
      <c r="L68" s="7"/>
      <c r="M68" s="7"/>
      <c r="N68" s="7"/>
      <c r="O68" s="7"/>
      <c r="P68" s="7"/>
      <c r="Q68" s="7"/>
      <c r="R68" s="7"/>
      <c r="S68" s="3"/>
      <c r="T68" s="3"/>
      <c r="U68" s="3"/>
      <c r="V68" s="3"/>
      <c r="W68" s="7">
        <f t="shared" ca="1" si="0"/>
        <v>0.22259696805914725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2:50" x14ac:dyDescent="0.25">
      <c r="B69">
        <v>1994</v>
      </c>
      <c r="C69" s="2">
        <v>-1.54E-2</v>
      </c>
      <c r="H69" s="3"/>
      <c r="I69" s="3">
        <v>1994</v>
      </c>
      <c r="J69" s="7">
        <v>-1.54E-2</v>
      </c>
      <c r="K69" s="7"/>
      <c r="L69" s="7"/>
      <c r="M69" s="7"/>
      <c r="N69" s="7"/>
      <c r="O69" s="7"/>
      <c r="P69" s="7"/>
      <c r="Q69" s="7"/>
      <c r="R69" s="7"/>
      <c r="S69" s="3"/>
      <c r="T69" s="3"/>
      <c r="U69" s="3"/>
      <c r="V69" s="3"/>
      <c r="W69" s="7">
        <f t="shared" ca="1" si="0"/>
        <v>0.26617079765326651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2:50" x14ac:dyDescent="0.25">
      <c r="B70">
        <v>1995</v>
      </c>
      <c r="C70" s="2">
        <v>0.34110000000000001</v>
      </c>
      <c r="H70" s="3"/>
      <c r="I70" s="3">
        <v>1995</v>
      </c>
      <c r="J70" s="7">
        <v>0.34110000000000001</v>
      </c>
      <c r="K70" s="7"/>
      <c r="L70" s="7"/>
      <c r="M70" s="7"/>
      <c r="N70" s="7"/>
      <c r="O70" s="7"/>
      <c r="P70" s="7"/>
      <c r="Q70" s="7"/>
      <c r="R70" s="7"/>
      <c r="S70" s="3"/>
      <c r="T70" s="3"/>
      <c r="U70" s="3"/>
      <c r="V70" s="3"/>
      <c r="W70" s="7">
        <f t="shared" ref="W70:W133" ca="1" si="1">+NORMINV(RAND(),$U$2,$U$3)</f>
        <v>0.46670761345099898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2:50" x14ac:dyDescent="0.25">
      <c r="B71">
        <v>1996</v>
      </c>
      <c r="C71" s="2">
        <v>0.2026</v>
      </c>
      <c r="H71" s="3"/>
      <c r="I71" s="3">
        <v>1996</v>
      </c>
      <c r="J71" s="7">
        <v>0.2026</v>
      </c>
      <c r="K71" s="7"/>
      <c r="L71" s="7"/>
      <c r="M71" s="7"/>
      <c r="N71" s="7"/>
      <c r="O71" s="7"/>
      <c r="P71" s="7"/>
      <c r="Q71" s="7"/>
      <c r="R71" s="7"/>
      <c r="S71" s="3"/>
      <c r="T71" s="3"/>
      <c r="U71" s="3"/>
      <c r="V71" s="3"/>
      <c r="W71" s="7">
        <f t="shared" ca="1" si="1"/>
        <v>0.16042556654110665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2:50" x14ac:dyDescent="0.25">
      <c r="B72">
        <v>1997</v>
      </c>
      <c r="C72" s="2">
        <v>0.31010000000000004</v>
      </c>
      <c r="H72" s="3"/>
      <c r="I72" s="3">
        <v>1997</v>
      </c>
      <c r="J72" s="7">
        <v>0.31010000000000004</v>
      </c>
      <c r="K72" s="7"/>
      <c r="L72" s="7"/>
      <c r="M72" s="7"/>
      <c r="N72" s="7"/>
      <c r="O72" s="7"/>
      <c r="P72" s="7"/>
      <c r="Q72" s="7"/>
      <c r="R72" s="7"/>
      <c r="S72" s="3"/>
      <c r="T72" s="3"/>
      <c r="U72" s="3"/>
      <c r="V72" s="3"/>
      <c r="W72" s="7">
        <f t="shared" ca="1" si="1"/>
        <v>0.14782859606812049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2:50" x14ac:dyDescent="0.25">
      <c r="B73">
        <v>1998</v>
      </c>
      <c r="C73" s="2">
        <v>0.26669999999999999</v>
      </c>
      <c r="H73" s="3"/>
      <c r="I73" s="3">
        <v>1998</v>
      </c>
      <c r="J73" s="7">
        <v>0.26669999999999999</v>
      </c>
      <c r="K73" s="7"/>
      <c r="L73" s="7"/>
      <c r="M73" s="7"/>
      <c r="N73" s="7"/>
      <c r="O73" s="7"/>
      <c r="P73" s="7"/>
      <c r="Q73" s="7"/>
      <c r="R73" s="7"/>
      <c r="S73" s="3"/>
      <c r="T73" s="3"/>
      <c r="U73" s="3"/>
      <c r="V73" s="3"/>
      <c r="W73" s="7">
        <f t="shared" ca="1" si="1"/>
        <v>-2.8684748710576954E-2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2:50" x14ac:dyDescent="0.25">
      <c r="B74">
        <v>1999</v>
      </c>
      <c r="C74" s="2">
        <v>0.1953</v>
      </c>
      <c r="H74" s="3"/>
      <c r="I74" s="3">
        <v>1999</v>
      </c>
      <c r="J74" s="7">
        <v>0.1953</v>
      </c>
      <c r="K74" s="7"/>
      <c r="L74" s="7"/>
      <c r="M74" s="7"/>
      <c r="N74" s="7"/>
      <c r="O74" s="7"/>
      <c r="P74" s="7"/>
      <c r="Q74" s="7"/>
      <c r="R74" s="7"/>
      <c r="S74" s="3"/>
      <c r="T74" s="3"/>
      <c r="U74" s="3"/>
      <c r="V74" s="3"/>
      <c r="W74" s="7">
        <f t="shared" ca="1" si="1"/>
        <v>0.19410854310203768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2:50" x14ac:dyDescent="0.25">
      <c r="B75">
        <v>2000</v>
      </c>
      <c r="C75" s="2">
        <v>0.1014</v>
      </c>
      <c r="H75" s="3"/>
      <c r="I75" s="3">
        <v>2000</v>
      </c>
      <c r="J75" s="7">
        <v>0.1014</v>
      </c>
      <c r="K75" s="7"/>
      <c r="L75" s="7"/>
      <c r="M75" s="7"/>
      <c r="N75" s="7"/>
      <c r="O75" s="7"/>
      <c r="P75" s="7"/>
      <c r="Q75" s="7"/>
      <c r="R75" s="7"/>
      <c r="S75" s="3"/>
      <c r="T75" s="3"/>
      <c r="U75" s="3"/>
      <c r="V75" s="3"/>
      <c r="W75" s="7">
        <f t="shared" ca="1" si="1"/>
        <v>0.12462888649611421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2:50" x14ac:dyDescent="0.25">
      <c r="B76">
        <v>2001</v>
      </c>
      <c r="C76" s="2">
        <v>0.13039999999999999</v>
      </c>
      <c r="H76" s="3"/>
      <c r="I76" s="3">
        <v>2001</v>
      </c>
      <c r="J76" s="7">
        <v>0.13039999999999999</v>
      </c>
      <c r="K76" s="7"/>
      <c r="L76" s="7"/>
      <c r="M76" s="7"/>
      <c r="N76" s="7"/>
      <c r="O76" s="7"/>
      <c r="P76" s="7"/>
      <c r="Q76" s="7"/>
      <c r="R76" s="7"/>
      <c r="S76" s="3"/>
      <c r="T76" s="3"/>
      <c r="U76" s="3"/>
      <c r="V76" s="3"/>
      <c r="W76" s="7">
        <f t="shared" ca="1" si="1"/>
        <v>0.37516101029776827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2:50" x14ac:dyDescent="0.25">
      <c r="B77">
        <v>2002</v>
      </c>
      <c r="C77" s="2">
        <v>0.23370000000000002</v>
      </c>
      <c r="H77" s="3"/>
      <c r="I77" s="3">
        <v>2002</v>
      </c>
      <c r="J77" s="7">
        <v>0.23370000000000002</v>
      </c>
      <c r="K77" s="7"/>
      <c r="L77" s="7"/>
      <c r="M77" s="7"/>
      <c r="N77" s="7"/>
      <c r="O77" s="7"/>
      <c r="P77" s="7"/>
      <c r="Q77" s="7"/>
      <c r="R77" s="7"/>
      <c r="S77" s="3"/>
      <c r="T77" s="3"/>
      <c r="U77" s="3"/>
      <c r="V77" s="3"/>
      <c r="W77" s="7">
        <f t="shared" ca="1" si="1"/>
        <v>0.24261452970376773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2:50" x14ac:dyDescent="0.25">
      <c r="B78">
        <v>2003</v>
      </c>
      <c r="C78" s="2">
        <v>0.26379999999999998</v>
      </c>
      <c r="H78" s="3"/>
      <c r="I78" s="3">
        <v>2003</v>
      </c>
      <c r="J78" s="7">
        <v>0.26379999999999998</v>
      </c>
      <c r="K78" s="7"/>
      <c r="L78" s="7"/>
      <c r="M78" s="7"/>
      <c r="N78" s="7"/>
      <c r="O78" s="7"/>
      <c r="P78" s="7"/>
      <c r="Q78" s="7"/>
      <c r="R78" s="7"/>
      <c r="S78" s="3"/>
      <c r="T78" s="3"/>
      <c r="U78" s="3"/>
      <c r="V78" s="3"/>
      <c r="W78" s="7">
        <f t="shared" ca="1" si="1"/>
        <v>2.3709938554991927E-2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2:50" x14ac:dyDescent="0.25">
      <c r="B79">
        <v>2004</v>
      </c>
      <c r="C79" s="2">
        <v>8.9900000000000008E-2</v>
      </c>
      <c r="H79" s="3"/>
      <c r="I79" s="3">
        <v>2004</v>
      </c>
      <c r="J79" s="7">
        <v>8.9900000000000008E-2</v>
      </c>
      <c r="K79" s="7"/>
      <c r="L79" s="7"/>
      <c r="M79" s="7"/>
      <c r="N79" s="7"/>
      <c r="O79" s="7"/>
      <c r="P79" s="7"/>
      <c r="Q79" s="7"/>
      <c r="R79" s="7"/>
      <c r="S79" s="3"/>
      <c r="T79" s="3"/>
      <c r="U79" s="3"/>
      <c r="V79" s="3"/>
      <c r="W79" s="7">
        <f t="shared" ca="1" si="1"/>
        <v>2.9556500956127621E-2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2:50" x14ac:dyDescent="0.25">
      <c r="B80">
        <v>2005</v>
      </c>
      <c r="C80" s="2">
        <v>-0.30299999999999999</v>
      </c>
      <c r="H80" s="3"/>
      <c r="I80" s="3">
        <v>2005</v>
      </c>
      <c r="J80" s="7">
        <v>-0.30299999999999999</v>
      </c>
      <c r="K80" s="7"/>
      <c r="L80" s="7"/>
      <c r="M80" s="7"/>
      <c r="N80" s="7"/>
      <c r="O80" s="7"/>
      <c r="P80" s="7"/>
      <c r="Q80" s="7"/>
      <c r="R80" s="7"/>
      <c r="S80" s="3"/>
      <c r="T80" s="3"/>
      <c r="U80" s="3"/>
      <c r="V80" s="3"/>
      <c r="W80" s="7">
        <f t="shared" ca="1" si="1"/>
        <v>0.30044383047799578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2:50" x14ac:dyDescent="0.25">
      <c r="B81">
        <v>2006</v>
      </c>
      <c r="C81" s="2">
        <v>0.13619999999999999</v>
      </c>
      <c r="H81" s="3"/>
      <c r="I81" s="3">
        <v>2006</v>
      </c>
      <c r="J81" s="7">
        <v>0.13619999999999999</v>
      </c>
      <c r="K81" s="7"/>
      <c r="L81" s="7"/>
      <c r="M81" s="7"/>
      <c r="N81" s="7"/>
      <c r="O81" s="7"/>
      <c r="P81" s="7"/>
      <c r="Q81" s="7"/>
      <c r="R81" s="7"/>
      <c r="S81" s="3"/>
      <c r="T81" s="3"/>
      <c r="U81" s="3"/>
      <c r="V81" s="3"/>
      <c r="W81" s="7">
        <f t="shared" ca="1" si="1"/>
        <v>0.39821594583758513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2:50" x14ac:dyDescent="0.25">
      <c r="B82">
        <v>2007</v>
      </c>
      <c r="C82" s="2">
        <v>3.5299999999999998E-2</v>
      </c>
      <c r="H82" s="3"/>
      <c r="I82" s="3">
        <v>2007</v>
      </c>
      <c r="J82" s="7">
        <v>3.5299999999999998E-2</v>
      </c>
      <c r="K82" s="7"/>
      <c r="L82" s="7"/>
      <c r="M82" s="7"/>
      <c r="N82" s="7"/>
      <c r="O82" s="7"/>
      <c r="P82" s="7"/>
      <c r="Q82" s="7"/>
      <c r="R82" s="7"/>
      <c r="S82" s="3"/>
      <c r="T82" s="3"/>
      <c r="U82" s="3"/>
      <c r="V82" s="3"/>
      <c r="W82" s="7">
        <f t="shared" ca="1" si="1"/>
        <v>0.36679955626611083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2:50" x14ac:dyDescent="0.25">
      <c r="B83">
        <v>2008</v>
      </c>
      <c r="C83" s="2">
        <v>0.38490000000000002</v>
      </c>
      <c r="H83" s="3"/>
      <c r="I83" s="3">
        <v>2008</v>
      </c>
      <c r="J83" s="7">
        <v>0.38490000000000002</v>
      </c>
      <c r="K83" s="7"/>
      <c r="L83" s="7"/>
      <c r="M83" s="7"/>
      <c r="N83" s="7"/>
      <c r="O83" s="7"/>
      <c r="P83" s="7"/>
      <c r="Q83" s="7"/>
      <c r="R83" s="7"/>
      <c r="S83" s="3"/>
      <c r="T83" s="3"/>
      <c r="U83" s="3"/>
      <c r="V83" s="3"/>
      <c r="W83" s="7">
        <f t="shared" ca="1" si="1"/>
        <v>6.964958501227364E-2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2:50" x14ac:dyDescent="0.25">
      <c r="B84">
        <v>2009</v>
      </c>
      <c r="C84" s="2">
        <v>0.23449999999999999</v>
      </c>
      <c r="H84" s="3"/>
      <c r="I84" s="3">
        <v>2009</v>
      </c>
      <c r="J84" s="7">
        <v>0.23449999999999999</v>
      </c>
      <c r="K84" s="7"/>
      <c r="L84" s="7"/>
      <c r="M84" s="7"/>
      <c r="N84" s="7"/>
      <c r="O84" s="7"/>
      <c r="P84" s="7"/>
      <c r="Q84" s="7"/>
      <c r="R84" s="7"/>
      <c r="S84" s="3"/>
      <c r="T84" s="3"/>
      <c r="U84" s="3"/>
      <c r="V84" s="3"/>
      <c r="W84" s="7">
        <f t="shared" ca="1" si="1"/>
        <v>-0.21862889361656856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2:50" x14ac:dyDescent="0.25">
      <c r="B85">
        <v>2010</v>
      </c>
      <c r="C85" s="2">
        <v>0.1278</v>
      </c>
      <c r="H85" s="3"/>
      <c r="I85" s="3">
        <v>2010</v>
      </c>
      <c r="J85" s="7">
        <v>0.1278</v>
      </c>
      <c r="K85" s="7"/>
      <c r="L85" s="7"/>
      <c r="M85" s="7"/>
      <c r="N85" s="7"/>
      <c r="O85" s="7"/>
      <c r="P85" s="7"/>
      <c r="Q85" s="7"/>
      <c r="R85" s="7"/>
      <c r="S85" s="3"/>
      <c r="T85" s="3"/>
      <c r="U85" s="3"/>
      <c r="V85" s="3"/>
      <c r="W85" s="7">
        <f t="shared" ca="1" si="1"/>
        <v>4.6807055758745747E-2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2:50" x14ac:dyDescent="0.25">
      <c r="B86">
        <v>2011</v>
      </c>
      <c r="C86" s="2">
        <v>-0.3</v>
      </c>
      <c r="H86" s="3"/>
      <c r="I86" s="3">
        <v>2011</v>
      </c>
      <c r="J86" s="7">
        <v>-0.3</v>
      </c>
      <c r="K86" s="7"/>
      <c r="L86" s="7"/>
      <c r="M86" s="7"/>
      <c r="N86" s="7"/>
      <c r="O86" s="7"/>
      <c r="P86" s="7"/>
      <c r="Q86" s="7"/>
      <c r="R86" s="7"/>
      <c r="S86" s="3"/>
      <c r="T86" s="3"/>
      <c r="U86" s="3"/>
      <c r="V86" s="3"/>
      <c r="W86" s="7">
        <f t="shared" ca="1" si="1"/>
        <v>-0.12362425320407679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2:50" x14ac:dyDescent="0.25">
      <c r="B87">
        <v>2012</v>
      </c>
      <c r="C87" s="2">
        <v>0.1341</v>
      </c>
      <c r="H87" s="3"/>
      <c r="I87" s="3">
        <v>2012</v>
      </c>
      <c r="J87" s="7">
        <v>0.1341</v>
      </c>
      <c r="K87" s="7"/>
      <c r="L87" s="7"/>
      <c r="M87" s="7"/>
      <c r="N87" s="7"/>
      <c r="O87" s="7"/>
      <c r="P87" s="7"/>
      <c r="Q87" s="7"/>
      <c r="R87" s="7"/>
      <c r="S87" s="3"/>
      <c r="T87" s="3"/>
      <c r="U87" s="3"/>
      <c r="V87" s="3"/>
      <c r="W87" s="7">
        <f t="shared" ca="1" si="1"/>
        <v>0.23856551807986365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2:50" x14ac:dyDescent="0.25">
      <c r="B88">
        <v>2013</v>
      </c>
      <c r="C88" s="2">
        <v>0.29600000000000004</v>
      </c>
      <c r="H88" s="3"/>
      <c r="I88" s="3">
        <v>2013</v>
      </c>
      <c r="J88" s="7">
        <v>0.29600000000000004</v>
      </c>
      <c r="K88" s="7"/>
      <c r="L88" s="7"/>
      <c r="M88" s="7"/>
      <c r="N88" s="7"/>
      <c r="O88" s="7"/>
      <c r="P88" s="7"/>
      <c r="Q88" s="7"/>
      <c r="R88" s="7"/>
      <c r="S88" s="3"/>
      <c r="T88" s="3"/>
      <c r="U88" s="3"/>
      <c r="V88" s="3"/>
      <c r="W88" s="7">
        <f t="shared" ca="1" si="1"/>
        <v>-0.14366517689350894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2:50" x14ac:dyDescent="0.25">
      <c r="B89">
        <v>2014</v>
      </c>
      <c r="C89" s="2">
        <v>0.1139</v>
      </c>
      <c r="H89" s="3"/>
      <c r="I89" s="3">
        <v>2014</v>
      </c>
      <c r="J89" s="7">
        <v>0.1139</v>
      </c>
      <c r="K89" s="7"/>
      <c r="L89" s="7"/>
      <c r="M89" s="7"/>
      <c r="N89" s="7"/>
      <c r="O89" s="7"/>
      <c r="P89" s="7"/>
      <c r="Q89" s="7"/>
      <c r="R89" s="7"/>
      <c r="S89" s="3"/>
      <c r="T89" s="3"/>
      <c r="U89" s="3"/>
      <c r="V89" s="3"/>
      <c r="W89" s="7">
        <f t="shared" ca="1" si="1"/>
        <v>5.4943322773022746E-2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2:50" x14ac:dyDescent="0.25">
      <c r="B90">
        <v>2015</v>
      </c>
      <c r="C90" s="2">
        <v>-7.3000000000000001E-3</v>
      </c>
      <c r="H90" s="3"/>
      <c r="I90" s="3">
        <v>2015</v>
      </c>
      <c r="J90" s="7">
        <v>-7.3000000000000001E-3</v>
      </c>
      <c r="K90" s="7"/>
      <c r="L90" s="7"/>
      <c r="M90" s="7"/>
      <c r="N90" s="7"/>
      <c r="O90" s="7"/>
      <c r="P90" s="7"/>
      <c r="Q90" s="7"/>
      <c r="R90" s="7"/>
      <c r="S90" s="3"/>
      <c r="T90" s="3"/>
      <c r="U90" s="3"/>
      <c r="V90" s="3"/>
      <c r="W90" s="7">
        <f t="shared" ca="1" si="1"/>
        <v>3.0701422452677318E-2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2:50" x14ac:dyDescent="0.25">
      <c r="B91">
        <v>2016</v>
      </c>
      <c r="C91" s="2">
        <v>9.5399999999999985E-2</v>
      </c>
      <c r="H91" s="3"/>
      <c r="I91" s="3">
        <v>2016</v>
      </c>
      <c r="J91" s="7">
        <v>9.5399999999999985E-2</v>
      </c>
      <c r="K91" s="7"/>
      <c r="L91" s="7"/>
      <c r="M91" s="7"/>
      <c r="N91" s="7"/>
      <c r="O91" s="7"/>
      <c r="P91" s="7"/>
      <c r="Q91" s="7"/>
      <c r="R91" s="7"/>
      <c r="S91" s="3"/>
      <c r="T91" s="3"/>
      <c r="U91" s="3"/>
      <c r="V91" s="3"/>
      <c r="W91" s="7">
        <f t="shared" ca="1" si="1"/>
        <v>2.8444524346113095E-2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2:50" x14ac:dyDescent="0.25">
      <c r="B92">
        <v>2017</v>
      </c>
      <c r="C92" s="2">
        <v>0.19420000000000001</v>
      </c>
      <c r="H92" s="3"/>
      <c r="I92" s="3">
        <v>2017</v>
      </c>
      <c r="J92" s="7">
        <v>0.19420000000000001</v>
      </c>
      <c r="K92" s="7"/>
      <c r="L92" s="7"/>
      <c r="M92" s="7"/>
      <c r="N92" s="7"/>
      <c r="O92" s="7"/>
      <c r="P92" s="7"/>
      <c r="Q92" s="7"/>
      <c r="R92" s="7"/>
      <c r="S92" s="3"/>
      <c r="T92" s="3"/>
      <c r="U92" s="3"/>
      <c r="V92" s="3"/>
      <c r="W92" s="7">
        <f t="shared" ca="1" si="1"/>
        <v>-3.2640339324030224E-2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2:50" x14ac:dyDescent="0.25">
      <c r="B93">
        <v>2018</v>
      </c>
      <c r="C93" s="2">
        <v>-6.2400000000000004E-2</v>
      </c>
      <c r="H93" s="3"/>
      <c r="I93" s="3">
        <v>2018</v>
      </c>
      <c r="J93" s="7">
        <v>-6.2400000000000004E-2</v>
      </c>
      <c r="K93" s="7"/>
      <c r="L93" s="7"/>
      <c r="M93" s="7"/>
      <c r="N93" s="7"/>
      <c r="O93" s="7"/>
      <c r="P93" s="7"/>
      <c r="Q93" s="7"/>
      <c r="R93" s="7"/>
      <c r="S93" s="3"/>
      <c r="T93" s="3"/>
      <c r="U93" s="3"/>
      <c r="V93" s="3"/>
      <c r="W93" s="7">
        <f t="shared" ca="1" si="1"/>
        <v>6.0678339096581629E-3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2:50" x14ac:dyDescent="0.25">
      <c r="B94">
        <v>2019</v>
      </c>
      <c r="C94" s="2">
        <v>0.2888</v>
      </c>
      <c r="H94" s="3"/>
      <c r="I94" s="3">
        <v>2019</v>
      </c>
      <c r="J94" s="7">
        <v>0.2888</v>
      </c>
      <c r="K94" s="7"/>
      <c r="L94" s="7"/>
      <c r="M94" s="7"/>
      <c r="N94" s="7"/>
      <c r="O94" s="7"/>
      <c r="P94" s="7"/>
      <c r="Q94" s="7"/>
      <c r="R94" s="7"/>
      <c r="S94" s="3"/>
      <c r="T94" s="3"/>
      <c r="U94" s="3"/>
      <c r="V94" s="3"/>
      <c r="W94" s="7">
        <f t="shared" ca="1" si="1"/>
        <v>0.33918020627872514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2:50" x14ac:dyDescent="0.25">
      <c r="B95">
        <v>2020</v>
      </c>
      <c r="C95" s="2">
        <v>0.16260000000000002</v>
      </c>
      <c r="H95" s="3"/>
      <c r="I95" s="3">
        <v>2020</v>
      </c>
      <c r="J95" s="7">
        <v>0.16260000000000002</v>
      </c>
      <c r="K95" s="7"/>
      <c r="L95" s="7"/>
      <c r="M95" s="7"/>
      <c r="N95" s="7"/>
      <c r="O95" s="7"/>
      <c r="P95" s="7"/>
      <c r="Q95" s="7"/>
      <c r="R95" s="7"/>
      <c r="S95" s="3"/>
      <c r="T95" s="3"/>
      <c r="U95" s="3"/>
      <c r="V95" s="3"/>
      <c r="W95" s="7">
        <f t="shared" ca="1" si="1"/>
        <v>-3.571406394855467E-3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2:50" x14ac:dyDescent="0.25">
      <c r="B96">
        <v>2021</v>
      </c>
      <c r="C96" s="2">
        <v>0.26890000000000003</v>
      </c>
      <c r="H96" s="3"/>
      <c r="I96" s="3">
        <v>2021</v>
      </c>
      <c r="J96" s="7">
        <v>0.26890000000000003</v>
      </c>
      <c r="K96" s="7"/>
      <c r="L96" s="7"/>
      <c r="M96" s="7"/>
      <c r="N96" s="7"/>
      <c r="O96" s="7"/>
      <c r="P96" s="7"/>
      <c r="Q96" s="7"/>
      <c r="R96" s="7"/>
      <c r="S96" s="3"/>
      <c r="T96" s="3"/>
      <c r="U96" s="3"/>
      <c r="V96" s="3"/>
      <c r="W96" s="7">
        <f t="shared" ca="1" si="1"/>
        <v>-3.4339379062790207E-2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2:50" x14ac:dyDescent="0.25">
      <c r="B97">
        <v>2022</v>
      </c>
      <c r="C97" s="2">
        <v>0.19440000000000002</v>
      </c>
      <c r="H97" s="3"/>
      <c r="I97" s="3">
        <v>2022</v>
      </c>
      <c r="J97" s="7">
        <v>0.19440000000000002</v>
      </c>
      <c r="K97" s="7"/>
      <c r="L97" s="7"/>
      <c r="M97" s="7"/>
      <c r="N97" s="7"/>
      <c r="O97" s="7"/>
      <c r="P97" s="7"/>
      <c r="Q97" s="7"/>
      <c r="R97" s="7"/>
      <c r="S97" s="3"/>
      <c r="T97" s="3"/>
      <c r="U97" s="3"/>
      <c r="V97" s="3"/>
      <c r="W97" s="7">
        <f t="shared" ca="1" si="1"/>
        <v>0.14398187598363443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2:50" x14ac:dyDescent="0.25">
      <c r="B98">
        <v>2023</v>
      </c>
      <c r="C98" s="2">
        <v>0.24230000000000002</v>
      </c>
      <c r="H98" s="3"/>
      <c r="I98" s="3">
        <v>2023</v>
      </c>
      <c r="J98" s="7">
        <v>0.24230000000000002</v>
      </c>
      <c r="K98" s="7"/>
      <c r="L98" s="7"/>
      <c r="M98" s="7"/>
      <c r="N98" s="7"/>
      <c r="O98" s="7"/>
      <c r="P98" s="7"/>
      <c r="Q98" s="7"/>
      <c r="R98" s="7"/>
      <c r="S98" s="3"/>
      <c r="T98" s="3"/>
      <c r="U98" s="3"/>
      <c r="V98" s="3"/>
      <c r="W98" s="7">
        <f t="shared" ca="1" si="1"/>
        <v>0.33430047557839249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2:50" x14ac:dyDescent="0.25">
      <c r="B99">
        <v>2024</v>
      </c>
      <c r="C99" s="2">
        <v>0.23309999999999997</v>
      </c>
      <c r="H99" s="3"/>
      <c r="I99" s="3">
        <v>2024</v>
      </c>
      <c r="J99" s="7">
        <v>0.23309999999999997</v>
      </c>
      <c r="K99" s="7"/>
      <c r="L99" s="7"/>
      <c r="M99" s="7"/>
      <c r="N99" s="7"/>
      <c r="O99" s="7"/>
      <c r="P99" s="7"/>
      <c r="Q99" s="7"/>
      <c r="R99" s="7"/>
      <c r="S99" s="3"/>
      <c r="T99" s="3"/>
      <c r="U99" s="3"/>
      <c r="V99" s="3"/>
      <c r="W99" s="7">
        <f t="shared" ca="1" si="1"/>
        <v>-1.7454255120704323E-2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2:50" x14ac:dyDescent="0.25">
      <c r="B100">
        <v>2025</v>
      </c>
      <c r="C100" s="2">
        <v>-9.300000000000001E-3</v>
      </c>
      <c r="H100" s="3"/>
      <c r="I100" s="3">
        <v>2025</v>
      </c>
      <c r="J100" s="7">
        <v>-9.300000000000001E-3</v>
      </c>
      <c r="K100" s="7"/>
      <c r="L100" s="7"/>
      <c r="M100" s="7"/>
      <c r="N100" s="7"/>
      <c r="O100" s="7"/>
      <c r="P100" s="7"/>
      <c r="Q100" s="7"/>
      <c r="R100" s="7"/>
      <c r="S100" s="3"/>
      <c r="T100" s="3"/>
      <c r="U100" s="3"/>
      <c r="V100" s="3"/>
      <c r="W100" s="7">
        <f t="shared" ca="1" si="1"/>
        <v>-9.116417030479658E-2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2:50" x14ac:dyDescent="0.25">
      <c r="H101" s="3"/>
      <c r="I101" s="3"/>
      <c r="J101" s="3"/>
      <c r="K101" s="7"/>
      <c r="L101" s="7"/>
      <c r="M101" s="7"/>
      <c r="N101" s="7"/>
      <c r="O101" s="7"/>
      <c r="P101" s="7"/>
      <c r="Q101" s="7"/>
      <c r="R101" s="7"/>
      <c r="S101" s="3"/>
      <c r="T101" s="3"/>
      <c r="U101" s="3"/>
      <c r="V101" s="3"/>
      <c r="W101" s="7">
        <f t="shared" ca="1" si="1"/>
        <v>0.20300729252505645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2:50" x14ac:dyDescent="0.25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7">
        <f t="shared" ca="1" si="1"/>
        <v>-2.7747964862986432E-2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2:50" x14ac:dyDescent="0.25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7">
        <f t="shared" ca="1" si="1"/>
        <v>0.27986853316420662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2:50" x14ac:dyDescent="0.25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7">
        <f t="shared" ca="1" si="1"/>
        <v>-0.11047913284728174</v>
      </c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2:50" x14ac:dyDescent="0.25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7">
        <f t="shared" ca="1" si="1"/>
        <v>0.32511418447048912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2:50" x14ac:dyDescent="0.25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7">
        <f t="shared" ca="1" si="1"/>
        <v>0.38290336327263957</v>
      </c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2:50" x14ac:dyDescent="0.25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7">
        <f t="shared" ca="1" si="1"/>
        <v>3.0068370235065242E-2</v>
      </c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2:50" x14ac:dyDescent="0.25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7">
        <f t="shared" ca="1" si="1"/>
        <v>0.38234137791470429</v>
      </c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2:50" x14ac:dyDescent="0.25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7">
        <f t="shared" ca="1" si="1"/>
        <v>0.11710263071764097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2:50" x14ac:dyDescent="0.25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7">
        <f t="shared" ca="1" si="1"/>
        <v>0.12361275505974144</v>
      </c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2:50" x14ac:dyDescent="0.25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">
        <f t="shared" ca="1" si="1"/>
        <v>6.1538388324812225E-2</v>
      </c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2:50" x14ac:dyDescent="0.25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7">
        <f t="shared" ca="1" si="1"/>
        <v>0.28992108343231332</v>
      </c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8:50" x14ac:dyDescent="0.25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7">
        <f t="shared" ca="1" si="1"/>
        <v>-0.23927126016451672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8:50" x14ac:dyDescent="0.25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7">
        <f t="shared" ca="1" si="1"/>
        <v>0.11733267610872532</v>
      </c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8:50" x14ac:dyDescent="0.25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7">
        <f t="shared" ca="1" si="1"/>
        <v>0.13594740034456551</v>
      </c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8:50" x14ac:dyDescent="0.25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7">
        <f t="shared" ca="1" si="1"/>
        <v>0.3087900644338476</v>
      </c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8:50" x14ac:dyDescent="0.25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7">
        <f t="shared" ca="1" si="1"/>
        <v>-7.6799676040499032E-3</v>
      </c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8:50" x14ac:dyDescent="0.25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7">
        <f t="shared" ca="1" si="1"/>
        <v>0.30181333704538976</v>
      </c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8:50" x14ac:dyDescent="0.25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7">
        <f t="shared" ca="1" si="1"/>
        <v>0.27390101896700997</v>
      </c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8:50" x14ac:dyDescent="0.25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7">
        <f t="shared" ca="1" si="1"/>
        <v>4.6313409669788558E-3</v>
      </c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8:50" x14ac:dyDescent="0.25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7">
        <f t="shared" ca="1" si="1"/>
        <v>5.9300825308889638E-2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8:50" x14ac:dyDescent="0.25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7">
        <f t="shared" ca="1" si="1"/>
        <v>0.39268462233554774</v>
      </c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8:50" x14ac:dyDescent="0.25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7">
        <f t="shared" ca="1" si="1"/>
        <v>0.30022030751531481</v>
      </c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8:50" x14ac:dyDescent="0.25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7">
        <f t="shared" ca="1" si="1"/>
        <v>0.34341090285292719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8:50" x14ac:dyDescent="0.25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7">
        <f t="shared" ca="1" si="1"/>
        <v>0.2449516361645151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8:50" x14ac:dyDescent="0.25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7">
        <f t="shared" ca="1" si="1"/>
        <v>-1.5774192126101691E-2</v>
      </c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8:50" x14ac:dyDescent="0.25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7">
        <f t="shared" ca="1" si="1"/>
        <v>-2.2534042523912182E-2</v>
      </c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8:50" x14ac:dyDescent="0.25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7">
        <f t="shared" ca="1" si="1"/>
        <v>0.17767182180838587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8:50" x14ac:dyDescent="0.25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7">
        <f t="shared" ca="1" si="1"/>
        <v>0.23085420780344315</v>
      </c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8:50" x14ac:dyDescent="0.25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7">
        <f t="shared" ca="1" si="1"/>
        <v>0.20800463235669742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8:50" x14ac:dyDescent="0.25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">
        <f t="shared" ca="1" si="1"/>
        <v>0.18421565457833727</v>
      </c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8:50" x14ac:dyDescent="0.25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">
        <f t="shared" ca="1" si="1"/>
        <v>-0.27206434446553052</v>
      </c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8:50" x14ac:dyDescent="0.25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">
        <f t="shared" ca="1" si="1"/>
        <v>0.45766714589369173</v>
      </c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8:50" x14ac:dyDescent="0.25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">
        <f t="shared" ref="W134:W197" ca="1" si="2">+NORMINV(RAND(),$U$2,$U$3)</f>
        <v>-6.1640849799026939E-2</v>
      </c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8:50" x14ac:dyDescent="0.25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">
        <f t="shared" ca="1" si="2"/>
        <v>0.26256599457018126</v>
      </c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8:50" x14ac:dyDescent="0.25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">
        <f t="shared" ca="1" si="2"/>
        <v>3.9496025687209196E-2</v>
      </c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8:50" x14ac:dyDescent="0.25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">
        <f t="shared" ca="1" si="2"/>
        <v>0.11888885655057048</v>
      </c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8:50" x14ac:dyDescent="0.25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">
        <f t="shared" ca="1" si="2"/>
        <v>-0.2753830925847045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8:50" x14ac:dyDescent="0.25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">
        <f t="shared" ca="1" si="2"/>
        <v>0.25729666261355377</v>
      </c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8:50" x14ac:dyDescent="0.25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">
        <f t="shared" ca="1" si="2"/>
        <v>0.15961756956035456</v>
      </c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8:50" x14ac:dyDescent="0.25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">
        <f t="shared" ca="1" si="2"/>
        <v>0.33743762764407875</v>
      </c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8:50" x14ac:dyDescent="0.25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">
        <f t="shared" ca="1" si="2"/>
        <v>0.16828446654621829</v>
      </c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8:50" x14ac:dyDescent="0.25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">
        <f t="shared" ca="1" si="2"/>
        <v>5.7662962323136183E-2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8:50" x14ac:dyDescent="0.25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">
        <f t="shared" ca="1" si="2"/>
        <v>0.39566564553250366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8:50" x14ac:dyDescent="0.25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">
        <f t="shared" ca="1" si="2"/>
        <v>3.3314677295705669E-2</v>
      </c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8:50" x14ac:dyDescent="0.25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">
        <f t="shared" ca="1" si="2"/>
        <v>0.32824704286305489</v>
      </c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8:50" x14ac:dyDescent="0.25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">
        <f t="shared" ca="1" si="2"/>
        <v>0.29622400731077853</v>
      </c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8:50" x14ac:dyDescent="0.25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">
        <f t="shared" ca="1" si="2"/>
        <v>0.18562973995325549</v>
      </c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8:50" x14ac:dyDescent="0.25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">
        <f t="shared" ca="1" si="2"/>
        <v>0.10720195076193721</v>
      </c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8:50" x14ac:dyDescent="0.25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">
        <f t="shared" ca="1" si="2"/>
        <v>-8.6660323067362835E-2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8:50" x14ac:dyDescent="0.25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">
        <f t="shared" ca="1" si="2"/>
        <v>0.20109006187253964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8:50" x14ac:dyDescent="0.25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">
        <f t="shared" ca="1" si="2"/>
        <v>0.20674561670162789</v>
      </c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8:50" x14ac:dyDescent="0.25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">
        <f t="shared" ca="1" si="2"/>
        <v>0.13549999547460481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8:50" x14ac:dyDescent="0.25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">
        <f t="shared" ca="1" si="2"/>
        <v>0.38066303834297116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8:50" x14ac:dyDescent="0.25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">
        <f t="shared" ca="1" si="2"/>
        <v>7.7002511446101679E-2</v>
      </c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8:50" x14ac:dyDescent="0.25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">
        <f t="shared" ca="1" si="2"/>
        <v>-0.20651745197011717</v>
      </c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8:50" x14ac:dyDescent="0.25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">
        <f t="shared" ca="1" si="2"/>
        <v>0.39130724938290196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8:50" x14ac:dyDescent="0.25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">
        <f t="shared" ca="1" si="2"/>
        <v>0.12743571700680584</v>
      </c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8:50" x14ac:dyDescent="0.25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">
        <f t="shared" ca="1" si="2"/>
        <v>0.13935493806868177</v>
      </c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8:50" x14ac:dyDescent="0.25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">
        <f t="shared" ca="1" si="2"/>
        <v>0.14753302541255672</v>
      </c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8:50" x14ac:dyDescent="0.25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">
        <f t="shared" ca="1" si="2"/>
        <v>-0.3111574895242249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8:50" x14ac:dyDescent="0.25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">
        <f t="shared" ca="1" si="2"/>
        <v>0.32531943124440393</v>
      </c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8:50" x14ac:dyDescent="0.25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">
        <f t="shared" ca="1" si="2"/>
        <v>2.903257743306685E-2</v>
      </c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8:50" x14ac:dyDescent="0.25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">
        <f t="shared" ca="1" si="2"/>
        <v>6.3467956672504031E-2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8:50" x14ac:dyDescent="0.25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">
        <f t="shared" ca="1" si="2"/>
        <v>-0.15185326574379626</v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8:50" x14ac:dyDescent="0.25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">
        <f t="shared" ca="1" si="2"/>
        <v>-5.2091127952676383E-2</v>
      </c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8:50" x14ac:dyDescent="0.25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7">
        <f t="shared" ca="1" si="2"/>
        <v>8.8915554837213501E-3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8:50" x14ac:dyDescent="0.25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7">
        <f t="shared" ca="1" si="2"/>
        <v>0.24042787524635062</v>
      </c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8:50" x14ac:dyDescent="0.25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7">
        <f t="shared" ca="1" si="2"/>
        <v>-3.9938903101196063E-2</v>
      </c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8:50" x14ac:dyDescent="0.25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7">
        <f t="shared" ca="1" si="2"/>
        <v>0.16468435139213078</v>
      </c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8:50" x14ac:dyDescent="0.25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7">
        <f t="shared" ca="1" si="2"/>
        <v>5.1316708667813821E-2</v>
      </c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8:50" x14ac:dyDescent="0.25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7">
        <f t="shared" ca="1" si="2"/>
        <v>0.26240999300879048</v>
      </c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8:50" x14ac:dyDescent="0.25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7">
        <f t="shared" ca="1" si="2"/>
        <v>0.36416723121742872</v>
      </c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8:50" x14ac:dyDescent="0.25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7">
        <f t="shared" ca="1" si="2"/>
        <v>0.37802272324320124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8:50" x14ac:dyDescent="0.25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7">
        <f t="shared" ca="1" si="2"/>
        <v>-9.0565760976157247E-2</v>
      </c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8:50" x14ac:dyDescent="0.25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7">
        <f t="shared" ca="1" si="2"/>
        <v>0.20714490291766341</v>
      </c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8:50" x14ac:dyDescent="0.25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7">
        <f t="shared" ca="1" si="2"/>
        <v>0.20361192978255202</v>
      </c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8:50" x14ac:dyDescent="0.25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7">
        <f t="shared" ca="1" si="2"/>
        <v>4.1455891903373204E-2</v>
      </c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8:50" x14ac:dyDescent="0.25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7">
        <f t="shared" ca="1" si="2"/>
        <v>0.19161264816682644</v>
      </c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8:50" x14ac:dyDescent="0.25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7">
        <f t="shared" ca="1" si="2"/>
        <v>0.2645822242618156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8:50" x14ac:dyDescent="0.25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7">
        <f t="shared" ca="1" si="2"/>
        <v>4.9955160176647917E-2</v>
      </c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8:50" x14ac:dyDescent="0.25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7">
        <f t="shared" ca="1" si="2"/>
        <v>0.18303667386538469</v>
      </c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8:50" x14ac:dyDescent="0.25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7">
        <f t="shared" ca="1" si="2"/>
        <v>0.12947165412623521</v>
      </c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8:50" x14ac:dyDescent="0.25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7">
        <f t="shared" ca="1" si="2"/>
        <v>8.6367022191740375E-2</v>
      </c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8:50" x14ac:dyDescent="0.25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7">
        <f t="shared" ca="1" si="2"/>
        <v>8.2526341319152749E-2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8:50" x14ac:dyDescent="0.25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7">
        <f t="shared" ca="1" si="2"/>
        <v>-4.7652642937079312E-2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8:50" x14ac:dyDescent="0.25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7">
        <f t="shared" ca="1" si="2"/>
        <v>0.36432047098793413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8:50" x14ac:dyDescent="0.25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7">
        <f t="shared" ca="1" si="2"/>
        <v>7.0655887773328097E-2</v>
      </c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8:50" x14ac:dyDescent="0.25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7">
        <f t="shared" ca="1" si="2"/>
        <v>-4.4683671399853367E-2</v>
      </c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8:50" x14ac:dyDescent="0.25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7">
        <f t="shared" ca="1" si="2"/>
        <v>1.9837492108485288E-2</v>
      </c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8:50" x14ac:dyDescent="0.25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7">
        <f t="shared" ca="1" si="2"/>
        <v>0.12315912665490392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8:50" x14ac:dyDescent="0.25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7">
        <f t="shared" ca="1" si="2"/>
        <v>0.28879160933012721</v>
      </c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8:50" x14ac:dyDescent="0.25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7">
        <f t="shared" ca="1" si="2"/>
        <v>8.2754630977915272E-2</v>
      </c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8:50" x14ac:dyDescent="0.25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7">
        <f t="shared" ca="1" si="2"/>
        <v>0.28055724106326813</v>
      </c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8:50" x14ac:dyDescent="0.25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7">
        <f t="shared" ca="1" si="2"/>
        <v>0.52474330829434446</v>
      </c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8:50" x14ac:dyDescent="0.25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7">
        <f t="shared" ca="1" si="2"/>
        <v>0.14251824711317895</v>
      </c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8:50" x14ac:dyDescent="0.25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7">
        <f t="shared" ca="1" si="2"/>
        <v>0.58166012750353402</v>
      </c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8:50" x14ac:dyDescent="0.25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7">
        <f t="shared" ref="W198:W261" ca="1" si="3">+NORMINV(RAND(),$U$2,$U$3)</f>
        <v>-4.7768455178907279E-2</v>
      </c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8:50" x14ac:dyDescent="0.25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7">
        <f t="shared" ca="1" si="3"/>
        <v>-8.2945036563465566E-2</v>
      </c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8:50" x14ac:dyDescent="0.25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7">
        <f t="shared" ca="1" si="3"/>
        <v>-9.8901393416880909E-2</v>
      </c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8:50" x14ac:dyDescent="0.25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7">
        <f t="shared" ca="1" si="3"/>
        <v>-3.9604385670373068E-2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8:50" x14ac:dyDescent="0.25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7">
        <f t="shared" ca="1" si="3"/>
        <v>0.12004520449011288</v>
      </c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8:50" x14ac:dyDescent="0.25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7">
        <f t="shared" ca="1" si="3"/>
        <v>0.39498834569991437</v>
      </c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8:50" x14ac:dyDescent="0.25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7">
        <f t="shared" ca="1" si="3"/>
        <v>9.7619895074191998E-2</v>
      </c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8:50" x14ac:dyDescent="0.25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7">
        <f t="shared" ca="1" si="3"/>
        <v>-5.5118655312177064E-2</v>
      </c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8:50" x14ac:dyDescent="0.25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7">
        <f t="shared" ca="1" si="3"/>
        <v>0.33279306157042715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8:50" x14ac:dyDescent="0.25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7">
        <f t="shared" ca="1" si="3"/>
        <v>-0.10453397567005347</v>
      </c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8:50" x14ac:dyDescent="0.25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7">
        <f t="shared" ca="1" si="3"/>
        <v>-7.0754672079702957E-3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8:50" x14ac:dyDescent="0.25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7">
        <f t="shared" ca="1" si="3"/>
        <v>8.7955609363230519E-2</v>
      </c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8:50" x14ac:dyDescent="0.25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7">
        <f t="shared" ca="1" si="3"/>
        <v>-0.18101768924815986</v>
      </c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8:50" x14ac:dyDescent="0.25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7">
        <f t="shared" ca="1" si="3"/>
        <v>-0.14191129296127591</v>
      </c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8:50" x14ac:dyDescent="0.25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7">
        <f t="shared" ca="1" si="3"/>
        <v>1.0160165539261357E-3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8:50" x14ac:dyDescent="0.25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7">
        <f t="shared" ca="1" si="3"/>
        <v>3.5029142393402227E-2</v>
      </c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8:50" x14ac:dyDescent="0.25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7">
        <f t="shared" ca="1" si="3"/>
        <v>0.43385882687958932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8:50" x14ac:dyDescent="0.25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7">
        <f t="shared" ca="1" si="3"/>
        <v>0.10534711419541207</v>
      </c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8:50" x14ac:dyDescent="0.25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7">
        <f t="shared" ca="1" si="3"/>
        <v>0.53702369268495642</v>
      </c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8:50" x14ac:dyDescent="0.25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7">
        <f t="shared" ca="1" si="3"/>
        <v>0.28204075395819672</v>
      </c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8:50" x14ac:dyDescent="0.25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7">
        <f t="shared" ca="1" si="3"/>
        <v>-5.143082379261564E-2</v>
      </c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8:50" x14ac:dyDescent="0.25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7">
        <f t="shared" ca="1" si="3"/>
        <v>-0.21943032440883253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8:50" x14ac:dyDescent="0.25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7">
        <f t="shared" ca="1" si="3"/>
        <v>-8.1286519224083739E-2</v>
      </c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8:50" x14ac:dyDescent="0.25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7">
        <f t="shared" ca="1" si="3"/>
        <v>6.584090548502694E-2</v>
      </c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8:50" x14ac:dyDescent="0.25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7">
        <f t="shared" ca="1" si="3"/>
        <v>-2.1826064272598325E-2</v>
      </c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8:50" x14ac:dyDescent="0.25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7">
        <f t="shared" ca="1" si="3"/>
        <v>0.11521778122475096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8:50" x14ac:dyDescent="0.25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7">
        <f t="shared" ca="1" si="3"/>
        <v>0.25078644428196067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8:50" x14ac:dyDescent="0.25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7">
        <f t="shared" ca="1" si="3"/>
        <v>0.26626610638677484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8:50" x14ac:dyDescent="0.25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7">
        <f t="shared" ca="1" si="3"/>
        <v>-0.10565823657022409</v>
      </c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8:50" x14ac:dyDescent="0.25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7">
        <f t="shared" ca="1" si="3"/>
        <v>0.28366310597620326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8:50" x14ac:dyDescent="0.25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7">
        <f t="shared" ca="1" si="3"/>
        <v>4.7259093211399858E-2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8:50" x14ac:dyDescent="0.25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7">
        <f t="shared" ca="1" si="3"/>
        <v>0.22176677484700955</v>
      </c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8:50" x14ac:dyDescent="0.25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7">
        <f t="shared" ca="1" si="3"/>
        <v>4.886038176372863E-2</v>
      </c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8:50" x14ac:dyDescent="0.25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7">
        <f t="shared" ca="1" si="3"/>
        <v>0.23034241694397461</v>
      </c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8:50" x14ac:dyDescent="0.25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7">
        <f t="shared" ca="1" si="3"/>
        <v>-0.18258102524244052</v>
      </c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8:50" x14ac:dyDescent="0.25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7">
        <f t="shared" ca="1" si="3"/>
        <v>0.25006533063737507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8:50" x14ac:dyDescent="0.25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7">
        <f t="shared" ca="1" si="3"/>
        <v>0.37262988352247994</v>
      </c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8:50" x14ac:dyDescent="0.25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7">
        <f t="shared" ca="1" si="3"/>
        <v>0.29907349703580899</v>
      </c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8:50" x14ac:dyDescent="0.25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7">
        <f t="shared" ca="1" si="3"/>
        <v>0.31314179899971423</v>
      </c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8:50" x14ac:dyDescent="0.25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7">
        <f t="shared" ca="1" si="3"/>
        <v>0.25939136463583978</v>
      </c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8:50" x14ac:dyDescent="0.25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7">
        <f t="shared" ca="1" si="3"/>
        <v>-0.20660785255045222</v>
      </c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8:50" x14ac:dyDescent="0.25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7">
        <f t="shared" ca="1" si="3"/>
        <v>-0.11124619085690333</v>
      </c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8:50" x14ac:dyDescent="0.25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7">
        <f t="shared" ca="1" si="3"/>
        <v>-2.9476046608517645E-2</v>
      </c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8:50" x14ac:dyDescent="0.25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7">
        <f t="shared" ca="1" si="3"/>
        <v>8.1935813829641491E-2</v>
      </c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8:50" x14ac:dyDescent="0.25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7">
        <f t="shared" ca="1" si="3"/>
        <v>0.31820008946551726</v>
      </c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8:50" x14ac:dyDescent="0.25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7">
        <f t="shared" ca="1" si="3"/>
        <v>4.7679574868552774E-2</v>
      </c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8:50" x14ac:dyDescent="0.25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7">
        <f t="shared" ca="1" si="3"/>
        <v>0.13168033921820096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8:50" x14ac:dyDescent="0.25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7">
        <f t="shared" ca="1" si="3"/>
        <v>-0.1245990087165129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8:50" x14ac:dyDescent="0.25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7">
        <f t="shared" ca="1" si="3"/>
        <v>8.9489245520371033E-2</v>
      </c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8:50" x14ac:dyDescent="0.25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7">
        <f t="shared" ca="1" si="3"/>
        <v>0.39931376898183357</v>
      </c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8:50" x14ac:dyDescent="0.25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7">
        <f t="shared" ca="1" si="3"/>
        <v>8.3147797689378175E-2</v>
      </c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8:50" x14ac:dyDescent="0.25"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7">
        <f t="shared" ca="1" si="3"/>
        <v>0.14537341587552183</v>
      </c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8:50" x14ac:dyDescent="0.25"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7">
        <f t="shared" ca="1" si="3"/>
        <v>0.2150038603256485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8:50" x14ac:dyDescent="0.25"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7">
        <f t="shared" ca="1" si="3"/>
        <v>9.4936461289391733E-3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8:50" x14ac:dyDescent="0.25"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7">
        <f t="shared" ca="1" si="3"/>
        <v>-0.36574890775380392</v>
      </c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8:50" x14ac:dyDescent="0.25"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7">
        <f t="shared" ca="1" si="3"/>
        <v>2.5875712411165444E-2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8:50" x14ac:dyDescent="0.25"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7">
        <f t="shared" ca="1" si="3"/>
        <v>-1.398434685763672E-3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8:50" x14ac:dyDescent="0.25"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7">
        <f t="shared" ca="1" si="3"/>
        <v>-0.11556358599483661</v>
      </c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8:50" x14ac:dyDescent="0.25"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7">
        <f t="shared" ca="1" si="3"/>
        <v>-0.16947155666779617</v>
      </c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8:50" x14ac:dyDescent="0.25"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7">
        <f t="shared" ca="1" si="3"/>
        <v>3.5230636571297894E-2</v>
      </c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8:50" x14ac:dyDescent="0.25"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7">
        <f t="shared" ca="1" si="3"/>
        <v>5.9859550517013686E-2</v>
      </c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8:50" x14ac:dyDescent="0.25"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7">
        <f t="shared" ca="1" si="3"/>
        <v>0.57042806964476056</v>
      </c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8:50" x14ac:dyDescent="0.25"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7">
        <f t="shared" ca="1" si="3"/>
        <v>0.17313149465300995</v>
      </c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8:50" x14ac:dyDescent="0.25"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7">
        <f t="shared" ca="1" si="3"/>
        <v>0.1163292048292409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8:50" x14ac:dyDescent="0.25"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7">
        <f t="shared" ref="W262:W325" ca="1" si="4">+NORMINV(RAND(),$U$2,$U$3)</f>
        <v>0.36539529684072031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8:50" x14ac:dyDescent="0.25"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7">
        <f t="shared" ca="1" si="4"/>
        <v>0.16866052199720991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8:50" x14ac:dyDescent="0.25"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7">
        <f t="shared" ca="1" si="4"/>
        <v>0.24657221134210378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8:50" x14ac:dyDescent="0.25"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7">
        <f t="shared" ca="1" si="4"/>
        <v>3.7243936140923209E-2</v>
      </c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8:50" x14ac:dyDescent="0.25"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7">
        <f t="shared" ca="1" si="4"/>
        <v>0.24450516393341237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8:50" x14ac:dyDescent="0.25"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7">
        <f t="shared" ca="1" si="4"/>
        <v>-1.0702603713622916E-3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8:50" x14ac:dyDescent="0.25"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7">
        <f t="shared" ca="1" si="4"/>
        <v>0.26691610424580026</v>
      </c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8:50" x14ac:dyDescent="0.25"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7">
        <f t="shared" ca="1" si="4"/>
        <v>0.43882803689091709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8:50" x14ac:dyDescent="0.25"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7">
        <f t="shared" ca="1" si="4"/>
        <v>0.25109988043118064</v>
      </c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8:50" x14ac:dyDescent="0.25"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7">
        <f t="shared" ca="1" si="4"/>
        <v>4.829139096273205E-2</v>
      </c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8:50" x14ac:dyDescent="0.25"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7">
        <f t="shared" ca="1" si="4"/>
        <v>-0.12256282926707963</v>
      </c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8:50" x14ac:dyDescent="0.25"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7">
        <f t="shared" ca="1" si="4"/>
        <v>4.9992908099925973E-2</v>
      </c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8:50" x14ac:dyDescent="0.25"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7">
        <f t="shared" ca="1" si="4"/>
        <v>0.20342305881820938</v>
      </c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8:50" x14ac:dyDescent="0.25"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7">
        <f t="shared" ca="1" si="4"/>
        <v>0.2334553987436214</v>
      </c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8:50" x14ac:dyDescent="0.25"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7">
        <f t="shared" ca="1" si="4"/>
        <v>7.4775452700048817E-2</v>
      </c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8:50" x14ac:dyDescent="0.25"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7">
        <f t="shared" ca="1" si="4"/>
        <v>0.10747035340306577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8:50" x14ac:dyDescent="0.25"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7">
        <f t="shared" ca="1" si="4"/>
        <v>0.21464519453357978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8:50" x14ac:dyDescent="0.25"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7">
        <f t="shared" ca="1" si="4"/>
        <v>-0.18442823209063697</v>
      </c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8:50" x14ac:dyDescent="0.25"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7">
        <f t="shared" ca="1" si="4"/>
        <v>0.27665741618963013</v>
      </c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8:50" x14ac:dyDescent="0.25"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7">
        <f t="shared" ca="1" si="4"/>
        <v>5.5930683370124086E-2</v>
      </c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8:50" x14ac:dyDescent="0.25"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7">
        <f t="shared" ca="1" si="4"/>
        <v>-7.2197434200831731E-2</v>
      </c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8:50" x14ac:dyDescent="0.25"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7">
        <f t="shared" ca="1" si="4"/>
        <v>0.2632456397253079</v>
      </c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8:50" x14ac:dyDescent="0.25"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7">
        <f t="shared" ca="1" si="4"/>
        <v>0.102241272402192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8:50" x14ac:dyDescent="0.25"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7">
        <f t="shared" ca="1" si="4"/>
        <v>0.46752760259366999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8:50" x14ac:dyDescent="0.25"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7">
        <f t="shared" ca="1" si="4"/>
        <v>0.2322045459794112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8:50" x14ac:dyDescent="0.25"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7">
        <f t="shared" ca="1" si="4"/>
        <v>0.3206708801770034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8:50" x14ac:dyDescent="0.25"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7">
        <f t="shared" ca="1" si="4"/>
        <v>-7.1347637586168008E-2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8:50" x14ac:dyDescent="0.25"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7">
        <f t="shared" ca="1" si="4"/>
        <v>0.35261126830232042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8:50" x14ac:dyDescent="0.25"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7">
        <f t="shared" ca="1" si="4"/>
        <v>5.6386882562431358E-2</v>
      </c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8:50" x14ac:dyDescent="0.25"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7">
        <f t="shared" ca="1" si="4"/>
        <v>-4.8611741750938395E-2</v>
      </c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8:50" x14ac:dyDescent="0.25"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7">
        <f t="shared" ca="1" si="4"/>
        <v>7.0804389783637331E-2</v>
      </c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8:50" x14ac:dyDescent="0.25"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7">
        <f t="shared" ca="1" si="4"/>
        <v>0.19406777804762967</v>
      </c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8:50" x14ac:dyDescent="0.25"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7">
        <f t="shared" ca="1" si="4"/>
        <v>0.32420569104398894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8:50" x14ac:dyDescent="0.25"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7">
        <f t="shared" ca="1" si="4"/>
        <v>0.43134013902306184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8:50" x14ac:dyDescent="0.25"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7">
        <f t="shared" ca="1" si="4"/>
        <v>0.31799458513849216</v>
      </c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8:50" x14ac:dyDescent="0.25"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7">
        <f t="shared" ca="1" si="4"/>
        <v>6.2837082666389335E-2</v>
      </c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8:50" x14ac:dyDescent="0.25"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7">
        <f t="shared" ca="1" si="4"/>
        <v>-0.16642372390771232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8:50" x14ac:dyDescent="0.25"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7">
        <f t="shared" ca="1" si="4"/>
        <v>-4.8823939045752177E-2</v>
      </c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8:50" x14ac:dyDescent="0.25"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7">
        <f t="shared" ca="1" si="4"/>
        <v>3.8942272986286955E-2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8:50" x14ac:dyDescent="0.25"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7">
        <f t="shared" ca="1" si="4"/>
        <v>-0.13197189449500063</v>
      </c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8:50" x14ac:dyDescent="0.25"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7">
        <f t="shared" ca="1" si="4"/>
        <v>-1.5289000112880549E-2</v>
      </c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8:50" x14ac:dyDescent="0.25"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7">
        <f t="shared" ca="1" si="4"/>
        <v>-0.16842942198636124</v>
      </c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8:50" x14ac:dyDescent="0.25"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7">
        <f t="shared" ca="1" si="4"/>
        <v>7.2639290649965466E-2</v>
      </c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8:50" x14ac:dyDescent="0.25"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7">
        <f t="shared" ca="1" si="4"/>
        <v>-4.0170920487111975E-2</v>
      </c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8:50" x14ac:dyDescent="0.25"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7">
        <f t="shared" ca="1" si="4"/>
        <v>1.83644107764111E-3</v>
      </c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8:50" x14ac:dyDescent="0.25"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7">
        <f t="shared" ca="1" si="4"/>
        <v>-2.2075448512643384E-2</v>
      </c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8:50" x14ac:dyDescent="0.25"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7">
        <f t="shared" ca="1" si="4"/>
        <v>1.0281000219319616E-2</v>
      </c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8:50" x14ac:dyDescent="0.25"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7">
        <f t="shared" ca="1" si="4"/>
        <v>7.2687781145477554E-2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8:50" x14ac:dyDescent="0.25"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7">
        <f t="shared" ca="1" si="4"/>
        <v>-1.5772125456854261E-2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8:50" x14ac:dyDescent="0.25"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7">
        <f t="shared" ca="1" si="4"/>
        <v>-1.0375929655788402E-2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8:50" x14ac:dyDescent="0.25"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7">
        <f t="shared" ca="1" si="4"/>
        <v>0.22207563202705435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8:50" x14ac:dyDescent="0.25"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7">
        <f t="shared" ca="1" si="4"/>
        <v>-0.18219775892747453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8:50" x14ac:dyDescent="0.25"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7">
        <f t="shared" ca="1" si="4"/>
        <v>0.11983193185242341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8:50" x14ac:dyDescent="0.25"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7">
        <f t="shared" ca="1" si="4"/>
        <v>9.2259257894215962E-2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8:50" x14ac:dyDescent="0.25"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7">
        <f t="shared" ca="1" si="4"/>
        <v>0.24666780452884124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8:50" x14ac:dyDescent="0.25"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7">
        <f t="shared" ca="1" si="4"/>
        <v>-0.1938398972435138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8:50" x14ac:dyDescent="0.25"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7">
        <f t="shared" ca="1" si="4"/>
        <v>0.25395243852823801</v>
      </c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8:50" x14ac:dyDescent="0.25"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7">
        <f t="shared" ca="1" si="4"/>
        <v>-0.16633411979519047</v>
      </c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8:50" x14ac:dyDescent="0.25"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7">
        <f t="shared" ca="1" si="4"/>
        <v>-4.4456147861384007E-2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8:50" x14ac:dyDescent="0.25"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7">
        <f t="shared" ca="1" si="4"/>
        <v>8.7148414788087936E-2</v>
      </c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8:50" x14ac:dyDescent="0.25"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7">
        <f t="shared" ca="1" si="4"/>
        <v>0.18926486256044037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8:50" x14ac:dyDescent="0.25"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7">
        <f t="shared" ca="1" si="4"/>
        <v>-7.1350905136135928E-3</v>
      </c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8:50" x14ac:dyDescent="0.25"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7">
        <f t="shared" ca="1" si="4"/>
        <v>4.3441586487568254E-2</v>
      </c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8:50" x14ac:dyDescent="0.25"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7">
        <f t="shared" ca="1" si="4"/>
        <v>0.15324303726081295</v>
      </c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8:50" x14ac:dyDescent="0.25"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7">
        <f t="shared" ref="W326:W389" ca="1" si="5">+NORMINV(RAND(),$U$2,$U$3)</f>
        <v>0.27901450910452147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8:50" x14ac:dyDescent="0.25"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7">
        <f t="shared" ca="1" si="5"/>
        <v>-4.1428685977178067E-2</v>
      </c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8:50" x14ac:dyDescent="0.25"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7">
        <f t="shared" ca="1" si="5"/>
        <v>0.25167439476736647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8:50" x14ac:dyDescent="0.25"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7">
        <f t="shared" ca="1" si="5"/>
        <v>-4.6919722125845234E-2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8:50" x14ac:dyDescent="0.25"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7">
        <f t="shared" ca="1" si="5"/>
        <v>1.2343890388986631E-2</v>
      </c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8:50" x14ac:dyDescent="0.25"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7">
        <f t="shared" ca="1" si="5"/>
        <v>-0.10897295670497463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8:50" x14ac:dyDescent="0.25"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7">
        <f t="shared" ca="1" si="5"/>
        <v>-0.32089559516203808</v>
      </c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8:50" x14ac:dyDescent="0.25"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7">
        <f t="shared" ca="1" si="5"/>
        <v>-9.4924695140538584E-5</v>
      </c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8:50" x14ac:dyDescent="0.25"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7">
        <f t="shared" ca="1" si="5"/>
        <v>1.2290380031176731E-2</v>
      </c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8:50" x14ac:dyDescent="0.25"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7">
        <f t="shared" ca="1" si="5"/>
        <v>0.13578687120812746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8:50" x14ac:dyDescent="0.25"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7">
        <f t="shared" ca="1" si="5"/>
        <v>0.11275822442601451</v>
      </c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8:50" x14ac:dyDescent="0.25"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7">
        <f t="shared" ca="1" si="5"/>
        <v>-0.43520934031763403</v>
      </c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8:50" x14ac:dyDescent="0.25"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7">
        <f t="shared" ca="1" si="5"/>
        <v>0.36856276969729335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8:50" x14ac:dyDescent="0.25"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7">
        <f t="shared" ca="1" si="5"/>
        <v>0.1163048135546511</v>
      </c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8:50" x14ac:dyDescent="0.25"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7">
        <f t="shared" ca="1" si="5"/>
        <v>6.4549144032734762E-2</v>
      </c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8:50" x14ac:dyDescent="0.25"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7">
        <f t="shared" ca="1" si="5"/>
        <v>-0.10918267740150996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8:50" x14ac:dyDescent="0.25"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7">
        <f t="shared" ca="1" si="5"/>
        <v>-1.9815502725895121E-2</v>
      </c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8:50" x14ac:dyDescent="0.25"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7">
        <f t="shared" ca="1" si="5"/>
        <v>0.1526475378854075</v>
      </c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8:50" x14ac:dyDescent="0.25"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7">
        <f t="shared" ca="1" si="5"/>
        <v>0.15115229686065168</v>
      </c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8:50" x14ac:dyDescent="0.25"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7">
        <f t="shared" ca="1" si="5"/>
        <v>7.4679701684183197E-2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8:50" x14ac:dyDescent="0.25"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7">
        <f t="shared" ca="1" si="5"/>
        <v>0.24761392218338146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8:50" x14ac:dyDescent="0.25"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7">
        <f t="shared" ca="1" si="5"/>
        <v>-0.10779915557819332</v>
      </c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8:50" x14ac:dyDescent="0.25"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7">
        <f t="shared" ca="1" si="5"/>
        <v>2.760429753788346E-3</v>
      </c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 spans="8:50" x14ac:dyDescent="0.25"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7">
        <f t="shared" ca="1" si="5"/>
        <v>0.2305752765174339</v>
      </c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 spans="8:50" x14ac:dyDescent="0.25"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7">
        <f t="shared" ca="1" si="5"/>
        <v>-0.14055052306568383</v>
      </c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 spans="8:50" x14ac:dyDescent="0.25"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7">
        <f t="shared" ca="1" si="5"/>
        <v>0.41671817973806091</v>
      </c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 spans="8:50" x14ac:dyDescent="0.25"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7">
        <f t="shared" ca="1" si="5"/>
        <v>-0.16506790724012282</v>
      </c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 spans="8:50" x14ac:dyDescent="0.25"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7">
        <f t="shared" ca="1" si="5"/>
        <v>0.16362834923051106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 spans="8:50" x14ac:dyDescent="0.25"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7">
        <f t="shared" ca="1" si="5"/>
        <v>2.3983981974827373E-2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 spans="8:50" x14ac:dyDescent="0.25"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7">
        <f t="shared" ca="1" si="5"/>
        <v>3.4904733342151245E-2</v>
      </c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 spans="8:50" x14ac:dyDescent="0.25"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7">
        <f t="shared" ca="1" si="5"/>
        <v>6.9082433206018978E-2</v>
      </c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 spans="8:50" x14ac:dyDescent="0.25"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7">
        <f t="shared" ca="1" si="5"/>
        <v>4.329447503286217E-2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 spans="8:50" x14ac:dyDescent="0.25"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7">
        <f t="shared" ca="1" si="5"/>
        <v>0.57985811205321436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 spans="8:50" x14ac:dyDescent="0.25"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7">
        <f t="shared" ca="1" si="5"/>
        <v>0.16723388671452366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 spans="8:50" x14ac:dyDescent="0.25"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7">
        <f t="shared" ca="1" si="5"/>
        <v>0.45614396279654362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 spans="8:50" x14ac:dyDescent="0.25"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7">
        <f t="shared" ca="1" si="5"/>
        <v>-6.5717718813523743E-2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 spans="8:50" x14ac:dyDescent="0.25"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7">
        <f t="shared" ca="1" si="5"/>
        <v>0.317327413159667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 spans="8:50" x14ac:dyDescent="0.25"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7">
        <f t="shared" ca="1" si="5"/>
        <v>0.23384666302587082</v>
      </c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 spans="8:50" x14ac:dyDescent="0.25"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7">
        <f t="shared" ca="1" si="5"/>
        <v>0.16416852515622268</v>
      </c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 spans="8:50" x14ac:dyDescent="0.25"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7">
        <f t="shared" ca="1" si="5"/>
        <v>-0.23318391983844428</v>
      </c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 spans="8:50" x14ac:dyDescent="0.25"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7">
        <f t="shared" ca="1" si="5"/>
        <v>-7.1916318784892574E-4</v>
      </c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 spans="8:50" x14ac:dyDescent="0.25"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7">
        <f t="shared" ca="1" si="5"/>
        <v>0.58686288251472041</v>
      </c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 spans="8:50" x14ac:dyDescent="0.25"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7">
        <f t="shared" ca="1" si="5"/>
        <v>0.15052606686294456</v>
      </c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 spans="8:50" x14ac:dyDescent="0.25"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7">
        <f t="shared" ca="1" si="5"/>
        <v>0.16489769453880682</v>
      </c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 spans="8:50" x14ac:dyDescent="0.25"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7">
        <f t="shared" ca="1" si="5"/>
        <v>0.21655552829151281</v>
      </c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 spans="8:50" x14ac:dyDescent="0.25"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7">
        <f t="shared" ca="1" si="5"/>
        <v>-9.6814782510735484E-2</v>
      </c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 spans="8:50" x14ac:dyDescent="0.25"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7">
        <f t="shared" ca="1" si="5"/>
        <v>0.27137771937534139</v>
      </c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 spans="8:50" x14ac:dyDescent="0.25"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7">
        <f t="shared" ca="1" si="5"/>
        <v>-0.2143743841228235</v>
      </c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 spans="8:50" x14ac:dyDescent="0.25"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7">
        <f t="shared" ca="1" si="5"/>
        <v>9.364802249094388E-2</v>
      </c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 spans="8:50" x14ac:dyDescent="0.25"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7">
        <f t="shared" ca="1" si="5"/>
        <v>0.54261990803960836</v>
      </c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 spans="8:50" x14ac:dyDescent="0.25"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7">
        <f t="shared" ca="1" si="5"/>
        <v>-0.10857945653094232</v>
      </c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 spans="8:50" x14ac:dyDescent="0.25"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7">
        <f t="shared" ca="1" si="5"/>
        <v>4.9450448397282229E-2</v>
      </c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 spans="8:50" x14ac:dyDescent="0.25"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7">
        <f t="shared" ca="1" si="5"/>
        <v>0.17599906836114657</v>
      </c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 spans="8:50" x14ac:dyDescent="0.25"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7">
        <f t="shared" ca="1" si="5"/>
        <v>0.30783389905882119</v>
      </c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 spans="8:50" x14ac:dyDescent="0.25"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7">
        <f t="shared" ca="1" si="5"/>
        <v>-1.1875075319910125E-2</v>
      </c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 spans="8:50" x14ac:dyDescent="0.25"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7">
        <f t="shared" ca="1" si="5"/>
        <v>-7.4569282609719692E-2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 spans="8:50" x14ac:dyDescent="0.25"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7">
        <f t="shared" ca="1" si="5"/>
        <v>2.864175136137434E-2</v>
      </c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 spans="8:50" x14ac:dyDescent="0.25"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7">
        <f t="shared" ca="1" si="5"/>
        <v>9.8063053726913624E-2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 spans="8:50" x14ac:dyDescent="0.25"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7">
        <f t="shared" ca="1" si="5"/>
        <v>6.4595372200978995E-4</v>
      </c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 spans="8:50" x14ac:dyDescent="0.25"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7">
        <f t="shared" ca="1" si="5"/>
        <v>0.31167675633280822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 spans="8:50" x14ac:dyDescent="0.25"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7">
        <f t="shared" ca="1" si="5"/>
        <v>0.1076728772285504</v>
      </c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 spans="8:50" x14ac:dyDescent="0.25"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7">
        <f t="shared" ca="1" si="5"/>
        <v>0.19499056583784652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 spans="8:50" x14ac:dyDescent="0.25"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7">
        <f t="shared" ca="1" si="5"/>
        <v>0.16468399645947854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 spans="8:50" x14ac:dyDescent="0.25"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7">
        <f t="shared" ca="1" si="5"/>
        <v>0.39970397571773342</v>
      </c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 spans="8:50" x14ac:dyDescent="0.25"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7">
        <f t="shared" ref="W390:W453" ca="1" si="6">+NORMINV(RAND(),$U$2,$U$3)</f>
        <v>0.24188595434772958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 spans="8:50" x14ac:dyDescent="0.25"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7">
        <f t="shared" ca="1" si="6"/>
        <v>0.15626420444686584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 spans="8:50" x14ac:dyDescent="0.25"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7">
        <f t="shared" ca="1" si="6"/>
        <v>-8.8985694279967151E-2</v>
      </c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 spans="8:50" x14ac:dyDescent="0.25"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7">
        <f t="shared" ca="1" si="6"/>
        <v>2.1902280207514488E-2</v>
      </c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 spans="8:50" x14ac:dyDescent="0.25"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7">
        <f t="shared" ca="1" si="6"/>
        <v>0.43637049379164466</v>
      </c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 spans="8:50" x14ac:dyDescent="0.25"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7">
        <f t="shared" ca="1" si="6"/>
        <v>0.27658677646206492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 spans="8:50" x14ac:dyDescent="0.25"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7">
        <f t="shared" ca="1" si="6"/>
        <v>0.30360681348546736</v>
      </c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 spans="8:50" x14ac:dyDescent="0.25"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7">
        <f t="shared" ca="1" si="6"/>
        <v>5.0146343138121052E-2</v>
      </c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 spans="8:50" x14ac:dyDescent="0.25"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7">
        <f t="shared" ca="1" si="6"/>
        <v>-1.4168607639376593E-2</v>
      </c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 spans="8:50" x14ac:dyDescent="0.25"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7">
        <f t="shared" ca="1" si="6"/>
        <v>0.24881746282236461</v>
      </c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 spans="8:50" x14ac:dyDescent="0.25"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7">
        <f t="shared" ca="1" si="6"/>
        <v>7.7039685084223888E-2</v>
      </c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 spans="8:50" x14ac:dyDescent="0.25"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7">
        <f t="shared" ca="1" si="6"/>
        <v>0.24124399039332939</v>
      </c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 spans="8:50" x14ac:dyDescent="0.25"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7">
        <f t="shared" ca="1" si="6"/>
        <v>-0.13083173977045531</v>
      </c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 spans="8:50" x14ac:dyDescent="0.25"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7">
        <f t="shared" ca="1" si="6"/>
        <v>-0.21716656652656008</v>
      </c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 spans="8:50" x14ac:dyDescent="0.25"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7">
        <f t="shared" ca="1" si="6"/>
        <v>0.3186966046330782</v>
      </c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 spans="8:50" x14ac:dyDescent="0.25"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7">
        <f t="shared" ca="1" si="6"/>
        <v>0.20185962410564212</v>
      </c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 spans="8:50" x14ac:dyDescent="0.25"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7">
        <f t="shared" ca="1" si="6"/>
        <v>4.7192324333875241E-2</v>
      </c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 spans="8:50" x14ac:dyDescent="0.25"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7">
        <f t="shared" ca="1" si="6"/>
        <v>0.48562872940171758</v>
      </c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 spans="8:50" x14ac:dyDescent="0.25"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7">
        <f t="shared" ca="1" si="6"/>
        <v>-3.9795200976797382E-2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 spans="8:50" x14ac:dyDescent="0.25"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7">
        <f t="shared" ca="1" si="6"/>
        <v>-1.6716601688354274E-2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 spans="8:50" x14ac:dyDescent="0.25"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7">
        <f t="shared" ca="1" si="6"/>
        <v>-2.7671923769416004E-2</v>
      </c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 spans="8:50" x14ac:dyDescent="0.25"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7">
        <f t="shared" ca="1" si="6"/>
        <v>6.9720137756538361E-2</v>
      </c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 spans="8:50" x14ac:dyDescent="0.25"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7">
        <f t="shared" ca="1" si="6"/>
        <v>-0.26002837518504679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 spans="8:50" x14ac:dyDescent="0.25"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7">
        <f t="shared" ca="1" si="6"/>
        <v>0.11273766821059059</v>
      </c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 spans="8:50" x14ac:dyDescent="0.25"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7">
        <f t="shared" ca="1" si="6"/>
        <v>2.2366694725183114E-2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 spans="8:50" x14ac:dyDescent="0.25"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7">
        <f t="shared" ca="1" si="6"/>
        <v>0.40191903636196835</v>
      </c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 spans="8:50" x14ac:dyDescent="0.25"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7">
        <f t="shared" ca="1" si="6"/>
        <v>0.38186331938425905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 spans="8:50" x14ac:dyDescent="0.25"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7">
        <f t="shared" ca="1" si="6"/>
        <v>-4.551927940484396E-3</v>
      </c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 spans="8:50" x14ac:dyDescent="0.25"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7">
        <f t="shared" ca="1" si="6"/>
        <v>0.4663906187110628</v>
      </c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 spans="8:50" x14ac:dyDescent="0.25"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7">
        <f t="shared" ca="1" si="6"/>
        <v>0.34342880368621342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 spans="8:50" x14ac:dyDescent="0.25"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7">
        <f t="shared" ca="1" si="6"/>
        <v>0.14629857330853943</v>
      </c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 spans="8:50" x14ac:dyDescent="0.25"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7">
        <f t="shared" ca="1" si="6"/>
        <v>-0.16299374972727265</v>
      </c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 spans="8:50" x14ac:dyDescent="0.25"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7">
        <f t="shared" ca="1" si="6"/>
        <v>-1.5325588170869139E-2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 spans="8:50" x14ac:dyDescent="0.25"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7">
        <f t="shared" ca="1" si="6"/>
        <v>5.3858201796322003E-2</v>
      </c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 spans="8:50" x14ac:dyDescent="0.25"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7">
        <f t="shared" ca="1" si="6"/>
        <v>-0.17024742741964083</v>
      </c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 spans="8:50" x14ac:dyDescent="0.25"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7">
        <f t="shared" ca="1" si="6"/>
        <v>0.26296745164640334</v>
      </c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 spans="8:50" x14ac:dyDescent="0.25"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7">
        <f t="shared" ca="1" si="6"/>
        <v>8.8924950087461693E-2</v>
      </c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 spans="8:50" x14ac:dyDescent="0.25"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7">
        <f t="shared" ca="1" si="6"/>
        <v>0.14696976241921583</v>
      </c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 spans="8:50" x14ac:dyDescent="0.25"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7">
        <f t="shared" ca="1" si="6"/>
        <v>-9.8609851932078343E-2</v>
      </c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 spans="8:50" x14ac:dyDescent="0.25"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7">
        <f t="shared" ca="1" si="6"/>
        <v>2.7861298887070313E-2</v>
      </c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 spans="8:50" x14ac:dyDescent="0.25"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7">
        <f t="shared" ca="1" si="6"/>
        <v>3.7156467043483091E-2</v>
      </c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 spans="8:50" x14ac:dyDescent="0.25"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7">
        <f t="shared" ca="1" si="6"/>
        <v>4.0529907222263697E-2</v>
      </c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 spans="8:50" x14ac:dyDescent="0.25"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7">
        <f t="shared" ca="1" si="6"/>
        <v>8.9325840590054828E-2</v>
      </c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 spans="8:50" x14ac:dyDescent="0.25"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7">
        <f t="shared" ca="1" si="6"/>
        <v>-0.15668739523762643</v>
      </c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 spans="8:50" x14ac:dyDescent="0.25"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7">
        <f t="shared" ca="1" si="6"/>
        <v>-1.3665819488569778E-2</v>
      </c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 spans="8:50" x14ac:dyDescent="0.25"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7">
        <f t="shared" ca="1" si="6"/>
        <v>0.1129072801722539</v>
      </c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 spans="8:50" x14ac:dyDescent="0.25"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7">
        <f t="shared" ca="1" si="6"/>
        <v>-0.10737034482761408</v>
      </c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 spans="8:50" x14ac:dyDescent="0.25"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7">
        <f t="shared" ca="1" si="6"/>
        <v>-5.2149868270112046E-2</v>
      </c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 spans="8:50" x14ac:dyDescent="0.25"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7">
        <f t="shared" ca="1" si="6"/>
        <v>-1.065924731886557E-2</v>
      </c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 spans="8:50" x14ac:dyDescent="0.25"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7">
        <f t="shared" ca="1" si="6"/>
        <v>0.22281649181188162</v>
      </c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 spans="8:50" x14ac:dyDescent="0.25"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7">
        <f t="shared" ca="1" si="6"/>
        <v>0.27849308971595238</v>
      </c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 spans="8:50" x14ac:dyDescent="0.25"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7">
        <f t="shared" ca="1" si="6"/>
        <v>-7.3405208045993389E-2</v>
      </c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 spans="8:50" x14ac:dyDescent="0.25"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7">
        <f t="shared" ca="1" si="6"/>
        <v>-0.11187076060605601</v>
      </c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 spans="8:50" x14ac:dyDescent="0.25"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7">
        <f t="shared" ca="1" si="6"/>
        <v>0.13186062350927041</v>
      </c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 spans="8:50" x14ac:dyDescent="0.25"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7">
        <f t="shared" ca="1" si="6"/>
        <v>0.21504484194045759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 spans="8:50" x14ac:dyDescent="0.25"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7">
        <f t="shared" ca="1" si="6"/>
        <v>0.32379373400652545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 spans="8:50" x14ac:dyDescent="0.25"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7">
        <f t="shared" ca="1" si="6"/>
        <v>9.9221716210060901E-2</v>
      </c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 spans="8:50" x14ac:dyDescent="0.25"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7">
        <f t="shared" ca="1" si="6"/>
        <v>0.15265956749102125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 spans="8:50" x14ac:dyDescent="0.25"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7">
        <f t="shared" ca="1" si="6"/>
        <v>-0.13269439353172929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 spans="8:50" x14ac:dyDescent="0.25"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7">
        <f t="shared" ca="1" si="6"/>
        <v>0.16915443323306728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 spans="8:50" x14ac:dyDescent="0.25"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7">
        <f t="shared" ca="1" si="6"/>
        <v>0.28256606824612951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 spans="8:50" x14ac:dyDescent="0.25"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7">
        <f t="shared" ca="1" si="6"/>
        <v>5.8412782617626904E-2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 spans="8:50" x14ac:dyDescent="0.25"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7">
        <f t="shared" ca="1" si="6"/>
        <v>0.48676533856540788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 spans="8:50" x14ac:dyDescent="0.25"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7">
        <f t="shared" ca="1" si="6"/>
        <v>-5.1962240443684707E-2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 spans="8:50" x14ac:dyDescent="0.25"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7">
        <f t="shared" ref="W454:W517" ca="1" si="7">+NORMINV(RAND(),$U$2,$U$3)</f>
        <v>0.13307099920128329</v>
      </c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 spans="8:50" x14ac:dyDescent="0.25"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7">
        <f t="shared" ca="1" si="7"/>
        <v>-0.12794162426475814</v>
      </c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 spans="8:50" x14ac:dyDescent="0.25"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7">
        <f t="shared" ca="1" si="7"/>
        <v>-0.1900640538938379</v>
      </c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 spans="8:50" x14ac:dyDescent="0.25"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7">
        <f t="shared" ca="1" si="7"/>
        <v>0.21255639768809942</v>
      </c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 spans="8:50" x14ac:dyDescent="0.25"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7">
        <f t="shared" ca="1" si="7"/>
        <v>0.50361973590604436</v>
      </c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 spans="8:50" x14ac:dyDescent="0.25"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7">
        <f t="shared" ca="1" si="7"/>
        <v>0.13943232833617972</v>
      </c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 spans="8:50" x14ac:dyDescent="0.25"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7">
        <f t="shared" ca="1" si="7"/>
        <v>-0.10738694452600146</v>
      </c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 spans="8:50" x14ac:dyDescent="0.25"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7">
        <f t="shared" ca="1" si="7"/>
        <v>0.31932459034467103</v>
      </c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 spans="8:50" x14ac:dyDescent="0.25"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7">
        <f t="shared" ca="1" si="7"/>
        <v>0.11157942167611329</v>
      </c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 spans="8:50" x14ac:dyDescent="0.25"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7">
        <f t="shared" ca="1" si="7"/>
        <v>0.36467260902618959</v>
      </c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 spans="8:50" x14ac:dyDescent="0.25"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7">
        <f t="shared" ca="1" si="7"/>
        <v>6.1839412585777596E-2</v>
      </c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 spans="8:50" x14ac:dyDescent="0.25"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7">
        <f t="shared" ca="1" si="7"/>
        <v>0.12490519347860943</v>
      </c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 spans="8:50" x14ac:dyDescent="0.25"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7">
        <f t="shared" ca="1" si="7"/>
        <v>0.5419053255870605</v>
      </c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 spans="8:50" x14ac:dyDescent="0.25"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7">
        <f t="shared" ca="1" si="7"/>
        <v>0.3374007275832791</v>
      </c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 spans="8:50" x14ac:dyDescent="0.25"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7">
        <f t="shared" ca="1" si="7"/>
        <v>5.3196900406880659E-3</v>
      </c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 spans="8:50" x14ac:dyDescent="0.25"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7">
        <f t="shared" ca="1" si="7"/>
        <v>-0.18973364249889402</v>
      </c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 spans="8:50" x14ac:dyDescent="0.25"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7">
        <f t="shared" ca="1" si="7"/>
        <v>0.44218632719571088</v>
      </c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 spans="8:50" x14ac:dyDescent="0.25"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7">
        <f t="shared" ca="1" si="7"/>
        <v>0.40507942027780347</v>
      </c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 spans="8:50" x14ac:dyDescent="0.25"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7">
        <f t="shared" ca="1" si="7"/>
        <v>0.28758217193147856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 spans="8:50" x14ac:dyDescent="0.25"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7">
        <f t="shared" ca="1" si="7"/>
        <v>2.0485067088549816E-2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 spans="8:50" x14ac:dyDescent="0.25"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7">
        <f t="shared" ca="1" si="7"/>
        <v>-0.32344230404052954</v>
      </c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 spans="8:50" x14ac:dyDescent="0.25"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7">
        <f t="shared" ca="1" si="7"/>
        <v>-0.18315165326299376</v>
      </c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 spans="8:50" x14ac:dyDescent="0.25"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7">
        <f t="shared" ca="1" si="7"/>
        <v>-1.5696164804296378E-2</v>
      </c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 spans="8:50" x14ac:dyDescent="0.25"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7">
        <f t="shared" ca="1" si="7"/>
        <v>0.37893666719550856</v>
      </c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 spans="8:50" x14ac:dyDescent="0.25"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7">
        <f t="shared" ca="1" si="7"/>
        <v>0.14531835433448823</v>
      </c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 spans="8:50" x14ac:dyDescent="0.25"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7">
        <f t="shared" ca="1" si="7"/>
        <v>6.0938081272140752E-2</v>
      </c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 spans="8:50" x14ac:dyDescent="0.25"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7">
        <f t="shared" ca="1" si="7"/>
        <v>0.13972755933962469</v>
      </c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 spans="8:50" x14ac:dyDescent="0.25"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7">
        <f t="shared" ca="1" si="7"/>
        <v>-0.32158999475539884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 spans="8:50" x14ac:dyDescent="0.25"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7">
        <f t="shared" ca="1" si="7"/>
        <v>-0.10698717803237968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 spans="8:50" x14ac:dyDescent="0.25"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7">
        <f t="shared" ca="1" si="7"/>
        <v>0.15960650335216078</v>
      </c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 spans="8:50" x14ac:dyDescent="0.25"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7">
        <f t="shared" ca="1" si="7"/>
        <v>0.15147050628735639</v>
      </c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 spans="8:50" x14ac:dyDescent="0.25"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7">
        <f t="shared" ca="1" si="7"/>
        <v>-1.7741795249556561E-2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 spans="8:50" x14ac:dyDescent="0.25"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7">
        <f t="shared" ca="1" si="7"/>
        <v>0.19277709330178297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 spans="8:50" x14ac:dyDescent="0.25"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7">
        <f t="shared" ca="1" si="7"/>
        <v>-0.38224899787198574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 spans="8:50" x14ac:dyDescent="0.25"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7">
        <f t="shared" ca="1" si="7"/>
        <v>9.9759071587282491E-2</v>
      </c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 spans="8:50" x14ac:dyDescent="0.25"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7">
        <f t="shared" ca="1" si="7"/>
        <v>4.1422657406180841E-2</v>
      </c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 spans="8:50" x14ac:dyDescent="0.25"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7">
        <f t="shared" ca="1" si="7"/>
        <v>0.19860398232422144</v>
      </c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 spans="8:50" x14ac:dyDescent="0.25"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7">
        <f t="shared" ca="1" si="7"/>
        <v>-4.8662074026057447E-2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 spans="8:50" x14ac:dyDescent="0.25"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7">
        <f t="shared" ca="1" si="7"/>
        <v>8.30694359811327E-2</v>
      </c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 spans="8:50" x14ac:dyDescent="0.25"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7">
        <f t="shared" ca="1" si="7"/>
        <v>0.23563992483545326</v>
      </c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 spans="8:50" x14ac:dyDescent="0.25"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7">
        <f t="shared" ca="1" si="7"/>
        <v>0.22292500741315824</v>
      </c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 spans="8:50" x14ac:dyDescent="0.25"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7">
        <f t="shared" ca="1" si="7"/>
        <v>0.36909406970703834</v>
      </c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 spans="8:50" x14ac:dyDescent="0.25"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7">
        <f t="shared" ca="1" si="7"/>
        <v>6.9762517869522103E-2</v>
      </c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 spans="8:50" x14ac:dyDescent="0.25"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7">
        <f t="shared" ca="1" si="7"/>
        <v>-0.30157699288331602</v>
      </c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 spans="8:50" x14ac:dyDescent="0.25"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7">
        <f t="shared" ca="1" si="7"/>
        <v>0.32372543671184972</v>
      </c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 spans="8:50" x14ac:dyDescent="0.25"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7">
        <f t="shared" ca="1" si="7"/>
        <v>-0.27147401076935374</v>
      </c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 spans="8:50" x14ac:dyDescent="0.25"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7">
        <f t="shared" ca="1" si="7"/>
        <v>0.24620335485896283</v>
      </c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 spans="8:50" x14ac:dyDescent="0.25"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7">
        <f t="shared" ca="1" si="7"/>
        <v>0.26827725051705148</v>
      </c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 spans="8:50" x14ac:dyDescent="0.25"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7">
        <f t="shared" ca="1" si="7"/>
        <v>0.47769508041312136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 spans="8:50" x14ac:dyDescent="0.25"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7">
        <f t="shared" ca="1" si="7"/>
        <v>0.25396864922355922</v>
      </c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 spans="8:50" x14ac:dyDescent="0.25"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7">
        <f t="shared" ca="1" si="7"/>
        <v>-4.7315863188120144E-3</v>
      </c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 spans="8:50" x14ac:dyDescent="0.25"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7">
        <f t="shared" ca="1" si="7"/>
        <v>-2.0736416534670829E-2</v>
      </c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 spans="8:50" x14ac:dyDescent="0.25"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7">
        <f t="shared" ca="1" si="7"/>
        <v>0.29483614108508721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 spans="8:50" x14ac:dyDescent="0.25"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7">
        <f t="shared" ca="1" si="7"/>
        <v>0.33578841853561719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 spans="8:50" x14ac:dyDescent="0.25"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7">
        <f t="shared" ca="1" si="7"/>
        <v>-9.1440094229325794E-2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 spans="8:50" x14ac:dyDescent="0.25"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7">
        <f t="shared" ca="1" si="7"/>
        <v>5.7925275468748177E-2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 spans="8:50" x14ac:dyDescent="0.25"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7">
        <f t="shared" ca="1" si="7"/>
        <v>4.6142120472762019E-2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 spans="8:50" x14ac:dyDescent="0.25"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7">
        <f t="shared" ca="1" si="7"/>
        <v>0.21049335759792051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 spans="8:50" x14ac:dyDescent="0.25"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7">
        <f t="shared" ca="1" si="7"/>
        <v>0.54818263341855611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 spans="8:50" x14ac:dyDescent="0.25"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7">
        <f t="shared" ca="1" si="7"/>
        <v>-0.10314304776682641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 spans="8:50" x14ac:dyDescent="0.25"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7">
        <f t="shared" ca="1" si="7"/>
        <v>3.9196324983171937E-2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 spans="8:50" x14ac:dyDescent="0.25"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7">
        <f t="shared" ca="1" si="7"/>
        <v>3.2531221213292119E-2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 spans="8:50" x14ac:dyDescent="0.25"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7">
        <f t="shared" ca="1" si="7"/>
        <v>0.134286900782075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 spans="8:50" x14ac:dyDescent="0.25"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7">
        <f t="shared" ca="1" si="7"/>
        <v>3.1136024819389235E-2</v>
      </c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 spans="8:50" x14ac:dyDescent="0.25"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7">
        <f t="shared" ref="W518:W581" ca="1" si="8">+NORMINV(RAND(),$U$2,$U$3)</f>
        <v>0.16966479016921449</v>
      </c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 spans="8:50" x14ac:dyDescent="0.25"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7">
        <f t="shared" ca="1" si="8"/>
        <v>0.4162467019911778</v>
      </c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 spans="8:50" x14ac:dyDescent="0.25"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7">
        <f t="shared" ca="1" si="8"/>
        <v>0.13111418125423296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 spans="8:50" x14ac:dyDescent="0.25"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7">
        <f t="shared" ca="1" si="8"/>
        <v>0.41816965205257978</v>
      </c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 spans="8:50" x14ac:dyDescent="0.25"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7">
        <f t="shared" ca="1" si="8"/>
        <v>-3.1728325781920488E-2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 spans="8:50" x14ac:dyDescent="0.25"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7">
        <f t="shared" ca="1" si="8"/>
        <v>6.3738094465283335E-2</v>
      </c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 spans="8:50" x14ac:dyDescent="0.25"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7">
        <f t="shared" ca="1" si="8"/>
        <v>-0.12908234548004954</v>
      </c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 spans="8:50" x14ac:dyDescent="0.25"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7">
        <f t="shared" ca="1" si="8"/>
        <v>8.0377902723627187E-3</v>
      </c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 spans="8:50" x14ac:dyDescent="0.25"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7">
        <f t="shared" ca="1" si="8"/>
        <v>5.152369460174909E-2</v>
      </c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 spans="8:50" x14ac:dyDescent="0.25"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7">
        <f t="shared" ca="1" si="8"/>
        <v>2.7527331655328766E-2</v>
      </c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 spans="8:50" x14ac:dyDescent="0.25"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7">
        <f t="shared" ca="1" si="8"/>
        <v>0.2378663795191156</v>
      </c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 spans="8:50" x14ac:dyDescent="0.25"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7">
        <f t="shared" ca="1" si="8"/>
        <v>0.16821371625094234</v>
      </c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 spans="8:50" x14ac:dyDescent="0.25"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7">
        <f t="shared" ca="1" si="8"/>
        <v>0.30222343335674129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 spans="8:50" x14ac:dyDescent="0.25"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7">
        <f t="shared" ca="1" si="8"/>
        <v>2.3244375995316077E-2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 spans="8:50" x14ac:dyDescent="0.25"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7">
        <f t="shared" ca="1" si="8"/>
        <v>0.1385751623428737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 spans="8:50" x14ac:dyDescent="0.25"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7">
        <f t="shared" ca="1" si="8"/>
        <v>5.6638375062559372E-2</v>
      </c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 spans="8:50" x14ac:dyDescent="0.25"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7">
        <f t="shared" ca="1" si="8"/>
        <v>7.0666844910066279E-2</v>
      </c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 spans="8:50" x14ac:dyDescent="0.25"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7">
        <f t="shared" ca="1" si="8"/>
        <v>0.38369522597296191</v>
      </c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 spans="8:50" x14ac:dyDescent="0.25"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7">
        <f t="shared" ca="1" si="8"/>
        <v>0.15515420571216432</v>
      </c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 spans="8:50" x14ac:dyDescent="0.25"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7">
        <f t="shared" ca="1" si="8"/>
        <v>-0.12489968397005434</v>
      </c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 spans="8:50" x14ac:dyDescent="0.25"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7">
        <f t="shared" ca="1" si="8"/>
        <v>0.24127546626277852</v>
      </c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 spans="8:50" x14ac:dyDescent="0.25"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7">
        <f t="shared" ca="1" si="8"/>
        <v>-7.3684877737087942E-2</v>
      </c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 spans="8:50" x14ac:dyDescent="0.25"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7">
        <f t="shared" ca="1" si="8"/>
        <v>0.189192602888762</v>
      </c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 spans="8:50" x14ac:dyDescent="0.25"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7">
        <f t="shared" ca="1" si="8"/>
        <v>0.51793409299317161</v>
      </c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 spans="8:50" x14ac:dyDescent="0.25"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7">
        <f t="shared" ca="1" si="8"/>
        <v>4.7454711775305747E-2</v>
      </c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 spans="8:50" x14ac:dyDescent="0.25"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7">
        <f t="shared" ca="1" si="8"/>
        <v>0.26547134949232631</v>
      </c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 spans="8:50" x14ac:dyDescent="0.25"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7">
        <f t="shared" ca="1" si="8"/>
        <v>-0.14043032314588993</v>
      </c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 spans="8:50" x14ac:dyDescent="0.25"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7">
        <f t="shared" ca="1" si="8"/>
        <v>-0.11135226618664855</v>
      </c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 spans="8:50" x14ac:dyDescent="0.25"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7">
        <f t="shared" ca="1" si="8"/>
        <v>0.25669564889491048</v>
      </c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 spans="8:50" x14ac:dyDescent="0.25"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7">
        <f t="shared" ca="1" si="8"/>
        <v>0.15421673159356997</v>
      </c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 spans="8:50" x14ac:dyDescent="0.25"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7">
        <f t="shared" ca="1" si="8"/>
        <v>0.15317228833185481</v>
      </c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 spans="8:50" x14ac:dyDescent="0.25"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7">
        <f t="shared" ca="1" si="8"/>
        <v>-2.3998720840999035E-2</v>
      </c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 spans="8:50" x14ac:dyDescent="0.25"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7">
        <f t="shared" ca="1" si="8"/>
        <v>-0.29939698505954931</v>
      </c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 spans="8:50" x14ac:dyDescent="0.25"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7">
        <f t="shared" ca="1" si="8"/>
        <v>-2.435723443773917E-2</v>
      </c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 spans="8:50" x14ac:dyDescent="0.25"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7">
        <f t="shared" ca="1" si="8"/>
        <v>4.9387303112932393E-2</v>
      </c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 spans="8:50" x14ac:dyDescent="0.25"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7">
        <f t="shared" ca="1" si="8"/>
        <v>5.5938086625625862E-2</v>
      </c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 spans="8:50" x14ac:dyDescent="0.25"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7">
        <f t="shared" ca="1" si="8"/>
        <v>0.47907044356659395</v>
      </c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 spans="8:50" x14ac:dyDescent="0.25"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7">
        <f t="shared" ca="1" si="8"/>
        <v>5.7037234260652561E-2</v>
      </c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 spans="8:50" x14ac:dyDescent="0.25"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7">
        <f t="shared" ca="1" si="8"/>
        <v>0.42416568788037912</v>
      </c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 spans="8:50" x14ac:dyDescent="0.25"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7">
        <f t="shared" ca="1" si="8"/>
        <v>-8.2469134994874196E-2</v>
      </c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 spans="8:50" x14ac:dyDescent="0.25"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7">
        <f t="shared" ca="1" si="8"/>
        <v>0.33822222648742217</v>
      </c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 spans="8:50" x14ac:dyDescent="0.25"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7">
        <f t="shared" ca="1" si="8"/>
        <v>0.25729802184103373</v>
      </c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 spans="8:50" x14ac:dyDescent="0.25"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7">
        <f t="shared" ca="1" si="8"/>
        <v>0.31255822940209177</v>
      </c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 spans="8:50" x14ac:dyDescent="0.25"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7">
        <f t="shared" ca="1" si="8"/>
        <v>0.33408184415397985</v>
      </c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 spans="8:50" x14ac:dyDescent="0.25"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7">
        <f t="shared" ca="1" si="8"/>
        <v>-4.5816097207669701E-2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 spans="8:50" x14ac:dyDescent="0.25"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7">
        <f t="shared" ca="1" si="8"/>
        <v>3.4637853103086702E-2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 spans="8:50" x14ac:dyDescent="0.25"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7">
        <f t="shared" ca="1" si="8"/>
        <v>-9.1406789629420546E-2</v>
      </c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 spans="8:50" x14ac:dyDescent="0.25"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7">
        <f t="shared" ca="1" si="8"/>
        <v>-9.8837036002320175E-2</v>
      </c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 spans="8:50" x14ac:dyDescent="0.25"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7">
        <f t="shared" ca="1" si="8"/>
        <v>0.38641404478775915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 spans="8:50" x14ac:dyDescent="0.25"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7">
        <f t="shared" ca="1" si="8"/>
        <v>0.16540286109118119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 spans="8:50" x14ac:dyDescent="0.25"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7">
        <f t="shared" ca="1" si="8"/>
        <v>3.9427594006419098E-2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 spans="8:50" x14ac:dyDescent="0.25"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7">
        <f t="shared" ca="1" si="8"/>
        <v>0.18949190589050849</v>
      </c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 spans="8:50" x14ac:dyDescent="0.25"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7">
        <f t="shared" ca="1" si="8"/>
        <v>4.1305317764511101E-2</v>
      </c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 spans="8:50" x14ac:dyDescent="0.25"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7">
        <f t="shared" ca="1" si="8"/>
        <v>-0.17820848516676813</v>
      </c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 spans="8:50" x14ac:dyDescent="0.25"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7">
        <f t="shared" ca="1" si="8"/>
        <v>-1.2818733944613483E-2</v>
      </c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 spans="8:50" x14ac:dyDescent="0.25"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7">
        <f t="shared" ca="1" si="8"/>
        <v>-6.2276167605224156E-2</v>
      </c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 spans="8:50" x14ac:dyDescent="0.25"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7">
        <f t="shared" ca="1" si="8"/>
        <v>0.13554342060190228</v>
      </c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 spans="8:50" x14ac:dyDescent="0.25"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7">
        <f t="shared" ca="1" si="8"/>
        <v>-0.58688255544613299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 spans="8:50" x14ac:dyDescent="0.25"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7">
        <f t="shared" ca="1" si="8"/>
        <v>3.6260920466512914E-3</v>
      </c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 spans="8:50" x14ac:dyDescent="0.25"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7">
        <f t="shared" ca="1" si="8"/>
        <v>-8.0686491368290827E-2</v>
      </c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 spans="8:50" x14ac:dyDescent="0.25"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7">
        <f t="shared" ca="1" si="8"/>
        <v>-0.17949364673472412</v>
      </c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 spans="8:50" x14ac:dyDescent="0.25"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7">
        <f t="shared" ca="1" si="8"/>
        <v>0.30215590612403292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 spans="8:50" x14ac:dyDescent="0.25"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7">
        <f t="shared" ca="1" si="8"/>
        <v>0.34344543484691231</v>
      </c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 spans="8:50" x14ac:dyDescent="0.25"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7">
        <f t="shared" ca="1" si="8"/>
        <v>-0.11505131034463896</v>
      </c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 spans="8:50" x14ac:dyDescent="0.25"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7">
        <f t="shared" ref="W582:W645" ca="1" si="9">+NORMINV(RAND(),$U$2,$U$3)</f>
        <v>0.2501516864053942</v>
      </c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 spans="8:50" x14ac:dyDescent="0.25"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7">
        <f t="shared" ca="1" si="9"/>
        <v>0.29081727545165059</v>
      </c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 spans="8:50" x14ac:dyDescent="0.25"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7">
        <f t="shared" ca="1" si="9"/>
        <v>0.32185210024641564</v>
      </c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 spans="8:50" x14ac:dyDescent="0.25"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7">
        <f t="shared" ca="1" si="9"/>
        <v>-0.25223795054712306</v>
      </c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 spans="8:50" x14ac:dyDescent="0.25"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7">
        <f t="shared" ca="1" si="9"/>
        <v>0.32799642399393447</v>
      </c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 spans="8:50" x14ac:dyDescent="0.25"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7">
        <f t="shared" ca="1" si="9"/>
        <v>-0.23126305987326712</v>
      </c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 spans="8:50" x14ac:dyDescent="0.25"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7">
        <f t="shared" ca="1" si="9"/>
        <v>0.34068674012451722</v>
      </c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 spans="8:50" x14ac:dyDescent="0.25"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7">
        <f t="shared" ca="1" si="9"/>
        <v>-3.7347505483971005E-3</v>
      </c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 spans="8:50" x14ac:dyDescent="0.25"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7">
        <f t="shared" ca="1" si="9"/>
        <v>-0.3476163185824902</v>
      </c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 spans="8:50" x14ac:dyDescent="0.25"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7">
        <f t="shared" ca="1" si="9"/>
        <v>0.32316638317927215</v>
      </c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 spans="8:50" x14ac:dyDescent="0.25"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7">
        <f t="shared" ca="1" si="9"/>
        <v>0.24045443013233936</v>
      </c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 spans="8:50" x14ac:dyDescent="0.25"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7">
        <f t="shared" ca="1" si="9"/>
        <v>0.27870074165521208</v>
      </c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 spans="8:50" x14ac:dyDescent="0.25"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7">
        <f t="shared" ca="1" si="9"/>
        <v>0.26357618180097175</v>
      </c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 spans="8:50" x14ac:dyDescent="0.25"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7">
        <f t="shared" ca="1" si="9"/>
        <v>0.34940641360180424</v>
      </c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 spans="8:50" x14ac:dyDescent="0.25"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7">
        <f t="shared" ca="1" si="9"/>
        <v>8.1529890191894702E-2</v>
      </c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 spans="8:50" x14ac:dyDescent="0.25"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7">
        <f t="shared" ca="1" si="9"/>
        <v>-1.9632455726555489E-2</v>
      </c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 spans="8:50" x14ac:dyDescent="0.25"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7">
        <f t="shared" ca="1" si="9"/>
        <v>3.59680838498386E-2</v>
      </c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 spans="8:50" x14ac:dyDescent="0.25"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7">
        <f t="shared" ca="1" si="9"/>
        <v>0.15269145158803829</v>
      </c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 spans="8:50" x14ac:dyDescent="0.25"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7">
        <f t="shared" ca="1" si="9"/>
        <v>0.13958440542452721</v>
      </c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 spans="8:50" x14ac:dyDescent="0.25"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7">
        <f t="shared" ca="1" si="9"/>
        <v>2.0455034968397026E-2</v>
      </c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 spans="8:50" x14ac:dyDescent="0.25"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7">
        <f t="shared" ca="1" si="9"/>
        <v>-8.2627467513682606E-3</v>
      </c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 spans="8:50" x14ac:dyDescent="0.25"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7">
        <f t="shared" ca="1" si="9"/>
        <v>0.15518289300773691</v>
      </c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 spans="8:50" x14ac:dyDescent="0.25"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7">
        <f t="shared" ca="1" si="9"/>
        <v>-4.5837655810020833E-3</v>
      </c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 spans="8:50" x14ac:dyDescent="0.25"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7">
        <f t="shared" ca="1" si="9"/>
        <v>0.20161272777456776</v>
      </c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 spans="8:50" x14ac:dyDescent="0.25"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7">
        <f t="shared" ca="1" si="9"/>
        <v>-0.18154741216189091</v>
      </c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 spans="8:50" x14ac:dyDescent="0.25"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7">
        <f t="shared" ca="1" si="9"/>
        <v>2.3683917375251523E-2</v>
      </c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 spans="8:50" x14ac:dyDescent="0.25"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7">
        <f t="shared" ca="1" si="9"/>
        <v>0.24374541235379971</v>
      </c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 spans="8:50" x14ac:dyDescent="0.25"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7">
        <f t="shared" ca="1" si="9"/>
        <v>0.13769728441889537</v>
      </c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 spans="8:50" x14ac:dyDescent="0.25"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7">
        <f t="shared" ca="1" si="9"/>
        <v>0.2026559358070994</v>
      </c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 spans="8:50" x14ac:dyDescent="0.25"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7">
        <f t="shared" ca="1" si="9"/>
        <v>0.24302169358191505</v>
      </c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 spans="8:50" x14ac:dyDescent="0.25"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7">
        <f t="shared" ca="1" si="9"/>
        <v>-0.15281624243899311</v>
      </c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 spans="8:50" x14ac:dyDescent="0.25"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7">
        <f t="shared" ca="1" si="9"/>
        <v>0.30641240826473481</v>
      </c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 spans="8:50" x14ac:dyDescent="0.25"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7">
        <f t="shared" ca="1" si="9"/>
        <v>0.62478843936830408</v>
      </c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 spans="8:50" x14ac:dyDescent="0.25"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7">
        <f t="shared" ca="1" si="9"/>
        <v>4.4407469931159141E-2</v>
      </c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 spans="8:50" x14ac:dyDescent="0.25"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7">
        <f t="shared" ca="1" si="9"/>
        <v>0.13651488098900941</v>
      </c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 spans="8:50" x14ac:dyDescent="0.25"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7">
        <f t="shared" ca="1" si="9"/>
        <v>2.8498012960618657E-2</v>
      </c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 spans="8:50" x14ac:dyDescent="0.25"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7">
        <f t="shared" ca="1" si="9"/>
        <v>0.11865129347691739</v>
      </c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 spans="8:50" x14ac:dyDescent="0.25"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7">
        <f t="shared" ca="1" si="9"/>
        <v>-4.0431308285315756E-2</v>
      </c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 spans="8:50" x14ac:dyDescent="0.25"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7">
        <f t="shared" ca="1" si="9"/>
        <v>4.7178935444529488E-2</v>
      </c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 spans="8:50" x14ac:dyDescent="0.25"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7">
        <f t="shared" ca="1" si="9"/>
        <v>0.14481917167226752</v>
      </c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 spans="8:50" x14ac:dyDescent="0.25"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7">
        <f t="shared" ca="1" si="9"/>
        <v>0.15888261538606177</v>
      </c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 spans="8:50" x14ac:dyDescent="0.25"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7">
        <f t="shared" ca="1" si="9"/>
        <v>9.5333594666348664E-2</v>
      </c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 spans="8:50" x14ac:dyDescent="0.25"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7">
        <f t="shared" ca="1" si="9"/>
        <v>0.33090812135893788</v>
      </c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 spans="8:50" x14ac:dyDescent="0.25"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7">
        <f t="shared" ca="1" si="9"/>
        <v>0.11708910339752904</v>
      </c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 spans="8:50" x14ac:dyDescent="0.25"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7">
        <f t="shared" ca="1" si="9"/>
        <v>-0.19735045228049108</v>
      </c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 spans="8:50" x14ac:dyDescent="0.25"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7">
        <f t="shared" ca="1" si="9"/>
        <v>0.19583771474133516</v>
      </c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 spans="8:50" x14ac:dyDescent="0.25"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7">
        <f t="shared" ca="1" si="9"/>
        <v>1.1434816898737266E-2</v>
      </c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 spans="8:50" x14ac:dyDescent="0.25"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7">
        <f t="shared" ca="1" si="9"/>
        <v>7.8724020005899537E-2</v>
      </c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 spans="8:50" x14ac:dyDescent="0.25"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7">
        <f t="shared" ca="1" si="9"/>
        <v>-0.20222341560801205</v>
      </c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 spans="8:50" x14ac:dyDescent="0.25"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7">
        <f t="shared" ca="1" si="9"/>
        <v>8.1619576538522393E-2</v>
      </c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 spans="8:50" x14ac:dyDescent="0.25"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7">
        <f t="shared" ca="1" si="9"/>
        <v>0.23288490946810039</v>
      </c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 spans="8:50" x14ac:dyDescent="0.25"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7">
        <f t="shared" ca="1" si="9"/>
        <v>0.16291444259529264</v>
      </c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 spans="8:50" x14ac:dyDescent="0.25"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7">
        <f t="shared" ca="1" si="9"/>
        <v>-5.142510715017444E-2</v>
      </c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 spans="8:50" x14ac:dyDescent="0.25"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7">
        <f t="shared" ca="1" si="9"/>
        <v>0.15903643150472779</v>
      </c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 spans="8:50" x14ac:dyDescent="0.25"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7">
        <f t="shared" ca="1" si="9"/>
        <v>-0.14261797168296697</v>
      </c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 spans="8:50" x14ac:dyDescent="0.25"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7">
        <f t="shared" ca="1" si="9"/>
        <v>0.24656637030644557</v>
      </c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 spans="8:50" x14ac:dyDescent="0.25"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7">
        <f t="shared" ca="1" si="9"/>
        <v>-0.21863160393361336</v>
      </c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 spans="8:50" x14ac:dyDescent="0.25"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7">
        <f t="shared" ca="1" si="9"/>
        <v>0.13187923363995852</v>
      </c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 spans="8:50" x14ac:dyDescent="0.25"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7">
        <f t="shared" ca="1" si="9"/>
        <v>0.18772256484923483</v>
      </c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 spans="8:50" x14ac:dyDescent="0.25"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7">
        <f t="shared" ca="1" si="9"/>
        <v>0.41401887540681559</v>
      </c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 spans="8:50" x14ac:dyDescent="0.25"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7">
        <f t="shared" ca="1" si="9"/>
        <v>0.43324600116517747</v>
      </c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 spans="8:50" x14ac:dyDescent="0.25"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7">
        <f t="shared" ca="1" si="9"/>
        <v>0.12357345314497584</v>
      </c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 spans="8:50" x14ac:dyDescent="0.25"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7">
        <f t="shared" ca="1" si="9"/>
        <v>0.14762765211507697</v>
      </c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 spans="8:50" x14ac:dyDescent="0.25"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7">
        <f t="shared" ca="1" si="9"/>
        <v>0.24590211721295108</v>
      </c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 spans="8:50" x14ac:dyDescent="0.25"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7">
        <f t="shared" ref="W646:W709" ca="1" si="10">+NORMINV(RAND(),$U$2,$U$3)</f>
        <v>8.8660986048660143E-2</v>
      </c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 spans="8:50" x14ac:dyDescent="0.25"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7">
        <f t="shared" ca="1" si="10"/>
        <v>-0.14507359394203567</v>
      </c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 spans="8:50" x14ac:dyDescent="0.25"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7">
        <f t="shared" ca="1" si="10"/>
        <v>0.23058291791638338</v>
      </c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 spans="8:50" x14ac:dyDescent="0.25"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7">
        <f t="shared" ca="1" si="10"/>
        <v>0.12264004453474149</v>
      </c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 spans="8:50" x14ac:dyDescent="0.25"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7">
        <f t="shared" ca="1" si="10"/>
        <v>0.23402776028102507</v>
      </c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 spans="8:50" x14ac:dyDescent="0.25"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7">
        <f t="shared" ca="1" si="10"/>
        <v>-0.23947571490106973</v>
      </c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 spans="8:50" x14ac:dyDescent="0.25"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7">
        <f t="shared" ca="1" si="10"/>
        <v>-0.1950185030442198</v>
      </c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 spans="8:50" x14ac:dyDescent="0.25"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7">
        <f t="shared" ca="1" si="10"/>
        <v>9.0525269619137039E-2</v>
      </c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 spans="8:50" x14ac:dyDescent="0.25"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7">
        <f t="shared" ca="1" si="10"/>
        <v>-7.7311693617671554E-2</v>
      </c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 spans="8:50" x14ac:dyDescent="0.25"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7">
        <f t="shared" ca="1" si="10"/>
        <v>4.7513502727649398E-2</v>
      </c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 spans="8:50" x14ac:dyDescent="0.25"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7">
        <f t="shared" ca="1" si="10"/>
        <v>0.19094792772491168</v>
      </c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 spans="8:50" x14ac:dyDescent="0.25"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7">
        <f t="shared" ca="1" si="10"/>
        <v>0.16657735422757253</v>
      </c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 spans="8:50" x14ac:dyDescent="0.25"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7">
        <f t="shared" ca="1" si="10"/>
        <v>0.23480477147721909</v>
      </c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 spans="8:50" x14ac:dyDescent="0.25"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7">
        <f t="shared" ca="1" si="10"/>
        <v>0.20175212627994016</v>
      </c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 spans="8:50" x14ac:dyDescent="0.25"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7">
        <f t="shared" ca="1" si="10"/>
        <v>3.4698525124773921E-2</v>
      </c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 spans="8:50" x14ac:dyDescent="0.25"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7">
        <f t="shared" ca="1" si="10"/>
        <v>0.30748524899202773</v>
      </c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 spans="8:50" x14ac:dyDescent="0.25"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7">
        <f t="shared" ca="1" si="10"/>
        <v>-2.8091215219657087E-2</v>
      </c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 spans="8:50" x14ac:dyDescent="0.25"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7">
        <f t="shared" ca="1" si="10"/>
        <v>-4.1836449132952244E-2</v>
      </c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 spans="8:50" x14ac:dyDescent="0.25"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7">
        <f t="shared" ca="1" si="10"/>
        <v>0.54282893939920551</v>
      </c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 spans="8:50" x14ac:dyDescent="0.25"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7">
        <f t="shared" ca="1" si="10"/>
        <v>0.2689992518567802</v>
      </c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 spans="8:50" x14ac:dyDescent="0.25"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7">
        <f t="shared" ca="1" si="10"/>
        <v>0.25912212367682569</v>
      </c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 spans="8:50" x14ac:dyDescent="0.25"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7">
        <f t="shared" ca="1" si="10"/>
        <v>6.7758892843001142E-2</v>
      </c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 spans="8:50" x14ac:dyDescent="0.25"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7">
        <f t="shared" ca="1" si="10"/>
        <v>-7.9606397558455402E-2</v>
      </c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 spans="8:50" x14ac:dyDescent="0.25"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7">
        <f t="shared" ca="1" si="10"/>
        <v>-0.16703282058997992</v>
      </c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 spans="8:50" x14ac:dyDescent="0.25"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7">
        <f t="shared" ca="1" si="10"/>
        <v>-7.4355398185004806E-3</v>
      </c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 spans="8:50" x14ac:dyDescent="0.25"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7">
        <f t="shared" ca="1" si="10"/>
        <v>0.13520882369979342</v>
      </c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 spans="8:50" x14ac:dyDescent="0.25"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7">
        <f t="shared" ca="1" si="10"/>
        <v>0.33674929898273243</v>
      </c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 spans="8:50" x14ac:dyDescent="0.25"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7">
        <f t="shared" ca="1" si="10"/>
        <v>-0.31804918984214459</v>
      </c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 spans="8:50" x14ac:dyDescent="0.25"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7">
        <f t="shared" ca="1" si="10"/>
        <v>-2.2242453594764497E-2</v>
      </c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 spans="8:50" x14ac:dyDescent="0.25"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7">
        <f t="shared" ca="1" si="10"/>
        <v>-7.5211959840134499E-2</v>
      </c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 spans="8:50" x14ac:dyDescent="0.25"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7">
        <f t="shared" ca="1" si="10"/>
        <v>-2.6502005365649908E-2</v>
      </c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 spans="8:50" x14ac:dyDescent="0.25"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7">
        <f t="shared" ca="1" si="10"/>
        <v>0.1849473466754839</v>
      </c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 spans="8:50" x14ac:dyDescent="0.25"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7">
        <f t="shared" ca="1" si="10"/>
        <v>0.17888995006061753</v>
      </c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 spans="8:50" x14ac:dyDescent="0.25"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7">
        <f t="shared" ca="1" si="10"/>
        <v>0.15768007787812577</v>
      </c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 spans="8:50" x14ac:dyDescent="0.25"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7">
        <f t="shared" ca="1" si="10"/>
        <v>8.4740487794027361E-2</v>
      </c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 spans="8:50" x14ac:dyDescent="0.25"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7">
        <f t="shared" ca="1" si="10"/>
        <v>2.4526777525747556E-2</v>
      </c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 spans="8:50" x14ac:dyDescent="0.25"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7">
        <f t="shared" ca="1" si="10"/>
        <v>9.4078224858492959E-2</v>
      </c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 spans="8:50" x14ac:dyDescent="0.25"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7">
        <f t="shared" ca="1" si="10"/>
        <v>9.1352685689248758E-2</v>
      </c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 spans="8:50" x14ac:dyDescent="0.25"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7">
        <f t="shared" ca="1" si="10"/>
        <v>3.067555769456759E-2</v>
      </c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 spans="8:50" x14ac:dyDescent="0.25"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7">
        <f t="shared" ca="1" si="10"/>
        <v>0.5177586995674861</v>
      </c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 spans="8:50" x14ac:dyDescent="0.25"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7">
        <f t="shared" ca="1" si="10"/>
        <v>0.2318828568516923</v>
      </c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 spans="8:50" x14ac:dyDescent="0.25"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7">
        <f t="shared" ca="1" si="10"/>
        <v>-4.7142651224426499E-2</v>
      </c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 spans="8:50" x14ac:dyDescent="0.25"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7">
        <f t="shared" ca="1" si="10"/>
        <v>-0.12855668520276969</v>
      </c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 spans="8:50" x14ac:dyDescent="0.25"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7">
        <f t="shared" ca="1" si="10"/>
        <v>2.383748770154305E-2</v>
      </c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 spans="8:50" x14ac:dyDescent="0.25"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7">
        <f t="shared" ca="1" si="10"/>
        <v>0.21451383278833047</v>
      </c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 spans="8:50" x14ac:dyDescent="0.25"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7">
        <f t="shared" ca="1" si="10"/>
        <v>9.0292525078343275E-2</v>
      </c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 spans="8:50" x14ac:dyDescent="0.25"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7">
        <f t="shared" ca="1" si="10"/>
        <v>3.1699504472654669E-2</v>
      </c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 spans="8:50" x14ac:dyDescent="0.25"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7">
        <f t="shared" ca="1" si="10"/>
        <v>0.12726639985348884</v>
      </c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 spans="8:50" x14ac:dyDescent="0.25"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7">
        <f t="shared" ca="1" si="10"/>
        <v>0.19605319735815063</v>
      </c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 spans="8:50" x14ac:dyDescent="0.25"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7">
        <f t="shared" ca="1" si="10"/>
        <v>1.7977692809152582E-2</v>
      </c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 spans="8:50" x14ac:dyDescent="0.25"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7">
        <f t="shared" ca="1" si="10"/>
        <v>0.11071937043167597</v>
      </c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 spans="8:50" x14ac:dyDescent="0.25"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7">
        <f t="shared" ca="1" si="10"/>
        <v>-2.5200313289622592E-2</v>
      </c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 spans="8:50" x14ac:dyDescent="0.25"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7">
        <f t="shared" ca="1" si="10"/>
        <v>0.14016762156214352</v>
      </c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 spans="8:50" x14ac:dyDescent="0.25"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7">
        <f t="shared" ca="1" si="10"/>
        <v>0.15075435978428009</v>
      </c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 spans="8:50" x14ac:dyDescent="0.25"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7">
        <f t="shared" ca="1" si="10"/>
        <v>0.23338891153791569</v>
      </c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 spans="8:50" x14ac:dyDescent="0.25"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7">
        <f t="shared" ca="1" si="10"/>
        <v>-5.895336152439562E-3</v>
      </c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 spans="8:50" x14ac:dyDescent="0.25"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7">
        <f t="shared" ca="1" si="10"/>
        <v>8.7413265197754039E-2</v>
      </c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 spans="8:50" x14ac:dyDescent="0.25"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7">
        <f t="shared" ca="1" si="10"/>
        <v>0.19985660578682407</v>
      </c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 spans="8:50" x14ac:dyDescent="0.25"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7">
        <f t="shared" ca="1" si="10"/>
        <v>0.10792964152345795</v>
      </c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 spans="8:50" x14ac:dyDescent="0.25"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7">
        <f t="shared" ca="1" si="10"/>
        <v>-5.4460824078864919E-2</v>
      </c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 spans="8:50" x14ac:dyDescent="0.25"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7">
        <f t="shared" ca="1" si="10"/>
        <v>-0.2405122536705282</v>
      </c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 spans="8:50" x14ac:dyDescent="0.25"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7">
        <f t="shared" ca="1" si="10"/>
        <v>0.20065805989865451</v>
      </c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 spans="8:50" x14ac:dyDescent="0.25"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7">
        <f t="shared" ca="1" si="10"/>
        <v>0.11820042199218253</v>
      </c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 spans="8:50" x14ac:dyDescent="0.25"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7">
        <f t="shared" ca="1" si="10"/>
        <v>0.41149972510343802</v>
      </c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 spans="8:50" x14ac:dyDescent="0.25"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7">
        <f t="shared" ref="W710:W773" ca="1" si="11">+NORMINV(RAND(),$U$2,$U$3)</f>
        <v>0.12609698488038112</v>
      </c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 spans="8:50" x14ac:dyDescent="0.25"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7">
        <f t="shared" ca="1" si="11"/>
        <v>-4.3352896221987611E-2</v>
      </c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 spans="8:50" x14ac:dyDescent="0.25"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7">
        <f t="shared" ca="1" si="11"/>
        <v>0.414633287684055</v>
      </c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 spans="8:50" x14ac:dyDescent="0.25"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7">
        <f t="shared" ca="1" si="11"/>
        <v>-0.32625150047655666</v>
      </c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 spans="8:50" x14ac:dyDescent="0.25"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7">
        <f t="shared" ca="1" si="11"/>
        <v>0.2662430814160644</v>
      </c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 spans="8:50" x14ac:dyDescent="0.25"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7">
        <f t="shared" ca="1" si="11"/>
        <v>-0.18546615433842251</v>
      </c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 spans="8:50" x14ac:dyDescent="0.25"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7">
        <f t="shared" ca="1" si="11"/>
        <v>-5.6373578991914905E-2</v>
      </c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 spans="8:50" x14ac:dyDescent="0.25"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7">
        <f t="shared" ca="1" si="11"/>
        <v>-2.7707956675510695E-2</v>
      </c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 spans="8:50" x14ac:dyDescent="0.25"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7">
        <f t="shared" ca="1" si="11"/>
        <v>0.11768915297747125</v>
      </c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 spans="8:50" x14ac:dyDescent="0.25"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7">
        <f t="shared" ca="1" si="11"/>
        <v>0.18660036056573809</v>
      </c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 spans="8:50" x14ac:dyDescent="0.25"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7">
        <f t="shared" ca="1" si="11"/>
        <v>-2.8424858051708926E-2</v>
      </c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 spans="8:50" x14ac:dyDescent="0.25"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7">
        <f t="shared" ca="1" si="11"/>
        <v>4.4868357431339462E-2</v>
      </c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 spans="8:50" x14ac:dyDescent="0.25"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7">
        <f t="shared" ca="1" si="11"/>
        <v>5.5878841540828672E-2</v>
      </c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 spans="8:50" x14ac:dyDescent="0.25"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7">
        <f t="shared" ca="1" si="11"/>
        <v>-0.23521103503252055</v>
      </c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 spans="8:50" x14ac:dyDescent="0.25"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7">
        <f t="shared" ca="1" si="11"/>
        <v>-4.7978097341720427E-3</v>
      </c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 spans="8:50" x14ac:dyDescent="0.25"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7">
        <f t="shared" ca="1" si="11"/>
        <v>7.5248169422544933E-2</v>
      </c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 spans="8:50" x14ac:dyDescent="0.25"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7">
        <f t="shared" ca="1" si="11"/>
        <v>-4.1116092461431122E-2</v>
      </c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 spans="8:50" x14ac:dyDescent="0.25"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7">
        <f t="shared" ca="1" si="11"/>
        <v>4.2017512806772975E-2</v>
      </c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 spans="8:50" x14ac:dyDescent="0.25"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7">
        <f t="shared" ca="1" si="11"/>
        <v>-2.6089923855985339E-2</v>
      </c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 spans="8:50" x14ac:dyDescent="0.25"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7">
        <f t="shared" ca="1" si="11"/>
        <v>0.30144671545246821</v>
      </c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 spans="8:50" x14ac:dyDescent="0.25"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7">
        <f t="shared" ca="1" si="11"/>
        <v>0.33912899379199002</v>
      </c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 spans="8:50" x14ac:dyDescent="0.25"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7">
        <f t="shared" ca="1" si="11"/>
        <v>0.22963644213128431</v>
      </c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 spans="8:50" x14ac:dyDescent="0.25"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7">
        <f t="shared" ca="1" si="11"/>
        <v>0.10600035178211908</v>
      </c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 spans="8:50" x14ac:dyDescent="0.25"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7">
        <f t="shared" ca="1" si="11"/>
        <v>6.7316881536273715E-2</v>
      </c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 spans="8:50" x14ac:dyDescent="0.25"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7">
        <f t="shared" ca="1" si="11"/>
        <v>4.8339684905030156E-2</v>
      </c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 spans="8:50" x14ac:dyDescent="0.25"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7">
        <f t="shared" ca="1" si="11"/>
        <v>6.3073315323313936E-2</v>
      </c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 spans="8:50" x14ac:dyDescent="0.25"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7">
        <f t="shared" ca="1" si="11"/>
        <v>-0.11701233379466584</v>
      </c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 spans="8:50" x14ac:dyDescent="0.25"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7">
        <f t="shared" ca="1" si="11"/>
        <v>-1.5911119699637447E-2</v>
      </c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 spans="8:50" x14ac:dyDescent="0.25"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7">
        <f t="shared" ca="1" si="11"/>
        <v>-6.4884615438204993E-2</v>
      </c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 spans="8:50" x14ac:dyDescent="0.25"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7">
        <f t="shared" ca="1" si="11"/>
        <v>0.22789636860644752</v>
      </c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 spans="8:50" x14ac:dyDescent="0.25"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7">
        <f t="shared" ca="1" si="11"/>
        <v>-9.2252605179504871E-3</v>
      </c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 spans="8:50" x14ac:dyDescent="0.25"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7">
        <f t="shared" ca="1" si="11"/>
        <v>8.9192231008331527E-2</v>
      </c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 spans="8:50" x14ac:dyDescent="0.25"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7">
        <f t="shared" ca="1" si="11"/>
        <v>0.27322809648802865</v>
      </c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 spans="8:50" x14ac:dyDescent="0.25"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7">
        <f t="shared" ca="1" si="11"/>
        <v>-3.9743159477705445E-2</v>
      </c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 spans="8:50" x14ac:dyDescent="0.25"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7">
        <f t="shared" ca="1" si="11"/>
        <v>0.17040803457752396</v>
      </c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 spans="8:50" x14ac:dyDescent="0.25"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7">
        <f t="shared" ca="1" si="11"/>
        <v>9.2839533059872331E-2</v>
      </c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 spans="8:50" x14ac:dyDescent="0.25"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7">
        <f t="shared" ca="1" si="11"/>
        <v>0.15440364490466391</v>
      </c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 spans="8:50" x14ac:dyDescent="0.25"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7">
        <f t="shared" ca="1" si="11"/>
        <v>7.6715701851689161E-2</v>
      </c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 spans="8:50" x14ac:dyDescent="0.25"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7">
        <f t="shared" ca="1" si="11"/>
        <v>-9.0693707512167862E-2</v>
      </c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 spans="8:50" x14ac:dyDescent="0.25"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7">
        <f t="shared" ca="1" si="11"/>
        <v>0.29420261917126883</v>
      </c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 spans="8:50" x14ac:dyDescent="0.25"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7">
        <f t="shared" ca="1" si="11"/>
        <v>0.17201299927083152</v>
      </c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 spans="8:50" x14ac:dyDescent="0.25"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7">
        <f t="shared" ca="1" si="11"/>
        <v>0.25535328642625127</v>
      </c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 spans="8:50" x14ac:dyDescent="0.25"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7">
        <f t="shared" ca="1" si="11"/>
        <v>-0.24757354420354427</v>
      </c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 spans="8:50" x14ac:dyDescent="0.25"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7">
        <f t="shared" ca="1" si="11"/>
        <v>-1.047744353579233E-2</v>
      </c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 spans="8:50" x14ac:dyDescent="0.25"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7">
        <f t="shared" ca="1" si="11"/>
        <v>6.0330858930534803E-2</v>
      </c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 spans="8:50" x14ac:dyDescent="0.25"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7">
        <f t="shared" ca="1" si="11"/>
        <v>0.22890143563365384</v>
      </c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 spans="8:50" x14ac:dyDescent="0.25"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7">
        <f t="shared" ca="1" si="11"/>
        <v>0.20111037149298591</v>
      </c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 spans="8:50" x14ac:dyDescent="0.25"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7">
        <f t="shared" ca="1" si="11"/>
        <v>0.22734481148904392</v>
      </c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 spans="8:50" x14ac:dyDescent="0.25"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7">
        <f t="shared" ca="1" si="11"/>
        <v>-0.10029623956509433</v>
      </c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 spans="8:50" x14ac:dyDescent="0.25"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7">
        <f t="shared" ca="1" si="11"/>
        <v>0.10963437396617043</v>
      </c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 spans="8:50" x14ac:dyDescent="0.25"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7">
        <f t="shared" ca="1" si="11"/>
        <v>-9.3488525219305244E-2</v>
      </c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 spans="8:50" x14ac:dyDescent="0.25"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7">
        <f t="shared" ca="1" si="11"/>
        <v>0.15702860875310745</v>
      </c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 spans="8:50" x14ac:dyDescent="0.25"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7">
        <f t="shared" ca="1" si="11"/>
        <v>0.31537189860818615</v>
      </c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 spans="8:50" x14ac:dyDescent="0.25"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7">
        <f t="shared" ca="1" si="11"/>
        <v>0.25906674447747158</v>
      </c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 spans="8:50" x14ac:dyDescent="0.25"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7">
        <f t="shared" ca="1" si="11"/>
        <v>-5.92513390697013E-2</v>
      </c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 spans="8:50" x14ac:dyDescent="0.25"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7">
        <f t="shared" ca="1" si="11"/>
        <v>8.1655398754302694E-3</v>
      </c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 spans="8:50" x14ac:dyDescent="0.25"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7">
        <f t="shared" ca="1" si="11"/>
        <v>6.6238176898044815E-3</v>
      </c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 spans="8:50" x14ac:dyDescent="0.25"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7">
        <f t="shared" ca="1" si="11"/>
        <v>-0.12973315155970744</v>
      </c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 spans="8:50" x14ac:dyDescent="0.25"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7">
        <f t="shared" ca="1" si="11"/>
        <v>0.12641313147440358</v>
      </c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 spans="8:50" x14ac:dyDescent="0.25"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7">
        <f t="shared" ca="1" si="11"/>
        <v>0.61094151555881715</v>
      </c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 spans="8:50" x14ac:dyDescent="0.25"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7">
        <f t="shared" ca="1" si="11"/>
        <v>0.10326404997764427</v>
      </c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 spans="8:50" x14ac:dyDescent="0.25"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7">
        <f t="shared" ca="1" si="11"/>
        <v>0.24818034993147015</v>
      </c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 spans="8:50" x14ac:dyDescent="0.25"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7">
        <f t="shared" ca="1" si="11"/>
        <v>0.41417511775476717</v>
      </c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 spans="8:50" x14ac:dyDescent="0.25"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7">
        <f t="shared" ca="1" si="11"/>
        <v>0.26899302222503996</v>
      </c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 spans="8:50" x14ac:dyDescent="0.25"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7">
        <f t="shared" ref="W774:W837" ca="1" si="12">+NORMINV(RAND(),$U$2,$U$3)</f>
        <v>0.26262086211426705</v>
      </c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 spans="8:50" x14ac:dyDescent="0.25"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7">
        <f t="shared" ca="1" si="12"/>
        <v>-7.4534949928884583E-2</v>
      </c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 spans="8:50" x14ac:dyDescent="0.25"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7">
        <f t="shared" ca="1" si="12"/>
        <v>-1.7554831344815794E-2</v>
      </c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 spans="8:50" x14ac:dyDescent="0.25"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7">
        <f t="shared" ca="1" si="12"/>
        <v>4.1064165431574443E-2</v>
      </c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 spans="8:50" x14ac:dyDescent="0.25"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7">
        <f t="shared" ca="1" si="12"/>
        <v>0.33583694002855807</v>
      </c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 spans="8:50" x14ac:dyDescent="0.25"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7">
        <f t="shared" ca="1" si="12"/>
        <v>4.6303848152009108E-2</v>
      </c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 spans="8:50" x14ac:dyDescent="0.25"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7">
        <f t="shared" ca="1" si="12"/>
        <v>-0.19573841181833379</v>
      </c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 spans="8:50" x14ac:dyDescent="0.25"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7">
        <f t="shared" ca="1" si="12"/>
        <v>6.539500164861918E-2</v>
      </c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 spans="8:50" x14ac:dyDescent="0.25"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7">
        <f t="shared" ca="1" si="12"/>
        <v>0.14186458457906431</v>
      </c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 spans="8:50" x14ac:dyDescent="0.25"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7">
        <f t="shared" ca="1" si="12"/>
        <v>9.7270795343046335E-2</v>
      </c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 spans="8:50" x14ac:dyDescent="0.25"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7">
        <f t="shared" ca="1" si="12"/>
        <v>0.1164163463416456</v>
      </c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 spans="8:50" x14ac:dyDescent="0.25"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7">
        <f t="shared" ca="1" si="12"/>
        <v>0.28875994297801244</v>
      </c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 spans="8:50" x14ac:dyDescent="0.25"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7">
        <f t="shared" ca="1" si="12"/>
        <v>6.107025988703832E-2</v>
      </c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 spans="8:50" x14ac:dyDescent="0.25"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7">
        <f t="shared" ca="1" si="12"/>
        <v>6.726427260294901E-2</v>
      </c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 spans="8:50" x14ac:dyDescent="0.25"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7">
        <f t="shared" ca="1" si="12"/>
        <v>-3.6158694308235109E-2</v>
      </c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 spans="8:50" x14ac:dyDescent="0.25"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7">
        <f t="shared" ca="1" si="12"/>
        <v>0.15301603466887598</v>
      </c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 spans="8:50" x14ac:dyDescent="0.25"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7">
        <f t="shared" ca="1" si="12"/>
        <v>0.15397870662821705</v>
      </c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 spans="8:50" x14ac:dyDescent="0.25"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7">
        <f t="shared" ca="1" si="12"/>
        <v>3.3918843762040102E-2</v>
      </c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 spans="8:50" x14ac:dyDescent="0.25"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7">
        <f t="shared" ca="1" si="12"/>
        <v>4.7732450575888916E-2</v>
      </c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 spans="8:50" x14ac:dyDescent="0.25"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7">
        <f t="shared" ca="1" si="12"/>
        <v>0.15436106208419509</v>
      </c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 spans="8:50" x14ac:dyDescent="0.25"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7">
        <f t="shared" ca="1" si="12"/>
        <v>4.2907052243962296E-2</v>
      </c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 spans="8:50" x14ac:dyDescent="0.25"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7">
        <f t="shared" ca="1" si="12"/>
        <v>3.9352291336256187E-2</v>
      </c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 spans="8:50" x14ac:dyDescent="0.25"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7">
        <f t="shared" ca="1" si="12"/>
        <v>0.13618350021880476</v>
      </c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 spans="8:50" x14ac:dyDescent="0.25"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7">
        <f t="shared" ca="1" si="12"/>
        <v>0.28477983347474961</v>
      </c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 spans="8:50" x14ac:dyDescent="0.25"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7">
        <f t="shared" ca="1" si="12"/>
        <v>0.1274791988019755</v>
      </c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 spans="8:50" x14ac:dyDescent="0.25"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7">
        <f t="shared" ca="1" si="12"/>
        <v>0.10376794457952947</v>
      </c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 spans="8:50" x14ac:dyDescent="0.25"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7">
        <f t="shared" ca="1" si="12"/>
        <v>3.4832016024230264E-2</v>
      </c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 spans="8:50" x14ac:dyDescent="0.25"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7">
        <f t="shared" ca="1" si="12"/>
        <v>4.8221283754196292E-2</v>
      </c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 spans="8:50" x14ac:dyDescent="0.25"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7">
        <f t="shared" ca="1" si="12"/>
        <v>0.23172594256531787</v>
      </c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 spans="8:50" x14ac:dyDescent="0.25"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7">
        <f t="shared" ca="1" si="12"/>
        <v>0.14351219757006853</v>
      </c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 spans="8:50" x14ac:dyDescent="0.25"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7">
        <f t="shared" ca="1" si="12"/>
        <v>0.46840885625933987</v>
      </c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 spans="8:50" x14ac:dyDescent="0.25"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7">
        <f t="shared" ca="1" si="12"/>
        <v>0.13018073231857558</v>
      </c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 spans="8:50" x14ac:dyDescent="0.25"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7">
        <f t="shared" ca="1" si="12"/>
        <v>0.13147086533256122</v>
      </c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 spans="8:50" x14ac:dyDescent="0.25"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7">
        <f t="shared" ca="1" si="12"/>
        <v>0.23976474656743446</v>
      </c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 spans="8:50" x14ac:dyDescent="0.25"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7">
        <f t="shared" ca="1" si="12"/>
        <v>0.25253196663361621</v>
      </c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 spans="8:50" x14ac:dyDescent="0.25"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7">
        <f t="shared" ca="1" si="12"/>
        <v>-0.15893197223817568</v>
      </c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 spans="8:50" x14ac:dyDescent="0.25"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7">
        <f t="shared" ca="1" si="12"/>
        <v>0.29575719753200391</v>
      </c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 spans="8:50" x14ac:dyDescent="0.25"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7">
        <f t="shared" ca="1" si="12"/>
        <v>0.35285645929292375</v>
      </c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 spans="8:50" x14ac:dyDescent="0.25"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7">
        <f t="shared" ca="1" si="12"/>
        <v>-7.3310965387068397E-2</v>
      </c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 spans="8:50" x14ac:dyDescent="0.25"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7">
        <f t="shared" ca="1" si="12"/>
        <v>-9.6798755092267527E-2</v>
      </c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 spans="8:50" x14ac:dyDescent="0.25"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7">
        <f t="shared" ca="1" si="12"/>
        <v>-5.6139093950480015E-2</v>
      </c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 spans="8:50" x14ac:dyDescent="0.25"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7">
        <f t="shared" ca="1" si="12"/>
        <v>-0.1400208463972894</v>
      </c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 spans="8:50" x14ac:dyDescent="0.25"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7">
        <f t="shared" ca="1" si="12"/>
        <v>-9.9851414031489047E-2</v>
      </c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 spans="8:50" x14ac:dyDescent="0.25"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7">
        <f t="shared" ca="1" si="12"/>
        <v>0.39286280380114325</v>
      </c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 spans="8:50" x14ac:dyDescent="0.25"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7">
        <f t="shared" ca="1" si="12"/>
        <v>0.232326274274782</v>
      </c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 spans="8:50" x14ac:dyDescent="0.25"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7">
        <f t="shared" ca="1" si="12"/>
        <v>6.3470498512716689E-2</v>
      </c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 spans="8:50" x14ac:dyDescent="0.25"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7">
        <f t="shared" ca="1" si="12"/>
        <v>-0.15203954027401823</v>
      </c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 spans="8:50" x14ac:dyDescent="0.25"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7">
        <f t="shared" ca="1" si="12"/>
        <v>8.8333296535933414E-2</v>
      </c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 spans="8:50" x14ac:dyDescent="0.25"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7">
        <f t="shared" ca="1" si="12"/>
        <v>0.2079530193133412</v>
      </c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 spans="8:50" x14ac:dyDescent="0.25"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7">
        <f t="shared" ca="1" si="12"/>
        <v>0.47859910552493951</v>
      </c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 spans="8:50" x14ac:dyDescent="0.25"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7">
        <f t="shared" ca="1" si="12"/>
        <v>2.7910198547455814E-2</v>
      </c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 spans="8:50" x14ac:dyDescent="0.25"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7">
        <f t="shared" ca="1" si="12"/>
        <v>-2.2969019332245572E-3</v>
      </c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 spans="8:50" x14ac:dyDescent="0.25"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7">
        <f t="shared" ca="1" si="12"/>
        <v>0.20397537426482082</v>
      </c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 spans="8:50" x14ac:dyDescent="0.25"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7">
        <f t="shared" ca="1" si="12"/>
        <v>1.8312296334050737E-2</v>
      </c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 spans="8:50" x14ac:dyDescent="0.25"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7">
        <f t="shared" ca="1" si="12"/>
        <v>0.16183693169303043</v>
      </c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 spans="8:50" x14ac:dyDescent="0.25"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7">
        <f t="shared" ca="1" si="12"/>
        <v>0.1574451933449888</v>
      </c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 spans="8:50" x14ac:dyDescent="0.25"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7">
        <f t="shared" ca="1" si="12"/>
        <v>-0.12212872105117055</v>
      </c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 spans="8:50" x14ac:dyDescent="0.25"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7">
        <f t="shared" ca="1" si="12"/>
        <v>-2.988771791951815E-2</v>
      </c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 spans="8:50" x14ac:dyDescent="0.25"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7">
        <f t="shared" ca="1" si="12"/>
        <v>-2.400202748655024E-2</v>
      </c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 spans="8:50" x14ac:dyDescent="0.25"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7">
        <f t="shared" ca="1" si="12"/>
        <v>0.49026762406301838</v>
      </c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 spans="8:50" x14ac:dyDescent="0.25"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7">
        <f t="shared" ca="1" si="12"/>
        <v>9.3161566990061812E-2</v>
      </c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 spans="8:50" x14ac:dyDescent="0.25"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7">
        <f t="shared" ca="1" si="12"/>
        <v>-1.999618116778594E-2</v>
      </c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 spans="8:50" x14ac:dyDescent="0.25"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7">
        <f t="shared" ca="1" si="12"/>
        <v>0.30897480853870596</v>
      </c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 spans="8:50" x14ac:dyDescent="0.25"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7">
        <f t="shared" ca="1" si="12"/>
        <v>6.9423329454491284E-2</v>
      </c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 spans="8:50" x14ac:dyDescent="0.25"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7">
        <f t="shared" ref="W838:W901" ca="1" si="13">+NORMINV(RAND(),$U$2,$U$3)</f>
        <v>-0.23423011087753887</v>
      </c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 spans="8:50" x14ac:dyDescent="0.25"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7">
        <f t="shared" ca="1" si="13"/>
        <v>-0.22588829462208615</v>
      </c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 spans="8:50" x14ac:dyDescent="0.25"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7">
        <f t="shared" ca="1" si="13"/>
        <v>-3.8831441335934205E-2</v>
      </c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 spans="8:50" x14ac:dyDescent="0.25"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7">
        <f t="shared" ca="1" si="13"/>
        <v>-0.21441228353906439</v>
      </c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 spans="8:50" x14ac:dyDescent="0.25"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7">
        <f t="shared" ca="1" si="13"/>
        <v>-0.18356453738753581</v>
      </c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 spans="8:50" x14ac:dyDescent="0.25"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7">
        <f t="shared" ca="1" si="13"/>
        <v>0.19049254088077094</v>
      </c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 spans="8:50" x14ac:dyDescent="0.25"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7">
        <f t="shared" ca="1" si="13"/>
        <v>0.24970478620257386</v>
      </c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 spans="8:50" x14ac:dyDescent="0.25"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7">
        <f t="shared" ca="1" si="13"/>
        <v>0.11226450329966335</v>
      </c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 spans="8:50" x14ac:dyDescent="0.25"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7">
        <f t="shared" ca="1" si="13"/>
        <v>1.3915674354423466E-2</v>
      </c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 spans="8:50" x14ac:dyDescent="0.25"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7">
        <f t="shared" ca="1" si="13"/>
        <v>7.2605577407507033E-2</v>
      </c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 spans="8:50" x14ac:dyDescent="0.25"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7">
        <f t="shared" ca="1" si="13"/>
        <v>0.27158364915069722</v>
      </c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 spans="8:50" x14ac:dyDescent="0.25"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7">
        <f t="shared" ca="1" si="13"/>
        <v>-0.1212832009586453</v>
      </c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 spans="8:50" x14ac:dyDescent="0.25"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7">
        <f t="shared" ca="1" si="13"/>
        <v>0.16773826402080194</v>
      </c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 spans="8:50" x14ac:dyDescent="0.25"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7">
        <f t="shared" ca="1" si="13"/>
        <v>0.22256452330316079</v>
      </c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 spans="8:50" x14ac:dyDescent="0.25"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7">
        <f t="shared" ca="1" si="13"/>
        <v>-0.19694393077290356</v>
      </c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 spans="8:50" x14ac:dyDescent="0.25"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7">
        <f t="shared" ca="1" si="13"/>
        <v>0.28030752331905984</v>
      </c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 spans="8:50" x14ac:dyDescent="0.25"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7">
        <f t="shared" ca="1" si="13"/>
        <v>0.47100964201638112</v>
      </c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 spans="8:50" x14ac:dyDescent="0.25"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7">
        <f t="shared" ca="1" si="13"/>
        <v>5.287948025320334E-2</v>
      </c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 spans="8:50" x14ac:dyDescent="0.25"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7">
        <f t="shared" ca="1" si="13"/>
        <v>-0.12957544838555274</v>
      </c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 spans="8:50" x14ac:dyDescent="0.25"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7">
        <f t="shared" ca="1" si="13"/>
        <v>0.40271131119872822</v>
      </c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 spans="8:50" x14ac:dyDescent="0.25"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7">
        <f t="shared" ca="1" si="13"/>
        <v>-0.17437548483371407</v>
      </c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 spans="8:50" x14ac:dyDescent="0.25"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7">
        <f t="shared" ca="1" si="13"/>
        <v>9.2558115543011535E-2</v>
      </c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 spans="8:50" x14ac:dyDescent="0.25"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7">
        <f t="shared" ca="1" si="13"/>
        <v>8.278811123946142E-2</v>
      </c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 spans="8:50" x14ac:dyDescent="0.25"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7">
        <f t="shared" ca="1" si="13"/>
        <v>0.39835854659008652</v>
      </c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 spans="8:50" x14ac:dyDescent="0.25"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7">
        <f t="shared" ca="1" si="13"/>
        <v>0.20370831807117029</v>
      </c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 spans="8:50" x14ac:dyDescent="0.25"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7">
        <f t="shared" ca="1" si="13"/>
        <v>0.26731844531467119</v>
      </c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 spans="8:50" x14ac:dyDescent="0.25"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7">
        <f t="shared" ca="1" si="13"/>
        <v>-5.489525960815006E-3</v>
      </c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 spans="8:50" x14ac:dyDescent="0.25"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7">
        <f t="shared" ca="1" si="13"/>
        <v>-7.9296420775475565E-2</v>
      </c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 spans="8:50" x14ac:dyDescent="0.25"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7">
        <f t="shared" ca="1" si="13"/>
        <v>0.36501122067464542</v>
      </c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 spans="8:50" x14ac:dyDescent="0.25"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7">
        <f t="shared" ca="1" si="13"/>
        <v>0.20420816555610824</v>
      </c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 spans="8:50" x14ac:dyDescent="0.25"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7">
        <f t="shared" ca="1" si="13"/>
        <v>0.30705301628159098</v>
      </c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 spans="8:50" x14ac:dyDescent="0.25"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7">
        <f t="shared" ca="1" si="13"/>
        <v>0.23678821176301851</v>
      </c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 spans="8:50" x14ac:dyDescent="0.25"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7">
        <f t="shared" ca="1" si="13"/>
        <v>0.112373973633804</v>
      </c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 spans="8:50" x14ac:dyDescent="0.25"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7">
        <f t="shared" ca="1" si="13"/>
        <v>0.48953557046762219</v>
      </c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 spans="8:50" x14ac:dyDescent="0.25"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7">
        <f t="shared" ca="1" si="13"/>
        <v>0.33802109186933305</v>
      </c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 spans="8:50" x14ac:dyDescent="0.25"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7">
        <f t="shared" ca="1" si="13"/>
        <v>1.5313237111715255E-3</v>
      </c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 spans="8:50" x14ac:dyDescent="0.25"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7">
        <f t="shared" ca="1" si="13"/>
        <v>0.20098801794931898</v>
      </c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 spans="8:50" x14ac:dyDescent="0.25"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7">
        <f t="shared" ca="1" si="13"/>
        <v>0.2677664483391341</v>
      </c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 spans="8:50" x14ac:dyDescent="0.25"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7">
        <f t="shared" ca="1" si="13"/>
        <v>-0.11928852681462372</v>
      </c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 spans="8:50" x14ac:dyDescent="0.25"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7">
        <f t="shared" ca="1" si="13"/>
        <v>0.33858449066114399</v>
      </c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 spans="8:50" x14ac:dyDescent="0.25"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7">
        <f t="shared" ca="1" si="13"/>
        <v>5.9883597059316174E-3</v>
      </c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 spans="8:50" x14ac:dyDescent="0.25"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7">
        <f t="shared" ca="1" si="13"/>
        <v>0.66022900754618652</v>
      </c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 spans="8:50" x14ac:dyDescent="0.25"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7">
        <f t="shared" ca="1" si="13"/>
        <v>0.2953548428982265</v>
      </c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 spans="8:50" x14ac:dyDescent="0.25"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7">
        <f t="shared" ca="1" si="13"/>
        <v>9.0371529124422381E-2</v>
      </c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 spans="8:50" x14ac:dyDescent="0.25"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7">
        <f t="shared" ca="1" si="13"/>
        <v>0.1463361780000012</v>
      </c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 spans="8:50" x14ac:dyDescent="0.25"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7">
        <f t="shared" ca="1" si="13"/>
        <v>-5.051102392535349E-2</v>
      </c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 spans="8:50" x14ac:dyDescent="0.25"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7">
        <f t="shared" ca="1" si="13"/>
        <v>0.28009178452443539</v>
      </c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 spans="8:50" x14ac:dyDescent="0.25"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7">
        <f t="shared" ca="1" si="13"/>
        <v>0.18513085536213758</v>
      </c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 spans="8:50" x14ac:dyDescent="0.25"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7">
        <f t="shared" ca="1" si="13"/>
        <v>-0.19167488638091373</v>
      </c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 spans="8:50" x14ac:dyDescent="0.25"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7">
        <f t="shared" ca="1" si="13"/>
        <v>0.10807328469122876</v>
      </c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 spans="8:50" x14ac:dyDescent="0.25"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7">
        <f t="shared" ca="1" si="13"/>
        <v>-0.22887009035356748</v>
      </c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 spans="8:50" x14ac:dyDescent="0.25"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7">
        <f t="shared" ca="1" si="13"/>
        <v>-8.1692119490310203E-2</v>
      </c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 spans="8:50" x14ac:dyDescent="0.25"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7">
        <f t="shared" ca="1" si="13"/>
        <v>-5.7966624312774398E-2</v>
      </c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 spans="8:50" x14ac:dyDescent="0.25"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7">
        <f t="shared" ca="1" si="13"/>
        <v>8.14957309518555E-2</v>
      </c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 spans="8:50" x14ac:dyDescent="0.25"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7">
        <f t="shared" ca="1" si="13"/>
        <v>-5.9039058358790183E-2</v>
      </c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 spans="8:50" x14ac:dyDescent="0.25"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7">
        <f t="shared" ca="1" si="13"/>
        <v>-7.9693849637608297E-2</v>
      </c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 spans="8:50" x14ac:dyDescent="0.25"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7">
        <f t="shared" ca="1" si="13"/>
        <v>0.26991911692902798</v>
      </c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 spans="8:50" x14ac:dyDescent="0.25"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7">
        <f t="shared" ca="1" si="13"/>
        <v>-0.33597320762430133</v>
      </c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 spans="8:50" x14ac:dyDescent="0.25"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7">
        <f t="shared" ca="1" si="13"/>
        <v>0.25124558332826685</v>
      </c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 spans="8:50" x14ac:dyDescent="0.25"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7">
        <f t="shared" ca="1" si="13"/>
        <v>0.18465314505908947</v>
      </c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 spans="8:50" x14ac:dyDescent="0.25"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7">
        <f t="shared" ca="1" si="13"/>
        <v>0.16834231698045188</v>
      </c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 spans="8:50" x14ac:dyDescent="0.25"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7">
        <f t="shared" ca="1" si="13"/>
        <v>0.24620787310087383</v>
      </c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 spans="8:50" x14ac:dyDescent="0.25"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7">
        <f t="shared" ca="1" si="13"/>
        <v>0.33809002363724067</v>
      </c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 spans="8:50" x14ac:dyDescent="0.25"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7">
        <f t="shared" ca="1" si="13"/>
        <v>0.11768093273599803</v>
      </c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 spans="8:50" x14ac:dyDescent="0.25"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7">
        <f t="shared" ref="W902:W965" ca="1" si="14">+NORMINV(RAND(),$U$2,$U$3)</f>
        <v>0.33469726820821794</v>
      </c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 spans="8:50" x14ac:dyDescent="0.25"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7">
        <f t="shared" ca="1" si="14"/>
        <v>-2.564706717538566E-2</v>
      </c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 spans="8:50" x14ac:dyDescent="0.25"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7">
        <f t="shared" ca="1" si="14"/>
        <v>0.3241269201944933</v>
      </c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 spans="8:50" x14ac:dyDescent="0.25"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7">
        <f t="shared" ca="1" si="14"/>
        <v>2.0217978802054171E-2</v>
      </c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 spans="8:50" x14ac:dyDescent="0.25"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7">
        <f t="shared" ca="1" si="14"/>
        <v>-0.33075651896705299</v>
      </c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 spans="8:50" x14ac:dyDescent="0.25"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7">
        <f t="shared" ca="1" si="14"/>
        <v>0.48451586804780544</v>
      </c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 spans="8:50" x14ac:dyDescent="0.25"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7">
        <f t="shared" ca="1" si="14"/>
        <v>0.13111251383681594</v>
      </c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 spans="8:50" x14ac:dyDescent="0.25"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7">
        <f t="shared" ca="1" si="14"/>
        <v>0.112255627674809</v>
      </c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 spans="8:50" x14ac:dyDescent="0.25"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7">
        <f t="shared" ca="1" si="14"/>
        <v>0.49704088688870551</v>
      </c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 spans="8:50" x14ac:dyDescent="0.25"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7">
        <f t="shared" ca="1" si="14"/>
        <v>0.17434925770350354</v>
      </c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 spans="8:50" x14ac:dyDescent="0.25"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7">
        <f t="shared" ca="1" si="14"/>
        <v>0.2951677819564168</v>
      </c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 spans="8:50" x14ac:dyDescent="0.25"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7">
        <f t="shared" ca="1" si="14"/>
        <v>8.1869825864092527E-2</v>
      </c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 spans="8:50" x14ac:dyDescent="0.25"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7">
        <f t="shared" ca="1" si="14"/>
        <v>0.29938994525854656</v>
      </c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 spans="8:50" x14ac:dyDescent="0.25"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7">
        <f t="shared" ca="1" si="14"/>
        <v>5.1783890829104756E-3</v>
      </c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 spans="8:50" x14ac:dyDescent="0.25"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7">
        <f t="shared" ca="1" si="14"/>
        <v>9.4095598108025758E-3</v>
      </c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 spans="8:50" x14ac:dyDescent="0.25"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7">
        <f t="shared" ca="1" si="14"/>
        <v>0.15055473458262048</v>
      </c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 spans="8:50" x14ac:dyDescent="0.25"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7">
        <f t="shared" ca="1" si="14"/>
        <v>0.32713334282815304</v>
      </c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 spans="8:50" x14ac:dyDescent="0.25"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7">
        <f t="shared" ca="1" si="14"/>
        <v>0.34703062354926717</v>
      </c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 spans="8:50" x14ac:dyDescent="0.25"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7">
        <f t="shared" ca="1" si="14"/>
        <v>-1.674153369103272E-2</v>
      </c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 spans="8:50" x14ac:dyDescent="0.25"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7">
        <f t="shared" ca="1" si="14"/>
        <v>0.53898931901001501</v>
      </c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 spans="8:50" x14ac:dyDescent="0.25"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7">
        <f t="shared" ca="1" si="14"/>
        <v>0.10993830332864633</v>
      </c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 spans="8:50" x14ac:dyDescent="0.25"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7">
        <f t="shared" ca="1" si="14"/>
        <v>9.3555533356508527E-2</v>
      </c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 spans="8:50" x14ac:dyDescent="0.25"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7">
        <f t="shared" ca="1" si="14"/>
        <v>0.18482351273652969</v>
      </c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 spans="8:50" x14ac:dyDescent="0.25"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7">
        <f t="shared" ca="1" si="14"/>
        <v>0.13929783644297053</v>
      </c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 spans="8:50" x14ac:dyDescent="0.25"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7">
        <f t="shared" ca="1" si="14"/>
        <v>4.8904844875999373E-2</v>
      </c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 spans="8:50" x14ac:dyDescent="0.25"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7">
        <f t="shared" ca="1" si="14"/>
        <v>0.11011180874263463</v>
      </c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 spans="8:50" x14ac:dyDescent="0.25"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7">
        <f t="shared" ca="1" si="14"/>
        <v>5.5637226876160635E-2</v>
      </c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 spans="8:50" x14ac:dyDescent="0.25"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7">
        <f t="shared" ca="1" si="14"/>
        <v>6.2019078184168228E-2</v>
      </c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 spans="8:50" x14ac:dyDescent="0.25"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7">
        <f t="shared" ca="1" si="14"/>
        <v>-0.19294324406502839</v>
      </c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 spans="8:50" x14ac:dyDescent="0.25"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7">
        <f t="shared" ca="1" si="14"/>
        <v>-0.27012429137095417</v>
      </c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 spans="8:50" x14ac:dyDescent="0.25"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7">
        <f t="shared" ca="1" si="14"/>
        <v>0.42285590535129419</v>
      </c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 spans="8:50" x14ac:dyDescent="0.25"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7">
        <f t="shared" ca="1" si="14"/>
        <v>0.49974750925357381</v>
      </c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 spans="8:50" x14ac:dyDescent="0.25"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7">
        <f t="shared" ca="1" si="14"/>
        <v>0.41335135174185322</v>
      </c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 spans="8:50" x14ac:dyDescent="0.25"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7">
        <f t="shared" ca="1" si="14"/>
        <v>0.14612488000101043</v>
      </c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 spans="8:50" x14ac:dyDescent="0.25"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7">
        <f t="shared" ca="1" si="14"/>
        <v>0.29545039878472257</v>
      </c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 spans="8:50" x14ac:dyDescent="0.25"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7">
        <f t="shared" ca="1" si="14"/>
        <v>6.2507321784002201E-3</v>
      </c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 spans="8:50" x14ac:dyDescent="0.25"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7">
        <f t="shared" ca="1" si="14"/>
        <v>-0.10009912052423404</v>
      </c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 spans="8:50" x14ac:dyDescent="0.25"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7">
        <f t="shared" ca="1" si="14"/>
        <v>0.44038951687967504</v>
      </c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 spans="8:50" x14ac:dyDescent="0.25"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7">
        <f t="shared" ca="1" si="14"/>
        <v>0.23905613612746168</v>
      </c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 spans="8:50" x14ac:dyDescent="0.25"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7">
        <f t="shared" ca="1" si="14"/>
        <v>0.33151711182581267</v>
      </c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 spans="8:50" x14ac:dyDescent="0.25"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7">
        <f t="shared" ca="1" si="14"/>
        <v>0.10726337741215725</v>
      </c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 spans="8:50" x14ac:dyDescent="0.25"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7">
        <f t="shared" ca="1" si="14"/>
        <v>-9.6758935707408414E-2</v>
      </c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 spans="8:50" x14ac:dyDescent="0.25"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7">
        <f t="shared" ca="1" si="14"/>
        <v>6.450895173365026E-2</v>
      </c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 spans="8:50" x14ac:dyDescent="0.25"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7">
        <f t="shared" ca="1" si="14"/>
        <v>0.24814736431927525</v>
      </c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 spans="8:50" x14ac:dyDescent="0.25"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7">
        <f t="shared" ca="1" si="14"/>
        <v>0.39273609995527387</v>
      </c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 spans="8:50" x14ac:dyDescent="0.25"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7">
        <f t="shared" ca="1" si="14"/>
        <v>1.8251573031569074E-2</v>
      </c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 spans="8:50" x14ac:dyDescent="0.25"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7">
        <f t="shared" ca="1" si="14"/>
        <v>0.20751191963803822</v>
      </c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 spans="8:50" x14ac:dyDescent="0.25"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7">
        <f t="shared" ca="1" si="14"/>
        <v>0.43579748345323904</v>
      </c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 spans="8:50" x14ac:dyDescent="0.25"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7">
        <f t="shared" ca="1" si="14"/>
        <v>8.9065369850993614E-2</v>
      </c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 spans="8:50" x14ac:dyDescent="0.25"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7">
        <f t="shared" ca="1" si="14"/>
        <v>-0.10299336445695019</v>
      </c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 spans="8:50" x14ac:dyDescent="0.25"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7">
        <f t="shared" ca="1" si="14"/>
        <v>0.20180138759963032</v>
      </c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 spans="8:50" x14ac:dyDescent="0.25"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7">
        <f t="shared" ca="1" si="14"/>
        <v>0.10915939842939296</v>
      </c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 spans="8:50" x14ac:dyDescent="0.25"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7">
        <f t="shared" ca="1" si="14"/>
        <v>-6.9145515839633784E-2</v>
      </c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 spans="8:50" x14ac:dyDescent="0.25"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7">
        <f t="shared" ca="1" si="14"/>
        <v>0.10824852272788675</v>
      </c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 spans="8:50" x14ac:dyDescent="0.25"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7">
        <f t="shared" ca="1" si="14"/>
        <v>3.7141308689297062E-2</v>
      </c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 spans="8:50" x14ac:dyDescent="0.25"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7">
        <f t="shared" ca="1" si="14"/>
        <v>0.23451066992610137</v>
      </c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 spans="8:50" x14ac:dyDescent="0.25"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7">
        <f t="shared" ca="1" si="14"/>
        <v>0.38983180673227036</v>
      </c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 spans="8:50" x14ac:dyDescent="0.25"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7">
        <f t="shared" ca="1" si="14"/>
        <v>-7.8687842488808349E-2</v>
      </c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 spans="8:50" x14ac:dyDescent="0.25"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7">
        <f t="shared" ca="1" si="14"/>
        <v>0.18098589173275251</v>
      </c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 spans="8:50" x14ac:dyDescent="0.25"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7">
        <f t="shared" ca="1" si="14"/>
        <v>4.4590416530808585E-2</v>
      </c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 spans="8:50" x14ac:dyDescent="0.25"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7">
        <f t="shared" ca="1" si="14"/>
        <v>-0.15338845925757871</v>
      </c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 spans="8:50" x14ac:dyDescent="0.25"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7">
        <f t="shared" ca="1" si="14"/>
        <v>0.20080815867778976</v>
      </c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 spans="8:50" x14ac:dyDescent="0.25"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7">
        <f t="shared" ca="1" si="14"/>
        <v>4.327537568014031E-3</v>
      </c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 spans="8:50" x14ac:dyDescent="0.25"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7">
        <f t="shared" ca="1" si="14"/>
        <v>0.33226675171745657</v>
      </c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 spans="8:50" x14ac:dyDescent="0.25"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7">
        <f t="shared" ref="W966:W1029" ca="1" si="15">+NORMINV(RAND(),$U$2,$U$3)</f>
        <v>0.24169450033813394</v>
      </c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 spans="8:50" x14ac:dyDescent="0.25"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7">
        <f t="shared" ca="1" si="15"/>
        <v>0.16489705673527644</v>
      </c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 spans="8:50" x14ac:dyDescent="0.25"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7">
        <f t="shared" ca="1" si="15"/>
        <v>0.20943391600974193</v>
      </c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 spans="8:50" x14ac:dyDescent="0.25"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7">
        <f t="shared" ca="1" si="15"/>
        <v>0.58524791234035511</v>
      </c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 spans="8:50" x14ac:dyDescent="0.25"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7">
        <f t="shared" ca="1" si="15"/>
        <v>7.6089364455964786E-2</v>
      </c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 spans="8:50" x14ac:dyDescent="0.25"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7">
        <f t="shared" ca="1" si="15"/>
        <v>0.5278342182995952</v>
      </c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 spans="8:50" x14ac:dyDescent="0.25"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7">
        <f t="shared" ca="1" si="15"/>
        <v>1.0613104081173053E-2</v>
      </c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 spans="8:50" x14ac:dyDescent="0.25"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7">
        <f t="shared" ca="1" si="15"/>
        <v>0.23499376954325726</v>
      </c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 spans="8:50" x14ac:dyDescent="0.25"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7">
        <f t="shared" ca="1" si="15"/>
        <v>0.19991057579197957</v>
      </c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 spans="8:50" x14ac:dyDescent="0.25"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7">
        <f t="shared" ca="1" si="15"/>
        <v>9.4835496068732261E-2</v>
      </c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 spans="8:50" x14ac:dyDescent="0.25"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7">
        <f t="shared" ca="1" si="15"/>
        <v>0.2572621154019496</v>
      </c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 spans="8:50" x14ac:dyDescent="0.25"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7">
        <f t="shared" ca="1" si="15"/>
        <v>0.4058811602087537</v>
      </c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 spans="8:50" x14ac:dyDescent="0.25"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7">
        <f t="shared" ca="1" si="15"/>
        <v>-1.5472634458016568E-2</v>
      </c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 spans="8:50" x14ac:dyDescent="0.25"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7">
        <f t="shared" ca="1" si="15"/>
        <v>-2.1921105136502445E-3</v>
      </c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 spans="8:50" x14ac:dyDescent="0.25"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7">
        <f t="shared" ca="1" si="15"/>
        <v>4.4876152075469591E-2</v>
      </c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 spans="8:50" x14ac:dyDescent="0.25"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7">
        <f t="shared" ca="1" si="15"/>
        <v>0.17811645145440558</v>
      </c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 spans="8:50" x14ac:dyDescent="0.25"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7">
        <f t="shared" ca="1" si="15"/>
        <v>-2.5100242129097824E-2</v>
      </c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 spans="8:50" x14ac:dyDescent="0.25"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7">
        <f t="shared" ca="1" si="15"/>
        <v>5.6913744255630838E-4</v>
      </c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 spans="8:50" x14ac:dyDescent="0.25"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7">
        <f t="shared" ca="1" si="15"/>
        <v>-4.1484921989757104E-2</v>
      </c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 spans="8:50" x14ac:dyDescent="0.25"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7">
        <f t="shared" ca="1" si="15"/>
        <v>0.38157056105201725</v>
      </c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 spans="8:50" x14ac:dyDescent="0.25"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7">
        <f t="shared" ca="1" si="15"/>
        <v>4.9578245843574842E-2</v>
      </c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 spans="8:50" x14ac:dyDescent="0.25"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7">
        <f t="shared" ca="1" si="15"/>
        <v>0.36113641717148631</v>
      </c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 spans="8:50" x14ac:dyDescent="0.25"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7">
        <f t="shared" ca="1" si="15"/>
        <v>0.39731775843229084</v>
      </c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 spans="8:50" x14ac:dyDescent="0.25"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7">
        <f t="shared" ca="1" si="15"/>
        <v>0.14707138082623192</v>
      </c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 spans="8:50" x14ac:dyDescent="0.25"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7">
        <f t="shared" ca="1" si="15"/>
        <v>-2.3856731951683099E-2</v>
      </c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 spans="8:50" x14ac:dyDescent="0.25"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7">
        <f t="shared" ca="1" si="15"/>
        <v>-0.19147010816863064</v>
      </c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 spans="8:50" x14ac:dyDescent="0.25"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7">
        <f t="shared" ca="1" si="15"/>
        <v>-2.5964923461730946E-2</v>
      </c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 spans="8:50" x14ac:dyDescent="0.25"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7">
        <f t="shared" ca="1" si="15"/>
        <v>8.0224511637161489E-2</v>
      </c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 spans="8:50" x14ac:dyDescent="0.25"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7">
        <f t="shared" ca="1" si="15"/>
        <v>0.30823011893819763</v>
      </c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 spans="8:50" x14ac:dyDescent="0.25"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7">
        <f t="shared" ca="1" si="15"/>
        <v>7.2544092098196872E-2</v>
      </c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 spans="8:50" x14ac:dyDescent="0.25"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7">
        <f t="shared" ca="1" si="15"/>
        <v>-0.28178808538415506</v>
      </c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 spans="8:50" x14ac:dyDescent="0.25"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7">
        <f t="shared" ca="1" si="15"/>
        <v>-0.26764424788142799</v>
      </c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 spans="8:50" x14ac:dyDescent="0.25"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7">
        <f t="shared" ca="1" si="15"/>
        <v>-0.10145809512856184</v>
      </c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 spans="8:50" x14ac:dyDescent="0.25"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7">
        <f t="shared" ca="1" si="15"/>
        <v>0.15339447911534795</v>
      </c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 spans="8:50" x14ac:dyDescent="0.25"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7">
        <f t="shared" ca="1" si="15"/>
        <v>0.42144593760781179</v>
      </c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 spans="8:50" x14ac:dyDescent="0.25"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7">
        <f t="shared" ca="1" si="15"/>
        <v>0.15297998699823093</v>
      </c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 spans="8:50" x14ac:dyDescent="0.25"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7">
        <f t="shared" ca="1" si="15"/>
        <v>0.11996653052887137</v>
      </c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 spans="8:50" x14ac:dyDescent="0.25"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7">
        <f t="shared" ca="1" si="15"/>
        <v>0.36813211359404768</v>
      </c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  <row r="1004" spans="8:50" x14ac:dyDescent="0.25"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7">
        <f t="shared" ca="1" si="15"/>
        <v>0.39663732150960257</v>
      </c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</row>
    <row r="1005" spans="8:50" x14ac:dyDescent="0.25"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7">
        <f t="shared" ca="1" si="15"/>
        <v>-0.13137332110000183</v>
      </c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</row>
    <row r="1006" spans="8:50" x14ac:dyDescent="0.25"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7">
        <f t="shared" ca="1" si="15"/>
        <v>0.16803390002632007</v>
      </c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</row>
    <row r="1007" spans="8:50" x14ac:dyDescent="0.25"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7">
        <f t="shared" ca="1" si="15"/>
        <v>-0.16056168757766776</v>
      </c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</row>
    <row r="1008" spans="8:50" x14ac:dyDescent="0.25"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7">
        <f t="shared" ca="1" si="15"/>
        <v>1.6276703403694387E-2</v>
      </c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</row>
    <row r="1009" spans="8:50" x14ac:dyDescent="0.25"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7">
        <f t="shared" ca="1" si="15"/>
        <v>0.1703792342419474</v>
      </c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</row>
    <row r="1010" spans="8:50" x14ac:dyDescent="0.25"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7">
        <f t="shared" ca="1" si="15"/>
        <v>0.26136565553142116</v>
      </c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</row>
    <row r="1011" spans="8:50" x14ac:dyDescent="0.25"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7">
        <f t="shared" ca="1" si="15"/>
        <v>0.2975692644839143</v>
      </c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</row>
    <row r="1012" spans="8:50" x14ac:dyDescent="0.25"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7">
        <f t="shared" ca="1" si="15"/>
        <v>3.487755122893596E-2</v>
      </c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</row>
    <row r="1013" spans="8:50" x14ac:dyDescent="0.25"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7">
        <f t="shared" ca="1" si="15"/>
        <v>0.18381699451119596</v>
      </c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</row>
    <row r="1014" spans="8:50" x14ac:dyDescent="0.25"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7">
        <f t="shared" ca="1" si="15"/>
        <v>0.27034404731780942</v>
      </c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</row>
    <row r="1015" spans="8:50" x14ac:dyDescent="0.25"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7">
        <f t="shared" ca="1" si="15"/>
        <v>0.36722305737264616</v>
      </c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</row>
    <row r="1016" spans="8:50" x14ac:dyDescent="0.25"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7">
        <f t="shared" ca="1" si="15"/>
        <v>-0.1811781118456488</v>
      </c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</row>
    <row r="1017" spans="8:50" x14ac:dyDescent="0.25"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7">
        <f t="shared" ca="1" si="15"/>
        <v>9.5900423611697344E-2</v>
      </c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</row>
    <row r="1018" spans="8:50" x14ac:dyDescent="0.25"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7">
        <f t="shared" ca="1" si="15"/>
        <v>0.23087442146456238</v>
      </c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</row>
    <row r="1019" spans="8:50" x14ac:dyDescent="0.25"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7">
        <f t="shared" ca="1" si="15"/>
        <v>-5.1516676236427791E-2</v>
      </c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</row>
    <row r="1020" spans="8:50" x14ac:dyDescent="0.25"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7">
        <f t="shared" ca="1" si="15"/>
        <v>9.5714745142242708E-3</v>
      </c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</row>
    <row r="1021" spans="8:50" x14ac:dyDescent="0.25"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7">
        <f t="shared" ca="1" si="15"/>
        <v>-6.9836514838149191E-2</v>
      </c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</row>
    <row r="1022" spans="8:50" x14ac:dyDescent="0.25"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7">
        <f t="shared" ca="1" si="15"/>
        <v>0.18855499242130255</v>
      </c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</row>
    <row r="1023" spans="8:50" x14ac:dyDescent="0.25"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7">
        <f t="shared" ca="1" si="15"/>
        <v>-0.11982365655983605</v>
      </c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</row>
    <row r="1024" spans="8:50" x14ac:dyDescent="0.25"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7">
        <f t="shared" ca="1" si="15"/>
        <v>0.19729932042791037</v>
      </c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</row>
    <row r="1025" spans="8:50" x14ac:dyDescent="0.25"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7">
        <f t="shared" ca="1" si="15"/>
        <v>0.16953769034627608</v>
      </c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</row>
    <row r="1026" spans="8:50" x14ac:dyDescent="0.25"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7">
        <f t="shared" ca="1" si="15"/>
        <v>8.1203945569327252E-3</v>
      </c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</row>
    <row r="1027" spans="8:50" x14ac:dyDescent="0.25"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7">
        <f t="shared" ca="1" si="15"/>
        <v>0.44432132105976591</v>
      </c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</row>
    <row r="1028" spans="8:50" x14ac:dyDescent="0.25"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7">
        <f t="shared" ca="1" si="15"/>
        <v>0.25987889696219074</v>
      </c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</row>
    <row r="1029" spans="8:50" x14ac:dyDescent="0.25"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7">
        <f t="shared" ca="1" si="15"/>
        <v>0.27435144693188163</v>
      </c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</row>
    <row r="1030" spans="8:50" x14ac:dyDescent="0.25"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7">
        <f t="shared" ref="W1030:W1093" ca="1" si="16">+NORMINV(RAND(),$U$2,$U$3)</f>
        <v>0.33199844359579134</v>
      </c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</row>
    <row r="1031" spans="8:50" x14ac:dyDescent="0.25"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7">
        <f t="shared" ca="1" si="16"/>
        <v>0.33663071054242322</v>
      </c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</row>
    <row r="1032" spans="8:50" x14ac:dyDescent="0.25"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7">
        <f t="shared" ca="1" si="16"/>
        <v>-3.6510436723155307E-2</v>
      </c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</row>
    <row r="1033" spans="8:50" x14ac:dyDescent="0.25"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7">
        <f t="shared" ca="1" si="16"/>
        <v>-0.36616166852071108</v>
      </c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</row>
    <row r="1034" spans="8:50" x14ac:dyDescent="0.25"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7">
        <f t="shared" ca="1" si="16"/>
        <v>1.3436527335366072E-3</v>
      </c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</row>
    <row r="1035" spans="8:50" x14ac:dyDescent="0.25"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7">
        <f t="shared" ca="1" si="16"/>
        <v>2.8663789388359701E-3</v>
      </c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</row>
    <row r="1036" spans="8:50" x14ac:dyDescent="0.25"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7">
        <f t="shared" ca="1" si="16"/>
        <v>3.8503568235565305E-2</v>
      </c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</row>
    <row r="1037" spans="8:50" x14ac:dyDescent="0.25"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7">
        <f t="shared" ca="1" si="16"/>
        <v>0.24383422623687806</v>
      </c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</row>
    <row r="1038" spans="8:50" x14ac:dyDescent="0.25"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7">
        <f t="shared" ca="1" si="16"/>
        <v>0.22575197836562017</v>
      </c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</row>
    <row r="1039" spans="8:50" x14ac:dyDescent="0.25"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7">
        <f t="shared" ca="1" si="16"/>
        <v>2.8761278942399063E-2</v>
      </c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</row>
    <row r="1040" spans="8:50" x14ac:dyDescent="0.25"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7">
        <f t="shared" ca="1" si="16"/>
        <v>1.1850499602429732E-2</v>
      </c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</row>
    <row r="1041" spans="8:50" x14ac:dyDescent="0.25"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7">
        <f t="shared" ca="1" si="16"/>
        <v>-3.6862794798892831E-2</v>
      </c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</row>
    <row r="1042" spans="8:50" x14ac:dyDescent="0.25"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7">
        <f t="shared" ca="1" si="16"/>
        <v>0.43688277224359345</v>
      </c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</row>
    <row r="1043" spans="8:50" x14ac:dyDescent="0.25"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7">
        <f t="shared" ca="1" si="16"/>
        <v>0.19196171703341047</v>
      </c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</row>
    <row r="1044" spans="8:50" x14ac:dyDescent="0.25"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7">
        <f t="shared" ca="1" si="16"/>
        <v>0.27790956710799447</v>
      </c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</row>
    <row r="1045" spans="8:50" x14ac:dyDescent="0.25"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7">
        <f t="shared" ca="1" si="16"/>
        <v>0.17354176292956605</v>
      </c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</row>
    <row r="1046" spans="8:50" x14ac:dyDescent="0.25"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7">
        <f t="shared" ca="1" si="16"/>
        <v>0.12586364680708811</v>
      </c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</row>
    <row r="1047" spans="8:50" x14ac:dyDescent="0.25"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7">
        <f t="shared" ca="1" si="16"/>
        <v>0.21873889626396864</v>
      </c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</row>
    <row r="1048" spans="8:50" x14ac:dyDescent="0.25"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7">
        <f t="shared" ca="1" si="16"/>
        <v>0.18832301700654613</v>
      </c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</row>
    <row r="1049" spans="8:50" x14ac:dyDescent="0.25"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7">
        <f t="shared" ca="1" si="16"/>
        <v>4.9572052377393205E-4</v>
      </c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</row>
    <row r="1050" spans="8:50" x14ac:dyDescent="0.25"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7">
        <f t="shared" ca="1" si="16"/>
        <v>-1.7435173704399981E-3</v>
      </c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</row>
    <row r="1051" spans="8:50" x14ac:dyDescent="0.25"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7">
        <f t="shared" ca="1" si="16"/>
        <v>0.20413587796092811</v>
      </c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</row>
    <row r="1052" spans="8:50" x14ac:dyDescent="0.25"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7">
        <f t="shared" ca="1" si="16"/>
        <v>0.24335805370234387</v>
      </c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</row>
    <row r="1053" spans="8:50" x14ac:dyDescent="0.25"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7">
        <f t="shared" ca="1" si="16"/>
        <v>-1.1343583536041632E-2</v>
      </c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</row>
    <row r="1054" spans="8:50" x14ac:dyDescent="0.25"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7">
        <f t="shared" ca="1" si="16"/>
        <v>0.15545185750478832</v>
      </c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</row>
    <row r="1055" spans="8:50" x14ac:dyDescent="0.25"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7">
        <f t="shared" ca="1" si="16"/>
        <v>0.15699760569207988</v>
      </c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</row>
    <row r="1056" spans="8:50" x14ac:dyDescent="0.25"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7">
        <f t="shared" ca="1" si="16"/>
        <v>0.2544321281069476</v>
      </c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</row>
    <row r="1057" spans="8:50" x14ac:dyDescent="0.25"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7">
        <f t="shared" ca="1" si="16"/>
        <v>-5.9038308508227041E-2</v>
      </c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</row>
    <row r="1058" spans="8:50" x14ac:dyDescent="0.25"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7">
        <f t="shared" ca="1" si="16"/>
        <v>7.4726282412333533E-2</v>
      </c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</row>
    <row r="1059" spans="8:50" x14ac:dyDescent="0.25"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7">
        <f t="shared" ca="1" si="16"/>
        <v>0.33370434898818319</v>
      </c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</row>
    <row r="1060" spans="8:50" x14ac:dyDescent="0.25"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7">
        <f t="shared" ca="1" si="16"/>
        <v>0.13235320964345901</v>
      </c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</row>
    <row r="1061" spans="8:50" x14ac:dyDescent="0.25"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7">
        <f t="shared" ca="1" si="16"/>
        <v>0.11241953508134608</v>
      </c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</row>
    <row r="1062" spans="8:50" x14ac:dyDescent="0.25"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7">
        <f t="shared" ca="1" si="16"/>
        <v>0.19898141850062503</v>
      </c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</row>
    <row r="1063" spans="8:50" x14ac:dyDescent="0.25"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7">
        <f t="shared" ca="1" si="16"/>
        <v>4.8818656515873374E-2</v>
      </c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</row>
    <row r="1064" spans="8:50" x14ac:dyDescent="0.25"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7">
        <f t="shared" ca="1" si="16"/>
        <v>0.38204961006711724</v>
      </c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</row>
    <row r="1065" spans="8:50" x14ac:dyDescent="0.25"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7">
        <f t="shared" ca="1" si="16"/>
        <v>0.31382022273891402</v>
      </c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</row>
    <row r="1066" spans="8:50" x14ac:dyDescent="0.25"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7">
        <f t="shared" ca="1" si="16"/>
        <v>0.24522308852413954</v>
      </c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</row>
    <row r="1067" spans="8:50" x14ac:dyDescent="0.25"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7">
        <f t="shared" ca="1" si="16"/>
        <v>9.9182891576422072E-2</v>
      </c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</row>
    <row r="1068" spans="8:50" x14ac:dyDescent="0.25"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7">
        <f t="shared" ca="1" si="16"/>
        <v>0.1840702998724765</v>
      </c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</row>
    <row r="1069" spans="8:50" x14ac:dyDescent="0.25"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7">
        <f t="shared" ca="1" si="16"/>
        <v>-0.11563965337981059</v>
      </c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</row>
    <row r="1070" spans="8:50" x14ac:dyDescent="0.25"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7">
        <f t="shared" ca="1" si="16"/>
        <v>0.22518478977012457</v>
      </c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</row>
    <row r="1071" spans="8:50" x14ac:dyDescent="0.25"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7">
        <f t="shared" ca="1" si="16"/>
        <v>0.3445509413638877</v>
      </c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</row>
    <row r="1072" spans="8:50" x14ac:dyDescent="0.25"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7">
        <f t="shared" ca="1" si="16"/>
        <v>-1.4623997075379855E-2</v>
      </c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</row>
    <row r="1073" spans="8:50" x14ac:dyDescent="0.25"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7">
        <f t="shared" ca="1" si="16"/>
        <v>-0.17603093589978891</v>
      </c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</row>
    <row r="1074" spans="8:50" x14ac:dyDescent="0.25"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7">
        <f t="shared" ca="1" si="16"/>
        <v>0.14710581738671402</v>
      </c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</row>
    <row r="1075" spans="8:50" x14ac:dyDescent="0.25"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7">
        <f t="shared" ca="1" si="16"/>
        <v>0.40354660427756195</v>
      </c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</row>
    <row r="1076" spans="8:50" x14ac:dyDescent="0.25"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7">
        <f t="shared" ca="1" si="16"/>
        <v>0.24237963280340502</v>
      </c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</row>
    <row r="1077" spans="8:50" x14ac:dyDescent="0.25"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7">
        <f t="shared" ca="1" si="16"/>
        <v>4.9281418961766674E-2</v>
      </c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</row>
    <row r="1078" spans="8:50" x14ac:dyDescent="0.25"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7">
        <f t="shared" ca="1" si="16"/>
        <v>0.27476199211266683</v>
      </c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</row>
    <row r="1079" spans="8:50" x14ac:dyDescent="0.25"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7">
        <f t="shared" ca="1" si="16"/>
        <v>0.48689640695710856</v>
      </c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</row>
    <row r="1080" spans="8:50" x14ac:dyDescent="0.25"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7">
        <f t="shared" ca="1" si="16"/>
        <v>-5.5285445782296896E-2</v>
      </c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</row>
    <row r="1081" spans="8:50" x14ac:dyDescent="0.25"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7">
        <f t="shared" ca="1" si="16"/>
        <v>0.24762196080896043</v>
      </c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</row>
    <row r="1082" spans="8:50" x14ac:dyDescent="0.25"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7">
        <f t="shared" ca="1" si="16"/>
        <v>0.28345137312416679</v>
      </c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</row>
    <row r="1083" spans="8:50" x14ac:dyDescent="0.25"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7">
        <f t="shared" ca="1" si="16"/>
        <v>7.8503185728460545E-2</v>
      </c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</row>
    <row r="1084" spans="8:50" x14ac:dyDescent="0.25"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7">
        <f t="shared" ca="1" si="16"/>
        <v>0.50490551665487238</v>
      </c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</row>
    <row r="1085" spans="8:50" x14ac:dyDescent="0.25"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7">
        <f t="shared" ca="1" si="16"/>
        <v>0.2806309733551578</v>
      </c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</row>
    <row r="1086" spans="8:50" x14ac:dyDescent="0.25"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7">
        <f t="shared" ca="1" si="16"/>
        <v>-0.10818842826071652</v>
      </c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</row>
    <row r="1087" spans="8:50" x14ac:dyDescent="0.25"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7">
        <f t="shared" ca="1" si="16"/>
        <v>-5.1670438666687468E-3</v>
      </c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</row>
    <row r="1088" spans="8:50" x14ac:dyDescent="0.25"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7">
        <f t="shared" ca="1" si="16"/>
        <v>0.27109495782949888</v>
      </c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</row>
    <row r="1089" spans="8:50" x14ac:dyDescent="0.25"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7">
        <f t="shared" ca="1" si="16"/>
        <v>3.7834215082964834E-2</v>
      </c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</row>
    <row r="1090" spans="8:50" x14ac:dyDescent="0.25"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7">
        <f t="shared" ca="1" si="16"/>
        <v>0.20922163850210512</v>
      </c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</row>
    <row r="1091" spans="8:50" x14ac:dyDescent="0.25"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7">
        <f t="shared" ca="1" si="16"/>
        <v>8.8463863207646168E-2</v>
      </c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</row>
    <row r="1092" spans="8:50" x14ac:dyDescent="0.25"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7">
        <f t="shared" ca="1" si="16"/>
        <v>-8.5703424127507685E-2</v>
      </c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</row>
    <row r="1093" spans="8:50" x14ac:dyDescent="0.25"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7">
        <f t="shared" ca="1" si="16"/>
        <v>-4.6272600699160796E-2</v>
      </c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</row>
    <row r="1094" spans="8:50" x14ac:dyDescent="0.25"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7">
        <f t="shared" ref="W1094:W1157" ca="1" si="17">+NORMINV(RAND(),$U$2,$U$3)</f>
        <v>-2.71358160652687E-2</v>
      </c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</row>
    <row r="1095" spans="8:50" x14ac:dyDescent="0.25"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7">
        <f t="shared" ca="1" si="17"/>
        <v>0.13106397547891724</v>
      </c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</row>
    <row r="1096" spans="8:50" x14ac:dyDescent="0.25"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7">
        <f t="shared" ca="1" si="17"/>
        <v>-6.518843895269362E-2</v>
      </c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</row>
    <row r="1097" spans="8:50" x14ac:dyDescent="0.25"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7">
        <f t="shared" ca="1" si="17"/>
        <v>3.329780727769753E-2</v>
      </c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</row>
    <row r="1098" spans="8:50" x14ac:dyDescent="0.25"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7">
        <f t="shared" ca="1" si="17"/>
        <v>0.3297896682261276</v>
      </c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</row>
    <row r="1099" spans="8:50" x14ac:dyDescent="0.25"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7">
        <f t="shared" ca="1" si="17"/>
        <v>0.25627307942699212</v>
      </c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</row>
    <row r="1100" spans="8:50" x14ac:dyDescent="0.25"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7">
        <f t="shared" ca="1" si="17"/>
        <v>9.6856480968195394E-2</v>
      </c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</row>
    <row r="1101" spans="8:50" x14ac:dyDescent="0.25"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7">
        <f t="shared" ca="1" si="17"/>
        <v>0.16591110978047052</v>
      </c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</row>
    <row r="1102" spans="8:50" x14ac:dyDescent="0.25"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7">
        <f t="shared" ca="1" si="17"/>
        <v>0.1627959504701533</v>
      </c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</row>
    <row r="1103" spans="8:50" x14ac:dyDescent="0.25"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7">
        <f t="shared" ca="1" si="17"/>
        <v>0.21639894975660928</v>
      </c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</row>
    <row r="1104" spans="8:50" x14ac:dyDescent="0.25"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7">
        <f t="shared" ca="1" si="17"/>
        <v>-8.4426456809368347E-2</v>
      </c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</row>
    <row r="1105" spans="8:50" x14ac:dyDescent="0.25"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7">
        <f t="shared" ca="1" si="17"/>
        <v>-5.8868049807163189E-2</v>
      </c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</row>
    <row r="1106" spans="8:50" x14ac:dyDescent="0.25"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7">
        <f t="shared" ca="1" si="17"/>
        <v>-1.8828478308370603E-2</v>
      </c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</row>
    <row r="1107" spans="8:50" x14ac:dyDescent="0.25"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7">
        <f t="shared" ca="1" si="17"/>
        <v>0.5776796930921172</v>
      </c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</row>
    <row r="1108" spans="8:50" x14ac:dyDescent="0.25"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7">
        <f t="shared" ca="1" si="17"/>
        <v>0.13159343572709487</v>
      </c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</row>
    <row r="1109" spans="8:50" x14ac:dyDescent="0.25"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7">
        <f t="shared" ca="1" si="17"/>
        <v>5.7798071210819091E-2</v>
      </c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</row>
    <row r="1110" spans="8:50" x14ac:dyDescent="0.25"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7">
        <f t="shared" ca="1" si="17"/>
        <v>0.11863573280611496</v>
      </c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</row>
    <row r="1111" spans="8:50" x14ac:dyDescent="0.25"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7">
        <f t="shared" ca="1" si="17"/>
        <v>-3.0703362278276872E-2</v>
      </c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</row>
    <row r="1112" spans="8:50" x14ac:dyDescent="0.25"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7">
        <f t="shared" ca="1" si="17"/>
        <v>0.25459272739899946</v>
      </c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</row>
    <row r="1113" spans="8:50" x14ac:dyDescent="0.25"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7">
        <f t="shared" ca="1" si="17"/>
        <v>9.7047213108158045E-2</v>
      </c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</row>
    <row r="1114" spans="8:50" x14ac:dyDescent="0.25"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7">
        <f t="shared" ca="1" si="17"/>
        <v>0.40983997940948647</v>
      </c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</row>
    <row r="1115" spans="8:50" x14ac:dyDescent="0.25"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7">
        <f t="shared" ca="1" si="17"/>
        <v>0.10550541392156425</v>
      </c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</row>
    <row r="1116" spans="8:50" x14ac:dyDescent="0.25"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7">
        <f t="shared" ca="1" si="17"/>
        <v>-6.2413580610884076E-2</v>
      </c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</row>
    <row r="1117" spans="8:50" x14ac:dyDescent="0.25"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7">
        <f t="shared" ca="1" si="17"/>
        <v>0.17377748670119658</v>
      </c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</row>
    <row r="1118" spans="8:50" x14ac:dyDescent="0.25"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7">
        <f t="shared" ca="1" si="17"/>
        <v>-3.4304025983265166E-2</v>
      </c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</row>
    <row r="1119" spans="8:50" x14ac:dyDescent="0.25"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7">
        <f t="shared" ca="1" si="17"/>
        <v>-9.2386540250965002E-2</v>
      </c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</row>
    <row r="1120" spans="8:50" x14ac:dyDescent="0.25"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7">
        <f t="shared" ca="1" si="17"/>
        <v>-0.10274433580167459</v>
      </c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</row>
    <row r="1121" spans="8:50" x14ac:dyDescent="0.25"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7">
        <f t="shared" ca="1" si="17"/>
        <v>0.14095666808029678</v>
      </c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</row>
    <row r="1122" spans="8:50" x14ac:dyDescent="0.25"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7">
        <f t="shared" ca="1" si="17"/>
        <v>9.4244872464935958E-2</v>
      </c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</row>
    <row r="1123" spans="8:50" x14ac:dyDescent="0.25"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7">
        <f t="shared" ca="1" si="17"/>
        <v>8.568800773537126E-2</v>
      </c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</row>
    <row r="1124" spans="8:50" x14ac:dyDescent="0.25"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7">
        <f t="shared" ca="1" si="17"/>
        <v>9.7831669911081082E-3</v>
      </c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</row>
    <row r="1125" spans="8:50" x14ac:dyDescent="0.25"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7">
        <f t="shared" ca="1" si="17"/>
        <v>4.5102776048053558E-2</v>
      </c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</row>
    <row r="1126" spans="8:50" x14ac:dyDescent="0.25"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7">
        <f t="shared" ca="1" si="17"/>
        <v>-0.19246008661019148</v>
      </c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</row>
    <row r="1127" spans="8:50" x14ac:dyDescent="0.25"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7">
        <f t="shared" ca="1" si="17"/>
        <v>7.9020598330022188E-2</v>
      </c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</row>
    <row r="1128" spans="8:50" x14ac:dyDescent="0.25"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7">
        <f t="shared" ca="1" si="17"/>
        <v>-9.1061721957459721E-2</v>
      </c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</row>
    <row r="1129" spans="8:50" x14ac:dyDescent="0.25"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7">
        <f t="shared" ca="1" si="17"/>
        <v>0.31721183609244608</v>
      </c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</row>
    <row r="1130" spans="8:50" x14ac:dyDescent="0.25"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7">
        <f t="shared" ca="1" si="17"/>
        <v>0.18063234785881618</v>
      </c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</row>
    <row r="1131" spans="8:50" x14ac:dyDescent="0.25"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7">
        <f t="shared" ca="1" si="17"/>
        <v>8.2820495424684143E-2</v>
      </c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</row>
    <row r="1132" spans="8:50" x14ac:dyDescent="0.25"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7">
        <f t="shared" ca="1" si="17"/>
        <v>3.3310983067625907E-2</v>
      </c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</row>
    <row r="1133" spans="8:50" x14ac:dyDescent="0.25"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7">
        <f t="shared" ca="1" si="17"/>
        <v>0.29162878923743457</v>
      </c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</row>
    <row r="1134" spans="8:50" x14ac:dyDescent="0.25"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7">
        <f t="shared" ca="1" si="17"/>
        <v>0.25951678738815903</v>
      </c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</row>
    <row r="1135" spans="8:50" x14ac:dyDescent="0.25"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7">
        <f t="shared" ca="1" si="17"/>
        <v>0.21762543259633421</v>
      </c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</row>
    <row r="1136" spans="8:50" x14ac:dyDescent="0.25"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7">
        <f t="shared" ca="1" si="17"/>
        <v>0.30282740279265941</v>
      </c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</row>
    <row r="1137" spans="8:50" x14ac:dyDescent="0.25"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7">
        <f t="shared" ca="1" si="17"/>
        <v>0.15023462649604269</v>
      </c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</row>
    <row r="1138" spans="8:50" x14ac:dyDescent="0.25"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7">
        <f t="shared" ca="1" si="17"/>
        <v>0.24026184586610377</v>
      </c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</row>
    <row r="1139" spans="8:50" x14ac:dyDescent="0.25"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7">
        <f t="shared" ca="1" si="17"/>
        <v>0.12699545945326568</v>
      </c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</row>
    <row r="1140" spans="8:50" x14ac:dyDescent="0.25"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7">
        <f t="shared" ca="1" si="17"/>
        <v>-2.2694188823766934E-2</v>
      </c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</row>
    <row r="1141" spans="8:50" x14ac:dyDescent="0.25"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7">
        <f t="shared" ca="1" si="17"/>
        <v>0.24160534460689981</v>
      </c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</row>
    <row r="1142" spans="8:50" x14ac:dyDescent="0.25"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7">
        <f t="shared" ca="1" si="17"/>
        <v>0.26254653479432405</v>
      </c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</row>
    <row r="1143" spans="8:50" x14ac:dyDescent="0.25"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7">
        <f t="shared" ca="1" si="17"/>
        <v>-0.29267787838556275</v>
      </c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</row>
    <row r="1144" spans="8:50" x14ac:dyDescent="0.25"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7">
        <f t="shared" ca="1" si="17"/>
        <v>0.32464263599091275</v>
      </c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</row>
    <row r="1145" spans="8:50" x14ac:dyDescent="0.25"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7">
        <f t="shared" ca="1" si="17"/>
        <v>-0.10663177922139407</v>
      </c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</row>
    <row r="1146" spans="8:50" x14ac:dyDescent="0.25"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7">
        <f t="shared" ca="1" si="17"/>
        <v>3.0080867826528926E-2</v>
      </c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</row>
    <row r="1147" spans="8:50" x14ac:dyDescent="0.25"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7">
        <f t="shared" ca="1" si="17"/>
        <v>0.16708653990982711</v>
      </c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</row>
    <row r="1148" spans="8:50" x14ac:dyDescent="0.25"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7">
        <f t="shared" ca="1" si="17"/>
        <v>0.20718331770879855</v>
      </c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</row>
    <row r="1149" spans="8:50" x14ac:dyDescent="0.25"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7">
        <f t="shared" ca="1" si="17"/>
        <v>-0.37294888950420213</v>
      </c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</row>
    <row r="1150" spans="8:50" x14ac:dyDescent="0.25"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7">
        <f t="shared" ca="1" si="17"/>
        <v>0.17564379461493226</v>
      </c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</row>
    <row r="1151" spans="8:50" x14ac:dyDescent="0.25"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7">
        <f t="shared" ca="1" si="17"/>
        <v>-0.15273059153301438</v>
      </c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</row>
    <row r="1152" spans="8:50" x14ac:dyDescent="0.25"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7">
        <f t="shared" ca="1" si="17"/>
        <v>5.6608756596785478E-2</v>
      </c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</row>
    <row r="1153" spans="8:50" x14ac:dyDescent="0.25"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7">
        <f t="shared" ca="1" si="17"/>
        <v>0.16258022977291761</v>
      </c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</row>
    <row r="1154" spans="8:50" x14ac:dyDescent="0.25"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7">
        <f t="shared" ca="1" si="17"/>
        <v>0.11520164539153968</v>
      </c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</row>
    <row r="1155" spans="8:50" x14ac:dyDescent="0.25"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7">
        <f t="shared" ca="1" si="17"/>
        <v>0.40094642131071412</v>
      </c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</row>
    <row r="1156" spans="8:50" x14ac:dyDescent="0.25"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7">
        <f t="shared" ca="1" si="17"/>
        <v>-0.25240997998954051</v>
      </c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</row>
    <row r="1157" spans="8:50" x14ac:dyDescent="0.25"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7">
        <f t="shared" ca="1" si="17"/>
        <v>-2.9032750410129052E-2</v>
      </c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</row>
    <row r="1158" spans="8:50" x14ac:dyDescent="0.25"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7">
        <f t="shared" ref="W1158:W1221" ca="1" si="18">+NORMINV(RAND(),$U$2,$U$3)</f>
        <v>1.2135539705167384E-2</v>
      </c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</row>
    <row r="1159" spans="8:50" x14ac:dyDescent="0.25"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7">
        <f t="shared" ca="1" si="18"/>
        <v>0.24667241245306942</v>
      </c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</row>
    <row r="1160" spans="8:50" x14ac:dyDescent="0.25"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7">
        <f t="shared" ca="1" si="18"/>
        <v>0.3682455591262318</v>
      </c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</row>
    <row r="1161" spans="8:50" x14ac:dyDescent="0.25"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7">
        <f t="shared" ca="1" si="18"/>
        <v>0.44442552449885425</v>
      </c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</row>
    <row r="1162" spans="8:50" x14ac:dyDescent="0.25"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7">
        <f t="shared" ca="1" si="18"/>
        <v>0.23196960251270982</v>
      </c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</row>
    <row r="1163" spans="8:50" x14ac:dyDescent="0.25"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7">
        <f t="shared" ca="1" si="18"/>
        <v>-3.5215550488705186E-2</v>
      </c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</row>
    <row r="1164" spans="8:50" x14ac:dyDescent="0.25"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7">
        <f t="shared" ca="1" si="18"/>
        <v>0.20285958334540746</v>
      </c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</row>
    <row r="1165" spans="8:50" x14ac:dyDescent="0.25"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7">
        <f t="shared" ca="1" si="18"/>
        <v>0.35567490699277221</v>
      </c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</row>
    <row r="1166" spans="8:50" x14ac:dyDescent="0.25"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7">
        <f t="shared" ca="1" si="18"/>
        <v>2.3341386945323866E-2</v>
      </c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</row>
    <row r="1167" spans="8:50" x14ac:dyDescent="0.25"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7">
        <f t="shared" ca="1" si="18"/>
        <v>0.21542370172564018</v>
      </c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</row>
    <row r="1168" spans="8:50" x14ac:dyDescent="0.25"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7">
        <f t="shared" ca="1" si="18"/>
        <v>-0.12136642499243298</v>
      </c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</row>
    <row r="1169" spans="8:50" x14ac:dyDescent="0.25"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7">
        <f t="shared" ca="1" si="18"/>
        <v>0.13958460126800579</v>
      </c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</row>
    <row r="1170" spans="8:50" x14ac:dyDescent="0.25"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7">
        <f t="shared" ca="1" si="18"/>
        <v>0.10464780116082797</v>
      </c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</row>
    <row r="1171" spans="8:50" x14ac:dyDescent="0.25"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7">
        <f t="shared" ca="1" si="18"/>
        <v>-0.11170875668849513</v>
      </c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</row>
    <row r="1172" spans="8:50" x14ac:dyDescent="0.25"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7">
        <f t="shared" ca="1" si="18"/>
        <v>-6.0820464235504787E-2</v>
      </c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</row>
    <row r="1173" spans="8:50" x14ac:dyDescent="0.25"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7">
        <f t="shared" ca="1" si="18"/>
        <v>-0.11411311381520327</v>
      </c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</row>
    <row r="1174" spans="8:50" x14ac:dyDescent="0.25"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7">
        <f t="shared" ca="1" si="18"/>
        <v>0.21324549428912104</v>
      </c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</row>
    <row r="1175" spans="8:50" x14ac:dyDescent="0.25"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7">
        <f t="shared" ca="1" si="18"/>
        <v>7.8819778222574466E-2</v>
      </c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</row>
    <row r="1176" spans="8:50" x14ac:dyDescent="0.25"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7">
        <f t="shared" ca="1" si="18"/>
        <v>-5.860232921808288E-2</v>
      </c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</row>
    <row r="1177" spans="8:50" x14ac:dyDescent="0.25"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7">
        <f t="shared" ca="1" si="18"/>
        <v>8.2355875043440663E-2</v>
      </c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</row>
    <row r="1178" spans="8:50" x14ac:dyDescent="0.25"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7">
        <f t="shared" ca="1" si="18"/>
        <v>0.18004417619108337</v>
      </c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</row>
    <row r="1179" spans="8:50" x14ac:dyDescent="0.25"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7">
        <f t="shared" ca="1" si="18"/>
        <v>0.57837330013213561</v>
      </c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</row>
    <row r="1180" spans="8:50" x14ac:dyDescent="0.25"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7">
        <f t="shared" ca="1" si="18"/>
        <v>0.29236760438789156</v>
      </c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</row>
    <row r="1181" spans="8:50" x14ac:dyDescent="0.25"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7">
        <f t="shared" ca="1" si="18"/>
        <v>7.1459083027870268E-2</v>
      </c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</row>
    <row r="1182" spans="8:50" x14ac:dyDescent="0.25"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7">
        <f t="shared" ca="1" si="18"/>
        <v>-0.21355346923689383</v>
      </c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</row>
    <row r="1183" spans="8:50" x14ac:dyDescent="0.25"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7">
        <f t="shared" ca="1" si="18"/>
        <v>0.17831574825434282</v>
      </c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</row>
    <row r="1184" spans="8:50" x14ac:dyDescent="0.25"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7">
        <f t="shared" ca="1" si="18"/>
        <v>0.38918584454885286</v>
      </c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</row>
    <row r="1185" spans="8:50" x14ac:dyDescent="0.25"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7">
        <f t="shared" ca="1" si="18"/>
        <v>0.22845985864080157</v>
      </c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</row>
    <row r="1186" spans="8:50" x14ac:dyDescent="0.25"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7">
        <f t="shared" ca="1" si="18"/>
        <v>0.20397440213652687</v>
      </c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</row>
    <row r="1187" spans="8:50" x14ac:dyDescent="0.25"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7">
        <f t="shared" ca="1" si="18"/>
        <v>0.13748829753696126</v>
      </c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</row>
    <row r="1188" spans="8:50" x14ac:dyDescent="0.25"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7">
        <f t="shared" ca="1" si="18"/>
        <v>0.38161833578529192</v>
      </c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</row>
    <row r="1189" spans="8:50" x14ac:dyDescent="0.25"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7">
        <f t="shared" ca="1" si="18"/>
        <v>0.25930702164694641</v>
      </c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</row>
    <row r="1190" spans="8:50" x14ac:dyDescent="0.25"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7">
        <f t="shared" ca="1" si="18"/>
        <v>-2.0784888770260537E-2</v>
      </c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</row>
    <row r="1191" spans="8:50" x14ac:dyDescent="0.25"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7">
        <f t="shared" ca="1" si="18"/>
        <v>0.1780257004379146</v>
      </c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</row>
    <row r="1192" spans="8:50" x14ac:dyDescent="0.25"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7">
        <f t="shared" ca="1" si="18"/>
        <v>0.3208987801511845</v>
      </c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</row>
    <row r="1193" spans="8:50" x14ac:dyDescent="0.25"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7">
        <f t="shared" ca="1" si="18"/>
        <v>0.24948598172367864</v>
      </c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</row>
    <row r="1194" spans="8:50" x14ac:dyDescent="0.25"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7">
        <f t="shared" ca="1" si="18"/>
        <v>0.13741353761353001</v>
      </c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</row>
    <row r="1195" spans="8:50" x14ac:dyDescent="0.25"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7">
        <f t="shared" ca="1" si="18"/>
        <v>-9.5016330946633101E-2</v>
      </c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</row>
    <row r="1196" spans="8:50" x14ac:dyDescent="0.25"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7">
        <f t="shared" ca="1" si="18"/>
        <v>0.26763022407926634</v>
      </c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</row>
    <row r="1197" spans="8:50" x14ac:dyDescent="0.25"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7">
        <f t="shared" ca="1" si="18"/>
        <v>9.3629641118700313E-2</v>
      </c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</row>
    <row r="1198" spans="8:50" x14ac:dyDescent="0.25"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7">
        <f t="shared" ca="1" si="18"/>
        <v>0.11592534634182278</v>
      </c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</row>
    <row r="1199" spans="8:50" x14ac:dyDescent="0.25"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7">
        <f t="shared" ca="1" si="18"/>
        <v>0.10434998438134338</v>
      </c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</row>
    <row r="1200" spans="8:50" x14ac:dyDescent="0.25"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7">
        <f t="shared" ca="1" si="18"/>
        <v>4.3570269303938744E-2</v>
      </c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</row>
    <row r="1201" spans="8:50" x14ac:dyDescent="0.25"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7">
        <f t="shared" ca="1" si="18"/>
        <v>0.36186659180458924</v>
      </c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</row>
    <row r="1202" spans="8:50" x14ac:dyDescent="0.25"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7">
        <f t="shared" ca="1" si="18"/>
        <v>0.2667924237355534</v>
      </c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</row>
    <row r="1203" spans="8:50" x14ac:dyDescent="0.25"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7">
        <f t="shared" ca="1" si="18"/>
        <v>2.6473811773564088E-2</v>
      </c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</row>
    <row r="1204" spans="8:50" x14ac:dyDescent="0.25"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7">
        <f t="shared" ca="1" si="18"/>
        <v>0.22048521552937358</v>
      </c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</row>
    <row r="1205" spans="8:50" x14ac:dyDescent="0.25"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7">
        <f t="shared" ca="1" si="18"/>
        <v>0.26832169765047797</v>
      </c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</row>
    <row r="1206" spans="8:50" x14ac:dyDescent="0.25"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7">
        <f t="shared" ca="1" si="18"/>
        <v>-2.5159880388772912E-2</v>
      </c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</row>
    <row r="1207" spans="8:50" x14ac:dyDescent="0.25"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7">
        <f t="shared" ca="1" si="18"/>
        <v>0.16385861057982121</v>
      </c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</row>
    <row r="1208" spans="8:50" x14ac:dyDescent="0.25"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7">
        <f t="shared" ca="1" si="18"/>
        <v>0.63656233851677779</v>
      </c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</row>
    <row r="1209" spans="8:50" x14ac:dyDescent="0.25"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7">
        <f t="shared" ca="1" si="18"/>
        <v>-3.4979538415010406E-2</v>
      </c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</row>
    <row r="1210" spans="8:50" x14ac:dyDescent="0.25"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7">
        <f t="shared" ca="1" si="18"/>
        <v>0.37010229448176402</v>
      </c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</row>
    <row r="1211" spans="8:50" x14ac:dyDescent="0.25"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7">
        <f t="shared" ca="1" si="18"/>
        <v>-0.25319016203478895</v>
      </c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</row>
    <row r="1212" spans="8:50" x14ac:dyDescent="0.25"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7">
        <f t="shared" ca="1" si="18"/>
        <v>1.7701133791252918E-2</v>
      </c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</row>
    <row r="1213" spans="8:50" x14ac:dyDescent="0.25"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7">
        <f t="shared" ca="1" si="18"/>
        <v>-6.3042674790412576E-2</v>
      </c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</row>
    <row r="1214" spans="8:50" x14ac:dyDescent="0.25"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7">
        <f t="shared" ca="1" si="18"/>
        <v>-0.25251120408623023</v>
      </c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</row>
    <row r="1215" spans="8:50" x14ac:dyDescent="0.25"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7">
        <f t="shared" ca="1" si="18"/>
        <v>-0.1218990936137075</v>
      </c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</row>
    <row r="1216" spans="8:50" x14ac:dyDescent="0.25"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7">
        <f t="shared" ca="1" si="18"/>
        <v>0.15402765596281309</v>
      </c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</row>
    <row r="1217" spans="8:50" x14ac:dyDescent="0.25"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7">
        <f t="shared" ca="1" si="18"/>
        <v>-9.2971445821333584E-2</v>
      </c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</row>
    <row r="1218" spans="8:50" x14ac:dyDescent="0.25"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7">
        <f t="shared" ca="1" si="18"/>
        <v>-2.6890743073707327E-2</v>
      </c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</row>
    <row r="1219" spans="8:50" x14ac:dyDescent="0.25"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7">
        <f t="shared" ca="1" si="18"/>
        <v>0.3851995668566941</v>
      </c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</row>
    <row r="1220" spans="8:50" x14ac:dyDescent="0.25"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7">
        <f t="shared" ca="1" si="18"/>
        <v>-0.22237061283600817</v>
      </c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</row>
    <row r="1221" spans="8:50" x14ac:dyDescent="0.25"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7">
        <f t="shared" ca="1" si="18"/>
        <v>-7.0941955732086628E-2</v>
      </c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</row>
    <row r="1222" spans="8:50" x14ac:dyDescent="0.25"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7">
        <f t="shared" ref="W1222:W1285" ca="1" si="19">+NORMINV(RAND(),$U$2,$U$3)</f>
        <v>-4.9094297298441433E-2</v>
      </c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</row>
    <row r="1223" spans="8:50" x14ac:dyDescent="0.25"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7">
        <f t="shared" ca="1" si="19"/>
        <v>0.43570078618647362</v>
      </c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</row>
    <row r="1224" spans="8:50" x14ac:dyDescent="0.25"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7">
        <f t="shared" ca="1" si="19"/>
        <v>0.1307035090528294</v>
      </c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</row>
    <row r="1225" spans="8:50" x14ac:dyDescent="0.25"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7">
        <f t="shared" ca="1" si="19"/>
        <v>-3.6838902130526416E-2</v>
      </c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</row>
    <row r="1226" spans="8:50" x14ac:dyDescent="0.25"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7">
        <f t="shared" ca="1" si="19"/>
        <v>-9.6982980537360527E-2</v>
      </c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</row>
    <row r="1227" spans="8:50" x14ac:dyDescent="0.25"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7">
        <f t="shared" ca="1" si="19"/>
        <v>0.26115073651434195</v>
      </c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</row>
    <row r="1228" spans="8:50" x14ac:dyDescent="0.25"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7">
        <f t="shared" ca="1" si="19"/>
        <v>0.20928320890005189</v>
      </c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</row>
    <row r="1229" spans="8:50" x14ac:dyDescent="0.25"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7">
        <f t="shared" ca="1" si="19"/>
        <v>0.1165067224517929</v>
      </c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</row>
    <row r="1230" spans="8:50" x14ac:dyDescent="0.25"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7">
        <f t="shared" ca="1" si="19"/>
        <v>-0.26520483211476492</v>
      </c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</row>
    <row r="1231" spans="8:50" x14ac:dyDescent="0.25"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7">
        <f t="shared" ca="1" si="19"/>
        <v>0.26460139933604299</v>
      </c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</row>
    <row r="1232" spans="8:50" x14ac:dyDescent="0.25"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7">
        <f t="shared" ca="1" si="19"/>
        <v>0.11774934627845247</v>
      </c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</row>
    <row r="1233" spans="8:50" x14ac:dyDescent="0.25"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7">
        <f t="shared" ca="1" si="19"/>
        <v>-9.2628709015324232E-2</v>
      </c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</row>
    <row r="1234" spans="8:50" x14ac:dyDescent="0.25"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7">
        <f t="shared" ca="1" si="19"/>
        <v>-1.3037509921743254E-2</v>
      </c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</row>
    <row r="1235" spans="8:50" x14ac:dyDescent="0.25"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7">
        <f t="shared" ca="1" si="19"/>
        <v>0.1366258240988103</v>
      </c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</row>
    <row r="1236" spans="8:50" x14ac:dyDescent="0.25"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7">
        <f t="shared" ca="1" si="19"/>
        <v>6.5204641118176254E-2</v>
      </c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</row>
    <row r="1237" spans="8:50" x14ac:dyDescent="0.25"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7">
        <f t="shared" ca="1" si="19"/>
        <v>0.3850449426163518</v>
      </c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</row>
    <row r="1238" spans="8:50" x14ac:dyDescent="0.25"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7">
        <f t="shared" ca="1" si="19"/>
        <v>-0.15834603461807512</v>
      </c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</row>
    <row r="1239" spans="8:50" x14ac:dyDescent="0.25"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7">
        <f t="shared" ca="1" si="19"/>
        <v>0.16458726672246121</v>
      </c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</row>
    <row r="1240" spans="8:50" x14ac:dyDescent="0.25"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7">
        <f t="shared" ca="1" si="19"/>
        <v>0.14118456121228118</v>
      </c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</row>
    <row r="1241" spans="8:50" x14ac:dyDescent="0.25"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7">
        <f t="shared" ca="1" si="19"/>
        <v>3.2544976910507784E-2</v>
      </c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</row>
    <row r="1242" spans="8:50" x14ac:dyDescent="0.25"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7">
        <f t="shared" ca="1" si="19"/>
        <v>-8.3703271991408881E-2</v>
      </c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</row>
    <row r="1243" spans="8:50" x14ac:dyDescent="0.25"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7">
        <f t="shared" ca="1" si="19"/>
        <v>0.24185265135032613</v>
      </c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</row>
    <row r="1244" spans="8:50" x14ac:dyDescent="0.25"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7">
        <f t="shared" ca="1" si="19"/>
        <v>-8.8181358810248453E-2</v>
      </c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</row>
    <row r="1245" spans="8:50" x14ac:dyDescent="0.25"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7">
        <f t="shared" ca="1" si="19"/>
        <v>0.2214597890689774</v>
      </c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</row>
    <row r="1246" spans="8:50" x14ac:dyDescent="0.25"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7">
        <f t="shared" ca="1" si="19"/>
        <v>-0.10504965492158878</v>
      </c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</row>
    <row r="1247" spans="8:50" x14ac:dyDescent="0.25"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7">
        <f t="shared" ca="1" si="19"/>
        <v>-0.32187609145057017</v>
      </c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</row>
    <row r="1248" spans="8:50" x14ac:dyDescent="0.25"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7">
        <f t="shared" ca="1" si="19"/>
        <v>0.31535636857691823</v>
      </c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</row>
    <row r="1249" spans="8:50" x14ac:dyDescent="0.25"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7">
        <f t="shared" ca="1" si="19"/>
        <v>0.10946231474870372</v>
      </c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</row>
    <row r="1250" spans="8:50" x14ac:dyDescent="0.25"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7">
        <f t="shared" ca="1" si="19"/>
        <v>0.13345261803980835</v>
      </c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</row>
    <row r="1251" spans="8:50" x14ac:dyDescent="0.25"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7">
        <f t="shared" ca="1" si="19"/>
        <v>0.31572897396377259</v>
      </c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</row>
    <row r="1252" spans="8:50" x14ac:dyDescent="0.25"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7">
        <f t="shared" ca="1" si="19"/>
        <v>-9.6471741160419691E-2</v>
      </c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</row>
    <row r="1253" spans="8:50" x14ac:dyDescent="0.25"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7">
        <f t="shared" ca="1" si="19"/>
        <v>0.31604247823336096</v>
      </c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</row>
    <row r="1254" spans="8:50" x14ac:dyDescent="0.25"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7">
        <f t="shared" ca="1" si="19"/>
        <v>-2.4802364845331673E-2</v>
      </c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</row>
    <row r="1255" spans="8:50" x14ac:dyDescent="0.25"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7">
        <f t="shared" ca="1" si="19"/>
        <v>-2.7948407128641981E-2</v>
      </c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</row>
    <row r="1256" spans="8:50" x14ac:dyDescent="0.25"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7">
        <f t="shared" ca="1" si="19"/>
        <v>8.8987719452882669E-2</v>
      </c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</row>
    <row r="1257" spans="8:50" x14ac:dyDescent="0.25"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7">
        <f t="shared" ca="1" si="19"/>
        <v>-0.17751555893059995</v>
      </c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</row>
    <row r="1258" spans="8:50" x14ac:dyDescent="0.25"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7">
        <f t="shared" ca="1" si="19"/>
        <v>5.8451550009561551E-2</v>
      </c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</row>
    <row r="1259" spans="8:50" x14ac:dyDescent="0.25"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7">
        <f t="shared" ca="1" si="19"/>
        <v>-9.9104270771151207E-2</v>
      </c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</row>
    <row r="1260" spans="8:50" x14ac:dyDescent="0.25"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7">
        <f t="shared" ca="1" si="19"/>
        <v>-0.1092472969605799</v>
      </c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</row>
    <row r="1261" spans="8:50" x14ac:dyDescent="0.25"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7">
        <f t="shared" ca="1" si="19"/>
        <v>0.26589178731397423</v>
      </c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</row>
    <row r="1262" spans="8:50" x14ac:dyDescent="0.25"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7">
        <f t="shared" ca="1" si="19"/>
        <v>0.17576091730118137</v>
      </c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</row>
    <row r="1263" spans="8:50" x14ac:dyDescent="0.25"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7">
        <f t="shared" ca="1" si="19"/>
        <v>0.12006304944097335</v>
      </c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</row>
    <row r="1264" spans="8:50" x14ac:dyDescent="0.25"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7">
        <f t="shared" ca="1" si="19"/>
        <v>0.2431198395001799</v>
      </c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</row>
    <row r="1265" spans="8:50" x14ac:dyDescent="0.25"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7">
        <f t="shared" ca="1" si="19"/>
        <v>8.0588653092371149E-2</v>
      </c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</row>
    <row r="1266" spans="8:50" x14ac:dyDescent="0.25"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7">
        <f t="shared" ca="1" si="19"/>
        <v>0.43422993625590933</v>
      </c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</row>
    <row r="1267" spans="8:50" x14ac:dyDescent="0.25"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7">
        <f t="shared" ca="1" si="19"/>
        <v>0.29854863209493843</v>
      </c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</row>
    <row r="1268" spans="8:50" x14ac:dyDescent="0.25"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7">
        <f t="shared" ca="1" si="19"/>
        <v>0.14517925306911028</v>
      </c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</row>
    <row r="1269" spans="8:50" x14ac:dyDescent="0.25"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7">
        <f t="shared" ca="1" si="19"/>
        <v>0.13538134139581928</v>
      </c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</row>
    <row r="1270" spans="8:50" x14ac:dyDescent="0.25"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7">
        <f t="shared" ca="1" si="19"/>
        <v>-6.4863192875946787E-2</v>
      </c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</row>
    <row r="1271" spans="8:50" x14ac:dyDescent="0.25"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7">
        <f t="shared" ca="1" si="19"/>
        <v>0.40788006700432916</v>
      </c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</row>
    <row r="1272" spans="8:50" x14ac:dyDescent="0.25"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7">
        <f t="shared" ca="1" si="19"/>
        <v>-9.56383415948628E-2</v>
      </c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</row>
    <row r="1273" spans="8:50" x14ac:dyDescent="0.25"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7">
        <f t="shared" ca="1" si="19"/>
        <v>0.35984925444907717</v>
      </c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</row>
    <row r="1274" spans="8:50" x14ac:dyDescent="0.25"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7">
        <f t="shared" ca="1" si="19"/>
        <v>-0.13572538944224855</v>
      </c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</row>
    <row r="1275" spans="8:50" x14ac:dyDescent="0.25"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7">
        <f t="shared" ca="1" si="19"/>
        <v>0.2032558763031771</v>
      </c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</row>
    <row r="1276" spans="8:50" x14ac:dyDescent="0.25"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7">
        <f t="shared" ca="1" si="19"/>
        <v>-0.25692868327000429</v>
      </c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</row>
    <row r="1277" spans="8:50" x14ac:dyDescent="0.25"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7">
        <f t="shared" ca="1" si="19"/>
        <v>0.49878361438453078</v>
      </c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</row>
    <row r="1278" spans="8:50" x14ac:dyDescent="0.25"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7">
        <f t="shared" ca="1" si="19"/>
        <v>0.26938235054515652</v>
      </c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</row>
    <row r="1279" spans="8:50" x14ac:dyDescent="0.25"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7">
        <f t="shared" ca="1" si="19"/>
        <v>-7.0798587225497964E-2</v>
      </c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</row>
    <row r="1280" spans="8:50" x14ac:dyDescent="0.25"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7">
        <f t="shared" ca="1" si="19"/>
        <v>0.157872776393881</v>
      </c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</row>
    <row r="1281" spans="8:50" x14ac:dyDescent="0.25"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7">
        <f t="shared" ca="1" si="19"/>
        <v>6.5442724321652102E-2</v>
      </c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</row>
    <row r="1282" spans="8:50" x14ac:dyDescent="0.25"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7">
        <f t="shared" ca="1" si="19"/>
        <v>0.35673940641381013</v>
      </c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</row>
    <row r="1283" spans="8:50" x14ac:dyDescent="0.25"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7">
        <f t="shared" ca="1" si="19"/>
        <v>0.36547430268988618</v>
      </c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</row>
    <row r="1284" spans="8:50" x14ac:dyDescent="0.25"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7">
        <f t="shared" ca="1" si="19"/>
        <v>0.11587773898955289</v>
      </c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</row>
    <row r="1285" spans="8:50" x14ac:dyDescent="0.25"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7">
        <f t="shared" ca="1" si="19"/>
        <v>0.12565118434277969</v>
      </c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</row>
    <row r="1286" spans="8:50" x14ac:dyDescent="0.25"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7">
        <f t="shared" ref="W1286:W1349" ca="1" si="20">+NORMINV(RAND(),$U$2,$U$3)</f>
        <v>0.1747548923768151</v>
      </c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</row>
    <row r="1287" spans="8:50" x14ac:dyDescent="0.25"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7">
        <f t="shared" ca="1" si="20"/>
        <v>0.13168631930179653</v>
      </c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</row>
    <row r="1288" spans="8:50" x14ac:dyDescent="0.25"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7">
        <f t="shared" ca="1" si="20"/>
        <v>3.5690781643500549E-2</v>
      </c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</row>
    <row r="1289" spans="8:50" x14ac:dyDescent="0.25"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7">
        <f t="shared" ca="1" si="20"/>
        <v>2.4322387606661361E-2</v>
      </c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</row>
    <row r="1290" spans="8:50" x14ac:dyDescent="0.25"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7">
        <f t="shared" ca="1" si="20"/>
        <v>0.23992452164584871</v>
      </c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</row>
    <row r="1291" spans="8:50" x14ac:dyDescent="0.25"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7">
        <f t="shared" ca="1" si="20"/>
        <v>0.10684438420034517</v>
      </c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</row>
    <row r="1292" spans="8:50" x14ac:dyDescent="0.25"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7">
        <f t="shared" ca="1" si="20"/>
        <v>0.40428955580360115</v>
      </c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</row>
    <row r="1293" spans="8:50" x14ac:dyDescent="0.25"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7">
        <f t="shared" ca="1" si="20"/>
        <v>-7.6733072611558512E-3</v>
      </c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</row>
    <row r="1294" spans="8:50" x14ac:dyDescent="0.25"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7">
        <f t="shared" ca="1" si="20"/>
        <v>0.12255367959663033</v>
      </c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</row>
    <row r="1295" spans="8:50" x14ac:dyDescent="0.25"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7">
        <f t="shared" ca="1" si="20"/>
        <v>0.34223169792432362</v>
      </c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</row>
    <row r="1296" spans="8:50" x14ac:dyDescent="0.25"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7">
        <f t="shared" ca="1" si="20"/>
        <v>-0.15025725455075145</v>
      </c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</row>
    <row r="1297" spans="8:50" x14ac:dyDescent="0.25"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7">
        <f t="shared" ca="1" si="20"/>
        <v>0.5031346327733186</v>
      </c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</row>
    <row r="1298" spans="8:50" x14ac:dyDescent="0.25"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7">
        <f t="shared" ca="1" si="20"/>
        <v>0.18590136327452877</v>
      </c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</row>
    <row r="1299" spans="8:50" x14ac:dyDescent="0.25"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7">
        <f t="shared" ca="1" si="20"/>
        <v>-1.3237209833447325E-2</v>
      </c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</row>
    <row r="1300" spans="8:50" x14ac:dyDescent="0.25"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7">
        <f t="shared" ca="1" si="20"/>
        <v>-0.30603695012272858</v>
      </c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</row>
    <row r="1301" spans="8:50" x14ac:dyDescent="0.25"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7">
        <f t="shared" ca="1" si="20"/>
        <v>2.8481901167088403E-2</v>
      </c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</row>
    <row r="1302" spans="8:50" x14ac:dyDescent="0.25"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7">
        <f t="shared" ca="1" si="20"/>
        <v>2.2281414464979957E-2</v>
      </c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</row>
    <row r="1303" spans="8:50" x14ac:dyDescent="0.25"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7">
        <f t="shared" ca="1" si="20"/>
        <v>1.7139971021299688E-2</v>
      </c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</row>
    <row r="1304" spans="8:50" x14ac:dyDescent="0.25"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7">
        <f t="shared" ca="1" si="20"/>
        <v>-0.10747281527378245</v>
      </c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</row>
    <row r="1305" spans="8:50" x14ac:dyDescent="0.25"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7">
        <f t="shared" ca="1" si="20"/>
        <v>-0.24920854251354946</v>
      </c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</row>
    <row r="1306" spans="8:50" x14ac:dyDescent="0.25"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7">
        <f t="shared" ca="1" si="20"/>
        <v>0.10191629167016952</v>
      </c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</row>
    <row r="1307" spans="8:50" x14ac:dyDescent="0.25"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7">
        <f t="shared" ca="1" si="20"/>
        <v>0.33616808766546513</v>
      </c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</row>
    <row r="1308" spans="8:50" x14ac:dyDescent="0.25"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7">
        <f t="shared" ca="1" si="20"/>
        <v>0.16441353249576987</v>
      </c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</row>
    <row r="1309" spans="8:50" x14ac:dyDescent="0.25"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7">
        <f t="shared" ca="1" si="20"/>
        <v>0.11837283503545019</v>
      </c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</row>
    <row r="1310" spans="8:50" x14ac:dyDescent="0.25"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7">
        <f t="shared" ca="1" si="20"/>
        <v>0.37920252081647199</v>
      </c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</row>
    <row r="1311" spans="8:50" x14ac:dyDescent="0.25"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7">
        <f t="shared" ca="1" si="20"/>
        <v>-0.38345541381109016</v>
      </c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</row>
    <row r="1312" spans="8:50" x14ac:dyDescent="0.25"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7">
        <f t="shared" ca="1" si="20"/>
        <v>-0.20633049725835545</v>
      </c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</row>
    <row r="1313" spans="8:50" x14ac:dyDescent="0.25"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7">
        <f t="shared" ca="1" si="20"/>
        <v>0.34730080432849669</v>
      </c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</row>
    <row r="1314" spans="8:50" x14ac:dyDescent="0.25"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7">
        <f t="shared" ca="1" si="20"/>
        <v>0.15470768083543024</v>
      </c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</row>
    <row r="1315" spans="8:50" x14ac:dyDescent="0.25"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7">
        <f t="shared" ca="1" si="20"/>
        <v>0.33509308958765321</v>
      </c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</row>
    <row r="1316" spans="8:50" x14ac:dyDescent="0.25"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7">
        <f t="shared" ca="1" si="20"/>
        <v>0.18957245303448486</v>
      </c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</row>
    <row r="1317" spans="8:50" x14ac:dyDescent="0.25"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7">
        <f t="shared" ca="1" si="20"/>
        <v>0.11932974826333316</v>
      </c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</row>
    <row r="1318" spans="8:50" x14ac:dyDescent="0.25"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7">
        <f t="shared" ca="1" si="20"/>
        <v>0.23552966336196957</v>
      </c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</row>
    <row r="1319" spans="8:50" x14ac:dyDescent="0.25"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7">
        <f t="shared" ca="1" si="20"/>
        <v>0.22720914858747332</v>
      </c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</row>
    <row r="1320" spans="8:50" x14ac:dyDescent="0.25"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7">
        <f t="shared" ca="1" si="20"/>
        <v>6.1982249639011819E-2</v>
      </c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</row>
    <row r="1321" spans="8:50" x14ac:dyDescent="0.25"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7">
        <f t="shared" ca="1" si="20"/>
        <v>0.11579440031153634</v>
      </c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</row>
    <row r="1322" spans="8:50" x14ac:dyDescent="0.25"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7">
        <f t="shared" ca="1" si="20"/>
        <v>0.32364638734207846</v>
      </c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</row>
    <row r="1323" spans="8:50" x14ac:dyDescent="0.25"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7">
        <f t="shared" ca="1" si="20"/>
        <v>0.3190145930182049</v>
      </c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</row>
    <row r="1324" spans="8:50" x14ac:dyDescent="0.25"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7">
        <f t="shared" ca="1" si="20"/>
        <v>0.22076849137639259</v>
      </c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</row>
    <row r="1325" spans="8:50" x14ac:dyDescent="0.25"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7">
        <f t="shared" ca="1" si="20"/>
        <v>4.3876466217080773E-2</v>
      </c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</row>
    <row r="1326" spans="8:50" x14ac:dyDescent="0.25"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7">
        <f t="shared" ca="1" si="20"/>
        <v>-4.3563004140999881E-2</v>
      </c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</row>
    <row r="1327" spans="8:50" x14ac:dyDescent="0.25"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7">
        <f t="shared" ca="1" si="20"/>
        <v>0.12885253011060432</v>
      </c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</row>
    <row r="1328" spans="8:50" x14ac:dyDescent="0.25"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7">
        <f t="shared" ca="1" si="20"/>
        <v>0.13705229973330005</v>
      </c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</row>
    <row r="1329" spans="8:50" x14ac:dyDescent="0.25"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7">
        <f t="shared" ca="1" si="20"/>
        <v>-0.16639559972479417</v>
      </c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</row>
    <row r="1330" spans="8:50" x14ac:dyDescent="0.25"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7">
        <f t="shared" ca="1" si="20"/>
        <v>0.19304328978026311</v>
      </c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</row>
    <row r="1331" spans="8:50" x14ac:dyDescent="0.25"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7">
        <f t="shared" ca="1" si="20"/>
        <v>0.24252029516077606</v>
      </c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</row>
    <row r="1332" spans="8:50" x14ac:dyDescent="0.25"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7">
        <f t="shared" ca="1" si="20"/>
        <v>-2.210563827963731E-2</v>
      </c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</row>
    <row r="1333" spans="8:50" x14ac:dyDescent="0.25"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7">
        <f t="shared" ca="1" si="20"/>
        <v>0.32793577675111968</v>
      </c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</row>
    <row r="1334" spans="8:50" x14ac:dyDescent="0.25"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7">
        <f t="shared" ca="1" si="20"/>
        <v>-3.5319460731132499E-2</v>
      </c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</row>
    <row r="1335" spans="8:50" x14ac:dyDescent="0.25"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7">
        <f t="shared" ca="1" si="20"/>
        <v>0.2008570529159816</v>
      </c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</row>
    <row r="1336" spans="8:50" x14ac:dyDescent="0.25"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7">
        <f t="shared" ca="1" si="20"/>
        <v>0.27277032805080642</v>
      </c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</row>
    <row r="1337" spans="8:50" x14ac:dyDescent="0.25"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7">
        <f t="shared" ca="1" si="20"/>
        <v>-2.9027957970049242E-2</v>
      </c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</row>
    <row r="1338" spans="8:50" x14ac:dyDescent="0.25"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7">
        <f t="shared" ca="1" si="20"/>
        <v>0.14224849040965498</v>
      </c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</row>
    <row r="1339" spans="8:50" x14ac:dyDescent="0.25"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7">
        <f t="shared" ca="1" si="20"/>
        <v>0.13650154776126494</v>
      </c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</row>
    <row r="1340" spans="8:50" x14ac:dyDescent="0.25"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7">
        <f t="shared" ca="1" si="20"/>
        <v>-4.6369116281662612E-2</v>
      </c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</row>
    <row r="1341" spans="8:50" x14ac:dyDescent="0.25"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7">
        <f t="shared" ca="1" si="20"/>
        <v>0.28235070872718299</v>
      </c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</row>
    <row r="1342" spans="8:50" x14ac:dyDescent="0.25"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7">
        <f t="shared" ca="1" si="20"/>
        <v>-0.26985918303513873</v>
      </c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</row>
    <row r="1343" spans="8:50" x14ac:dyDescent="0.25"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7">
        <f t="shared" ca="1" si="20"/>
        <v>1.8075209747896573E-2</v>
      </c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</row>
    <row r="1344" spans="8:50" x14ac:dyDescent="0.25"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7">
        <f t="shared" ca="1" si="20"/>
        <v>-0.20012971634333532</v>
      </c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</row>
    <row r="1345" spans="8:50" x14ac:dyDescent="0.25"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7">
        <f t="shared" ca="1" si="20"/>
        <v>-0.13493260785244088</v>
      </c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</row>
    <row r="1346" spans="8:50" x14ac:dyDescent="0.25"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7">
        <f t="shared" ca="1" si="20"/>
        <v>0.10849520215806545</v>
      </c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</row>
    <row r="1347" spans="8:50" x14ac:dyDescent="0.25"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7">
        <f t="shared" ca="1" si="20"/>
        <v>0.1447143365245234</v>
      </c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</row>
    <row r="1348" spans="8:50" x14ac:dyDescent="0.25"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7">
        <f t="shared" ca="1" si="20"/>
        <v>6.1333953928135732E-2</v>
      </c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</row>
    <row r="1349" spans="8:50" x14ac:dyDescent="0.25"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7">
        <f t="shared" ca="1" si="20"/>
        <v>0.41632348327585622</v>
      </c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</row>
    <row r="1350" spans="8:50" x14ac:dyDescent="0.25"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7">
        <f t="shared" ref="W1350:W1413" ca="1" si="21">+NORMINV(RAND(),$U$2,$U$3)</f>
        <v>-0.24914200326398966</v>
      </c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</row>
    <row r="1351" spans="8:50" x14ac:dyDescent="0.25"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7">
        <f t="shared" ca="1" si="21"/>
        <v>0.23172555384286103</v>
      </c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</row>
    <row r="1352" spans="8:50" x14ac:dyDescent="0.25"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7">
        <f t="shared" ca="1" si="21"/>
        <v>4.4334343648400096E-2</v>
      </c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</row>
    <row r="1353" spans="8:50" x14ac:dyDescent="0.25"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7">
        <f t="shared" ca="1" si="21"/>
        <v>-5.1330405856485253E-2</v>
      </c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</row>
    <row r="1354" spans="8:50" x14ac:dyDescent="0.25"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7">
        <f t="shared" ca="1" si="21"/>
        <v>0.29433261596149851</v>
      </c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</row>
    <row r="1355" spans="8:50" x14ac:dyDescent="0.25"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7">
        <f t="shared" ca="1" si="21"/>
        <v>-6.7395575211217487E-2</v>
      </c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</row>
    <row r="1356" spans="8:50" x14ac:dyDescent="0.25"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7">
        <f t="shared" ca="1" si="21"/>
        <v>-0.2692909538436804</v>
      </c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</row>
    <row r="1357" spans="8:50" x14ac:dyDescent="0.25"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7">
        <f t="shared" ca="1" si="21"/>
        <v>-9.5655890931325524E-2</v>
      </c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</row>
    <row r="1358" spans="8:50" x14ac:dyDescent="0.25"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7">
        <f t="shared" ca="1" si="21"/>
        <v>0.11308377046731401</v>
      </c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</row>
    <row r="1359" spans="8:50" x14ac:dyDescent="0.25"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7">
        <f t="shared" ca="1" si="21"/>
        <v>9.1898885235073599E-2</v>
      </c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</row>
    <row r="1360" spans="8:50" x14ac:dyDescent="0.25"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7">
        <f t="shared" ca="1" si="21"/>
        <v>0.13774009128309922</v>
      </c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</row>
    <row r="1361" spans="8:50" x14ac:dyDescent="0.25"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7">
        <f t="shared" ca="1" si="21"/>
        <v>8.8664738430658308E-2</v>
      </c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</row>
    <row r="1362" spans="8:50" x14ac:dyDescent="0.25"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7">
        <f t="shared" ca="1" si="21"/>
        <v>9.8292146123467719E-2</v>
      </c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</row>
    <row r="1363" spans="8:50" x14ac:dyDescent="0.25"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7">
        <f t="shared" ca="1" si="21"/>
        <v>0.10050408639381446</v>
      </c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</row>
    <row r="1364" spans="8:50" x14ac:dyDescent="0.25"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7">
        <f t="shared" ca="1" si="21"/>
        <v>-0.16702800986220184</v>
      </c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</row>
    <row r="1365" spans="8:50" x14ac:dyDescent="0.25"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7">
        <f t="shared" ca="1" si="21"/>
        <v>0.22414915201568361</v>
      </c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</row>
    <row r="1366" spans="8:50" x14ac:dyDescent="0.25"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7">
        <f t="shared" ca="1" si="21"/>
        <v>0.18235168961784423</v>
      </c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</row>
    <row r="1367" spans="8:50" x14ac:dyDescent="0.25"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7">
        <f t="shared" ca="1" si="21"/>
        <v>0.12892673643335414</v>
      </c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</row>
    <row r="1368" spans="8:50" x14ac:dyDescent="0.25"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7">
        <f t="shared" ca="1" si="21"/>
        <v>-0.21172047997737792</v>
      </c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</row>
    <row r="1369" spans="8:50" x14ac:dyDescent="0.25"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7">
        <f t="shared" ca="1" si="21"/>
        <v>-7.4893583385316806E-2</v>
      </c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</row>
    <row r="1370" spans="8:50" x14ac:dyDescent="0.25"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7">
        <f t="shared" ca="1" si="21"/>
        <v>1.4134758495802147E-2</v>
      </c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</row>
    <row r="1371" spans="8:50" x14ac:dyDescent="0.25"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7">
        <f t="shared" ca="1" si="21"/>
        <v>0.29218873484920138</v>
      </c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</row>
    <row r="1372" spans="8:50" x14ac:dyDescent="0.25"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7">
        <f t="shared" ca="1" si="21"/>
        <v>5.6348536068536993E-2</v>
      </c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</row>
    <row r="1373" spans="8:50" x14ac:dyDescent="0.25"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7">
        <f t="shared" ca="1" si="21"/>
        <v>7.2920158283506759E-2</v>
      </c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</row>
    <row r="1374" spans="8:50" x14ac:dyDescent="0.25"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7">
        <f t="shared" ca="1" si="21"/>
        <v>0.29125056077311512</v>
      </c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</row>
    <row r="1375" spans="8:50" x14ac:dyDescent="0.25"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7">
        <f t="shared" ca="1" si="21"/>
        <v>0.13827922716626614</v>
      </c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</row>
    <row r="1376" spans="8:50" x14ac:dyDescent="0.25"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7">
        <f t="shared" ca="1" si="21"/>
        <v>0.25477272900641806</v>
      </c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</row>
    <row r="1377" spans="8:50" x14ac:dyDescent="0.25"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7">
        <f t="shared" ca="1" si="21"/>
        <v>3.2217022116786689E-2</v>
      </c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</row>
    <row r="1378" spans="8:50" x14ac:dyDescent="0.25"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7">
        <f t="shared" ca="1" si="21"/>
        <v>3.5002870183231977E-2</v>
      </c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</row>
    <row r="1379" spans="8:50" x14ac:dyDescent="0.25"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7">
        <f t="shared" ca="1" si="21"/>
        <v>0.44326269917212574</v>
      </c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</row>
    <row r="1380" spans="8:50" x14ac:dyDescent="0.25"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7">
        <f t="shared" ca="1" si="21"/>
        <v>0.25331789044351022</v>
      </c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</row>
    <row r="1381" spans="8:50" x14ac:dyDescent="0.25"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7">
        <f t="shared" ca="1" si="21"/>
        <v>0.47202287075022997</v>
      </c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</row>
    <row r="1382" spans="8:50" x14ac:dyDescent="0.25"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7">
        <f t="shared" ca="1" si="21"/>
        <v>-2.1150105826309398E-2</v>
      </c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</row>
    <row r="1383" spans="8:50" x14ac:dyDescent="0.25"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7">
        <f t="shared" ca="1" si="21"/>
        <v>0.18237266916755546</v>
      </c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</row>
    <row r="1384" spans="8:50" x14ac:dyDescent="0.25"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7">
        <f t="shared" ca="1" si="21"/>
        <v>0.28771241481675403</v>
      </c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</row>
    <row r="1385" spans="8:50" x14ac:dyDescent="0.25"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7">
        <f t="shared" ca="1" si="21"/>
        <v>0.11118251846962075</v>
      </c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</row>
    <row r="1386" spans="8:50" x14ac:dyDescent="0.25"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7">
        <f t="shared" ca="1" si="21"/>
        <v>0.16093875341713373</v>
      </c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</row>
    <row r="1387" spans="8:50" x14ac:dyDescent="0.25"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7">
        <f t="shared" ca="1" si="21"/>
        <v>-0.12719098010763868</v>
      </c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</row>
    <row r="1388" spans="8:50" x14ac:dyDescent="0.25"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7">
        <f t="shared" ca="1" si="21"/>
        <v>6.1799685509063909E-2</v>
      </c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</row>
    <row r="1389" spans="8:50" x14ac:dyDescent="0.25"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7">
        <f t="shared" ca="1" si="21"/>
        <v>0.25139125667229362</v>
      </c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</row>
    <row r="1390" spans="8:50" x14ac:dyDescent="0.25"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7">
        <f t="shared" ca="1" si="21"/>
        <v>5.3482693359612324E-2</v>
      </c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</row>
    <row r="1391" spans="8:50" x14ac:dyDescent="0.25"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7">
        <f t="shared" ca="1" si="21"/>
        <v>1.2916948355800512E-2</v>
      </c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</row>
    <row r="1392" spans="8:50" x14ac:dyDescent="0.25"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7">
        <f t="shared" ca="1" si="21"/>
        <v>-0.33525916233292419</v>
      </c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</row>
    <row r="1393" spans="8:50" x14ac:dyDescent="0.25"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7">
        <f t="shared" ca="1" si="21"/>
        <v>3.5049427122997412E-2</v>
      </c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</row>
    <row r="1394" spans="8:50" x14ac:dyDescent="0.25"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7">
        <f t="shared" ca="1" si="21"/>
        <v>0.41384395807578245</v>
      </c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</row>
    <row r="1395" spans="8:50" x14ac:dyDescent="0.25"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7">
        <f t="shared" ca="1" si="21"/>
        <v>-6.0297247784601715E-3</v>
      </c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</row>
    <row r="1396" spans="8:50" x14ac:dyDescent="0.25"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7">
        <f t="shared" ca="1" si="21"/>
        <v>0.16632023640436869</v>
      </c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</row>
    <row r="1397" spans="8:50" x14ac:dyDescent="0.25"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7">
        <f t="shared" ca="1" si="21"/>
        <v>0.14407787667331673</v>
      </c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</row>
    <row r="1398" spans="8:50" x14ac:dyDescent="0.25"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7">
        <f t="shared" ca="1" si="21"/>
        <v>0.42354915285434047</v>
      </c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</row>
    <row r="1399" spans="8:50" x14ac:dyDescent="0.25"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7">
        <f t="shared" ca="1" si="21"/>
        <v>9.8281003208637446E-2</v>
      </c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</row>
    <row r="1400" spans="8:50" x14ac:dyDescent="0.25"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7">
        <f t="shared" ca="1" si="21"/>
        <v>0.36324828704750345</v>
      </c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</row>
    <row r="1401" spans="8:50" x14ac:dyDescent="0.25"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7">
        <f t="shared" ca="1" si="21"/>
        <v>0.3617811574445724</v>
      </c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</row>
    <row r="1402" spans="8:50" x14ac:dyDescent="0.25"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7">
        <f t="shared" ca="1" si="21"/>
        <v>0.20072524098215042</v>
      </c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</row>
    <row r="1403" spans="8:50" x14ac:dyDescent="0.25"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7">
        <f t="shared" ca="1" si="21"/>
        <v>0.23993758199349924</v>
      </c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</row>
    <row r="1404" spans="8:50" x14ac:dyDescent="0.25"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7">
        <f t="shared" ca="1" si="21"/>
        <v>-0.47357769303152708</v>
      </c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</row>
    <row r="1405" spans="8:50" x14ac:dyDescent="0.25"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7">
        <f t="shared" ca="1" si="21"/>
        <v>6.9367303977614647E-2</v>
      </c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</row>
    <row r="1406" spans="8:50" x14ac:dyDescent="0.25"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7">
        <f t="shared" ca="1" si="21"/>
        <v>7.9494434681020854E-2</v>
      </c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</row>
    <row r="1407" spans="8:50" x14ac:dyDescent="0.25"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7">
        <f t="shared" ca="1" si="21"/>
        <v>0.3280365396616905</v>
      </c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</row>
    <row r="1408" spans="8:50" x14ac:dyDescent="0.25"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7">
        <f t="shared" ca="1" si="21"/>
        <v>0.31504812092062789</v>
      </c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</row>
    <row r="1409" spans="8:50" x14ac:dyDescent="0.25"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7">
        <f t="shared" ca="1" si="21"/>
        <v>9.3513640135494083E-2</v>
      </c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</row>
    <row r="1410" spans="8:50" x14ac:dyDescent="0.25"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7">
        <f t="shared" ca="1" si="21"/>
        <v>0.27523298432054677</v>
      </c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</row>
    <row r="1411" spans="8:50" x14ac:dyDescent="0.25"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7">
        <f t="shared" ca="1" si="21"/>
        <v>0.33371293129092311</v>
      </c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</row>
    <row r="1412" spans="8:50" x14ac:dyDescent="0.25"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7">
        <f t="shared" ca="1" si="21"/>
        <v>0.1415465693361356</v>
      </c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</row>
    <row r="1413" spans="8:50" x14ac:dyDescent="0.25"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7">
        <f t="shared" ca="1" si="21"/>
        <v>5.214657386030494E-2</v>
      </c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</row>
    <row r="1414" spans="8:50" x14ac:dyDescent="0.25"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7">
        <f t="shared" ref="W1414:W1477" ca="1" si="22">+NORMINV(RAND(),$U$2,$U$3)</f>
        <v>0.11563217609011955</v>
      </c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</row>
    <row r="1415" spans="8:50" x14ac:dyDescent="0.25"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7">
        <f t="shared" ca="1" si="22"/>
        <v>5.2672942595976144E-2</v>
      </c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</row>
    <row r="1416" spans="8:50" x14ac:dyDescent="0.25"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7">
        <f t="shared" ca="1" si="22"/>
        <v>0.18470173500788231</v>
      </c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</row>
    <row r="1417" spans="8:50" x14ac:dyDescent="0.25"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7">
        <f t="shared" ca="1" si="22"/>
        <v>0.20308599176030462</v>
      </c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</row>
    <row r="1418" spans="8:50" x14ac:dyDescent="0.25"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7">
        <f t="shared" ca="1" si="22"/>
        <v>4.3907456703020764E-2</v>
      </c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</row>
    <row r="1419" spans="8:50" x14ac:dyDescent="0.25"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7">
        <f t="shared" ca="1" si="22"/>
        <v>9.5151822584753853E-2</v>
      </c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</row>
    <row r="1420" spans="8:50" x14ac:dyDescent="0.25"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7">
        <f t="shared" ca="1" si="22"/>
        <v>-8.2662522432584998E-2</v>
      </c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</row>
    <row r="1421" spans="8:50" x14ac:dyDescent="0.25"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7">
        <f t="shared" ca="1" si="22"/>
        <v>0.30790559406527745</v>
      </c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</row>
    <row r="1422" spans="8:50" x14ac:dyDescent="0.25"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7">
        <f t="shared" ca="1" si="22"/>
        <v>-0.10917975491444352</v>
      </c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</row>
    <row r="1423" spans="8:50" x14ac:dyDescent="0.25"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7">
        <f t="shared" ca="1" si="22"/>
        <v>0.51864583019024924</v>
      </c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</row>
    <row r="1424" spans="8:50" x14ac:dyDescent="0.25"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7">
        <f t="shared" ca="1" si="22"/>
        <v>-4.572401302231148E-2</v>
      </c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</row>
    <row r="1425" spans="8:50" x14ac:dyDescent="0.25"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7">
        <f t="shared" ca="1" si="22"/>
        <v>0.3147070356542867</v>
      </c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</row>
    <row r="1426" spans="8:50" x14ac:dyDescent="0.25"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7">
        <f t="shared" ca="1" si="22"/>
        <v>0.10971288263029591</v>
      </c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</row>
    <row r="1427" spans="8:50" x14ac:dyDescent="0.25"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7">
        <f t="shared" ca="1" si="22"/>
        <v>2.7316927482676223E-2</v>
      </c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</row>
    <row r="1428" spans="8:50" x14ac:dyDescent="0.25"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7">
        <f t="shared" ca="1" si="22"/>
        <v>-0.24881828008237372</v>
      </c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</row>
    <row r="1429" spans="8:50" x14ac:dyDescent="0.25"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7">
        <f t="shared" ca="1" si="22"/>
        <v>9.5011192466939953E-2</v>
      </c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</row>
    <row r="1430" spans="8:50" x14ac:dyDescent="0.25"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7">
        <f t="shared" ca="1" si="22"/>
        <v>0.2815770631401377</v>
      </c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</row>
    <row r="1431" spans="8:50" x14ac:dyDescent="0.25"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7">
        <f t="shared" ca="1" si="22"/>
        <v>-0.12169696533382209</v>
      </c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</row>
    <row r="1432" spans="8:50" x14ac:dyDescent="0.25"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7">
        <f t="shared" ca="1" si="22"/>
        <v>2.7562236313425442E-2</v>
      </c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</row>
    <row r="1433" spans="8:50" x14ac:dyDescent="0.25"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7">
        <f t="shared" ca="1" si="22"/>
        <v>-5.0356161085775411E-2</v>
      </c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</row>
    <row r="1434" spans="8:50" x14ac:dyDescent="0.25"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7">
        <f t="shared" ca="1" si="22"/>
        <v>0.24433770073073319</v>
      </c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</row>
    <row r="1435" spans="8:50" x14ac:dyDescent="0.25"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7">
        <f t="shared" ca="1" si="22"/>
        <v>-0.10766967339111695</v>
      </c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</row>
    <row r="1436" spans="8:50" x14ac:dyDescent="0.25"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7">
        <f t="shared" ca="1" si="22"/>
        <v>-0.10267157200464209</v>
      </c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</row>
    <row r="1437" spans="8:50" x14ac:dyDescent="0.25"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7">
        <f t="shared" ca="1" si="22"/>
        <v>3.7983110004843668E-2</v>
      </c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</row>
    <row r="1438" spans="8:50" x14ac:dyDescent="0.25"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7">
        <f t="shared" ca="1" si="22"/>
        <v>0.2180042661858736</v>
      </c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</row>
    <row r="1439" spans="8:50" x14ac:dyDescent="0.25"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7">
        <f t="shared" ca="1" si="22"/>
        <v>-4.8922706864167678E-2</v>
      </c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</row>
    <row r="1440" spans="8:50" x14ac:dyDescent="0.25"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7">
        <f t="shared" ca="1" si="22"/>
        <v>0.25039848929738223</v>
      </c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</row>
    <row r="1441" spans="8:50" x14ac:dyDescent="0.25"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7">
        <f t="shared" ca="1" si="22"/>
        <v>0.26100464541735474</v>
      </c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</row>
    <row r="1442" spans="8:50" x14ac:dyDescent="0.25"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7">
        <f t="shared" ca="1" si="22"/>
        <v>-5.6539927684044242E-2</v>
      </c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</row>
    <row r="1443" spans="8:50" x14ac:dyDescent="0.25"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7">
        <f t="shared" ca="1" si="22"/>
        <v>-0.39569605736439017</v>
      </c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</row>
    <row r="1444" spans="8:50" x14ac:dyDescent="0.25"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7">
        <f t="shared" ca="1" si="22"/>
        <v>0.48789276546840082</v>
      </c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</row>
    <row r="1445" spans="8:50" x14ac:dyDescent="0.25"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7">
        <f t="shared" ca="1" si="22"/>
        <v>7.0518431944562088E-2</v>
      </c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</row>
    <row r="1446" spans="8:50" x14ac:dyDescent="0.25"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7">
        <f t="shared" ca="1" si="22"/>
        <v>-4.3888024475303086E-2</v>
      </c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</row>
    <row r="1447" spans="8:50" x14ac:dyDescent="0.25"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7">
        <f t="shared" ca="1" si="22"/>
        <v>-5.0889982511862344E-2</v>
      </c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</row>
    <row r="1448" spans="8:50" x14ac:dyDescent="0.25"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7">
        <f t="shared" ca="1" si="22"/>
        <v>0.33437237738349995</v>
      </c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</row>
    <row r="1449" spans="8:50" x14ac:dyDescent="0.25"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7">
        <f t="shared" ca="1" si="22"/>
        <v>0.16388613200096172</v>
      </c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</row>
    <row r="1450" spans="8:50" x14ac:dyDescent="0.25"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7">
        <f t="shared" ca="1" si="22"/>
        <v>1.4682626719339842E-2</v>
      </c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</row>
    <row r="1451" spans="8:50" x14ac:dyDescent="0.25"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7">
        <f t="shared" ca="1" si="22"/>
        <v>0.38299396844969824</v>
      </c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</row>
    <row r="1452" spans="8:50" x14ac:dyDescent="0.25"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7">
        <f t="shared" ca="1" si="22"/>
        <v>-6.6944635486621135E-3</v>
      </c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</row>
    <row r="1453" spans="8:50" x14ac:dyDescent="0.25"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7">
        <f t="shared" ca="1" si="22"/>
        <v>0.26245910091232061</v>
      </c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</row>
    <row r="1454" spans="8:50" x14ac:dyDescent="0.25"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7">
        <f t="shared" ca="1" si="22"/>
        <v>0.23482968349709843</v>
      </c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</row>
    <row r="1455" spans="8:50" x14ac:dyDescent="0.25"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7">
        <f t="shared" ca="1" si="22"/>
        <v>-0.1746588552446432</v>
      </c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</row>
    <row r="1456" spans="8:50" x14ac:dyDescent="0.25"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7">
        <f t="shared" ca="1" si="22"/>
        <v>0.25912791112418565</v>
      </c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</row>
    <row r="1457" spans="8:50" x14ac:dyDescent="0.25"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7">
        <f t="shared" ca="1" si="22"/>
        <v>5.0061044728144904E-2</v>
      </c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</row>
    <row r="1458" spans="8:50" x14ac:dyDescent="0.25"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7">
        <f t="shared" ca="1" si="22"/>
        <v>-0.27223236270452877</v>
      </c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</row>
    <row r="1459" spans="8:50" x14ac:dyDescent="0.25"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7">
        <f t="shared" ca="1" si="22"/>
        <v>0.35946338308536718</v>
      </c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</row>
    <row r="1460" spans="8:50" x14ac:dyDescent="0.25"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7">
        <f t="shared" ca="1" si="22"/>
        <v>0.20522806603390925</v>
      </c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</row>
    <row r="1461" spans="8:50" x14ac:dyDescent="0.25"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7">
        <f t="shared" ca="1" si="22"/>
        <v>-0.348747363562524</v>
      </c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</row>
    <row r="1462" spans="8:50" x14ac:dyDescent="0.25"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7">
        <f t="shared" ca="1" si="22"/>
        <v>0.34180200539496175</v>
      </c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</row>
    <row r="1463" spans="8:50" x14ac:dyDescent="0.25"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7">
        <f t="shared" ca="1" si="22"/>
        <v>0.1430406408531979</v>
      </c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</row>
    <row r="1464" spans="8:50" x14ac:dyDescent="0.25"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7">
        <f t="shared" ca="1" si="22"/>
        <v>0.22844812637026768</v>
      </c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</row>
    <row r="1465" spans="8:50" x14ac:dyDescent="0.25"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7">
        <f t="shared" ca="1" si="22"/>
        <v>0.10714645044751572</v>
      </c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</row>
    <row r="1466" spans="8:50" x14ac:dyDescent="0.25"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7">
        <f t="shared" ca="1" si="22"/>
        <v>0.24262033864061</v>
      </c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</row>
    <row r="1467" spans="8:50" x14ac:dyDescent="0.25"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7">
        <f t="shared" ca="1" si="22"/>
        <v>6.8032245548656167E-2</v>
      </c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</row>
    <row r="1468" spans="8:50" x14ac:dyDescent="0.25"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7">
        <f t="shared" ca="1" si="22"/>
        <v>0.27866010740164104</v>
      </c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</row>
    <row r="1469" spans="8:50" x14ac:dyDescent="0.25"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7">
        <f t="shared" ca="1" si="22"/>
        <v>0.34139201690567067</v>
      </c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</row>
    <row r="1470" spans="8:50" x14ac:dyDescent="0.25"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7">
        <f t="shared" ca="1" si="22"/>
        <v>-3.3850535250279784E-3</v>
      </c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</row>
    <row r="1471" spans="8:50" x14ac:dyDescent="0.25"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7">
        <f t="shared" ca="1" si="22"/>
        <v>3.2256062398945545E-2</v>
      </c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</row>
    <row r="1472" spans="8:50" x14ac:dyDescent="0.25"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7">
        <f t="shared" ca="1" si="22"/>
        <v>6.4735170243161611E-2</v>
      </c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</row>
    <row r="1473" spans="8:50" x14ac:dyDescent="0.25"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7">
        <f t="shared" ca="1" si="22"/>
        <v>-7.6918204776763102E-2</v>
      </c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</row>
    <row r="1474" spans="8:50" x14ac:dyDescent="0.25"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7">
        <f t="shared" ca="1" si="22"/>
        <v>7.0104158347037857E-2</v>
      </c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</row>
    <row r="1475" spans="8:50" x14ac:dyDescent="0.25"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7">
        <f t="shared" ca="1" si="22"/>
        <v>3.7463224825285024E-2</v>
      </c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</row>
    <row r="1476" spans="8:50" x14ac:dyDescent="0.25"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7">
        <f t="shared" ca="1" si="22"/>
        <v>0.12582626200419572</v>
      </c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</row>
    <row r="1477" spans="8:50" x14ac:dyDescent="0.25"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7">
        <f t="shared" ca="1" si="22"/>
        <v>-0.13624492665930493</v>
      </c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</row>
    <row r="1478" spans="8:50" x14ac:dyDescent="0.25"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7">
        <f t="shared" ref="W1478:W1516" ca="1" si="23">+NORMINV(RAND(),$U$2,$U$3)</f>
        <v>0.20069796781622951</v>
      </c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</row>
    <row r="1479" spans="8:50" x14ac:dyDescent="0.25"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7">
        <f t="shared" ca="1" si="23"/>
        <v>-0.16710162417901642</v>
      </c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</row>
    <row r="1480" spans="8:50" x14ac:dyDescent="0.25"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7">
        <f t="shared" ca="1" si="23"/>
        <v>0.18957641053993024</v>
      </c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</row>
    <row r="1481" spans="8:50" x14ac:dyDescent="0.25"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7">
        <f t="shared" ca="1" si="23"/>
        <v>7.0969148500963641E-2</v>
      </c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</row>
    <row r="1482" spans="8:50" x14ac:dyDescent="0.25"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7">
        <f t="shared" ca="1" si="23"/>
        <v>-0.1286749603684561</v>
      </c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</row>
    <row r="1483" spans="8:50" x14ac:dyDescent="0.25"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7">
        <f t="shared" ca="1" si="23"/>
        <v>4.0220856296055457E-2</v>
      </c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</row>
    <row r="1484" spans="8:50" x14ac:dyDescent="0.25"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7">
        <f t="shared" ca="1" si="23"/>
        <v>0.14407277629657325</v>
      </c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</row>
    <row r="1485" spans="8:50" x14ac:dyDescent="0.25"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7">
        <f t="shared" ca="1" si="23"/>
        <v>0.19043308307577289</v>
      </c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</row>
    <row r="1486" spans="8:50" x14ac:dyDescent="0.25"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7">
        <f t="shared" ca="1" si="23"/>
        <v>4.6693703230824113E-2</v>
      </c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</row>
    <row r="1487" spans="8:50" x14ac:dyDescent="0.25"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7">
        <f t="shared" ca="1" si="23"/>
        <v>0.25226256693062554</v>
      </c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</row>
    <row r="1488" spans="8:50" x14ac:dyDescent="0.25"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7">
        <f t="shared" ca="1" si="23"/>
        <v>0.36741975255884557</v>
      </c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</row>
    <row r="1489" spans="8:50" x14ac:dyDescent="0.25"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7">
        <f t="shared" ca="1" si="23"/>
        <v>8.6467487529876971E-2</v>
      </c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</row>
    <row r="1490" spans="8:50" x14ac:dyDescent="0.25"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7">
        <f t="shared" ca="1" si="23"/>
        <v>0.26141344046135612</v>
      </c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</row>
    <row r="1491" spans="8:50" x14ac:dyDescent="0.25"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7">
        <f t="shared" ca="1" si="23"/>
        <v>0.50588420099410525</v>
      </c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</row>
    <row r="1492" spans="8:50" x14ac:dyDescent="0.25"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7">
        <f t="shared" ca="1" si="23"/>
        <v>0.37220206283091689</v>
      </c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</row>
    <row r="1493" spans="8:50" x14ac:dyDescent="0.25"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7">
        <f t="shared" ca="1" si="23"/>
        <v>-5.478520863301671E-2</v>
      </c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</row>
    <row r="1494" spans="8:50" x14ac:dyDescent="0.25"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7">
        <f t="shared" ca="1" si="23"/>
        <v>0.25808767106857339</v>
      </c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</row>
    <row r="1495" spans="8:50" x14ac:dyDescent="0.25"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7">
        <f t="shared" ca="1" si="23"/>
        <v>-3.291929048414953E-2</v>
      </c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</row>
    <row r="1496" spans="8:50" x14ac:dyDescent="0.25"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7">
        <f t="shared" ca="1" si="23"/>
        <v>0.44183785011402316</v>
      </c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</row>
    <row r="1497" spans="8:50" x14ac:dyDescent="0.25"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7">
        <f t="shared" ca="1" si="23"/>
        <v>0.36750746862437</v>
      </c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</row>
    <row r="1498" spans="8:50" x14ac:dyDescent="0.25"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7">
        <f t="shared" ca="1" si="23"/>
        <v>0.17086018595345173</v>
      </c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</row>
    <row r="1499" spans="8:50" x14ac:dyDescent="0.25"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7">
        <f t="shared" ca="1" si="23"/>
        <v>-0.23179869744060871</v>
      </c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</row>
    <row r="1500" spans="8:50" x14ac:dyDescent="0.25"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7">
        <f t="shared" ca="1" si="23"/>
        <v>2.0429632173796869E-2</v>
      </c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</row>
    <row r="1501" spans="8:50" x14ac:dyDescent="0.25"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7">
        <f t="shared" ca="1" si="23"/>
        <v>0.24173785875589959</v>
      </c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</row>
    <row r="1502" spans="8:50" x14ac:dyDescent="0.25"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7">
        <f t="shared" ca="1" si="23"/>
        <v>0.1525540757868038</v>
      </c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</row>
    <row r="1503" spans="8:50" x14ac:dyDescent="0.25"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7">
        <f t="shared" ca="1" si="23"/>
        <v>5.4063424084265753E-2</v>
      </c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</row>
    <row r="1504" spans="8:50" x14ac:dyDescent="0.25"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7">
        <f t="shared" ca="1" si="23"/>
        <v>-9.0074521310198746E-3</v>
      </c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</row>
    <row r="1505" spans="8:50" x14ac:dyDescent="0.25"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7">
        <f t="shared" ca="1" si="23"/>
        <v>9.702739348198354E-2</v>
      </c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</row>
    <row r="1506" spans="8:50" x14ac:dyDescent="0.25"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7">
        <f t="shared" ca="1" si="23"/>
        <v>2.4690705668168861E-2</v>
      </c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</row>
    <row r="1507" spans="8:50" x14ac:dyDescent="0.25"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7">
        <f t="shared" ca="1" si="23"/>
        <v>0.21159368252236771</v>
      </c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</row>
    <row r="1508" spans="8:50" x14ac:dyDescent="0.25"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7">
        <f t="shared" ca="1" si="23"/>
        <v>5.7904460781969508E-2</v>
      </c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</row>
    <row r="1509" spans="8:50" x14ac:dyDescent="0.25"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7">
        <f t="shared" ca="1" si="23"/>
        <v>0.3672918691889015</v>
      </c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</row>
    <row r="1510" spans="8:50" x14ac:dyDescent="0.25"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7">
        <f t="shared" ca="1" si="23"/>
        <v>-3.7887851472702419E-2</v>
      </c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</row>
    <row r="1511" spans="8:50" x14ac:dyDescent="0.25"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7">
        <f t="shared" ca="1" si="23"/>
        <v>0.16612147584064171</v>
      </c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</row>
    <row r="1512" spans="8:50" x14ac:dyDescent="0.25"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7">
        <f t="shared" ca="1" si="23"/>
        <v>-2.8788207086373155E-2</v>
      </c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</row>
    <row r="1513" spans="8:50" x14ac:dyDescent="0.25"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7">
        <f t="shared" ca="1" si="23"/>
        <v>0.48099612939953273</v>
      </c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</row>
    <row r="1514" spans="8:50" x14ac:dyDescent="0.25"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7">
        <f t="shared" ca="1" si="23"/>
        <v>6.2487476382040406E-2</v>
      </c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</row>
    <row r="1515" spans="8:50" x14ac:dyDescent="0.25"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7">
        <f t="shared" ca="1" si="23"/>
        <v>0.11677295052334462</v>
      </c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</row>
    <row r="1516" spans="8:50" x14ac:dyDescent="0.25"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7">
        <f t="shared" ca="1" si="23"/>
        <v>0.1617375464118484</v>
      </c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</row>
    <row r="1517" spans="8:50" x14ac:dyDescent="0.25"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</row>
    <row r="1518" spans="8:50" x14ac:dyDescent="0.25"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</row>
    <row r="1519" spans="8:50" x14ac:dyDescent="0.25"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</row>
    <row r="1520" spans="8:50" x14ac:dyDescent="0.25"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</row>
    <row r="1521" spans="8:50" x14ac:dyDescent="0.25"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</row>
    <row r="1522" spans="8:50" x14ac:dyDescent="0.25"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</row>
    <row r="1523" spans="8:50" x14ac:dyDescent="0.25"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</row>
    <row r="1524" spans="8:50" x14ac:dyDescent="0.25"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</row>
    <row r="1525" spans="8:50" x14ac:dyDescent="0.25"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</row>
    <row r="1526" spans="8:50" x14ac:dyDescent="0.25"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</row>
    <row r="1527" spans="8:50" x14ac:dyDescent="0.25"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</row>
    <row r="1528" spans="8:50" x14ac:dyDescent="0.25"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</row>
    <row r="1529" spans="8:50" x14ac:dyDescent="0.25"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</row>
    <row r="1530" spans="8:50" x14ac:dyDescent="0.25"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</row>
    <row r="1531" spans="8:50" x14ac:dyDescent="0.25"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</row>
    <row r="1532" spans="8:50" x14ac:dyDescent="0.25"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</row>
    <row r="1533" spans="8:50" x14ac:dyDescent="0.25"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</row>
    <row r="1534" spans="8:50" x14ac:dyDescent="0.25"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</row>
    <row r="1535" spans="8:50" x14ac:dyDescent="0.25"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</row>
    <row r="1536" spans="8:50" x14ac:dyDescent="0.25"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</row>
    <row r="1537" spans="8:50" x14ac:dyDescent="0.25"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</row>
    <row r="1538" spans="8:50" x14ac:dyDescent="0.25"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</row>
    <row r="1539" spans="8:50" x14ac:dyDescent="0.25"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</row>
    <row r="1540" spans="8:50" x14ac:dyDescent="0.25"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</row>
    <row r="1541" spans="8:50" x14ac:dyDescent="0.25"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</row>
    <row r="1542" spans="8:50" x14ac:dyDescent="0.25"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</row>
    <row r="1543" spans="8:50" x14ac:dyDescent="0.25"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</row>
    <row r="1544" spans="8:50" x14ac:dyDescent="0.25"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</row>
    <row r="1545" spans="8:50" x14ac:dyDescent="0.25"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</row>
    <row r="1546" spans="8:50" x14ac:dyDescent="0.25"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</row>
    <row r="1547" spans="8:50" x14ac:dyDescent="0.25"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</row>
    <row r="1548" spans="8:50" x14ac:dyDescent="0.25"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</row>
    <row r="1549" spans="8:50" x14ac:dyDescent="0.25"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</row>
    <row r="1550" spans="8:50" x14ac:dyDescent="0.25"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</row>
    <row r="1551" spans="8:50" x14ac:dyDescent="0.25"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</row>
    <row r="1552" spans="8:50" x14ac:dyDescent="0.25"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</row>
    <row r="1553" spans="8:50" x14ac:dyDescent="0.25"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</row>
    <row r="1554" spans="8:50" x14ac:dyDescent="0.25"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</row>
    <row r="1555" spans="8:50" x14ac:dyDescent="0.25"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</row>
    <row r="1556" spans="8:50" x14ac:dyDescent="0.25"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</row>
    <row r="1557" spans="8:50" x14ac:dyDescent="0.25"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</row>
    <row r="1558" spans="8:50" x14ac:dyDescent="0.25"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</row>
    <row r="1559" spans="8:50" x14ac:dyDescent="0.25"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</row>
    <row r="1560" spans="8:50" x14ac:dyDescent="0.25"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</row>
    <row r="1561" spans="8:50" x14ac:dyDescent="0.25"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</row>
    <row r="1562" spans="8:50" x14ac:dyDescent="0.25"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</row>
    <row r="1563" spans="8:50" x14ac:dyDescent="0.25"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</row>
    <row r="1564" spans="8:50" x14ac:dyDescent="0.25"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</row>
    <row r="1565" spans="8:50" x14ac:dyDescent="0.25"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</row>
    <row r="1566" spans="8:50" x14ac:dyDescent="0.25"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</row>
    <row r="1567" spans="8:50" x14ac:dyDescent="0.25"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</row>
    <row r="1568" spans="8:50" x14ac:dyDescent="0.25"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</row>
    <row r="1569" spans="8:50" x14ac:dyDescent="0.25"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</row>
    <row r="1570" spans="8:50" x14ac:dyDescent="0.25"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</row>
    <row r="1571" spans="8:50" x14ac:dyDescent="0.25"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</row>
    <row r="1572" spans="8:50" x14ac:dyDescent="0.25"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</row>
    <row r="1573" spans="8:50" x14ac:dyDescent="0.25"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</row>
    <row r="1574" spans="8:50" x14ac:dyDescent="0.25"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</row>
    <row r="1575" spans="8:50" x14ac:dyDescent="0.25"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</row>
    <row r="1576" spans="8:50" x14ac:dyDescent="0.25"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</row>
    <row r="1577" spans="8:50" x14ac:dyDescent="0.25"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</row>
    <row r="1578" spans="8:50" x14ac:dyDescent="0.25"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</row>
    <row r="1579" spans="8:50" x14ac:dyDescent="0.25"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</row>
    <row r="1580" spans="8:50" x14ac:dyDescent="0.25"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</row>
    <row r="1581" spans="8:50" x14ac:dyDescent="0.25"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</row>
    <row r="1582" spans="8:50" x14ac:dyDescent="0.25"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</row>
    <row r="1583" spans="8:50" x14ac:dyDescent="0.25"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</row>
    <row r="1584" spans="8:50" x14ac:dyDescent="0.25"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</row>
    <row r="1585" spans="8:50" x14ac:dyDescent="0.25"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</row>
    <row r="1586" spans="8:50" x14ac:dyDescent="0.25"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</row>
    <row r="1587" spans="8:50" x14ac:dyDescent="0.25"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</row>
    <row r="1588" spans="8:50" x14ac:dyDescent="0.25"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</row>
    <row r="1589" spans="8:50" x14ac:dyDescent="0.25"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</row>
    <row r="1590" spans="8:50" x14ac:dyDescent="0.25"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</row>
    <row r="1591" spans="8:50" x14ac:dyDescent="0.25"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</row>
    <row r="1592" spans="8:50" x14ac:dyDescent="0.25"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</row>
    <row r="1593" spans="8:50" x14ac:dyDescent="0.25"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</row>
    <row r="1594" spans="8:50" x14ac:dyDescent="0.25"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</row>
    <row r="1595" spans="8:50" x14ac:dyDescent="0.25"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</row>
    <row r="1596" spans="8:50" x14ac:dyDescent="0.25"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</row>
    <row r="1597" spans="8:50" x14ac:dyDescent="0.25"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</row>
    <row r="1598" spans="8:50" x14ac:dyDescent="0.25"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</row>
    <row r="1599" spans="8:50" x14ac:dyDescent="0.25"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</row>
    <row r="1600" spans="8:50" x14ac:dyDescent="0.25"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</row>
    <row r="1601" spans="8:50" x14ac:dyDescent="0.25"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</row>
    <row r="1602" spans="8:50" x14ac:dyDescent="0.25"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</row>
    <row r="1603" spans="8:50" x14ac:dyDescent="0.25"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</row>
    <row r="1604" spans="8:50" x14ac:dyDescent="0.25"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</row>
    <row r="1605" spans="8:50" x14ac:dyDescent="0.25"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</row>
    <row r="1606" spans="8:50" x14ac:dyDescent="0.25"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</row>
    <row r="1607" spans="8:50" x14ac:dyDescent="0.25"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</row>
    <row r="1608" spans="8:50" x14ac:dyDescent="0.25"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</row>
    <row r="1609" spans="8:50" x14ac:dyDescent="0.25"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</row>
    <row r="1610" spans="8:50" x14ac:dyDescent="0.25"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</row>
    <row r="1611" spans="8:50" x14ac:dyDescent="0.25"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</row>
    <row r="1612" spans="8:50" x14ac:dyDescent="0.25"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</row>
    <row r="1613" spans="8:50" x14ac:dyDescent="0.25"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</row>
    <row r="1614" spans="8:50" x14ac:dyDescent="0.25"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</row>
    <row r="1615" spans="8:50" x14ac:dyDescent="0.25"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</row>
    <row r="1616" spans="8:50" x14ac:dyDescent="0.25"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</row>
    <row r="1617" spans="8:50" x14ac:dyDescent="0.25"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</row>
    <row r="1618" spans="8:50" x14ac:dyDescent="0.25"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</row>
    <row r="1619" spans="8:50" x14ac:dyDescent="0.25"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</row>
    <row r="1620" spans="8:50" x14ac:dyDescent="0.25"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</row>
    <row r="1621" spans="8:50" x14ac:dyDescent="0.25"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</row>
    <row r="1622" spans="8:50" x14ac:dyDescent="0.25"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</row>
    <row r="1623" spans="8:50" x14ac:dyDescent="0.25"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</row>
    <row r="1624" spans="8:50" x14ac:dyDescent="0.25"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04F44-8DEE-4BB2-8899-CB6EDB24D1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Markets</vt:lpstr>
      <vt:lpstr>Commodities</vt:lpstr>
      <vt:lpstr>S&amp;P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2024-05-29T15:25:23Z</dcterms:created>
  <dcterms:modified xsi:type="dcterms:W3CDTF">2025-09-01T16:27:30Z</dcterms:modified>
</cp:coreProperties>
</file>