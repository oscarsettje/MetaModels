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4ED014F3-1F0E-4862-8A89-9F648D40A7EE}" xr6:coauthVersionLast="47" xr6:coauthVersionMax="47" xr10:uidLastSave="{00000000-0000-0000-0000-000000000000}"/>
  <bookViews>
    <workbookView xWindow="225" yWindow="3510" windowWidth="38175" windowHeight="15240" xr2:uid="{3200E5B3-0EFC-4FC5-8F9E-F74C0FC60A47}"/>
  </bookViews>
  <sheets>
    <sheet name="Markets" sheetId="1" r:id="rId1"/>
    <sheet name="S&amp;P" sheetId="5" r:id="rId2"/>
  </sheets>
  <definedNames>
    <definedName name="_xlchart.v1.0" hidden="1">'S&amp;P'!$W$6:$W$1516</definedName>
    <definedName name="_xlchart.v1.1" hidden="1">'S&amp;P'!$J$3:$J$100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5" i="5" l="1"/>
  <c r="U4" i="5"/>
  <c r="U3" i="5"/>
  <c r="U2" i="5"/>
  <c r="W1268" i="5"/>
  <c r="W777" i="5" l="1"/>
  <c r="W779" i="5"/>
  <c r="W795" i="5"/>
  <c r="W796" i="5"/>
  <c r="W801" i="5"/>
  <c r="W860" i="5"/>
  <c r="W861" i="5"/>
  <c r="W863" i="5"/>
  <c r="W864" i="5"/>
  <c r="W865" i="5"/>
  <c r="W1083" i="5"/>
  <c r="W1147" i="5"/>
  <c r="W927" i="5"/>
  <c r="W485" i="5"/>
  <c r="W1148" i="5"/>
  <c r="W492" i="5"/>
  <c r="W1149" i="5"/>
  <c r="W493" i="5"/>
  <c r="W1151" i="5"/>
  <c r="W532" i="5"/>
  <c r="W1153" i="5"/>
  <c r="W533" i="5"/>
  <c r="W1215" i="5"/>
  <c r="W534" i="5"/>
  <c r="W1216" i="5"/>
  <c r="W536" i="5"/>
  <c r="W1217" i="5"/>
  <c r="W547" i="5"/>
  <c r="W1218" i="5"/>
  <c r="W590" i="5"/>
  <c r="W1219" i="5"/>
  <c r="W591" i="5"/>
  <c r="W1453" i="5"/>
  <c r="W592" i="5"/>
  <c r="W1456" i="5"/>
  <c r="W1296" i="5"/>
  <c r="W930" i="5"/>
  <c r="W993" i="5"/>
  <c r="W413" i="5"/>
  <c r="W995" i="5"/>
  <c r="W414" i="5"/>
  <c r="W1363" i="5"/>
  <c r="W651" i="5"/>
  <c r="W997" i="5"/>
  <c r="W417" i="5"/>
  <c r="W1370" i="5"/>
  <c r="W711" i="5"/>
  <c r="W1371" i="5"/>
  <c r="W715" i="5"/>
  <c r="W1064" i="5"/>
  <c r="W1437" i="5"/>
  <c r="W593" i="5"/>
  <c r="W928" i="5"/>
  <c r="W1281" i="5"/>
  <c r="W594" i="5"/>
  <c r="W929" i="5"/>
  <c r="W1283" i="5"/>
  <c r="W595" i="5"/>
  <c r="W647" i="5"/>
  <c r="W931" i="5"/>
  <c r="W1299" i="5"/>
  <c r="W648" i="5"/>
  <c r="W1300" i="5"/>
  <c r="W649" i="5"/>
  <c r="W1362" i="5"/>
  <c r="W650" i="5"/>
  <c r="W996" i="5"/>
  <c r="W416" i="5"/>
  <c r="W1369" i="5"/>
  <c r="W710" i="5"/>
  <c r="W998" i="5"/>
  <c r="W426" i="5"/>
  <c r="W1060" i="5"/>
  <c r="W429" i="5"/>
  <c r="W714" i="5"/>
  <c r="W1061" i="5"/>
  <c r="W1436" i="5"/>
  <c r="W471" i="5"/>
  <c r="W472" i="5"/>
  <c r="W716" i="5"/>
  <c r="W1082" i="5"/>
  <c r="W1440" i="5"/>
  <c r="W494" i="5"/>
  <c r="W551" i="5"/>
  <c r="W652" i="5"/>
  <c r="W866" i="5"/>
  <c r="W932" i="5"/>
  <c r="W999" i="5"/>
  <c r="W1084" i="5"/>
  <c r="W1154" i="5"/>
  <c r="W1457" i="5"/>
  <c r="W495" i="5"/>
  <c r="W606" i="5"/>
  <c r="W737" i="5"/>
  <c r="W804" i="5"/>
  <c r="W1089" i="5"/>
  <c r="W1155" i="5"/>
  <c r="W1458" i="5"/>
  <c r="W496" i="5"/>
  <c r="W497" i="5"/>
  <c r="W612" i="5"/>
  <c r="W869" i="5"/>
  <c r="W1023" i="5"/>
  <c r="W1092" i="5"/>
  <c r="W1463" i="5"/>
  <c r="W441" i="5"/>
  <c r="W498" i="5"/>
  <c r="W613" i="5"/>
  <c r="W872" i="5"/>
  <c r="W951" i="5"/>
  <c r="W1024" i="5"/>
  <c r="W1175" i="5"/>
  <c r="W1464" i="5"/>
  <c r="W499" i="5"/>
  <c r="W556" i="5"/>
  <c r="W677" i="5"/>
  <c r="W954" i="5"/>
  <c r="W1025" i="5"/>
  <c r="W1095" i="5"/>
  <c r="W1176" i="5"/>
  <c r="W1465" i="5"/>
  <c r="W29" i="5"/>
  <c r="W500" i="5"/>
  <c r="W557" i="5"/>
  <c r="W680" i="5"/>
  <c r="W875" i="5"/>
  <c r="W955" i="5"/>
  <c r="W1026" i="5"/>
  <c r="W1106" i="5"/>
  <c r="W1177" i="5"/>
  <c r="W1466" i="5"/>
  <c r="W150" i="5"/>
  <c r="W501" i="5"/>
  <c r="W558" i="5"/>
  <c r="W616" i="5"/>
  <c r="W810" i="5"/>
  <c r="W956" i="5"/>
  <c r="W1027" i="5"/>
  <c r="W1109" i="5"/>
  <c r="W1178" i="5"/>
  <c r="W1467" i="5"/>
  <c r="W204" i="5"/>
  <c r="W503" i="5"/>
  <c r="W560" i="5"/>
  <c r="W617" i="5"/>
  <c r="W891" i="5"/>
  <c r="W962" i="5"/>
  <c r="W1031" i="5"/>
  <c r="W1112" i="5"/>
  <c r="W1468" i="5"/>
  <c r="W206" i="5"/>
  <c r="W504" i="5"/>
  <c r="W561" i="5"/>
  <c r="W686" i="5"/>
  <c r="W892" i="5"/>
  <c r="W963" i="5"/>
  <c r="W1045" i="5"/>
  <c r="W1113" i="5"/>
  <c r="W1180" i="5"/>
  <c r="W1491" i="5"/>
  <c r="W456" i="5"/>
  <c r="W563" i="5"/>
  <c r="W687" i="5"/>
  <c r="W830" i="5"/>
  <c r="W964" i="5"/>
  <c r="U5" i="5"/>
  <c r="W1485" i="5"/>
  <c r="W1455" i="5"/>
  <c r="W1424" i="5"/>
  <c r="W1392" i="5"/>
  <c r="W1361" i="5"/>
  <c r="W1331" i="5"/>
  <c r="W1298" i="5"/>
  <c r="W1267" i="5"/>
  <c r="W1237" i="5"/>
  <c r="W1204" i="5"/>
  <c r="W1171" i="5"/>
  <c r="W1141" i="5"/>
  <c r="W1108" i="5"/>
  <c r="W1077" i="5"/>
  <c r="W1047" i="5"/>
  <c r="W1016" i="5"/>
  <c r="W984" i="5"/>
  <c r="W953" i="5"/>
  <c r="W923" i="5"/>
  <c r="W890" i="5"/>
  <c r="W859" i="5"/>
  <c r="W827" i="5"/>
  <c r="W794" i="5"/>
  <c r="W763" i="5"/>
  <c r="W733" i="5"/>
  <c r="W700" i="5"/>
  <c r="W669" i="5"/>
  <c r="W639" i="5"/>
  <c r="W609" i="5"/>
  <c r="W579" i="5"/>
  <c r="W549" i="5"/>
  <c r="W520" i="5"/>
  <c r="W488" i="5"/>
  <c r="W458" i="5"/>
  <c r="W428" i="5"/>
  <c r="W205" i="5"/>
  <c r="W1516" i="5"/>
  <c r="W1484" i="5"/>
  <c r="W1454" i="5"/>
  <c r="W1421" i="5"/>
  <c r="W1391" i="5"/>
  <c r="W1360" i="5"/>
  <c r="W1329" i="5"/>
  <c r="W1297" i="5"/>
  <c r="W1266" i="5"/>
  <c r="W1236" i="5"/>
  <c r="W1203" i="5"/>
  <c r="W1170" i="5"/>
  <c r="W1140" i="5"/>
  <c r="W1107" i="5"/>
  <c r="W1076" i="5"/>
  <c r="W1046" i="5"/>
  <c r="W1013" i="5"/>
  <c r="W983" i="5"/>
  <c r="W952" i="5"/>
  <c r="W921" i="5"/>
  <c r="W889" i="5"/>
  <c r="W858" i="5"/>
  <c r="W825" i="5"/>
  <c r="W793" i="5"/>
  <c r="W762" i="5"/>
  <c r="W732" i="5"/>
  <c r="W699" i="5"/>
  <c r="W668" i="5"/>
  <c r="W638" i="5"/>
  <c r="W608" i="5"/>
  <c r="W578" i="5"/>
  <c r="W548" i="5"/>
  <c r="W519" i="5"/>
  <c r="W486" i="5"/>
  <c r="W457" i="5"/>
  <c r="W427" i="5"/>
  <c r="W1514" i="5"/>
  <c r="W1482" i="5"/>
  <c r="W1452" i="5"/>
  <c r="W1419" i="5"/>
  <c r="W1388" i="5"/>
  <c r="W1358" i="5"/>
  <c r="W1325" i="5"/>
  <c r="W1295" i="5"/>
  <c r="W1264" i="5"/>
  <c r="W1233" i="5"/>
  <c r="W1199" i="5"/>
  <c r="W1168" i="5"/>
  <c r="W1137" i="5"/>
  <c r="W1105" i="5"/>
  <c r="W1074" i="5"/>
  <c r="W1044" i="5"/>
  <c r="W1011" i="5"/>
  <c r="W980" i="5"/>
  <c r="W950" i="5"/>
  <c r="W917" i="5"/>
  <c r="W887" i="5"/>
  <c r="W854" i="5"/>
  <c r="W821" i="5"/>
  <c r="W791" i="5"/>
  <c r="W760" i="5"/>
  <c r="W729" i="5"/>
  <c r="W697" i="5"/>
  <c r="W666" i="5"/>
  <c r="W636" i="5"/>
  <c r="W605" i="5"/>
  <c r="W576" i="5"/>
  <c r="W546" i="5"/>
  <c r="W515" i="5"/>
  <c r="W484" i="5"/>
  <c r="W455" i="5"/>
  <c r="W425" i="5"/>
  <c r="W149" i="5"/>
  <c r="W1448" i="5"/>
  <c r="W1322" i="5"/>
  <c r="W1226" i="5"/>
  <c r="W1132" i="5"/>
  <c r="W1071" i="5"/>
  <c r="W977" i="5"/>
  <c r="W881" i="5"/>
  <c r="W818" i="5"/>
  <c r="W757" i="5"/>
  <c r="W693" i="5"/>
  <c r="W632" i="5"/>
  <c r="W541" i="5"/>
  <c r="W451" i="5"/>
  <c r="W508" i="5"/>
  <c r="W84" i="5"/>
  <c r="W1443" i="5"/>
  <c r="W1349" i="5"/>
  <c r="W1286" i="5"/>
  <c r="W1223" i="5"/>
  <c r="W1129" i="5"/>
  <c r="W1035" i="5"/>
  <c r="W974" i="5"/>
  <c r="W845" i="5"/>
  <c r="W721" i="5"/>
  <c r="W596" i="5"/>
  <c r="W477" i="5"/>
  <c r="W1442" i="5"/>
  <c r="W1315" i="5"/>
  <c r="W1221" i="5"/>
  <c r="W1128" i="5"/>
  <c r="W1003" i="5"/>
  <c r="W877" i="5"/>
  <c r="W752" i="5"/>
  <c r="W1513" i="5"/>
  <c r="W1481" i="5"/>
  <c r="W1451" i="5"/>
  <c r="W1418" i="5"/>
  <c r="W1387" i="5"/>
  <c r="W1357" i="5"/>
  <c r="W1324" i="5"/>
  <c r="W1293" i="5"/>
  <c r="W1263" i="5"/>
  <c r="W1228" i="5"/>
  <c r="W1197" i="5"/>
  <c r="W1167" i="5"/>
  <c r="W1136" i="5"/>
  <c r="W1104" i="5"/>
  <c r="W1073" i="5"/>
  <c r="W1043" i="5"/>
  <c r="W1010" i="5"/>
  <c r="W979" i="5"/>
  <c r="W949" i="5"/>
  <c r="W916" i="5"/>
  <c r="W883" i="5"/>
  <c r="W853" i="5"/>
  <c r="W820" i="5"/>
  <c r="W789" i="5"/>
  <c r="W759" i="5"/>
  <c r="W728" i="5"/>
  <c r="W696" i="5"/>
  <c r="W665" i="5"/>
  <c r="W635" i="5"/>
  <c r="W604" i="5"/>
  <c r="W575" i="5"/>
  <c r="W543" i="5"/>
  <c r="W513" i="5"/>
  <c r="W483" i="5"/>
  <c r="W453" i="5"/>
  <c r="W424" i="5"/>
  <c r="W148" i="5"/>
  <c r="W1479" i="5"/>
  <c r="W1416" i="5"/>
  <c r="W1385" i="5"/>
  <c r="W1355" i="5"/>
  <c r="W1291" i="5"/>
  <c r="W1259" i="5"/>
  <c r="W1195" i="5"/>
  <c r="W1101" i="5"/>
  <c r="W1008" i="5"/>
  <c r="W912" i="5"/>
  <c r="W787" i="5"/>
  <c r="W663" i="5"/>
  <c r="W570" i="5"/>
  <c r="W481" i="5"/>
  <c r="W87" i="5"/>
  <c r="W479" i="5"/>
  <c r="W1476" i="5"/>
  <c r="W1253" i="5"/>
  <c r="W1098" i="5"/>
  <c r="W908" i="5"/>
  <c r="W753" i="5"/>
  <c r="W628" i="5"/>
  <c r="W507" i="5"/>
  <c r="W419" i="5"/>
  <c r="W1505" i="5"/>
  <c r="W1252" i="5"/>
  <c r="W1097" i="5"/>
  <c r="W938" i="5"/>
  <c r="W813" i="5"/>
  <c r="W720" i="5"/>
  <c r="W1512" i="5"/>
  <c r="W1480" i="5"/>
  <c r="W1449" i="5"/>
  <c r="W1417" i="5"/>
  <c r="W1386" i="5"/>
  <c r="W1356" i="5"/>
  <c r="W1323" i="5"/>
  <c r="W1292" i="5"/>
  <c r="W1262" i="5"/>
  <c r="W1227" i="5"/>
  <c r="W1196" i="5"/>
  <c r="W1166" i="5"/>
  <c r="W1133" i="5"/>
  <c r="W1103" i="5"/>
  <c r="W1072" i="5"/>
  <c r="W1041" i="5"/>
  <c r="W1009" i="5"/>
  <c r="W978" i="5"/>
  <c r="W948" i="5"/>
  <c r="W915" i="5"/>
  <c r="W882" i="5"/>
  <c r="W852" i="5"/>
  <c r="W819" i="5"/>
  <c r="W788" i="5"/>
  <c r="W758" i="5"/>
  <c r="W725" i="5"/>
  <c r="W695" i="5"/>
  <c r="W664" i="5"/>
  <c r="W633" i="5"/>
  <c r="W603" i="5"/>
  <c r="W573" i="5"/>
  <c r="W542" i="5"/>
  <c r="W512" i="5"/>
  <c r="W482" i="5"/>
  <c r="W452" i="5"/>
  <c r="W423" i="5"/>
  <c r="W146" i="5"/>
  <c r="W1509" i="5"/>
  <c r="W1165" i="5"/>
  <c r="W1040" i="5"/>
  <c r="W947" i="5"/>
  <c r="W851" i="5"/>
  <c r="W724" i="5"/>
  <c r="W602" i="5"/>
  <c r="W510" i="5"/>
  <c r="W422" i="5"/>
  <c r="W449" i="5"/>
  <c r="W1506" i="5"/>
  <c r="W1382" i="5"/>
  <c r="W1161" i="5"/>
  <c r="W1004" i="5"/>
  <c r="W878" i="5"/>
  <c r="W815" i="5"/>
  <c r="W690" i="5"/>
  <c r="W567" i="5"/>
  <c r="W448" i="5"/>
  <c r="W1475" i="5"/>
  <c r="W1348" i="5"/>
  <c r="W1191" i="5"/>
  <c r="W1067" i="5"/>
  <c r="W971" i="5"/>
  <c r="W844" i="5"/>
  <c r="W1508" i="5"/>
  <c r="W1478" i="5"/>
  <c r="W1445" i="5"/>
  <c r="W1415" i="5"/>
  <c r="W1384" i="5"/>
  <c r="W1353" i="5"/>
  <c r="W1321" i="5"/>
  <c r="W1290" i="5"/>
  <c r="W1257" i="5"/>
  <c r="W1225" i="5"/>
  <c r="W1194" i="5"/>
  <c r="W1164" i="5"/>
  <c r="W1131" i="5"/>
  <c r="W1100" i="5"/>
  <c r="W1070" i="5"/>
  <c r="W1037" i="5"/>
  <c r="W1007" i="5"/>
  <c r="W976" i="5"/>
  <c r="W945" i="5"/>
  <c r="W911" i="5"/>
  <c r="W880" i="5"/>
  <c r="W849" i="5"/>
  <c r="W817" i="5"/>
  <c r="W786" i="5"/>
  <c r="W756" i="5"/>
  <c r="W723" i="5"/>
  <c r="W692" i="5"/>
  <c r="W662" i="5"/>
  <c r="W630" i="5"/>
  <c r="W601" i="5"/>
  <c r="W569" i="5"/>
  <c r="W540" i="5"/>
  <c r="W509" i="5"/>
  <c r="W480" i="5"/>
  <c r="W450" i="5"/>
  <c r="W421" i="5"/>
  <c r="W85" i="5"/>
  <c r="W1507" i="5"/>
  <c r="W1477" i="5"/>
  <c r="W1444" i="5"/>
  <c r="W1413" i="5"/>
  <c r="W1383" i="5"/>
  <c r="W1352" i="5"/>
  <c r="W1320" i="5"/>
  <c r="W1287" i="5"/>
  <c r="W1256" i="5"/>
  <c r="W1224" i="5"/>
  <c r="W1193" i="5"/>
  <c r="W1163" i="5"/>
  <c r="W1130" i="5"/>
  <c r="W1099" i="5"/>
  <c r="W1069" i="5"/>
  <c r="W1036" i="5"/>
  <c r="W1005" i="5"/>
  <c r="W975" i="5"/>
  <c r="W940" i="5"/>
  <c r="W909" i="5"/>
  <c r="W879" i="5"/>
  <c r="W848" i="5"/>
  <c r="W816" i="5"/>
  <c r="W785" i="5"/>
  <c r="W755" i="5"/>
  <c r="W722" i="5"/>
  <c r="W691" i="5"/>
  <c r="W661" i="5"/>
  <c r="W629" i="5"/>
  <c r="W597" i="5"/>
  <c r="W568" i="5"/>
  <c r="W539" i="5"/>
  <c r="W420" i="5"/>
  <c r="W1412" i="5"/>
  <c r="W1319" i="5"/>
  <c r="W1192" i="5"/>
  <c r="W1068" i="5"/>
  <c r="W939" i="5"/>
  <c r="W784" i="5"/>
  <c r="W660" i="5"/>
  <c r="W537" i="5"/>
  <c r="W83" i="5"/>
  <c r="W1411" i="5"/>
  <c r="W1381" i="5"/>
  <c r="W1285" i="5"/>
  <c r="W1160" i="5"/>
  <c r="W1034" i="5"/>
  <c r="W907" i="5"/>
  <c r="W1504" i="5"/>
  <c r="W1473" i="5"/>
  <c r="W1441" i="5"/>
  <c r="W1410" i="5"/>
  <c r="W1380" i="5"/>
  <c r="W1347" i="5"/>
  <c r="W1314" i="5"/>
  <c r="W1284" i="5"/>
  <c r="W1251" i="5"/>
  <c r="W1220" i="5"/>
  <c r="W1190" i="5"/>
  <c r="W1157" i="5"/>
  <c r="W1127" i="5"/>
  <c r="W1096" i="5"/>
  <c r="W1065" i="5"/>
  <c r="W1033" i="5"/>
  <c r="W1002" i="5"/>
  <c r="W969" i="5"/>
  <c r="W937" i="5"/>
  <c r="W906" i="5"/>
  <c r="W876" i="5"/>
  <c r="W843" i="5"/>
  <c r="W812" i="5"/>
  <c r="W782" i="5"/>
  <c r="W749" i="5"/>
  <c r="W719" i="5"/>
  <c r="W688" i="5"/>
  <c r="W657" i="5"/>
  <c r="W1500" i="5"/>
  <c r="W1439" i="5"/>
  <c r="W1389" i="5"/>
  <c r="W1333" i="5"/>
  <c r="W1272" i="5"/>
  <c r="W1213" i="5"/>
  <c r="W1152" i="5"/>
  <c r="W1093" i="5"/>
  <c r="W1032" i="5"/>
  <c r="W985" i="5"/>
  <c r="W926" i="5"/>
  <c r="W1488" i="5"/>
  <c r="W1429" i="5"/>
  <c r="W1368" i="5"/>
  <c r="W1309" i="5"/>
  <c r="W1248" i="5"/>
  <c r="W1189" i="5"/>
  <c r="W1142" i="5"/>
  <c r="W1081" i="5"/>
  <c r="W1022" i="5"/>
  <c r="W961" i="5"/>
  <c r="W902" i="5"/>
  <c r="W841" i="5"/>
  <c r="W792" i="5"/>
  <c r="W736" i="5"/>
  <c r="W676" i="5"/>
  <c r="W621" i="5"/>
  <c r="W581" i="5"/>
  <c r="W529" i="5"/>
  <c r="W476" i="5"/>
  <c r="W436" i="5"/>
  <c r="W27" i="5"/>
  <c r="W1487" i="5"/>
  <c r="W1428" i="5"/>
  <c r="W1367" i="5"/>
  <c r="W1308" i="5"/>
  <c r="W1247" i="5"/>
  <c r="W1188" i="5"/>
  <c r="W1139" i="5"/>
  <c r="W1080" i="5"/>
  <c r="W1021" i="5"/>
  <c r="W960" i="5"/>
  <c r="W901" i="5"/>
  <c r="W840" i="5"/>
  <c r="W783" i="5"/>
  <c r="W735" i="5"/>
  <c r="W675" i="5"/>
  <c r="W620" i="5"/>
  <c r="W580" i="5"/>
  <c r="W528" i="5"/>
  <c r="W475" i="5"/>
  <c r="W433" i="5"/>
  <c r="W26" i="5"/>
  <c r="W1483" i="5"/>
  <c r="W1427" i="5"/>
  <c r="W1365" i="5"/>
  <c r="W1307" i="5"/>
  <c r="W1245" i="5"/>
  <c r="W1187" i="5"/>
  <c r="W1125" i="5"/>
  <c r="W1079" i="5"/>
  <c r="W1020" i="5"/>
  <c r="W959" i="5"/>
  <c r="W900" i="5"/>
  <c r="W839" i="5"/>
  <c r="W781" i="5"/>
  <c r="W734" i="5"/>
  <c r="W674" i="5"/>
  <c r="W619" i="5"/>
  <c r="W577" i="5"/>
  <c r="W527" i="5"/>
  <c r="W474" i="5"/>
  <c r="W432" i="5"/>
  <c r="W25" i="5"/>
  <c r="W1472" i="5"/>
  <c r="W1425" i="5"/>
  <c r="W1364" i="5"/>
  <c r="W1305" i="5"/>
  <c r="W1244" i="5"/>
  <c r="W1185" i="5"/>
  <c r="W1124" i="5"/>
  <c r="W1075" i="5"/>
  <c r="W1019" i="5"/>
  <c r="W957" i="5"/>
  <c r="W899" i="5"/>
  <c r="W837" i="5"/>
  <c r="W780" i="5"/>
  <c r="W731" i="5"/>
  <c r="W673" i="5"/>
  <c r="W618" i="5"/>
  <c r="W566" i="5"/>
  <c r="W525" i="5"/>
  <c r="W473" i="5"/>
  <c r="W431" i="5"/>
  <c r="W1469" i="5"/>
  <c r="W1420" i="5"/>
  <c r="W738" i="5"/>
  <c r="W1017" i="5"/>
  <c r="W1379" i="5"/>
  <c r="W440" i="5"/>
  <c r="W806" i="5"/>
  <c r="W1169" i="5"/>
  <c r="W672" i="5"/>
  <c r="W1394" i="5"/>
  <c r="W744" i="5"/>
  <c r="W1313" i="5"/>
  <c r="W444" i="5"/>
  <c r="W809" i="5"/>
  <c r="W1243" i="5"/>
  <c r="W445" i="5"/>
  <c r="W888" i="5"/>
  <c r="W1332" i="5"/>
  <c r="W811" i="5"/>
  <c r="W1334" i="5"/>
  <c r="W748" i="5"/>
  <c r="W1335" i="5"/>
  <c r="W207" i="5"/>
  <c r="W761" i="5"/>
  <c r="W1115" i="5"/>
  <c r="W1336" i="5"/>
  <c r="W267" i="5"/>
  <c r="W564" i="5"/>
  <c r="W831" i="5"/>
  <c r="W1118" i="5"/>
  <c r="W1493" i="5"/>
  <c r="W516" i="5"/>
  <c r="W698" i="5"/>
  <c r="W897" i="5"/>
  <c r="W1119" i="5"/>
  <c r="W1496" i="5"/>
  <c r="W464" i="5"/>
  <c r="W582" i="5"/>
  <c r="W701" i="5"/>
  <c r="W833" i="5"/>
  <c r="W1051" i="5"/>
  <c r="W1120" i="5"/>
  <c r="W1273" i="5"/>
  <c r="W1408" i="5"/>
  <c r="W465" i="5"/>
  <c r="W641" i="5"/>
  <c r="W768" i="5"/>
  <c r="W904" i="5"/>
  <c r="W1052" i="5"/>
  <c r="W1274" i="5"/>
  <c r="W1499" i="5"/>
  <c r="W347" i="5"/>
  <c r="W467" i="5"/>
  <c r="W523" i="5"/>
  <c r="W585" i="5"/>
  <c r="W642" i="5"/>
  <c r="W705" i="5"/>
  <c r="W771" i="5"/>
  <c r="W835" i="5"/>
  <c r="W905" i="5"/>
  <c r="W987" i="5"/>
  <c r="W1053" i="5"/>
  <c r="W1122" i="5"/>
  <c r="W1209" i="5"/>
  <c r="W1275" i="5"/>
  <c r="W1341" i="5"/>
  <c r="W1430" i="5"/>
  <c r="W1501" i="5"/>
  <c r="W717" i="5"/>
  <c r="W1301" i="5"/>
  <c r="W552" i="5"/>
  <c r="W933" i="5"/>
  <c r="W1377" i="5"/>
  <c r="W553" i="5"/>
  <c r="W667" i="5"/>
  <c r="W868" i="5"/>
  <c r="W1156" i="5"/>
  <c r="W1310" i="5"/>
  <c r="W554" i="5"/>
  <c r="W936" i="5"/>
  <c r="W1311" i="5"/>
  <c r="W807" i="5"/>
  <c r="W1241" i="5"/>
  <c r="W614" i="5"/>
  <c r="W1395" i="5"/>
  <c r="W615" i="5"/>
  <c r="W1328" i="5"/>
  <c r="W681" i="5"/>
  <c r="W1397" i="5"/>
  <c r="W683" i="5"/>
  <c r="W1250" i="5"/>
  <c r="W623" i="5"/>
  <c r="W1401" i="5"/>
  <c r="W624" i="5"/>
  <c r="W1048" i="5"/>
  <c r="W1492" i="5"/>
  <c r="W459" i="5"/>
  <c r="W625" i="5"/>
  <c r="W764" i="5"/>
  <c r="W896" i="5"/>
  <c r="W1049" i="5"/>
  <c r="W1269" i="5"/>
  <c r="W1337" i="5"/>
  <c r="W268" i="5"/>
  <c r="W565" i="5"/>
  <c r="W765" i="5"/>
  <c r="W968" i="5"/>
  <c r="W1200" i="5"/>
  <c r="W1407" i="5"/>
  <c r="W521" i="5"/>
  <c r="W767" i="5"/>
  <c r="W981" i="5"/>
  <c r="W1205" i="5"/>
  <c r="W1497" i="5"/>
  <c r="W584" i="5"/>
  <c r="W704" i="5"/>
  <c r="W834" i="5"/>
  <c r="W986" i="5"/>
  <c r="W1121" i="5"/>
  <c r="W1208" i="5"/>
  <c r="W1340" i="5"/>
  <c r="W1409" i="5"/>
  <c r="W410" i="5"/>
  <c r="W468" i="5"/>
  <c r="W524" i="5"/>
  <c r="W587" i="5"/>
  <c r="W643" i="5"/>
  <c r="W707" i="5"/>
  <c r="W772" i="5"/>
  <c r="W836" i="5"/>
  <c r="W920" i="5"/>
  <c r="W988" i="5"/>
  <c r="W1055" i="5"/>
  <c r="W1123" i="5"/>
  <c r="W1211" i="5"/>
  <c r="W1276" i="5"/>
  <c r="W1343" i="5"/>
  <c r="W1431" i="5"/>
  <c r="W1502" i="5"/>
  <c r="W1372" i="5"/>
  <c r="W659" i="5"/>
  <c r="W1012" i="5"/>
  <c r="W1304" i="5"/>
  <c r="W611" i="5"/>
  <c r="W935" i="5"/>
  <c r="W1459" i="5"/>
  <c r="W671" i="5"/>
  <c r="W1240" i="5"/>
  <c r="W555" i="5"/>
  <c r="W1312" i="5"/>
  <c r="W443" i="5"/>
  <c r="W873" i="5"/>
  <c r="W1400" i="5"/>
  <c r="W803" i="5"/>
  <c r="W1235" i="5"/>
  <c r="W437" i="5"/>
  <c r="W867" i="5"/>
  <c r="W1238" i="5"/>
  <c r="W438" i="5"/>
  <c r="W805" i="5"/>
  <c r="W1091" i="5"/>
  <c r="W1239" i="5"/>
  <c r="W739" i="5"/>
  <c r="W1393" i="5"/>
  <c r="W743" i="5"/>
  <c r="W1094" i="5"/>
  <c r="W28" i="5"/>
  <c r="W808" i="5"/>
  <c r="W1242" i="5"/>
  <c r="W745" i="5"/>
  <c r="W1396" i="5"/>
  <c r="W746" i="5"/>
  <c r="W1249" i="5"/>
  <c r="W446" i="5"/>
  <c r="W747" i="5"/>
  <c r="W1179" i="5"/>
  <c r="W447" i="5"/>
  <c r="W824" i="5"/>
  <c r="W1265" i="5"/>
  <c r="W505" i="5"/>
  <c r="W893" i="5"/>
  <c r="W1181" i="5"/>
  <c r="W1403" i="5"/>
  <c r="W506" i="5"/>
  <c r="W689" i="5"/>
  <c r="W965" i="5"/>
  <c r="W1184" i="5"/>
  <c r="W1406" i="5"/>
  <c r="W460" i="5"/>
  <c r="W637" i="5"/>
  <c r="W832" i="5"/>
  <c r="W1050" i="5"/>
  <c r="W1271" i="5"/>
  <c r="W1338" i="5"/>
  <c r="W269" i="5"/>
  <c r="W640" i="5"/>
  <c r="W903" i="5"/>
  <c r="W1339" i="5"/>
  <c r="W270" i="5"/>
  <c r="W522" i="5"/>
  <c r="W411" i="5"/>
  <c r="W469" i="5"/>
  <c r="W530" i="5"/>
  <c r="W588" i="5"/>
  <c r="W644" i="5"/>
  <c r="W708" i="5"/>
  <c r="W773" i="5"/>
  <c r="W842" i="5"/>
  <c r="W924" i="5"/>
  <c r="W989" i="5"/>
  <c r="W1056" i="5"/>
  <c r="W1143" i="5"/>
  <c r="W1212" i="5"/>
  <c r="W1277" i="5"/>
  <c r="W1344" i="5"/>
  <c r="W1434" i="5"/>
  <c r="W1503" i="5"/>
  <c r="W412" i="5"/>
  <c r="W470" i="5"/>
  <c r="W531" i="5"/>
  <c r="W589" i="5"/>
  <c r="W645" i="5"/>
  <c r="W709" i="5"/>
  <c r="W776" i="5"/>
  <c r="W855" i="5"/>
  <c r="W925" i="5"/>
  <c r="W992" i="5"/>
  <c r="W1059" i="5"/>
  <c r="W1146" i="5"/>
  <c r="W1214" i="5"/>
  <c r="W1280" i="5"/>
  <c r="W1359" i="5"/>
  <c r="W1435" i="5"/>
  <c r="W1515" i="5"/>
  <c r="W388" i="5"/>
  <c r="U10" i="5"/>
  <c r="W1498" i="5"/>
  <c r="W1474" i="5"/>
  <c r="W1450" i="5"/>
  <c r="W1426" i="5"/>
  <c r="W1402" i="5"/>
  <c r="W1378" i="5"/>
  <c r="W1354" i="5"/>
  <c r="W1330" i="5"/>
  <c r="W1306" i="5"/>
  <c r="W1282" i="5"/>
  <c r="W1258" i="5"/>
  <c r="W1234" i="5"/>
  <c r="W1210" i="5"/>
  <c r="W1186" i="5"/>
  <c r="W1162" i="5"/>
  <c r="W1138" i="5"/>
  <c r="W1114" i="5"/>
  <c r="W1090" i="5"/>
  <c r="W1066" i="5"/>
  <c r="W1042" i="5"/>
  <c r="W1018" i="5"/>
  <c r="W994" i="5"/>
  <c r="W970" i="5"/>
  <c r="W946" i="5"/>
  <c r="W922" i="5"/>
  <c r="W898" i="5"/>
  <c r="W874" i="5"/>
  <c r="W850" i="5"/>
  <c r="W826" i="5"/>
  <c r="W802" i="5"/>
  <c r="W778" i="5"/>
  <c r="W754" i="5"/>
  <c r="W730" i="5"/>
  <c r="W706" i="5"/>
  <c r="W682" i="5"/>
  <c r="W658" i="5"/>
  <c r="W634" i="5"/>
  <c r="W610" i="5"/>
  <c r="W586" i="5"/>
  <c r="W562" i="5"/>
  <c r="W538" i="5"/>
  <c r="W514" i="5"/>
  <c r="W490" i="5"/>
  <c r="W466" i="5"/>
  <c r="W442" i="5"/>
  <c r="W418" i="5"/>
  <c r="W147" i="5"/>
  <c r="U7" i="5"/>
  <c r="W1495" i="5"/>
  <c r="W1471" i="5"/>
  <c r="W1447" i="5"/>
  <c r="W1423" i="5"/>
  <c r="W1399" i="5"/>
  <c r="W1375" i="5"/>
  <c r="W1351" i="5"/>
  <c r="W1327" i="5"/>
  <c r="W1303" i="5"/>
  <c r="W1279" i="5"/>
  <c r="W1255" i="5"/>
  <c r="W1231" i="5"/>
  <c r="W1207" i="5"/>
  <c r="W1183" i="5"/>
  <c r="W1159" i="5"/>
  <c r="W1135" i="5"/>
  <c r="W1111" i="5"/>
  <c r="W1087" i="5"/>
  <c r="W1063" i="5"/>
  <c r="W1039" i="5"/>
  <c r="W1015" i="5"/>
  <c r="W991" i="5"/>
  <c r="W967" i="5"/>
  <c r="W943" i="5"/>
  <c r="W919" i="5"/>
  <c r="W895" i="5"/>
  <c r="W871" i="5"/>
  <c r="W847" i="5"/>
  <c r="W823" i="5"/>
  <c r="W799" i="5"/>
  <c r="W775" i="5"/>
  <c r="W751" i="5"/>
  <c r="W727" i="5"/>
  <c r="W703" i="5"/>
  <c r="W679" i="5"/>
  <c r="W655" i="5"/>
  <c r="W631" i="5"/>
  <c r="W607" i="5"/>
  <c r="W583" i="5"/>
  <c r="W559" i="5"/>
  <c r="W535" i="5"/>
  <c r="W511" i="5"/>
  <c r="W487" i="5"/>
  <c r="W463" i="5"/>
  <c r="W439" i="5"/>
  <c r="W415" i="5"/>
  <c r="W86" i="5"/>
  <c r="U6" i="5"/>
  <c r="W1494" i="5"/>
  <c r="W1470" i="5"/>
  <c r="W1446" i="5"/>
  <c r="W1422" i="5"/>
  <c r="W1398" i="5"/>
  <c r="W1374" i="5"/>
  <c r="W1350" i="5"/>
  <c r="W1326" i="5"/>
  <c r="W1302" i="5"/>
  <c r="W1278" i="5"/>
  <c r="W1254" i="5"/>
  <c r="W1230" i="5"/>
  <c r="W1206" i="5"/>
  <c r="W1182" i="5"/>
  <c r="W1158" i="5"/>
  <c r="W1134" i="5"/>
  <c r="W1110" i="5"/>
  <c r="W1086" i="5"/>
  <c r="W1062" i="5"/>
  <c r="W1038" i="5"/>
  <c r="W1014" i="5"/>
  <c r="W990" i="5"/>
  <c r="W966" i="5"/>
  <c r="W942" i="5"/>
  <c r="W918" i="5"/>
  <c r="W894" i="5"/>
  <c r="W870" i="5"/>
  <c r="W846" i="5"/>
  <c r="W822" i="5"/>
  <c r="W798" i="5"/>
  <c r="W774" i="5"/>
  <c r="W750" i="5"/>
  <c r="W726" i="5"/>
  <c r="W702" i="5"/>
  <c r="W678" i="5"/>
  <c r="W654" i="5"/>
  <c r="W1511" i="5"/>
  <c r="W1510" i="5"/>
  <c r="W1486" i="5"/>
  <c r="W1462" i="5"/>
  <c r="W1438" i="5"/>
  <c r="W1414" i="5"/>
  <c r="W1390" i="5"/>
  <c r="W1366" i="5"/>
  <c r="W1342" i="5"/>
  <c r="W1318" i="5"/>
  <c r="W1294" i="5"/>
  <c r="W1270" i="5"/>
  <c r="W1246" i="5"/>
  <c r="W1222" i="5"/>
  <c r="W1198" i="5"/>
  <c r="W1174" i="5"/>
  <c r="W1150" i="5"/>
  <c r="W1126" i="5"/>
  <c r="W1102" i="5"/>
  <c r="W1078" i="5"/>
  <c r="W1054" i="5"/>
  <c r="W1030" i="5"/>
  <c r="W1006" i="5"/>
  <c r="W982" i="5"/>
  <c r="W958" i="5"/>
  <c r="W934" i="5"/>
  <c r="W910" i="5"/>
  <c r="W886" i="5"/>
  <c r="W862" i="5"/>
  <c r="W838" i="5"/>
  <c r="W814" i="5"/>
  <c r="W790" i="5"/>
  <c r="W766" i="5"/>
  <c r="W742" i="5"/>
  <c r="W718" i="5"/>
  <c r="W694" i="5"/>
  <c r="W670" i="5"/>
  <c r="W646" i="5"/>
  <c r="W622" i="5"/>
  <c r="W598" i="5"/>
  <c r="W574" i="5"/>
  <c r="W550" i="5"/>
  <c r="W526" i="5"/>
  <c r="W502" i="5"/>
  <c r="W478" i="5"/>
  <c r="W454" i="5"/>
  <c r="W430" i="5"/>
  <c r="W326" i="5"/>
  <c r="W327" i="5"/>
  <c r="W434" i="5"/>
  <c r="W461" i="5"/>
  <c r="W489" i="5"/>
  <c r="W517" i="5"/>
  <c r="W544" i="5"/>
  <c r="W571" i="5"/>
  <c r="W599" i="5"/>
  <c r="W626" i="5"/>
  <c r="W653" i="5"/>
  <c r="W684" i="5"/>
  <c r="W712" i="5"/>
  <c r="W740" i="5"/>
  <c r="W769" i="5"/>
  <c r="W797" i="5"/>
  <c r="W828" i="5"/>
  <c r="W856" i="5"/>
  <c r="W884" i="5"/>
  <c r="W913" i="5"/>
  <c r="W941" i="5"/>
  <c r="W972" i="5"/>
  <c r="W1000" i="5"/>
  <c r="W1028" i="5"/>
  <c r="W1057" i="5"/>
  <c r="W1085" i="5"/>
  <c r="W1116" i="5"/>
  <c r="W1144" i="5"/>
  <c r="W1172" i="5"/>
  <c r="W1201" i="5"/>
  <c r="W1229" i="5"/>
  <c r="W1260" i="5"/>
  <c r="W1288" i="5"/>
  <c r="W1316" i="5"/>
  <c r="W1345" i="5"/>
  <c r="W1373" i="5"/>
  <c r="W1404" i="5"/>
  <c r="W1432" i="5"/>
  <c r="W1460" i="5"/>
  <c r="W1489" i="5"/>
  <c r="U8" i="5"/>
  <c r="W328" i="5"/>
  <c r="W435" i="5"/>
  <c r="W462" i="5"/>
  <c r="W491" i="5"/>
  <c r="W518" i="5"/>
  <c r="W545" i="5"/>
  <c r="W572" i="5"/>
  <c r="W600" i="5"/>
  <c r="W627" i="5"/>
  <c r="W656" i="5"/>
  <c r="W685" i="5"/>
  <c r="W713" i="5"/>
  <c r="W741" i="5"/>
  <c r="W770" i="5"/>
  <c r="W800" i="5"/>
  <c r="W829" i="5"/>
  <c r="W857" i="5"/>
  <c r="W885" i="5"/>
  <c r="W914" i="5"/>
  <c r="W944" i="5"/>
  <c r="W973" i="5"/>
  <c r="W1001" i="5"/>
  <c r="W1029" i="5"/>
  <c r="W1058" i="5"/>
  <c r="W1088" i="5"/>
  <c r="W1117" i="5"/>
  <c r="W1145" i="5"/>
  <c r="W1173" i="5"/>
  <c r="W1202" i="5"/>
  <c r="W1232" i="5"/>
  <c r="W1261" i="5"/>
  <c r="W1289" i="5"/>
  <c r="W1317" i="5"/>
  <c r="W1346" i="5"/>
  <c r="W1376" i="5"/>
  <c r="W1405" i="5"/>
  <c r="W1433" i="5"/>
  <c r="W1461" i="5"/>
  <c r="W1490" i="5"/>
  <c r="U9" i="5"/>
  <c r="W208" i="5"/>
  <c r="W289" i="5"/>
  <c r="W348" i="5"/>
  <c r="W42" i="5"/>
  <c r="W105" i="5"/>
  <c r="W163" i="5"/>
  <c r="W226" i="5"/>
  <c r="W290" i="5"/>
  <c r="W349" i="5"/>
  <c r="W107" i="5"/>
  <c r="W228" i="5"/>
  <c r="W292" i="5"/>
  <c r="W50" i="5"/>
  <c r="W171" i="5"/>
  <c r="W293" i="5"/>
  <c r="W109" i="5"/>
  <c r="W294" i="5"/>
  <c r="W110" i="5"/>
  <c r="W231" i="5"/>
  <c r="W354" i="5"/>
  <c r="W53" i="5"/>
  <c r="W174" i="5"/>
  <c r="W355" i="5"/>
  <c r="W54" i="5"/>
  <c r="W175" i="5"/>
  <c r="W233" i="5"/>
  <c r="W297" i="5"/>
  <c r="W55" i="5"/>
  <c r="W298" i="5"/>
  <c r="W235" i="5"/>
  <c r="W178" i="5"/>
  <c r="W241" i="5"/>
  <c r="W300" i="5"/>
  <c r="W377" i="5"/>
  <c r="W58" i="5"/>
  <c r="W179" i="5"/>
  <c r="W378" i="5"/>
  <c r="W76" i="5"/>
  <c r="W197" i="5"/>
  <c r="W319" i="5"/>
  <c r="W14" i="5"/>
  <c r="W135" i="5"/>
  <c r="W256" i="5"/>
  <c r="W320" i="5"/>
  <c r="W78" i="5"/>
  <c r="W199" i="5"/>
  <c r="W257" i="5"/>
  <c r="W386" i="5"/>
  <c r="W137" i="5"/>
  <c r="W322" i="5"/>
  <c r="W17" i="5"/>
  <c r="W138" i="5"/>
  <c r="W259" i="5"/>
  <c r="W408" i="5"/>
  <c r="W384" i="5"/>
  <c r="W360" i="5"/>
  <c r="W336" i="5"/>
  <c r="W312" i="5"/>
  <c r="W288" i="5"/>
  <c r="W264" i="5"/>
  <c r="W240" i="5"/>
  <c r="W216" i="5"/>
  <c r="W192" i="5"/>
  <c r="W168" i="5"/>
  <c r="W144" i="5"/>
  <c r="W120" i="5"/>
  <c r="W96" i="5"/>
  <c r="W72" i="5"/>
  <c r="W48" i="5"/>
  <c r="W24" i="5"/>
  <c r="W407" i="5"/>
  <c r="W383" i="5"/>
  <c r="W359" i="5"/>
  <c r="W335" i="5"/>
  <c r="W311" i="5"/>
  <c r="W287" i="5"/>
  <c r="W263" i="5"/>
  <c r="W239" i="5"/>
  <c r="W215" i="5"/>
  <c r="W191" i="5"/>
  <c r="W167" i="5"/>
  <c r="W143" i="5"/>
  <c r="W119" i="5"/>
  <c r="W95" i="5"/>
  <c r="W71" i="5"/>
  <c r="W47" i="5"/>
  <c r="W23" i="5"/>
  <c r="W406" i="5"/>
  <c r="W382" i="5"/>
  <c r="W358" i="5"/>
  <c r="W334" i="5"/>
  <c r="W310" i="5"/>
  <c r="W286" i="5"/>
  <c r="W262" i="5"/>
  <c r="W238" i="5"/>
  <c r="W214" i="5"/>
  <c r="W190" i="5"/>
  <c r="W166" i="5"/>
  <c r="W142" i="5"/>
  <c r="W118" i="5"/>
  <c r="W94" i="5"/>
  <c r="W70" i="5"/>
  <c r="W46" i="5"/>
  <c r="W22" i="5"/>
  <c r="W405" i="5"/>
  <c r="W381" i="5"/>
  <c r="W357" i="5"/>
  <c r="W333" i="5"/>
  <c r="W309" i="5"/>
  <c r="W285" i="5"/>
  <c r="W261" i="5"/>
  <c r="W237" i="5"/>
  <c r="W213" i="5"/>
  <c r="W189" i="5"/>
  <c r="W165" i="5"/>
  <c r="W141" i="5"/>
  <c r="W117" i="5"/>
  <c r="W93" i="5"/>
  <c r="W69" i="5"/>
  <c r="W45" i="5"/>
  <c r="W21" i="5"/>
  <c r="W404" i="5"/>
  <c r="W380" i="5"/>
  <c r="W356" i="5"/>
  <c r="W332" i="5"/>
  <c r="W308" i="5"/>
  <c r="W284" i="5"/>
  <c r="W260" i="5"/>
  <c r="W236" i="5"/>
  <c r="W212" i="5"/>
  <c r="W188" i="5"/>
  <c r="W164" i="5"/>
  <c r="W140" i="5"/>
  <c r="W116" i="5"/>
  <c r="W92" i="5"/>
  <c r="W68" i="5"/>
  <c r="W44" i="5"/>
  <c r="W20" i="5"/>
  <c r="W409" i="5"/>
  <c r="W375" i="5"/>
  <c r="W346" i="5"/>
  <c r="W317" i="5"/>
  <c r="W283" i="5"/>
  <c r="W254" i="5"/>
  <c r="W225" i="5"/>
  <c r="W196" i="5"/>
  <c r="W162" i="5"/>
  <c r="W133" i="5"/>
  <c r="W104" i="5"/>
  <c r="W75" i="5"/>
  <c r="W41" i="5"/>
  <c r="W12" i="5"/>
  <c r="W403" i="5"/>
  <c r="W374" i="5"/>
  <c r="W345" i="5"/>
  <c r="W316" i="5"/>
  <c r="W282" i="5"/>
  <c r="W253" i="5"/>
  <c r="W224" i="5"/>
  <c r="W195" i="5"/>
  <c r="W161" i="5"/>
  <c r="W132" i="5"/>
  <c r="W103" i="5"/>
  <c r="W74" i="5"/>
  <c r="W40" i="5"/>
  <c r="W11" i="5"/>
  <c r="W9" i="5"/>
  <c r="W400" i="5"/>
  <c r="W342" i="5"/>
  <c r="W313" i="5"/>
  <c r="W279" i="5"/>
  <c r="W221" i="5"/>
  <c r="W187" i="5"/>
  <c r="W129" i="5"/>
  <c r="W66" i="5"/>
  <c r="W8" i="5"/>
  <c r="W370" i="5"/>
  <c r="W307" i="5"/>
  <c r="W249" i="5"/>
  <c r="W186" i="5"/>
  <c r="W128" i="5"/>
  <c r="W65" i="5"/>
  <c r="W7" i="5"/>
  <c r="W369" i="5"/>
  <c r="W340" i="5"/>
  <c r="W277" i="5"/>
  <c r="W248" i="5"/>
  <c r="W185" i="5"/>
  <c r="W127" i="5"/>
  <c r="W64" i="5"/>
  <c r="W6" i="5"/>
  <c r="W368" i="5"/>
  <c r="W305" i="5"/>
  <c r="W247" i="5"/>
  <c r="W184" i="5"/>
  <c r="W126" i="5"/>
  <c r="W63" i="5"/>
  <c r="W367" i="5"/>
  <c r="W246" i="5"/>
  <c r="W183" i="5"/>
  <c r="W125" i="5"/>
  <c r="W62" i="5"/>
  <c r="W366" i="5"/>
  <c r="W303" i="5"/>
  <c r="W245" i="5"/>
  <c r="W211" i="5"/>
  <c r="W182" i="5"/>
  <c r="W124" i="5"/>
  <c r="W90" i="5"/>
  <c r="W32" i="5"/>
  <c r="W365" i="5"/>
  <c r="W210" i="5"/>
  <c r="W123" i="5"/>
  <c r="W60" i="5"/>
  <c r="W364" i="5"/>
  <c r="W330" i="5"/>
  <c r="W272" i="5"/>
  <c r="W209" i="5"/>
  <c r="W151" i="5"/>
  <c r="W88" i="5"/>
  <c r="W30" i="5"/>
  <c r="W392" i="5"/>
  <c r="W329" i="5"/>
  <c r="W402" i="5"/>
  <c r="W373" i="5"/>
  <c r="W344" i="5"/>
  <c r="W315" i="5"/>
  <c r="W281" i="5"/>
  <c r="W252" i="5"/>
  <c r="W223" i="5"/>
  <c r="W194" i="5"/>
  <c r="W160" i="5"/>
  <c r="W131" i="5"/>
  <c r="W102" i="5"/>
  <c r="W73" i="5"/>
  <c r="W39" i="5"/>
  <c r="W10" i="5"/>
  <c r="W401" i="5"/>
  <c r="W372" i="5"/>
  <c r="W343" i="5"/>
  <c r="W314" i="5"/>
  <c r="W280" i="5"/>
  <c r="W251" i="5"/>
  <c r="W222" i="5"/>
  <c r="W193" i="5"/>
  <c r="W159" i="5"/>
  <c r="W130" i="5"/>
  <c r="W101" i="5"/>
  <c r="W67" i="5"/>
  <c r="W38" i="5"/>
  <c r="W371" i="5"/>
  <c r="W250" i="5"/>
  <c r="W158" i="5"/>
  <c r="W100" i="5"/>
  <c r="W37" i="5"/>
  <c r="W399" i="5"/>
  <c r="W341" i="5"/>
  <c r="W278" i="5"/>
  <c r="W220" i="5"/>
  <c r="W157" i="5"/>
  <c r="W99" i="5"/>
  <c r="W36" i="5"/>
  <c r="W398" i="5"/>
  <c r="W306" i="5"/>
  <c r="W219" i="5"/>
  <c r="W156" i="5"/>
  <c r="W98" i="5"/>
  <c r="W35" i="5"/>
  <c r="W397" i="5"/>
  <c r="W339" i="5"/>
  <c r="W276" i="5"/>
  <c r="W218" i="5"/>
  <c r="W155" i="5"/>
  <c r="W97" i="5"/>
  <c r="W34" i="5"/>
  <c r="W396" i="5"/>
  <c r="W338" i="5"/>
  <c r="W275" i="5"/>
  <c r="W217" i="5"/>
  <c r="W154" i="5"/>
  <c r="W91" i="5"/>
  <c r="W33" i="5"/>
  <c r="W395" i="5"/>
  <c r="W337" i="5"/>
  <c r="W274" i="5"/>
  <c r="W153" i="5"/>
  <c r="W61" i="5"/>
  <c r="W394" i="5"/>
  <c r="W331" i="5"/>
  <c r="W302" i="5"/>
  <c r="W273" i="5"/>
  <c r="W244" i="5"/>
  <c r="W181" i="5"/>
  <c r="W152" i="5"/>
  <c r="W89" i="5"/>
  <c r="W31" i="5"/>
  <c r="W393" i="5"/>
  <c r="W301" i="5"/>
  <c r="W243" i="5"/>
  <c r="W180" i="5"/>
  <c r="W122" i="5"/>
  <c r="W59" i="5"/>
  <c r="W363" i="5"/>
  <c r="W271" i="5"/>
  <c r="W304" i="5"/>
  <c r="W391" i="5"/>
  <c r="W43" i="5"/>
  <c r="W106" i="5"/>
  <c r="W169" i="5"/>
  <c r="W227" i="5"/>
  <c r="W291" i="5"/>
  <c r="W350" i="5"/>
  <c r="W49" i="5"/>
  <c r="W170" i="5"/>
  <c r="W351" i="5"/>
  <c r="W108" i="5"/>
  <c r="W229" i="5"/>
  <c r="W352" i="5"/>
  <c r="W51" i="5"/>
  <c r="W172" i="5"/>
  <c r="W230" i="5"/>
  <c r="W353" i="5"/>
  <c r="W52" i="5"/>
  <c r="W173" i="5"/>
  <c r="W295" i="5"/>
  <c r="W111" i="5"/>
  <c r="W232" i="5"/>
  <c r="W296" i="5"/>
  <c r="W112" i="5"/>
  <c r="W361" i="5"/>
  <c r="W113" i="5"/>
  <c r="W176" i="5"/>
  <c r="W234" i="5"/>
  <c r="W362" i="5"/>
  <c r="W56" i="5"/>
  <c r="W114" i="5"/>
  <c r="W177" i="5"/>
  <c r="W299" i="5"/>
  <c r="W376" i="5"/>
  <c r="W57" i="5"/>
  <c r="W121" i="5"/>
  <c r="W242" i="5"/>
  <c r="W318" i="5"/>
  <c r="W13" i="5"/>
  <c r="W134" i="5"/>
  <c r="W255" i="5"/>
  <c r="W379" i="5"/>
  <c r="W77" i="5"/>
  <c r="W198" i="5"/>
  <c r="W385" i="5"/>
  <c r="W15" i="5"/>
  <c r="W136" i="5"/>
  <c r="W321" i="5"/>
  <c r="W16" i="5"/>
  <c r="W79" i="5"/>
  <c r="W200" i="5"/>
  <c r="W258" i="5"/>
  <c r="W387" i="5"/>
  <c r="W80" i="5"/>
  <c r="W201" i="5"/>
  <c r="W323" i="5"/>
  <c r="W18" i="5"/>
  <c r="W81" i="5"/>
  <c r="W139" i="5"/>
  <c r="W202" i="5"/>
  <c r="W265" i="5"/>
  <c r="W324" i="5"/>
  <c r="W389" i="5"/>
  <c r="W19" i="5"/>
  <c r="W82" i="5"/>
  <c r="W145" i="5"/>
  <c r="W203" i="5"/>
  <c r="W266" i="5"/>
  <c r="W325" i="5"/>
  <c r="W390" i="5"/>
  <c r="Y4" i="5" l="1"/>
  <c r="Y3" i="5"/>
  <c r="U12" i="5"/>
  <c r="U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ACF467-4DD8-41E6-88F9-9666E382FC13}" keepAlive="1" name="Query - Document" description="Connection to the 'Document' query in the workbook." type="5" refreshedVersion="0" background="1">
    <dbPr connection="Provider=Microsoft.Mashup.OleDb.1;Data Source=$Workbook$;Location=Document;Extended Properties=&quot;&quot;" command="SELECT * FROM [Document]"/>
  </connection>
</connections>
</file>

<file path=xl/sharedStrings.xml><?xml version="1.0" encoding="utf-8"?>
<sst xmlns="http://schemas.openxmlformats.org/spreadsheetml/2006/main" count="63" uniqueCount="62">
  <si>
    <t>Makro-Sheet</t>
  </si>
  <si>
    <t>Mean</t>
  </si>
  <si>
    <t>Standard.Dev (S)</t>
  </si>
  <si>
    <t>Standard.Dev (P)</t>
  </si>
  <si>
    <t xml:space="preserve">Monte Carl Sim </t>
  </si>
  <si>
    <t>Median</t>
  </si>
  <si>
    <t xml:space="preserve">Hisotical S&amp;P 500 Returns </t>
  </si>
  <si>
    <t>S&amp;P500</t>
  </si>
  <si>
    <t>NASDAQ</t>
  </si>
  <si>
    <t>DAX</t>
  </si>
  <si>
    <t>DOW Jones</t>
  </si>
  <si>
    <t>Russel 2000</t>
  </si>
  <si>
    <t>CAC40</t>
  </si>
  <si>
    <t>FTSE MIB</t>
  </si>
  <si>
    <t>IBEX 35</t>
  </si>
  <si>
    <t xml:space="preserve">Swiss Market Index </t>
  </si>
  <si>
    <t>Max</t>
  </si>
  <si>
    <t>Min</t>
  </si>
  <si>
    <t>1 Sigma low</t>
  </si>
  <si>
    <t>1 Sigma high</t>
  </si>
  <si>
    <t>2 Sigma low</t>
  </si>
  <si>
    <t>2 Sigma high</t>
  </si>
  <si>
    <t>3 Sigma low</t>
  </si>
  <si>
    <t>3 Sigma high</t>
  </si>
  <si>
    <t>Hisotical S&amp;P 500 Returns YoY</t>
  </si>
  <si>
    <t>Stock Indices</t>
  </si>
  <si>
    <t>APAC</t>
  </si>
  <si>
    <t>Europe</t>
  </si>
  <si>
    <t>Americas</t>
  </si>
  <si>
    <t>S&amp;P/TSX Composite index</t>
  </si>
  <si>
    <t>Mexico S&amp;P/BMV IPC</t>
  </si>
  <si>
    <t>Sao Paulo Bovespa Index</t>
  </si>
  <si>
    <t>S&amp;P MERVAL</t>
  </si>
  <si>
    <t>Nikke 225</t>
  </si>
  <si>
    <t>Hang Seng Index</t>
  </si>
  <si>
    <t>Shanghai Composite</t>
  </si>
  <si>
    <t>Taiwan Weighted Index</t>
  </si>
  <si>
    <t>KOSPI</t>
  </si>
  <si>
    <t>FTSE Straits Times Index</t>
  </si>
  <si>
    <t>ASX200</t>
  </si>
  <si>
    <t>Commodities</t>
  </si>
  <si>
    <t>Brent Crude Oil</t>
  </si>
  <si>
    <t>VIX</t>
  </si>
  <si>
    <t>BTC</t>
  </si>
  <si>
    <t>ETH</t>
  </si>
  <si>
    <t>Gold</t>
  </si>
  <si>
    <t>Silver</t>
  </si>
  <si>
    <t>Copper</t>
  </si>
  <si>
    <t xml:space="preserve">Uranium </t>
  </si>
  <si>
    <t>WTI Crude Oil</t>
  </si>
  <si>
    <t>Natural Gas</t>
  </si>
  <si>
    <t>RBOB</t>
  </si>
  <si>
    <t>Baltic Dry Index</t>
  </si>
  <si>
    <t>Lumber</t>
  </si>
  <si>
    <t>Aluminium</t>
  </si>
  <si>
    <t>Iron Ore</t>
  </si>
  <si>
    <t>Coffee</t>
  </si>
  <si>
    <t>Cocoa</t>
  </si>
  <si>
    <t>Cotton</t>
  </si>
  <si>
    <t>Wheat</t>
  </si>
  <si>
    <t>Corn</t>
  </si>
  <si>
    <t>Soyabean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</si>
</sst>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/>
    <xf numFmtId="9" fontId="0" fillId="0" borderId="0" xfId="1" applyFont="1"/>
    <xf numFmtId="0" fontId="2" fillId="0" borderId="0" xfId="0" applyFont="1"/>
    <xf numFmtId="0" fontId="20" fillId="0" borderId="0" xfId="0" applyFont="1"/>
    <xf numFmtId="0" fontId="21" fillId="0" borderId="0" xfId="0" applyFont="1"/>
    <xf numFmtId="164" fontId="2" fillId="0" borderId="0" xfId="0" applyNumberFormat="1" applyFont="1"/>
    <xf numFmtId="9" fontId="2" fillId="0" borderId="0" xfId="1" applyFont="1"/>
    <xf numFmtId="164" fontId="2" fillId="0" borderId="0" xfId="1" applyNumberFormat="1" applyFont="1"/>
    <xf numFmtId="0" fontId="22" fillId="0" borderId="0" xfId="0" applyFont="1"/>
    <xf numFmtId="0" fontId="1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'S&amp;P'!$W$512:$W$1516</c:f>
              <c:numCache>
                <c:formatCode>0%</c:formatCode>
                <c:ptCount val="1005"/>
                <c:pt idx="0">
                  <c:v>0.18489835409238897</c:v>
                </c:pt>
                <c:pt idx="1">
                  <c:v>-3.3716986941529817E-2</c:v>
                </c:pt>
                <c:pt idx="2">
                  <c:v>0.27390623845157097</c:v>
                </c:pt>
                <c:pt idx="3">
                  <c:v>0.17347032499232495</c:v>
                </c:pt>
                <c:pt idx="4">
                  <c:v>-3.2195416688681269E-2</c:v>
                </c:pt>
                <c:pt idx="5">
                  <c:v>0.24195457191963243</c:v>
                </c:pt>
                <c:pt idx="6">
                  <c:v>0.21783638385139509</c:v>
                </c:pt>
                <c:pt idx="7">
                  <c:v>-0.2465905256049688</c:v>
                </c:pt>
                <c:pt idx="8">
                  <c:v>6.5273144727371668E-2</c:v>
                </c:pt>
                <c:pt idx="9">
                  <c:v>-7.9524969195451475E-2</c:v>
                </c:pt>
                <c:pt idx="10">
                  <c:v>0.17741727614923514</c:v>
                </c:pt>
                <c:pt idx="11">
                  <c:v>0.24866883334611284</c:v>
                </c:pt>
                <c:pt idx="12">
                  <c:v>0.23238875503319051</c:v>
                </c:pt>
                <c:pt idx="13">
                  <c:v>0.45761093252336088</c:v>
                </c:pt>
                <c:pt idx="14">
                  <c:v>-9.0840066029086355E-2</c:v>
                </c:pt>
                <c:pt idx="15">
                  <c:v>-7.2703497492989419E-2</c:v>
                </c:pt>
                <c:pt idx="16">
                  <c:v>7.0095935488039204E-2</c:v>
                </c:pt>
                <c:pt idx="17">
                  <c:v>0.36648856215183057</c:v>
                </c:pt>
                <c:pt idx="18">
                  <c:v>0.16364390930618197</c:v>
                </c:pt>
                <c:pt idx="19">
                  <c:v>-6.2937553171503555E-2</c:v>
                </c:pt>
                <c:pt idx="20">
                  <c:v>0.1966007716448607</c:v>
                </c:pt>
                <c:pt idx="21">
                  <c:v>0.46839067652146393</c:v>
                </c:pt>
                <c:pt idx="22">
                  <c:v>-0.3287458133841295</c:v>
                </c:pt>
                <c:pt idx="23">
                  <c:v>-1.2925980616961499E-2</c:v>
                </c:pt>
                <c:pt idx="24">
                  <c:v>0.34237261606949682</c:v>
                </c:pt>
                <c:pt idx="25">
                  <c:v>6.5224471722140659E-2</c:v>
                </c:pt>
                <c:pt idx="26">
                  <c:v>4.3969670005789233E-2</c:v>
                </c:pt>
                <c:pt idx="27">
                  <c:v>0.23878455331475668</c:v>
                </c:pt>
                <c:pt idx="28">
                  <c:v>0.1184696693199041</c:v>
                </c:pt>
                <c:pt idx="29">
                  <c:v>0.30778909503809876</c:v>
                </c:pt>
                <c:pt idx="30">
                  <c:v>0.23743967088121859</c:v>
                </c:pt>
                <c:pt idx="31">
                  <c:v>5.3100352899162505E-2</c:v>
                </c:pt>
                <c:pt idx="32">
                  <c:v>8.3289807579167999E-2</c:v>
                </c:pt>
                <c:pt idx="33">
                  <c:v>-8.5033122713424766E-2</c:v>
                </c:pt>
                <c:pt idx="34">
                  <c:v>0.15456275356946564</c:v>
                </c:pt>
                <c:pt idx="35">
                  <c:v>0.38931482305857751</c:v>
                </c:pt>
                <c:pt idx="36">
                  <c:v>-0.28778405760672315</c:v>
                </c:pt>
                <c:pt idx="37">
                  <c:v>0.37200526794885697</c:v>
                </c:pt>
                <c:pt idx="38">
                  <c:v>0.32286982012195309</c:v>
                </c:pt>
                <c:pt idx="39">
                  <c:v>0.32677209380061262</c:v>
                </c:pt>
                <c:pt idx="40">
                  <c:v>1.8527114447948939E-2</c:v>
                </c:pt>
                <c:pt idx="41">
                  <c:v>-4.3331567849646854E-2</c:v>
                </c:pt>
                <c:pt idx="42">
                  <c:v>0.11694247555338727</c:v>
                </c:pt>
                <c:pt idx="43">
                  <c:v>0.35630769285786207</c:v>
                </c:pt>
                <c:pt idx="44">
                  <c:v>-0.12997826112473654</c:v>
                </c:pt>
                <c:pt idx="45">
                  <c:v>0.37791771162634791</c:v>
                </c:pt>
                <c:pt idx="46">
                  <c:v>0.15670462895993434</c:v>
                </c:pt>
                <c:pt idx="47">
                  <c:v>-0.14861930006155427</c:v>
                </c:pt>
                <c:pt idx="48">
                  <c:v>0.15020267749638219</c:v>
                </c:pt>
                <c:pt idx="49">
                  <c:v>0.17913521398952337</c:v>
                </c:pt>
                <c:pt idx="50">
                  <c:v>0.163876289840171</c:v>
                </c:pt>
                <c:pt idx="51">
                  <c:v>0.29861623975188384</c:v>
                </c:pt>
                <c:pt idx="52">
                  <c:v>-7.1593478253785398E-3</c:v>
                </c:pt>
                <c:pt idx="53">
                  <c:v>-0.19898393402245912</c:v>
                </c:pt>
                <c:pt idx="54">
                  <c:v>-9.1380812237768491E-2</c:v>
                </c:pt>
                <c:pt idx="55">
                  <c:v>5.5329463199318779E-2</c:v>
                </c:pt>
                <c:pt idx="56">
                  <c:v>4.3051285391524904E-2</c:v>
                </c:pt>
                <c:pt idx="57">
                  <c:v>0.17148764148942236</c:v>
                </c:pt>
                <c:pt idx="58">
                  <c:v>0.19498220369576863</c:v>
                </c:pt>
                <c:pt idx="59">
                  <c:v>-1.5932447160301608E-2</c:v>
                </c:pt>
                <c:pt idx="60">
                  <c:v>-7.0018109667669928E-2</c:v>
                </c:pt>
                <c:pt idx="61">
                  <c:v>0.24295090428849797</c:v>
                </c:pt>
                <c:pt idx="62">
                  <c:v>0.17254235788597047</c:v>
                </c:pt>
                <c:pt idx="63">
                  <c:v>6.6692171708242098E-2</c:v>
                </c:pt>
                <c:pt idx="64">
                  <c:v>-5.3875600057515668E-2</c:v>
                </c:pt>
                <c:pt idx="65">
                  <c:v>0.14518040989689013</c:v>
                </c:pt>
                <c:pt idx="66">
                  <c:v>-8.6863714326740962E-2</c:v>
                </c:pt>
                <c:pt idx="67">
                  <c:v>-0.24459194028743753</c:v>
                </c:pt>
                <c:pt idx="68">
                  <c:v>-9.1851764623347709E-4</c:v>
                </c:pt>
                <c:pt idx="69">
                  <c:v>1.1538913470833675E-2</c:v>
                </c:pt>
                <c:pt idx="70">
                  <c:v>0.18202539162987985</c:v>
                </c:pt>
                <c:pt idx="71">
                  <c:v>9.9586282131874676E-2</c:v>
                </c:pt>
                <c:pt idx="72">
                  <c:v>8.675790300790881E-3</c:v>
                </c:pt>
                <c:pt idx="73">
                  <c:v>0.15353270609770425</c:v>
                </c:pt>
                <c:pt idx="74">
                  <c:v>0.49521363643586974</c:v>
                </c:pt>
                <c:pt idx="75">
                  <c:v>5.8320720599571933E-2</c:v>
                </c:pt>
                <c:pt idx="76">
                  <c:v>4.4542406144644081E-2</c:v>
                </c:pt>
                <c:pt idx="77">
                  <c:v>-2.5215406865403397E-2</c:v>
                </c:pt>
                <c:pt idx="78">
                  <c:v>0.23303247097933849</c:v>
                </c:pt>
                <c:pt idx="79">
                  <c:v>-0.11853005486536915</c:v>
                </c:pt>
                <c:pt idx="80">
                  <c:v>-6.7512351137080331E-2</c:v>
                </c:pt>
                <c:pt idx="81">
                  <c:v>-0.17414598396498798</c:v>
                </c:pt>
                <c:pt idx="82">
                  <c:v>-4.1737067432926031E-2</c:v>
                </c:pt>
                <c:pt idx="83">
                  <c:v>0.1473139227955754</c:v>
                </c:pt>
                <c:pt idx="84">
                  <c:v>-0.13649939516300896</c:v>
                </c:pt>
                <c:pt idx="85">
                  <c:v>0.14097648712550243</c:v>
                </c:pt>
                <c:pt idx="86">
                  <c:v>1.7218386914199649E-2</c:v>
                </c:pt>
                <c:pt idx="87">
                  <c:v>0.10191728255210389</c:v>
                </c:pt>
                <c:pt idx="88">
                  <c:v>8.859787123108688E-2</c:v>
                </c:pt>
                <c:pt idx="89">
                  <c:v>0.38643092717164057</c:v>
                </c:pt>
                <c:pt idx="90">
                  <c:v>0.22809896791851436</c:v>
                </c:pt>
                <c:pt idx="91">
                  <c:v>0.22229540188300337</c:v>
                </c:pt>
                <c:pt idx="92">
                  <c:v>0.16785539665298871</c:v>
                </c:pt>
                <c:pt idx="93">
                  <c:v>0.23150679653175232</c:v>
                </c:pt>
                <c:pt idx="94">
                  <c:v>7.0259493018003855E-2</c:v>
                </c:pt>
                <c:pt idx="95">
                  <c:v>0.37744389703974612</c:v>
                </c:pt>
                <c:pt idx="96">
                  <c:v>0.31974151134826045</c:v>
                </c:pt>
                <c:pt idx="97">
                  <c:v>5.9182340757936533E-2</c:v>
                </c:pt>
                <c:pt idx="98">
                  <c:v>8.6397614729811167E-2</c:v>
                </c:pt>
                <c:pt idx="99">
                  <c:v>0.53201822810411004</c:v>
                </c:pt>
                <c:pt idx="100">
                  <c:v>0.30096310389560882</c:v>
                </c:pt>
                <c:pt idx="101">
                  <c:v>7.8135549603450816E-3</c:v>
                </c:pt>
                <c:pt idx="102">
                  <c:v>0.26131959788520254</c:v>
                </c:pt>
                <c:pt idx="103">
                  <c:v>-8.152213670394555E-2</c:v>
                </c:pt>
                <c:pt idx="104">
                  <c:v>2.7601123387576074E-2</c:v>
                </c:pt>
                <c:pt idx="105">
                  <c:v>0.13185743144080153</c:v>
                </c:pt>
                <c:pt idx="106">
                  <c:v>-0.2565443660405079</c:v>
                </c:pt>
                <c:pt idx="107">
                  <c:v>0.24771700986371481</c:v>
                </c:pt>
                <c:pt idx="108">
                  <c:v>0.33838228503034551</c:v>
                </c:pt>
                <c:pt idx="109">
                  <c:v>5.9396516133073687E-2</c:v>
                </c:pt>
                <c:pt idx="110">
                  <c:v>0.17911855490320924</c:v>
                </c:pt>
                <c:pt idx="111">
                  <c:v>-9.1178787300629741E-2</c:v>
                </c:pt>
                <c:pt idx="112">
                  <c:v>-0.29110981463055952</c:v>
                </c:pt>
                <c:pt idx="113">
                  <c:v>0.27525074878846012</c:v>
                </c:pt>
                <c:pt idx="114">
                  <c:v>5.0660063912050302E-2</c:v>
                </c:pt>
                <c:pt idx="115">
                  <c:v>0.21380648243903136</c:v>
                </c:pt>
                <c:pt idx="116">
                  <c:v>0.25174927464308988</c:v>
                </c:pt>
                <c:pt idx="117">
                  <c:v>0.15542931016440159</c:v>
                </c:pt>
                <c:pt idx="118">
                  <c:v>0.2928915610083887</c:v>
                </c:pt>
                <c:pt idx="119">
                  <c:v>9.8663414999057356E-2</c:v>
                </c:pt>
                <c:pt idx="120">
                  <c:v>0.49670905858288378</c:v>
                </c:pt>
                <c:pt idx="121">
                  <c:v>0.14058354986578334</c:v>
                </c:pt>
                <c:pt idx="122">
                  <c:v>0.30192317905702948</c:v>
                </c:pt>
                <c:pt idx="123">
                  <c:v>0.14581154262002871</c:v>
                </c:pt>
                <c:pt idx="124">
                  <c:v>0.16349485955345655</c:v>
                </c:pt>
                <c:pt idx="125">
                  <c:v>6.5244493404392132E-2</c:v>
                </c:pt>
                <c:pt idx="126">
                  <c:v>-6.3904803379104258E-3</c:v>
                </c:pt>
                <c:pt idx="127">
                  <c:v>6.6603119817857548E-2</c:v>
                </c:pt>
                <c:pt idx="128">
                  <c:v>0.20228639313051455</c:v>
                </c:pt>
                <c:pt idx="129">
                  <c:v>0.16071762844580767</c:v>
                </c:pt>
                <c:pt idx="130">
                  <c:v>0.19948141914563389</c:v>
                </c:pt>
                <c:pt idx="131">
                  <c:v>-1.4658715815972542E-2</c:v>
                </c:pt>
                <c:pt idx="132">
                  <c:v>0.17809860522790921</c:v>
                </c:pt>
                <c:pt idx="133">
                  <c:v>0.18151022894744367</c:v>
                </c:pt>
                <c:pt idx="134">
                  <c:v>0.11055855039227061</c:v>
                </c:pt>
                <c:pt idx="135">
                  <c:v>6.456930980402964E-2</c:v>
                </c:pt>
                <c:pt idx="136">
                  <c:v>-0.15400223554571363</c:v>
                </c:pt>
                <c:pt idx="137">
                  <c:v>0.31477321366066446</c:v>
                </c:pt>
                <c:pt idx="138">
                  <c:v>0.18588350855224264</c:v>
                </c:pt>
                <c:pt idx="139">
                  <c:v>0.16298619584130289</c:v>
                </c:pt>
                <c:pt idx="140">
                  <c:v>0.13962785959566903</c:v>
                </c:pt>
                <c:pt idx="141">
                  <c:v>0.12885643449791234</c:v>
                </c:pt>
                <c:pt idx="142">
                  <c:v>-0.14297264531692688</c:v>
                </c:pt>
                <c:pt idx="143">
                  <c:v>0.24224152846813829</c:v>
                </c:pt>
                <c:pt idx="144">
                  <c:v>0.35308462084728431</c:v>
                </c:pt>
                <c:pt idx="145">
                  <c:v>0.1715209377999995</c:v>
                </c:pt>
                <c:pt idx="146">
                  <c:v>0.29676409456375619</c:v>
                </c:pt>
                <c:pt idx="147">
                  <c:v>-0.3293702766211129</c:v>
                </c:pt>
                <c:pt idx="148">
                  <c:v>0.22865262850899792</c:v>
                </c:pt>
                <c:pt idx="149">
                  <c:v>-0.10404383228124388</c:v>
                </c:pt>
                <c:pt idx="150">
                  <c:v>0.18332944007026397</c:v>
                </c:pt>
                <c:pt idx="151">
                  <c:v>4.2077412915685092E-2</c:v>
                </c:pt>
                <c:pt idx="152">
                  <c:v>-5.5480520167745975E-2</c:v>
                </c:pt>
                <c:pt idx="153">
                  <c:v>-4.0112948125437628E-2</c:v>
                </c:pt>
                <c:pt idx="154">
                  <c:v>0.10928919892629534</c:v>
                </c:pt>
                <c:pt idx="155">
                  <c:v>0.14365806066067438</c:v>
                </c:pt>
                <c:pt idx="156">
                  <c:v>0.32067661627021149</c:v>
                </c:pt>
                <c:pt idx="157">
                  <c:v>0.35827811580170782</c:v>
                </c:pt>
                <c:pt idx="158">
                  <c:v>0.13426106047185543</c:v>
                </c:pt>
                <c:pt idx="159">
                  <c:v>4.5575101959079545E-2</c:v>
                </c:pt>
                <c:pt idx="160">
                  <c:v>4.4374117514107247E-2</c:v>
                </c:pt>
                <c:pt idx="161">
                  <c:v>0.30216693050790289</c:v>
                </c:pt>
                <c:pt idx="162">
                  <c:v>0.31826453400371618</c:v>
                </c:pt>
                <c:pt idx="163">
                  <c:v>0.48606066113962626</c:v>
                </c:pt>
                <c:pt idx="164">
                  <c:v>-7.9069493910757613E-2</c:v>
                </c:pt>
                <c:pt idx="165">
                  <c:v>3.0263384522336539E-2</c:v>
                </c:pt>
                <c:pt idx="166">
                  <c:v>0.33638931896107055</c:v>
                </c:pt>
                <c:pt idx="167">
                  <c:v>0.21829050047255946</c:v>
                </c:pt>
                <c:pt idx="168">
                  <c:v>0.36976989485366396</c:v>
                </c:pt>
                <c:pt idx="169">
                  <c:v>0.29898401158570953</c:v>
                </c:pt>
                <c:pt idx="170">
                  <c:v>0.13867436284976636</c:v>
                </c:pt>
                <c:pt idx="171">
                  <c:v>0.30035340057001925</c:v>
                </c:pt>
                <c:pt idx="172">
                  <c:v>6.7985211808690438E-2</c:v>
                </c:pt>
                <c:pt idx="173">
                  <c:v>0.38009728730162334</c:v>
                </c:pt>
                <c:pt idx="174">
                  <c:v>0.22647305375867705</c:v>
                </c:pt>
                <c:pt idx="175">
                  <c:v>0.42073781045365566</c:v>
                </c:pt>
                <c:pt idx="176">
                  <c:v>-3.5934629987301639E-2</c:v>
                </c:pt>
                <c:pt idx="177">
                  <c:v>-2.6782349722635837E-2</c:v>
                </c:pt>
                <c:pt idx="178">
                  <c:v>0.37047806363862246</c:v>
                </c:pt>
                <c:pt idx="179">
                  <c:v>1.8857470319747244E-2</c:v>
                </c:pt>
                <c:pt idx="180">
                  <c:v>3.9719839847774732E-2</c:v>
                </c:pt>
                <c:pt idx="181">
                  <c:v>0.13323193329155653</c:v>
                </c:pt>
                <c:pt idx="182">
                  <c:v>0.12120790337785553</c:v>
                </c:pt>
                <c:pt idx="183">
                  <c:v>0.10376024007426453</c:v>
                </c:pt>
                <c:pt idx="184">
                  <c:v>1.8452691651750619E-2</c:v>
                </c:pt>
                <c:pt idx="185">
                  <c:v>0.26816778210329378</c:v>
                </c:pt>
                <c:pt idx="186">
                  <c:v>-0.20008586558496194</c:v>
                </c:pt>
                <c:pt idx="187">
                  <c:v>0.20108835722709989</c:v>
                </c:pt>
                <c:pt idx="188">
                  <c:v>6.0312882385359042E-2</c:v>
                </c:pt>
                <c:pt idx="189">
                  <c:v>0.16649717451026533</c:v>
                </c:pt>
                <c:pt idx="190">
                  <c:v>4.7631845482424467E-2</c:v>
                </c:pt>
                <c:pt idx="191">
                  <c:v>5.8902527420629062E-2</c:v>
                </c:pt>
                <c:pt idx="192">
                  <c:v>0.1182019394810693</c:v>
                </c:pt>
                <c:pt idx="193">
                  <c:v>0.42878530967801115</c:v>
                </c:pt>
                <c:pt idx="194">
                  <c:v>0.46478232213364112</c:v>
                </c:pt>
                <c:pt idx="195">
                  <c:v>0.29025760956299668</c:v>
                </c:pt>
                <c:pt idx="196">
                  <c:v>-0.24309530235929999</c:v>
                </c:pt>
                <c:pt idx="197">
                  <c:v>-0.17681268584769677</c:v>
                </c:pt>
                <c:pt idx="198">
                  <c:v>0.2563398831937489</c:v>
                </c:pt>
                <c:pt idx="199">
                  <c:v>0.15826713426254443</c:v>
                </c:pt>
                <c:pt idx="200">
                  <c:v>0.11398931045365265</c:v>
                </c:pt>
                <c:pt idx="201">
                  <c:v>0.32684352471547878</c:v>
                </c:pt>
                <c:pt idx="202">
                  <c:v>0.36098021430445421</c:v>
                </c:pt>
                <c:pt idx="203">
                  <c:v>3.1008824455292475E-2</c:v>
                </c:pt>
                <c:pt idx="204">
                  <c:v>-8.7734858217769066E-2</c:v>
                </c:pt>
                <c:pt idx="205">
                  <c:v>0.35409509189249144</c:v>
                </c:pt>
                <c:pt idx="206">
                  <c:v>-2.0608221119587641E-2</c:v>
                </c:pt>
                <c:pt idx="207">
                  <c:v>-0.22131816506383961</c:v>
                </c:pt>
                <c:pt idx="208">
                  <c:v>0.44185389151528004</c:v>
                </c:pt>
                <c:pt idx="209">
                  <c:v>-1.2237395010119126E-2</c:v>
                </c:pt>
                <c:pt idx="210">
                  <c:v>7.2439419473019767E-2</c:v>
                </c:pt>
                <c:pt idx="211">
                  <c:v>-0.14792235713513413</c:v>
                </c:pt>
                <c:pt idx="212">
                  <c:v>0.19033544122124191</c:v>
                </c:pt>
                <c:pt idx="213">
                  <c:v>0.44053352623144465</c:v>
                </c:pt>
                <c:pt idx="214">
                  <c:v>0.15574570952806768</c:v>
                </c:pt>
                <c:pt idx="215">
                  <c:v>-7.7135242547305624E-2</c:v>
                </c:pt>
                <c:pt idx="216">
                  <c:v>0.19333883946573199</c:v>
                </c:pt>
                <c:pt idx="217">
                  <c:v>0.13021968561300237</c:v>
                </c:pt>
                <c:pt idx="218">
                  <c:v>0.48968467581990582</c:v>
                </c:pt>
                <c:pt idx="219">
                  <c:v>0.13115582538890985</c:v>
                </c:pt>
                <c:pt idx="220">
                  <c:v>0.2981642038212135</c:v>
                </c:pt>
                <c:pt idx="221">
                  <c:v>0.46529555576504372</c:v>
                </c:pt>
                <c:pt idx="222">
                  <c:v>2.6981781306413016E-2</c:v>
                </c:pt>
                <c:pt idx="223">
                  <c:v>0.25479685905173499</c:v>
                </c:pt>
                <c:pt idx="224">
                  <c:v>-0.14548119931858244</c:v>
                </c:pt>
                <c:pt idx="225">
                  <c:v>0.11578821574512399</c:v>
                </c:pt>
                <c:pt idx="226">
                  <c:v>0.26760357124751494</c:v>
                </c:pt>
                <c:pt idx="227">
                  <c:v>0.13952963735338936</c:v>
                </c:pt>
                <c:pt idx="228">
                  <c:v>6.1501748795906509E-2</c:v>
                </c:pt>
                <c:pt idx="229">
                  <c:v>3.7827830603392218E-2</c:v>
                </c:pt>
                <c:pt idx="230">
                  <c:v>0.22392332700507134</c:v>
                </c:pt>
                <c:pt idx="231">
                  <c:v>0.29343433015726711</c:v>
                </c:pt>
                <c:pt idx="232">
                  <c:v>-8.0542185820498671E-2</c:v>
                </c:pt>
                <c:pt idx="233">
                  <c:v>0.13429922889120599</c:v>
                </c:pt>
                <c:pt idx="234">
                  <c:v>-0.21992557483403902</c:v>
                </c:pt>
                <c:pt idx="235">
                  <c:v>0.29423445143038079</c:v>
                </c:pt>
                <c:pt idx="236">
                  <c:v>6.6787349141005772E-2</c:v>
                </c:pt>
                <c:pt idx="237">
                  <c:v>-4.1473846726484673E-2</c:v>
                </c:pt>
                <c:pt idx="238">
                  <c:v>-0.30775229910175012</c:v>
                </c:pt>
                <c:pt idx="239">
                  <c:v>0.36931625033445481</c:v>
                </c:pt>
                <c:pt idx="240">
                  <c:v>0.30844870075668662</c:v>
                </c:pt>
                <c:pt idx="241">
                  <c:v>0.20045563112350162</c:v>
                </c:pt>
                <c:pt idx="242">
                  <c:v>0.31251500416698957</c:v>
                </c:pt>
                <c:pt idx="243">
                  <c:v>5.5235754884364573E-2</c:v>
                </c:pt>
                <c:pt idx="244">
                  <c:v>6.957111537015051E-2</c:v>
                </c:pt>
                <c:pt idx="245">
                  <c:v>-0.16381093527165674</c:v>
                </c:pt>
                <c:pt idx="246">
                  <c:v>0.29327450031476687</c:v>
                </c:pt>
                <c:pt idx="247">
                  <c:v>6.5186557216448171E-2</c:v>
                </c:pt>
                <c:pt idx="248">
                  <c:v>-1.7084616476372036E-2</c:v>
                </c:pt>
                <c:pt idx="249">
                  <c:v>-6.2238261704702494E-2</c:v>
                </c:pt>
                <c:pt idx="250">
                  <c:v>0.35932910602225743</c:v>
                </c:pt>
                <c:pt idx="251">
                  <c:v>0.19768881642144906</c:v>
                </c:pt>
                <c:pt idx="252">
                  <c:v>1.3398364726168663E-2</c:v>
                </c:pt>
                <c:pt idx="253">
                  <c:v>0.1887144107548489</c:v>
                </c:pt>
                <c:pt idx="254">
                  <c:v>-9.9537591857761606E-2</c:v>
                </c:pt>
                <c:pt idx="255">
                  <c:v>0.25844767444358885</c:v>
                </c:pt>
                <c:pt idx="256">
                  <c:v>-6.7809674738547751E-2</c:v>
                </c:pt>
                <c:pt idx="257">
                  <c:v>0.5185502121188621</c:v>
                </c:pt>
                <c:pt idx="258">
                  <c:v>0.26173291119544106</c:v>
                </c:pt>
                <c:pt idx="259">
                  <c:v>0.12534521429615514</c:v>
                </c:pt>
                <c:pt idx="260">
                  <c:v>0.15262130732466028</c:v>
                </c:pt>
                <c:pt idx="261">
                  <c:v>-0.11811756562247107</c:v>
                </c:pt>
                <c:pt idx="262">
                  <c:v>0.20907627584849123</c:v>
                </c:pt>
                <c:pt idx="263">
                  <c:v>0.10651118940787058</c:v>
                </c:pt>
                <c:pt idx="264">
                  <c:v>0.18228582263490983</c:v>
                </c:pt>
                <c:pt idx="265">
                  <c:v>0.16672323623300189</c:v>
                </c:pt>
                <c:pt idx="266">
                  <c:v>3.0188076902860503E-2</c:v>
                </c:pt>
                <c:pt idx="267">
                  <c:v>0.13665162014695709</c:v>
                </c:pt>
                <c:pt idx="268">
                  <c:v>-0.123456737401565</c:v>
                </c:pt>
                <c:pt idx="269">
                  <c:v>0.44659740716252072</c:v>
                </c:pt>
                <c:pt idx="270">
                  <c:v>8.515198067747734E-2</c:v>
                </c:pt>
                <c:pt idx="271">
                  <c:v>1.5705245931579417E-2</c:v>
                </c:pt>
                <c:pt idx="272">
                  <c:v>0.60713786495398647</c:v>
                </c:pt>
                <c:pt idx="273">
                  <c:v>4.2517771883433059E-2</c:v>
                </c:pt>
                <c:pt idx="274">
                  <c:v>0.12641987134279253</c:v>
                </c:pt>
                <c:pt idx="275">
                  <c:v>0.12262141102801689</c:v>
                </c:pt>
                <c:pt idx="276">
                  <c:v>0.23764647973522307</c:v>
                </c:pt>
                <c:pt idx="277">
                  <c:v>0.1001517843195944</c:v>
                </c:pt>
                <c:pt idx="278">
                  <c:v>0.11567393892430712</c:v>
                </c:pt>
                <c:pt idx="279">
                  <c:v>0.16548478879531289</c:v>
                </c:pt>
                <c:pt idx="280">
                  <c:v>-2.6423746235069004E-2</c:v>
                </c:pt>
                <c:pt idx="281">
                  <c:v>0.14605100840504945</c:v>
                </c:pt>
                <c:pt idx="282">
                  <c:v>0.5273483231918723</c:v>
                </c:pt>
                <c:pt idx="283">
                  <c:v>0.26743378854411953</c:v>
                </c:pt>
                <c:pt idx="284">
                  <c:v>0.28028004241820631</c:v>
                </c:pt>
                <c:pt idx="285">
                  <c:v>0.26129842151772914</c:v>
                </c:pt>
                <c:pt idx="286">
                  <c:v>0.40567987779241976</c:v>
                </c:pt>
                <c:pt idx="287">
                  <c:v>4.7063139837078466E-2</c:v>
                </c:pt>
                <c:pt idx="288">
                  <c:v>4.9085731179501976E-2</c:v>
                </c:pt>
                <c:pt idx="289">
                  <c:v>9.9636756413147287E-3</c:v>
                </c:pt>
                <c:pt idx="290">
                  <c:v>0.11965295111591268</c:v>
                </c:pt>
                <c:pt idx="291">
                  <c:v>-0.23964283041495227</c:v>
                </c:pt>
                <c:pt idx="292">
                  <c:v>0.11062515039136551</c:v>
                </c:pt>
                <c:pt idx="293">
                  <c:v>0.20762999910322105</c:v>
                </c:pt>
                <c:pt idx="294">
                  <c:v>0.20359045669012082</c:v>
                </c:pt>
                <c:pt idx="295">
                  <c:v>-8.5570916428043362E-2</c:v>
                </c:pt>
                <c:pt idx="296">
                  <c:v>6.5031621788329275E-2</c:v>
                </c:pt>
                <c:pt idx="297">
                  <c:v>-7.7298215132508494E-2</c:v>
                </c:pt>
                <c:pt idx="298">
                  <c:v>-0.10121445635300598</c:v>
                </c:pt>
                <c:pt idx="299">
                  <c:v>0.13280261149534894</c:v>
                </c:pt>
                <c:pt idx="300">
                  <c:v>6.9678169457878136E-2</c:v>
                </c:pt>
                <c:pt idx="301">
                  <c:v>-3.0669753923975571E-2</c:v>
                </c:pt>
                <c:pt idx="302">
                  <c:v>-2.3343288113093733E-2</c:v>
                </c:pt>
                <c:pt idx="303">
                  <c:v>-2.1051947893989217E-2</c:v>
                </c:pt>
                <c:pt idx="304">
                  <c:v>0.23135202453692091</c:v>
                </c:pt>
                <c:pt idx="305">
                  <c:v>-5.8020146205924952E-2</c:v>
                </c:pt>
                <c:pt idx="306">
                  <c:v>0.33874009583030967</c:v>
                </c:pt>
                <c:pt idx="307">
                  <c:v>0.33011757621942234</c:v>
                </c:pt>
                <c:pt idx="308">
                  <c:v>0.18302498882524887</c:v>
                </c:pt>
                <c:pt idx="309">
                  <c:v>0.39955393381658272</c:v>
                </c:pt>
                <c:pt idx="310">
                  <c:v>8.08918792596722E-2</c:v>
                </c:pt>
                <c:pt idx="311">
                  <c:v>0.28934151487459253</c:v>
                </c:pt>
                <c:pt idx="312">
                  <c:v>0.39453824825111977</c:v>
                </c:pt>
                <c:pt idx="313">
                  <c:v>4.8663412435233797E-2</c:v>
                </c:pt>
                <c:pt idx="314">
                  <c:v>3.66695713686883E-2</c:v>
                </c:pt>
                <c:pt idx="315">
                  <c:v>0.17988731786814444</c:v>
                </c:pt>
                <c:pt idx="316">
                  <c:v>-0.34814265100282293</c:v>
                </c:pt>
                <c:pt idx="317">
                  <c:v>0.33056785202668154</c:v>
                </c:pt>
                <c:pt idx="318">
                  <c:v>-0.36300513917904687</c:v>
                </c:pt>
                <c:pt idx="319">
                  <c:v>0.11991332034150178</c:v>
                </c:pt>
                <c:pt idx="320">
                  <c:v>0.1231235658844773</c:v>
                </c:pt>
                <c:pt idx="321">
                  <c:v>5.2978175086274663E-2</c:v>
                </c:pt>
                <c:pt idx="322">
                  <c:v>-0.20287787359578846</c:v>
                </c:pt>
                <c:pt idx="323">
                  <c:v>0.17437842224102654</c:v>
                </c:pt>
                <c:pt idx="324">
                  <c:v>3.7803802416368909E-2</c:v>
                </c:pt>
                <c:pt idx="325">
                  <c:v>-0.27578114889948868</c:v>
                </c:pt>
                <c:pt idx="326">
                  <c:v>0.23752623259536421</c:v>
                </c:pt>
                <c:pt idx="327">
                  <c:v>-0.1966135568379026</c:v>
                </c:pt>
                <c:pt idx="328">
                  <c:v>7.0865696530689221E-2</c:v>
                </c:pt>
                <c:pt idx="329">
                  <c:v>0.23443658207006141</c:v>
                </c:pt>
                <c:pt idx="330">
                  <c:v>0.28551230249026927</c:v>
                </c:pt>
                <c:pt idx="331">
                  <c:v>0.15615420586041145</c:v>
                </c:pt>
                <c:pt idx="332">
                  <c:v>0.32901098425656211</c:v>
                </c:pt>
                <c:pt idx="333">
                  <c:v>0.32184951707346515</c:v>
                </c:pt>
                <c:pt idx="334">
                  <c:v>0.24044917533068488</c:v>
                </c:pt>
                <c:pt idx="335">
                  <c:v>-7.8861229192262752E-2</c:v>
                </c:pt>
                <c:pt idx="336">
                  <c:v>0.10512553773506811</c:v>
                </c:pt>
                <c:pt idx="337">
                  <c:v>1.7553290250932899E-2</c:v>
                </c:pt>
                <c:pt idx="338">
                  <c:v>0.10117433502094558</c:v>
                </c:pt>
                <c:pt idx="339">
                  <c:v>0.10349544180060927</c:v>
                </c:pt>
                <c:pt idx="340">
                  <c:v>0.17696703606510861</c:v>
                </c:pt>
                <c:pt idx="341">
                  <c:v>0.34058037810698516</c:v>
                </c:pt>
                <c:pt idx="342">
                  <c:v>-0.11020721961988393</c:v>
                </c:pt>
                <c:pt idx="343">
                  <c:v>5.0766352710339593E-2</c:v>
                </c:pt>
                <c:pt idx="344">
                  <c:v>-0.36738164330404838</c:v>
                </c:pt>
                <c:pt idx="345">
                  <c:v>-1.9956831850146559E-2</c:v>
                </c:pt>
                <c:pt idx="346">
                  <c:v>0.14861470819858341</c:v>
                </c:pt>
                <c:pt idx="347">
                  <c:v>0.28867074385076769</c:v>
                </c:pt>
                <c:pt idx="348">
                  <c:v>-0.21437908271120043</c:v>
                </c:pt>
                <c:pt idx="349">
                  <c:v>0.29009518516185873</c:v>
                </c:pt>
                <c:pt idx="350">
                  <c:v>-9.0569331450522275E-2</c:v>
                </c:pt>
                <c:pt idx="351">
                  <c:v>0.24187411087476807</c:v>
                </c:pt>
                <c:pt idx="352">
                  <c:v>-0.12579921367897334</c:v>
                </c:pt>
                <c:pt idx="353">
                  <c:v>0.15153967851405564</c:v>
                </c:pt>
                <c:pt idx="354">
                  <c:v>6.7598054921705869E-2</c:v>
                </c:pt>
                <c:pt idx="355">
                  <c:v>8.5063240707665091E-2</c:v>
                </c:pt>
                <c:pt idx="356">
                  <c:v>-0.25902970974001049</c:v>
                </c:pt>
                <c:pt idx="357">
                  <c:v>-0.19403183893222364</c:v>
                </c:pt>
                <c:pt idx="358">
                  <c:v>0.285146185004644</c:v>
                </c:pt>
                <c:pt idx="359">
                  <c:v>-0.1406938940422045</c:v>
                </c:pt>
                <c:pt idx="360">
                  <c:v>-0.27906753256296796</c:v>
                </c:pt>
                <c:pt idx="361">
                  <c:v>0.25166788684313657</c:v>
                </c:pt>
                <c:pt idx="362">
                  <c:v>-0.22167844186818586</c:v>
                </c:pt>
                <c:pt idx="363">
                  <c:v>0.2131452603949735</c:v>
                </c:pt>
                <c:pt idx="364">
                  <c:v>0.15496995409739037</c:v>
                </c:pt>
                <c:pt idx="365">
                  <c:v>0.2968756551984616</c:v>
                </c:pt>
                <c:pt idx="366">
                  <c:v>0.65709840677731124</c:v>
                </c:pt>
                <c:pt idx="367">
                  <c:v>0.30187029642142171</c:v>
                </c:pt>
                <c:pt idx="368">
                  <c:v>0.45890422550366805</c:v>
                </c:pt>
                <c:pt idx="369">
                  <c:v>7.7722949197454372E-2</c:v>
                </c:pt>
                <c:pt idx="370">
                  <c:v>0.15387055391635027</c:v>
                </c:pt>
                <c:pt idx="371">
                  <c:v>-5.8988926096055147E-2</c:v>
                </c:pt>
                <c:pt idx="372">
                  <c:v>0.4915694754733404</c:v>
                </c:pt>
                <c:pt idx="373">
                  <c:v>-0.27787992906481285</c:v>
                </c:pt>
                <c:pt idx="374">
                  <c:v>-8.1947283507901855E-2</c:v>
                </c:pt>
                <c:pt idx="375">
                  <c:v>5.1741504493493226E-2</c:v>
                </c:pt>
                <c:pt idx="376">
                  <c:v>-8.8954251629553838E-3</c:v>
                </c:pt>
                <c:pt idx="377">
                  <c:v>0.11649852584019565</c:v>
                </c:pt>
                <c:pt idx="378">
                  <c:v>0.60167926119735249</c:v>
                </c:pt>
                <c:pt idx="379">
                  <c:v>0.11911230541820436</c:v>
                </c:pt>
                <c:pt idx="380">
                  <c:v>-0.26505094831269727</c:v>
                </c:pt>
                <c:pt idx="381">
                  <c:v>0.28684391694452555</c:v>
                </c:pt>
                <c:pt idx="382">
                  <c:v>0.41915948634080624</c:v>
                </c:pt>
                <c:pt idx="383">
                  <c:v>0.23033257551094022</c:v>
                </c:pt>
                <c:pt idx="384">
                  <c:v>3.2603997000454243E-2</c:v>
                </c:pt>
                <c:pt idx="385">
                  <c:v>0.4375514362767724</c:v>
                </c:pt>
                <c:pt idx="386">
                  <c:v>0.41822254957849681</c:v>
                </c:pt>
                <c:pt idx="387">
                  <c:v>0.29153481061320685</c:v>
                </c:pt>
                <c:pt idx="388">
                  <c:v>-0.10917708055590634</c:v>
                </c:pt>
                <c:pt idx="389">
                  <c:v>8.732839057249453E-2</c:v>
                </c:pt>
                <c:pt idx="390">
                  <c:v>0.20692841567044673</c:v>
                </c:pt>
                <c:pt idx="391">
                  <c:v>-8.8170478843820066E-3</c:v>
                </c:pt>
                <c:pt idx="392">
                  <c:v>0.29265801613620662</c:v>
                </c:pt>
                <c:pt idx="393">
                  <c:v>0.23003999566399669</c:v>
                </c:pt>
                <c:pt idx="394">
                  <c:v>0.27096837998147577</c:v>
                </c:pt>
                <c:pt idx="395">
                  <c:v>0.27085360134357067</c:v>
                </c:pt>
                <c:pt idx="396">
                  <c:v>4.9317115751870033E-2</c:v>
                </c:pt>
                <c:pt idx="397">
                  <c:v>0.14070513245100935</c:v>
                </c:pt>
                <c:pt idx="398">
                  <c:v>0.33869666179904667</c:v>
                </c:pt>
                <c:pt idx="399">
                  <c:v>0.37359857645122529</c:v>
                </c:pt>
                <c:pt idx="400">
                  <c:v>0.20054699750160968</c:v>
                </c:pt>
                <c:pt idx="401">
                  <c:v>4.2187410038958068E-2</c:v>
                </c:pt>
                <c:pt idx="402">
                  <c:v>0.31878240274949426</c:v>
                </c:pt>
                <c:pt idx="403">
                  <c:v>-0.21748670875210152</c:v>
                </c:pt>
                <c:pt idx="404">
                  <c:v>0.3030740489961633</c:v>
                </c:pt>
                <c:pt idx="405">
                  <c:v>-1.7584794983307075E-2</c:v>
                </c:pt>
                <c:pt idx="406">
                  <c:v>0.23195922713048528</c:v>
                </c:pt>
                <c:pt idx="407">
                  <c:v>-0.25343277860147356</c:v>
                </c:pt>
                <c:pt idx="408">
                  <c:v>-0.15292229361736287</c:v>
                </c:pt>
                <c:pt idx="409">
                  <c:v>3.7310442557364459E-2</c:v>
                </c:pt>
                <c:pt idx="410">
                  <c:v>2.2832012932110582E-2</c:v>
                </c:pt>
                <c:pt idx="411">
                  <c:v>0.2491956687539883</c:v>
                </c:pt>
                <c:pt idx="412">
                  <c:v>0.46486961807362004</c:v>
                </c:pt>
                <c:pt idx="413">
                  <c:v>0.11370597451484793</c:v>
                </c:pt>
                <c:pt idx="414">
                  <c:v>0.23585045718194733</c:v>
                </c:pt>
                <c:pt idx="415">
                  <c:v>0.47794184076379731</c:v>
                </c:pt>
                <c:pt idx="416">
                  <c:v>-0.13498397755011032</c:v>
                </c:pt>
                <c:pt idx="417">
                  <c:v>0.1609557705566369</c:v>
                </c:pt>
                <c:pt idx="418">
                  <c:v>0.1727364754486192</c:v>
                </c:pt>
                <c:pt idx="419">
                  <c:v>8.3651946318366366E-2</c:v>
                </c:pt>
                <c:pt idx="420">
                  <c:v>8.6427887895486832E-2</c:v>
                </c:pt>
                <c:pt idx="421">
                  <c:v>0.1521004074704384</c:v>
                </c:pt>
                <c:pt idx="422">
                  <c:v>-0.12742066849859562</c:v>
                </c:pt>
                <c:pt idx="423">
                  <c:v>0.13758841966082336</c:v>
                </c:pt>
                <c:pt idx="424">
                  <c:v>0.17588051689361553</c:v>
                </c:pt>
                <c:pt idx="425">
                  <c:v>0.19301866563241526</c:v>
                </c:pt>
                <c:pt idx="426">
                  <c:v>-0.11049504887344301</c:v>
                </c:pt>
                <c:pt idx="427">
                  <c:v>0.34791397379123801</c:v>
                </c:pt>
                <c:pt idx="428">
                  <c:v>0.16132846727454242</c:v>
                </c:pt>
                <c:pt idx="429">
                  <c:v>0.37943981662722476</c:v>
                </c:pt>
                <c:pt idx="430">
                  <c:v>0.2087052607447098</c:v>
                </c:pt>
                <c:pt idx="431">
                  <c:v>-5.174307403232882E-2</c:v>
                </c:pt>
                <c:pt idx="432">
                  <c:v>0.22138631793557928</c:v>
                </c:pt>
                <c:pt idx="433">
                  <c:v>8.074391659247307E-2</c:v>
                </c:pt>
                <c:pt idx="434">
                  <c:v>0.23073884027958452</c:v>
                </c:pt>
                <c:pt idx="435">
                  <c:v>2.0012984866703179E-2</c:v>
                </c:pt>
                <c:pt idx="436">
                  <c:v>0.35105450163722879</c:v>
                </c:pt>
                <c:pt idx="437">
                  <c:v>0.10156045074758657</c:v>
                </c:pt>
                <c:pt idx="438">
                  <c:v>-0.31145638516255963</c:v>
                </c:pt>
                <c:pt idx="439">
                  <c:v>0.27487030971316589</c:v>
                </c:pt>
                <c:pt idx="440">
                  <c:v>8.0594466638738371E-2</c:v>
                </c:pt>
                <c:pt idx="441">
                  <c:v>-7.3281732222668386E-2</c:v>
                </c:pt>
                <c:pt idx="442">
                  <c:v>0.20875034965801428</c:v>
                </c:pt>
                <c:pt idx="443">
                  <c:v>0.32865297192963083</c:v>
                </c:pt>
                <c:pt idx="444">
                  <c:v>-3.8046876680877403E-2</c:v>
                </c:pt>
                <c:pt idx="445">
                  <c:v>-2.7581039556861434E-2</c:v>
                </c:pt>
                <c:pt idx="446">
                  <c:v>0.18082654914590551</c:v>
                </c:pt>
                <c:pt idx="447">
                  <c:v>0.12882100994681736</c:v>
                </c:pt>
                <c:pt idx="448">
                  <c:v>0.13806497763105119</c:v>
                </c:pt>
                <c:pt idx="449">
                  <c:v>-0.19011664268317152</c:v>
                </c:pt>
                <c:pt idx="450">
                  <c:v>0.28298911354957279</c:v>
                </c:pt>
                <c:pt idx="451">
                  <c:v>0.34083644527785145</c:v>
                </c:pt>
                <c:pt idx="452">
                  <c:v>6.3198538201695964E-2</c:v>
                </c:pt>
                <c:pt idx="453">
                  <c:v>6.4948629648770961E-2</c:v>
                </c:pt>
                <c:pt idx="454">
                  <c:v>7.1822375377547307E-2</c:v>
                </c:pt>
                <c:pt idx="455">
                  <c:v>0.30210396231988845</c:v>
                </c:pt>
                <c:pt idx="456">
                  <c:v>-1.8670034580564529E-2</c:v>
                </c:pt>
                <c:pt idx="457">
                  <c:v>0.44333293240515426</c:v>
                </c:pt>
                <c:pt idx="458">
                  <c:v>1.8539305710150444E-2</c:v>
                </c:pt>
                <c:pt idx="459">
                  <c:v>-8.2796545042835151E-3</c:v>
                </c:pt>
                <c:pt idx="460">
                  <c:v>-0.15928213067036812</c:v>
                </c:pt>
                <c:pt idx="461">
                  <c:v>8.4176105309495028E-2</c:v>
                </c:pt>
                <c:pt idx="462">
                  <c:v>0.22499920697701237</c:v>
                </c:pt>
                <c:pt idx="463">
                  <c:v>-7.9946332110358023E-2</c:v>
                </c:pt>
                <c:pt idx="464">
                  <c:v>0.18802567505793349</c:v>
                </c:pt>
                <c:pt idx="465">
                  <c:v>-9.5572734377600596E-2</c:v>
                </c:pt>
                <c:pt idx="466">
                  <c:v>-0.16506005397615164</c:v>
                </c:pt>
                <c:pt idx="467">
                  <c:v>0.33349558645057487</c:v>
                </c:pt>
                <c:pt idx="468">
                  <c:v>9.0403321153022909E-2</c:v>
                </c:pt>
                <c:pt idx="469">
                  <c:v>0.24843155689825619</c:v>
                </c:pt>
                <c:pt idx="470">
                  <c:v>-0.13686793516714951</c:v>
                </c:pt>
                <c:pt idx="471">
                  <c:v>0.27493332245641167</c:v>
                </c:pt>
                <c:pt idx="472">
                  <c:v>8.2447135055479071E-2</c:v>
                </c:pt>
                <c:pt idx="473">
                  <c:v>4.2151012227139448E-2</c:v>
                </c:pt>
                <c:pt idx="474">
                  <c:v>0.15309236947500593</c:v>
                </c:pt>
                <c:pt idx="475">
                  <c:v>0.21407728704087647</c:v>
                </c:pt>
                <c:pt idx="476">
                  <c:v>0.12667558305046667</c:v>
                </c:pt>
                <c:pt idx="477">
                  <c:v>-0.12412248145549125</c:v>
                </c:pt>
                <c:pt idx="478">
                  <c:v>0.17890949028730313</c:v>
                </c:pt>
                <c:pt idx="479">
                  <c:v>0.14500567982633641</c:v>
                </c:pt>
                <c:pt idx="480">
                  <c:v>7.4041746030331229E-2</c:v>
                </c:pt>
                <c:pt idx="481">
                  <c:v>0.34166951480632379</c:v>
                </c:pt>
                <c:pt idx="482">
                  <c:v>0.16608537110720062</c:v>
                </c:pt>
                <c:pt idx="483">
                  <c:v>0.22532695825400362</c:v>
                </c:pt>
                <c:pt idx="484">
                  <c:v>0.15782998695334996</c:v>
                </c:pt>
                <c:pt idx="485">
                  <c:v>-0.22070522371632534</c:v>
                </c:pt>
                <c:pt idx="486">
                  <c:v>9.8415565649101477E-5</c:v>
                </c:pt>
                <c:pt idx="487">
                  <c:v>0.27788279337653232</c:v>
                </c:pt>
                <c:pt idx="488">
                  <c:v>1.5931057600133136E-2</c:v>
                </c:pt>
                <c:pt idx="489">
                  <c:v>0.46859705299554461</c:v>
                </c:pt>
                <c:pt idx="490">
                  <c:v>0.15310693271831516</c:v>
                </c:pt>
                <c:pt idx="491">
                  <c:v>2.1790070106623566E-3</c:v>
                </c:pt>
                <c:pt idx="492">
                  <c:v>0.12818417924055722</c:v>
                </c:pt>
                <c:pt idx="493">
                  <c:v>0.24274290694151518</c:v>
                </c:pt>
                <c:pt idx="494">
                  <c:v>-0.10053287523629841</c:v>
                </c:pt>
                <c:pt idx="495">
                  <c:v>0.28008037895721599</c:v>
                </c:pt>
                <c:pt idx="496">
                  <c:v>-0.17881515915547391</c:v>
                </c:pt>
                <c:pt idx="497">
                  <c:v>3.3599012643523093E-2</c:v>
                </c:pt>
                <c:pt idx="498">
                  <c:v>0.12742166807333993</c:v>
                </c:pt>
                <c:pt idx="499">
                  <c:v>0.20581090820195871</c:v>
                </c:pt>
                <c:pt idx="500">
                  <c:v>6.8028882615037048E-2</c:v>
                </c:pt>
                <c:pt idx="501">
                  <c:v>-9.4963982231754132E-2</c:v>
                </c:pt>
                <c:pt idx="502">
                  <c:v>2.6399898276738845E-2</c:v>
                </c:pt>
                <c:pt idx="503">
                  <c:v>0.10343188563599999</c:v>
                </c:pt>
                <c:pt idx="504">
                  <c:v>-4.422070863762291E-2</c:v>
                </c:pt>
                <c:pt idx="505">
                  <c:v>0.26690291925735432</c:v>
                </c:pt>
                <c:pt idx="506">
                  <c:v>0.30784545771954885</c:v>
                </c:pt>
                <c:pt idx="507">
                  <c:v>0.19329597113279165</c:v>
                </c:pt>
                <c:pt idx="508">
                  <c:v>-0.12391263102590173</c:v>
                </c:pt>
                <c:pt idx="509">
                  <c:v>-1.0989311548987232E-2</c:v>
                </c:pt>
                <c:pt idx="510">
                  <c:v>0.37765592564358419</c:v>
                </c:pt>
                <c:pt idx="511">
                  <c:v>-6.8197600511054321E-2</c:v>
                </c:pt>
                <c:pt idx="512">
                  <c:v>-7.4847608184151662E-2</c:v>
                </c:pt>
                <c:pt idx="513">
                  <c:v>0.11598223453430719</c:v>
                </c:pt>
                <c:pt idx="514">
                  <c:v>9.6443718204281728E-2</c:v>
                </c:pt>
                <c:pt idx="515">
                  <c:v>0.19529591656834128</c:v>
                </c:pt>
                <c:pt idx="516">
                  <c:v>0.31554807352446412</c:v>
                </c:pt>
                <c:pt idx="517">
                  <c:v>-4.336547539656524E-3</c:v>
                </c:pt>
                <c:pt idx="518">
                  <c:v>-4.952868551633946E-3</c:v>
                </c:pt>
                <c:pt idx="519">
                  <c:v>0.20898526927554822</c:v>
                </c:pt>
                <c:pt idx="520">
                  <c:v>0.1516033204565867</c:v>
                </c:pt>
                <c:pt idx="521">
                  <c:v>0.46638740193324763</c:v>
                </c:pt>
                <c:pt idx="522">
                  <c:v>-9.2672420704402306E-2</c:v>
                </c:pt>
                <c:pt idx="523">
                  <c:v>0.17594037294790382</c:v>
                </c:pt>
                <c:pt idx="524">
                  <c:v>-0.19864819879306589</c:v>
                </c:pt>
                <c:pt idx="525">
                  <c:v>0.27896617609095348</c:v>
                </c:pt>
                <c:pt idx="526">
                  <c:v>0.18738487229461354</c:v>
                </c:pt>
                <c:pt idx="527">
                  <c:v>-1.4883879169384176E-2</c:v>
                </c:pt>
                <c:pt idx="528">
                  <c:v>1.5539918947008916E-2</c:v>
                </c:pt>
                <c:pt idx="529">
                  <c:v>-0.19165501728117962</c:v>
                </c:pt>
                <c:pt idx="530">
                  <c:v>9.6311674675794809E-2</c:v>
                </c:pt>
                <c:pt idx="531">
                  <c:v>0.40843788467999409</c:v>
                </c:pt>
                <c:pt idx="532">
                  <c:v>-0.15579179275253935</c:v>
                </c:pt>
                <c:pt idx="533">
                  <c:v>0.27393451755133441</c:v>
                </c:pt>
                <c:pt idx="534">
                  <c:v>-0.14171300367537926</c:v>
                </c:pt>
                <c:pt idx="535">
                  <c:v>0.47465074122335577</c:v>
                </c:pt>
                <c:pt idx="536">
                  <c:v>0.23819591145376767</c:v>
                </c:pt>
                <c:pt idx="537">
                  <c:v>0.26582403035303093</c:v>
                </c:pt>
                <c:pt idx="538">
                  <c:v>0.15042144044684061</c:v>
                </c:pt>
                <c:pt idx="539">
                  <c:v>1.6155887060615506E-2</c:v>
                </c:pt>
                <c:pt idx="540">
                  <c:v>-1.5575132653524296E-2</c:v>
                </c:pt>
                <c:pt idx="541">
                  <c:v>0.19378732204404778</c:v>
                </c:pt>
                <c:pt idx="542">
                  <c:v>4.9284111627782401E-2</c:v>
                </c:pt>
                <c:pt idx="543">
                  <c:v>-0.11137939099630899</c:v>
                </c:pt>
                <c:pt idx="544">
                  <c:v>0.28404991540484203</c:v>
                </c:pt>
                <c:pt idx="545">
                  <c:v>0.33679977152306334</c:v>
                </c:pt>
                <c:pt idx="546">
                  <c:v>0.27708173223293725</c:v>
                </c:pt>
                <c:pt idx="547">
                  <c:v>0.15447632556494167</c:v>
                </c:pt>
                <c:pt idx="548">
                  <c:v>-0.19706558234710592</c:v>
                </c:pt>
                <c:pt idx="549">
                  <c:v>6.8353067748022744E-2</c:v>
                </c:pt>
                <c:pt idx="550">
                  <c:v>3.8712429611509114E-2</c:v>
                </c:pt>
                <c:pt idx="551">
                  <c:v>0.25592931628097826</c:v>
                </c:pt>
                <c:pt idx="552">
                  <c:v>4.0923580425724276E-2</c:v>
                </c:pt>
                <c:pt idx="553">
                  <c:v>0.39666033128623746</c:v>
                </c:pt>
                <c:pt idx="554">
                  <c:v>0.12724116353779488</c:v>
                </c:pt>
                <c:pt idx="555">
                  <c:v>-8.8794175671529682E-2</c:v>
                </c:pt>
                <c:pt idx="556">
                  <c:v>-0.28692488296011981</c:v>
                </c:pt>
                <c:pt idx="557">
                  <c:v>0.11927899246129994</c:v>
                </c:pt>
                <c:pt idx="558">
                  <c:v>-6.8811683143239752E-2</c:v>
                </c:pt>
                <c:pt idx="559">
                  <c:v>0.40521981825671666</c:v>
                </c:pt>
                <c:pt idx="560">
                  <c:v>0.49847622521853757</c:v>
                </c:pt>
                <c:pt idx="561">
                  <c:v>6.5713681510647853E-2</c:v>
                </c:pt>
                <c:pt idx="562">
                  <c:v>0.25898058327352597</c:v>
                </c:pt>
                <c:pt idx="563">
                  <c:v>8.1303976536938882E-3</c:v>
                </c:pt>
                <c:pt idx="564">
                  <c:v>-0.12468641658923245</c:v>
                </c:pt>
                <c:pt idx="565">
                  <c:v>6.6416656855777356E-2</c:v>
                </c:pt>
                <c:pt idx="566">
                  <c:v>-2.8953467992510709E-2</c:v>
                </c:pt>
                <c:pt idx="567">
                  <c:v>0.1349323955648126</c:v>
                </c:pt>
                <c:pt idx="568">
                  <c:v>0.19038489503259337</c:v>
                </c:pt>
                <c:pt idx="569">
                  <c:v>1.9029534944845161E-2</c:v>
                </c:pt>
                <c:pt idx="570">
                  <c:v>9.0627686370651273E-2</c:v>
                </c:pt>
                <c:pt idx="571">
                  <c:v>-5.5207207500790334E-3</c:v>
                </c:pt>
                <c:pt idx="572">
                  <c:v>0.19603243028684544</c:v>
                </c:pt>
                <c:pt idx="573">
                  <c:v>0.17499994237920463</c:v>
                </c:pt>
                <c:pt idx="574">
                  <c:v>0.34780927793398486</c:v>
                </c:pt>
                <c:pt idx="575">
                  <c:v>0.37096790289574955</c:v>
                </c:pt>
                <c:pt idx="576">
                  <c:v>-0.25540599984588119</c:v>
                </c:pt>
                <c:pt idx="577">
                  <c:v>0.30841372601568756</c:v>
                </c:pt>
                <c:pt idx="578">
                  <c:v>9.1659731642561193E-2</c:v>
                </c:pt>
                <c:pt idx="579">
                  <c:v>9.0689650022119081E-2</c:v>
                </c:pt>
                <c:pt idx="580">
                  <c:v>0.39844404990777621</c:v>
                </c:pt>
                <c:pt idx="581">
                  <c:v>0.15695390361959799</c:v>
                </c:pt>
                <c:pt idx="582">
                  <c:v>0.39258956355083985</c:v>
                </c:pt>
                <c:pt idx="583">
                  <c:v>8.8137830240918452E-2</c:v>
                </c:pt>
                <c:pt idx="584">
                  <c:v>7.8176189617638614E-2</c:v>
                </c:pt>
                <c:pt idx="585">
                  <c:v>0.29201042993062526</c:v>
                </c:pt>
                <c:pt idx="586">
                  <c:v>0.12167071995844221</c:v>
                </c:pt>
                <c:pt idx="587">
                  <c:v>-4.7267066583301001E-2</c:v>
                </c:pt>
                <c:pt idx="588">
                  <c:v>4.974740148678547E-2</c:v>
                </c:pt>
                <c:pt idx="589">
                  <c:v>1.8365766612346318E-2</c:v>
                </c:pt>
                <c:pt idx="590">
                  <c:v>-5.3593357086109225E-2</c:v>
                </c:pt>
                <c:pt idx="591">
                  <c:v>-0.13791478988730627</c:v>
                </c:pt>
                <c:pt idx="592">
                  <c:v>0.14190060097528173</c:v>
                </c:pt>
                <c:pt idx="593">
                  <c:v>0.23791543571171458</c:v>
                </c:pt>
                <c:pt idx="594">
                  <c:v>0.26911526931766028</c:v>
                </c:pt>
                <c:pt idx="595">
                  <c:v>3.0968209235673755E-3</c:v>
                </c:pt>
                <c:pt idx="596">
                  <c:v>2.8035828252705397E-2</c:v>
                </c:pt>
                <c:pt idx="597">
                  <c:v>-1.2819313172798566E-2</c:v>
                </c:pt>
                <c:pt idx="598">
                  <c:v>-0.3107294374803834</c:v>
                </c:pt>
                <c:pt idx="599">
                  <c:v>0.31808960054654351</c:v>
                </c:pt>
                <c:pt idx="600">
                  <c:v>2.6567264809497712E-2</c:v>
                </c:pt>
                <c:pt idx="601">
                  <c:v>5.0050679721526103E-2</c:v>
                </c:pt>
                <c:pt idx="602">
                  <c:v>-0.1373762876779398</c:v>
                </c:pt>
                <c:pt idx="603">
                  <c:v>0.11408729963492314</c:v>
                </c:pt>
                <c:pt idx="604">
                  <c:v>-5.8670103751514532E-2</c:v>
                </c:pt>
                <c:pt idx="605">
                  <c:v>-2.8708893019439088E-2</c:v>
                </c:pt>
                <c:pt idx="606">
                  <c:v>-2.9460999769955074E-2</c:v>
                </c:pt>
                <c:pt idx="607">
                  <c:v>0.21508376388946585</c:v>
                </c:pt>
                <c:pt idx="608">
                  <c:v>-4.009617059281699E-2</c:v>
                </c:pt>
                <c:pt idx="609">
                  <c:v>-0.15848164528941905</c:v>
                </c:pt>
                <c:pt idx="610">
                  <c:v>0.33772240697551692</c:v>
                </c:pt>
                <c:pt idx="611">
                  <c:v>0.14264041725872573</c:v>
                </c:pt>
                <c:pt idx="612">
                  <c:v>0.23445180938477894</c:v>
                </c:pt>
                <c:pt idx="613">
                  <c:v>0.31775129959942316</c:v>
                </c:pt>
                <c:pt idx="614">
                  <c:v>0.18646284960490456</c:v>
                </c:pt>
                <c:pt idx="615">
                  <c:v>0.13679058745138251</c:v>
                </c:pt>
                <c:pt idx="616">
                  <c:v>0.53116316196922497</c:v>
                </c:pt>
                <c:pt idx="617">
                  <c:v>0.30321705906049873</c:v>
                </c:pt>
                <c:pt idx="618">
                  <c:v>-7.2853153397456905E-3</c:v>
                </c:pt>
                <c:pt idx="619">
                  <c:v>0.23833155700732866</c:v>
                </c:pt>
                <c:pt idx="620">
                  <c:v>-2.0916020543185823E-2</c:v>
                </c:pt>
                <c:pt idx="621">
                  <c:v>0.1293586943244899</c:v>
                </c:pt>
                <c:pt idx="622">
                  <c:v>0.34007526931176385</c:v>
                </c:pt>
                <c:pt idx="623">
                  <c:v>0.4411150825827973</c:v>
                </c:pt>
                <c:pt idx="624">
                  <c:v>0.36278257797889601</c:v>
                </c:pt>
                <c:pt idx="625">
                  <c:v>-0.14893028737796127</c:v>
                </c:pt>
                <c:pt idx="626">
                  <c:v>-0.11941420316426328</c:v>
                </c:pt>
                <c:pt idx="627">
                  <c:v>-2.5817466196836961E-2</c:v>
                </c:pt>
                <c:pt idx="628">
                  <c:v>0.11158244908396137</c:v>
                </c:pt>
                <c:pt idx="629">
                  <c:v>8.7812702198661954E-2</c:v>
                </c:pt>
                <c:pt idx="630">
                  <c:v>2.5450926947922101E-2</c:v>
                </c:pt>
                <c:pt idx="631">
                  <c:v>-0.11234794560014684</c:v>
                </c:pt>
                <c:pt idx="632">
                  <c:v>0.29245108411871928</c:v>
                </c:pt>
                <c:pt idx="633">
                  <c:v>-9.195286297467048E-3</c:v>
                </c:pt>
                <c:pt idx="634">
                  <c:v>0.20097087977277506</c:v>
                </c:pt>
                <c:pt idx="635">
                  <c:v>7.9911010437588734E-2</c:v>
                </c:pt>
                <c:pt idx="636">
                  <c:v>-5.4143763112864257E-3</c:v>
                </c:pt>
                <c:pt idx="637">
                  <c:v>0.43914489609429092</c:v>
                </c:pt>
                <c:pt idx="638">
                  <c:v>0.58356400177974932</c:v>
                </c:pt>
                <c:pt idx="639">
                  <c:v>0.13121248033757515</c:v>
                </c:pt>
                <c:pt idx="640">
                  <c:v>3.4362070148973037E-2</c:v>
                </c:pt>
                <c:pt idx="641">
                  <c:v>0.12271628600635005</c:v>
                </c:pt>
                <c:pt idx="642">
                  <c:v>-0.15261434854465428</c:v>
                </c:pt>
                <c:pt idx="643">
                  <c:v>0.16238335113336841</c:v>
                </c:pt>
                <c:pt idx="644">
                  <c:v>0.22948602844107327</c:v>
                </c:pt>
                <c:pt idx="645">
                  <c:v>6.8826676212542237E-2</c:v>
                </c:pt>
                <c:pt idx="646">
                  <c:v>3.5016648488855412E-2</c:v>
                </c:pt>
                <c:pt idx="647">
                  <c:v>0.14412832286789995</c:v>
                </c:pt>
                <c:pt idx="648">
                  <c:v>0.1564519402185533</c:v>
                </c:pt>
                <c:pt idx="649">
                  <c:v>4.4558353888018681E-2</c:v>
                </c:pt>
                <c:pt idx="650">
                  <c:v>0.11503335280718066</c:v>
                </c:pt>
                <c:pt idx="651">
                  <c:v>0.23356516234715935</c:v>
                </c:pt>
                <c:pt idx="652">
                  <c:v>0.13707829082565626</c:v>
                </c:pt>
                <c:pt idx="653">
                  <c:v>5.9728896434165991E-2</c:v>
                </c:pt>
                <c:pt idx="654">
                  <c:v>1.2642601115197924E-2</c:v>
                </c:pt>
                <c:pt idx="655">
                  <c:v>0.25213299381511173</c:v>
                </c:pt>
                <c:pt idx="656">
                  <c:v>7.48747916400654E-2</c:v>
                </c:pt>
                <c:pt idx="657">
                  <c:v>-8.6526226664192699E-2</c:v>
                </c:pt>
                <c:pt idx="658">
                  <c:v>-3.359787968079829E-2</c:v>
                </c:pt>
                <c:pt idx="659">
                  <c:v>0.36663557548849673</c:v>
                </c:pt>
                <c:pt idx="660">
                  <c:v>0.28942035693402368</c:v>
                </c:pt>
                <c:pt idx="661">
                  <c:v>-0.35112052370499069</c:v>
                </c:pt>
                <c:pt idx="662">
                  <c:v>0.39435095180458368</c:v>
                </c:pt>
                <c:pt idx="663">
                  <c:v>0.17179499887381622</c:v>
                </c:pt>
                <c:pt idx="664">
                  <c:v>0.2156994732867285</c:v>
                </c:pt>
                <c:pt idx="665">
                  <c:v>0.10391135798360468</c:v>
                </c:pt>
                <c:pt idx="666">
                  <c:v>0.15417763748038299</c:v>
                </c:pt>
                <c:pt idx="667">
                  <c:v>-9.8762517728006302E-2</c:v>
                </c:pt>
                <c:pt idx="668">
                  <c:v>7.3540378734404083E-2</c:v>
                </c:pt>
                <c:pt idx="669">
                  <c:v>-1.9449918955980472E-3</c:v>
                </c:pt>
                <c:pt idx="670">
                  <c:v>0.14442265447123181</c:v>
                </c:pt>
                <c:pt idx="671">
                  <c:v>0.20968104769226237</c:v>
                </c:pt>
                <c:pt idx="672">
                  <c:v>1.5599855472450908E-2</c:v>
                </c:pt>
                <c:pt idx="673">
                  <c:v>9.9058679490370782E-2</c:v>
                </c:pt>
                <c:pt idx="674">
                  <c:v>0.19004779351172743</c:v>
                </c:pt>
                <c:pt idx="675">
                  <c:v>6.4446712827259445E-2</c:v>
                </c:pt>
                <c:pt idx="676">
                  <c:v>9.202328489701532E-2</c:v>
                </c:pt>
                <c:pt idx="677">
                  <c:v>-3.8665018648549501E-2</c:v>
                </c:pt>
                <c:pt idx="678">
                  <c:v>9.1807642069490797E-2</c:v>
                </c:pt>
                <c:pt idx="679">
                  <c:v>0.34844178672307263</c:v>
                </c:pt>
                <c:pt idx="680">
                  <c:v>0.14164022824916767</c:v>
                </c:pt>
                <c:pt idx="681">
                  <c:v>0.21226251369745416</c:v>
                </c:pt>
                <c:pt idx="682">
                  <c:v>3.5656058684205016E-3</c:v>
                </c:pt>
                <c:pt idx="683">
                  <c:v>8.6721543016339109E-2</c:v>
                </c:pt>
                <c:pt idx="684">
                  <c:v>-0.11985092675459576</c:v>
                </c:pt>
                <c:pt idx="685">
                  <c:v>0.32366564644327123</c:v>
                </c:pt>
                <c:pt idx="686">
                  <c:v>6.2049006798188762E-2</c:v>
                </c:pt>
                <c:pt idx="687">
                  <c:v>0.14130693229415481</c:v>
                </c:pt>
                <c:pt idx="688">
                  <c:v>0.35617816690017101</c:v>
                </c:pt>
                <c:pt idx="689">
                  <c:v>0.26225050081508811</c:v>
                </c:pt>
                <c:pt idx="690">
                  <c:v>3.9999856606254394E-2</c:v>
                </c:pt>
                <c:pt idx="691">
                  <c:v>0.38128390193710265</c:v>
                </c:pt>
                <c:pt idx="692">
                  <c:v>-0.13523746806204268</c:v>
                </c:pt>
                <c:pt idx="693">
                  <c:v>0.13264270580180035</c:v>
                </c:pt>
                <c:pt idx="694">
                  <c:v>7.860189267746065E-3</c:v>
                </c:pt>
                <c:pt idx="695">
                  <c:v>0.29362776387845846</c:v>
                </c:pt>
                <c:pt idx="696">
                  <c:v>-0.33453855336700827</c:v>
                </c:pt>
                <c:pt idx="697">
                  <c:v>0.25876542392846363</c:v>
                </c:pt>
                <c:pt idx="698">
                  <c:v>0.28320590370402143</c:v>
                </c:pt>
                <c:pt idx="699">
                  <c:v>-1.4602503414208726E-2</c:v>
                </c:pt>
                <c:pt idx="700">
                  <c:v>0.15474503004173995</c:v>
                </c:pt>
                <c:pt idx="701">
                  <c:v>8.3703002159369072E-2</c:v>
                </c:pt>
                <c:pt idx="702">
                  <c:v>-8.172422191973043E-2</c:v>
                </c:pt>
                <c:pt idx="703">
                  <c:v>3.5986925672899697E-2</c:v>
                </c:pt>
                <c:pt idx="704">
                  <c:v>0.16590970731430654</c:v>
                </c:pt>
                <c:pt idx="705">
                  <c:v>4.4480084982320728E-2</c:v>
                </c:pt>
                <c:pt idx="706">
                  <c:v>0.36240034305239677</c:v>
                </c:pt>
                <c:pt idx="707">
                  <c:v>0.477309783032484</c:v>
                </c:pt>
                <c:pt idx="708">
                  <c:v>0.35952143248877966</c:v>
                </c:pt>
                <c:pt idx="709">
                  <c:v>-0.24203725189777592</c:v>
                </c:pt>
                <c:pt idx="710">
                  <c:v>0.2231733687339853</c:v>
                </c:pt>
                <c:pt idx="711">
                  <c:v>0.15545589167398005</c:v>
                </c:pt>
                <c:pt idx="712">
                  <c:v>-6.3916112028724006E-2</c:v>
                </c:pt>
                <c:pt idx="713">
                  <c:v>0.29298228629602791</c:v>
                </c:pt>
                <c:pt idx="714">
                  <c:v>0.14224292440083264</c:v>
                </c:pt>
                <c:pt idx="715">
                  <c:v>0.36332360779393907</c:v>
                </c:pt>
                <c:pt idx="716">
                  <c:v>0.1236132636811418</c:v>
                </c:pt>
                <c:pt idx="717">
                  <c:v>0.29415969137231129</c:v>
                </c:pt>
                <c:pt idx="718">
                  <c:v>6.6333420567951856E-2</c:v>
                </c:pt>
                <c:pt idx="719">
                  <c:v>0.21026873376145444</c:v>
                </c:pt>
                <c:pt idx="720">
                  <c:v>0.562812516045337</c:v>
                </c:pt>
                <c:pt idx="721">
                  <c:v>-7.9867048179457348E-2</c:v>
                </c:pt>
                <c:pt idx="722">
                  <c:v>0.30755379084613177</c:v>
                </c:pt>
                <c:pt idx="723">
                  <c:v>-0.15905673286110644</c:v>
                </c:pt>
                <c:pt idx="724">
                  <c:v>7.9188931872230639E-2</c:v>
                </c:pt>
                <c:pt idx="725">
                  <c:v>7.0441266032060121E-2</c:v>
                </c:pt>
                <c:pt idx="726">
                  <c:v>0.15292418455165829</c:v>
                </c:pt>
                <c:pt idx="727">
                  <c:v>0.18716451333360706</c:v>
                </c:pt>
                <c:pt idx="728">
                  <c:v>0.20735575596436412</c:v>
                </c:pt>
                <c:pt idx="729">
                  <c:v>0.49974585124287729</c:v>
                </c:pt>
                <c:pt idx="730">
                  <c:v>0.23495262931464575</c:v>
                </c:pt>
                <c:pt idx="731">
                  <c:v>0.31916949448908377</c:v>
                </c:pt>
                <c:pt idx="732">
                  <c:v>0.18713864379419398</c:v>
                </c:pt>
                <c:pt idx="733">
                  <c:v>-0.12167923492687406</c:v>
                </c:pt>
                <c:pt idx="734">
                  <c:v>0.36698965717964033</c:v>
                </c:pt>
                <c:pt idx="735">
                  <c:v>4.0178456147249172E-2</c:v>
                </c:pt>
                <c:pt idx="736">
                  <c:v>-0.18300740681905686</c:v>
                </c:pt>
                <c:pt idx="737">
                  <c:v>0.11877903433289703</c:v>
                </c:pt>
                <c:pt idx="738">
                  <c:v>-0.10917732021666628</c:v>
                </c:pt>
                <c:pt idx="739">
                  <c:v>0.12835747413364357</c:v>
                </c:pt>
                <c:pt idx="740">
                  <c:v>0.3059027561499954</c:v>
                </c:pt>
                <c:pt idx="741">
                  <c:v>0.15607256366069927</c:v>
                </c:pt>
                <c:pt idx="742">
                  <c:v>0.19797532249487329</c:v>
                </c:pt>
                <c:pt idx="743">
                  <c:v>0.14141006961281211</c:v>
                </c:pt>
                <c:pt idx="744">
                  <c:v>0.26579633957891391</c:v>
                </c:pt>
                <c:pt idx="745">
                  <c:v>0.21523232112207791</c:v>
                </c:pt>
                <c:pt idx="746">
                  <c:v>0.13657077398560508</c:v>
                </c:pt>
                <c:pt idx="747">
                  <c:v>1.103050022224504E-2</c:v>
                </c:pt>
                <c:pt idx="748">
                  <c:v>-4.1230370841479722E-2</c:v>
                </c:pt>
                <c:pt idx="749">
                  <c:v>0.11852255280146096</c:v>
                </c:pt>
                <c:pt idx="750">
                  <c:v>-0.107547372875182</c:v>
                </c:pt>
                <c:pt idx="751">
                  <c:v>0.12107440972089899</c:v>
                </c:pt>
                <c:pt idx="752">
                  <c:v>0.22143404057445371</c:v>
                </c:pt>
                <c:pt idx="753">
                  <c:v>9.0714848614653634E-2</c:v>
                </c:pt>
                <c:pt idx="754">
                  <c:v>0.17225095091213474</c:v>
                </c:pt>
                <c:pt idx="755">
                  <c:v>-0.12977784738981218</c:v>
                </c:pt>
                <c:pt idx="756">
                  <c:v>8.4045771451526613E-2</c:v>
                </c:pt>
                <c:pt idx="757">
                  <c:v>-0.23139333228884096</c:v>
                </c:pt>
                <c:pt idx="758">
                  <c:v>0.14275166829747313</c:v>
                </c:pt>
                <c:pt idx="759">
                  <c:v>0.26488539039380155</c:v>
                </c:pt>
                <c:pt idx="760">
                  <c:v>2.9466059173329326E-2</c:v>
                </c:pt>
                <c:pt idx="761">
                  <c:v>-2.5797625946892153E-2</c:v>
                </c:pt>
                <c:pt idx="762">
                  <c:v>-3.421926236918342E-2</c:v>
                </c:pt>
                <c:pt idx="763">
                  <c:v>0.24776521760110409</c:v>
                </c:pt>
                <c:pt idx="764">
                  <c:v>0.27161504439015055</c:v>
                </c:pt>
                <c:pt idx="765">
                  <c:v>0.28824746004908969</c:v>
                </c:pt>
                <c:pt idx="766">
                  <c:v>0.17520920253032193</c:v>
                </c:pt>
                <c:pt idx="767">
                  <c:v>-8.1880610772767801E-2</c:v>
                </c:pt>
                <c:pt idx="768">
                  <c:v>1.1013762252598078E-2</c:v>
                </c:pt>
                <c:pt idx="769">
                  <c:v>0.10652311573162897</c:v>
                </c:pt>
                <c:pt idx="770">
                  <c:v>-0.18747265277554143</c:v>
                </c:pt>
                <c:pt idx="771">
                  <c:v>7.2242422043043403E-2</c:v>
                </c:pt>
                <c:pt idx="772">
                  <c:v>0.33093931762571765</c:v>
                </c:pt>
                <c:pt idx="773">
                  <c:v>1.9861924109348394E-3</c:v>
                </c:pt>
                <c:pt idx="774">
                  <c:v>-0.210473986990318</c:v>
                </c:pt>
                <c:pt idx="775">
                  <c:v>-9.5711896878031319E-2</c:v>
                </c:pt>
                <c:pt idx="776">
                  <c:v>0.26185733764483859</c:v>
                </c:pt>
                <c:pt idx="777">
                  <c:v>0.24982659075204644</c:v>
                </c:pt>
                <c:pt idx="778">
                  <c:v>1.5627836709917783E-2</c:v>
                </c:pt>
                <c:pt idx="779">
                  <c:v>0.1424816189390124</c:v>
                </c:pt>
                <c:pt idx="780">
                  <c:v>6.5465094002711277E-2</c:v>
                </c:pt>
                <c:pt idx="781">
                  <c:v>2.1199446416051537E-2</c:v>
                </c:pt>
                <c:pt idx="782">
                  <c:v>0.18343054129324854</c:v>
                </c:pt>
                <c:pt idx="783">
                  <c:v>0.20037911431652861</c:v>
                </c:pt>
                <c:pt idx="784">
                  <c:v>0.25024935124539721</c:v>
                </c:pt>
                <c:pt idx="785">
                  <c:v>8.5153429071136974E-2</c:v>
                </c:pt>
                <c:pt idx="786">
                  <c:v>-7.8011409209116214E-2</c:v>
                </c:pt>
                <c:pt idx="787">
                  <c:v>-6.6248544105015642E-2</c:v>
                </c:pt>
                <c:pt idx="788">
                  <c:v>-3.2311740650260948E-2</c:v>
                </c:pt>
                <c:pt idx="789">
                  <c:v>-0.10524006706317492</c:v>
                </c:pt>
                <c:pt idx="790">
                  <c:v>0.40185570486050493</c:v>
                </c:pt>
                <c:pt idx="791">
                  <c:v>-9.3073521933355371E-2</c:v>
                </c:pt>
                <c:pt idx="792">
                  <c:v>0.23120110244482672</c:v>
                </c:pt>
                <c:pt idx="793">
                  <c:v>-0.20937659558383737</c:v>
                </c:pt>
                <c:pt idx="794">
                  <c:v>-0.15689185901190494</c:v>
                </c:pt>
                <c:pt idx="795">
                  <c:v>0.47319569115339205</c:v>
                </c:pt>
                <c:pt idx="796">
                  <c:v>-2.7452774737499588E-2</c:v>
                </c:pt>
                <c:pt idx="797">
                  <c:v>0.14508702302073562</c:v>
                </c:pt>
                <c:pt idx="798">
                  <c:v>0.36997584798412081</c:v>
                </c:pt>
                <c:pt idx="799">
                  <c:v>0.11343522321790533</c:v>
                </c:pt>
                <c:pt idx="800">
                  <c:v>0.24327354573449128</c:v>
                </c:pt>
                <c:pt idx="801">
                  <c:v>-2.7601396222436889E-2</c:v>
                </c:pt>
                <c:pt idx="802">
                  <c:v>0.2827709317169057</c:v>
                </c:pt>
                <c:pt idx="803">
                  <c:v>0.47315089529447268</c:v>
                </c:pt>
                <c:pt idx="804">
                  <c:v>0.17442553546381778</c:v>
                </c:pt>
                <c:pt idx="805">
                  <c:v>0.21474222905389806</c:v>
                </c:pt>
                <c:pt idx="806">
                  <c:v>-0.29127046803713119</c:v>
                </c:pt>
                <c:pt idx="807">
                  <c:v>9.4790495112894779E-2</c:v>
                </c:pt>
                <c:pt idx="808">
                  <c:v>0.3453762282162014</c:v>
                </c:pt>
                <c:pt idx="809">
                  <c:v>0.35378445074600084</c:v>
                </c:pt>
                <c:pt idx="810">
                  <c:v>2.0786992843684085E-2</c:v>
                </c:pt>
                <c:pt idx="811">
                  <c:v>0.21793848122172949</c:v>
                </c:pt>
                <c:pt idx="812">
                  <c:v>0.10129546823505989</c:v>
                </c:pt>
                <c:pt idx="813">
                  <c:v>-6.9961735768447622E-2</c:v>
                </c:pt>
                <c:pt idx="814">
                  <c:v>0.31981814540599501</c:v>
                </c:pt>
                <c:pt idx="815">
                  <c:v>-0.15915271425514033</c:v>
                </c:pt>
                <c:pt idx="816">
                  <c:v>0.22607960953725897</c:v>
                </c:pt>
                <c:pt idx="817">
                  <c:v>8.1768373425512381E-2</c:v>
                </c:pt>
                <c:pt idx="818">
                  <c:v>0.24748321556826774</c:v>
                </c:pt>
                <c:pt idx="819">
                  <c:v>0.28113325594883593</c:v>
                </c:pt>
                <c:pt idx="820">
                  <c:v>-7.1042002105729807E-3</c:v>
                </c:pt>
                <c:pt idx="821">
                  <c:v>0.11885269485492883</c:v>
                </c:pt>
                <c:pt idx="822">
                  <c:v>0.12052801895322787</c:v>
                </c:pt>
                <c:pt idx="823">
                  <c:v>0.23247963763425397</c:v>
                </c:pt>
                <c:pt idx="824">
                  <c:v>1.6044951304981167E-2</c:v>
                </c:pt>
                <c:pt idx="825">
                  <c:v>0.39436664155216894</c:v>
                </c:pt>
                <c:pt idx="826">
                  <c:v>0.22330567773996818</c:v>
                </c:pt>
                <c:pt idx="827">
                  <c:v>0.39943208682583464</c:v>
                </c:pt>
                <c:pt idx="828">
                  <c:v>-0.19965248761079246</c:v>
                </c:pt>
                <c:pt idx="829">
                  <c:v>0.31404958591369742</c:v>
                </c:pt>
                <c:pt idx="830">
                  <c:v>0.34684694089225032</c:v>
                </c:pt>
                <c:pt idx="831">
                  <c:v>0.21125225771920181</c:v>
                </c:pt>
                <c:pt idx="832">
                  <c:v>-7.6005821780225982E-2</c:v>
                </c:pt>
                <c:pt idx="833">
                  <c:v>0.31129490132622806</c:v>
                </c:pt>
                <c:pt idx="834">
                  <c:v>0.29378601506104385</c:v>
                </c:pt>
                <c:pt idx="835">
                  <c:v>-7.1526154114928395E-2</c:v>
                </c:pt>
                <c:pt idx="836">
                  <c:v>6.1511371782891067E-3</c:v>
                </c:pt>
                <c:pt idx="837">
                  <c:v>0.17324379842829382</c:v>
                </c:pt>
                <c:pt idx="838">
                  <c:v>0.25349030600553446</c:v>
                </c:pt>
                <c:pt idx="839">
                  <c:v>0.13776864950644041</c:v>
                </c:pt>
                <c:pt idx="840">
                  <c:v>0.44529563552503454</c:v>
                </c:pt>
                <c:pt idx="841">
                  <c:v>0.24204130277700736</c:v>
                </c:pt>
                <c:pt idx="842">
                  <c:v>0.39522482864268643</c:v>
                </c:pt>
                <c:pt idx="843">
                  <c:v>-3.0732449829330447E-2</c:v>
                </c:pt>
                <c:pt idx="844">
                  <c:v>0.10627392802449757</c:v>
                </c:pt>
                <c:pt idx="845">
                  <c:v>-0.11327152927546523</c:v>
                </c:pt>
                <c:pt idx="846">
                  <c:v>9.5625922520769319E-2</c:v>
                </c:pt>
                <c:pt idx="847">
                  <c:v>-0.2595017981482316</c:v>
                </c:pt>
                <c:pt idx="848">
                  <c:v>0.19330364524056762</c:v>
                </c:pt>
                <c:pt idx="849">
                  <c:v>-7.76777892311213E-2</c:v>
                </c:pt>
                <c:pt idx="850">
                  <c:v>0.19376726558440288</c:v>
                </c:pt>
                <c:pt idx="851">
                  <c:v>0.13793475024129123</c:v>
                </c:pt>
                <c:pt idx="852">
                  <c:v>4.208846385653206E-3</c:v>
                </c:pt>
                <c:pt idx="853">
                  <c:v>4.3012546428771795E-2</c:v>
                </c:pt>
                <c:pt idx="854">
                  <c:v>-7.9416138371170633E-2</c:v>
                </c:pt>
                <c:pt idx="855">
                  <c:v>3.009205194012296E-2</c:v>
                </c:pt>
                <c:pt idx="856">
                  <c:v>-3.9147817185350417E-2</c:v>
                </c:pt>
                <c:pt idx="857">
                  <c:v>6.4820317462415067E-2</c:v>
                </c:pt>
                <c:pt idx="858">
                  <c:v>-0.10916437890789847</c:v>
                </c:pt>
                <c:pt idx="859">
                  <c:v>7.8232801964518289E-2</c:v>
                </c:pt>
                <c:pt idx="860">
                  <c:v>0.2281370382752233</c:v>
                </c:pt>
                <c:pt idx="861">
                  <c:v>-5.4749612974801812E-2</c:v>
                </c:pt>
                <c:pt idx="862">
                  <c:v>-0.12245617198897736</c:v>
                </c:pt>
                <c:pt idx="863">
                  <c:v>0.31376216108643884</c:v>
                </c:pt>
                <c:pt idx="864">
                  <c:v>0.12432629019320907</c:v>
                </c:pt>
                <c:pt idx="865">
                  <c:v>3.3388759653057556E-2</c:v>
                </c:pt>
                <c:pt idx="866">
                  <c:v>0.40589191935781455</c:v>
                </c:pt>
                <c:pt idx="867">
                  <c:v>5.6351101955749619E-2</c:v>
                </c:pt>
                <c:pt idx="868">
                  <c:v>0.27067436897865316</c:v>
                </c:pt>
                <c:pt idx="869">
                  <c:v>4.2856892875258693E-2</c:v>
                </c:pt>
                <c:pt idx="870">
                  <c:v>0.23091226174224511</c:v>
                </c:pt>
                <c:pt idx="871">
                  <c:v>-6.177617690227484E-2</c:v>
                </c:pt>
                <c:pt idx="872">
                  <c:v>1.8798592429827579E-2</c:v>
                </c:pt>
                <c:pt idx="873">
                  <c:v>0.19779942357836142</c:v>
                </c:pt>
                <c:pt idx="874">
                  <c:v>0.29038237178253806</c:v>
                </c:pt>
                <c:pt idx="875">
                  <c:v>2.9725283449170817E-2</c:v>
                </c:pt>
                <c:pt idx="876">
                  <c:v>-2.0199633661860353E-2</c:v>
                </c:pt>
                <c:pt idx="877">
                  <c:v>0.43265709749247877</c:v>
                </c:pt>
                <c:pt idx="878">
                  <c:v>0.14259904347652996</c:v>
                </c:pt>
                <c:pt idx="879">
                  <c:v>0.24802909353744895</c:v>
                </c:pt>
                <c:pt idx="880">
                  <c:v>0.39323077451296712</c:v>
                </c:pt>
                <c:pt idx="881">
                  <c:v>0.13754235229690623</c:v>
                </c:pt>
                <c:pt idx="882">
                  <c:v>0.24044439527092049</c:v>
                </c:pt>
                <c:pt idx="883">
                  <c:v>4.8409154406490199E-2</c:v>
                </c:pt>
                <c:pt idx="884">
                  <c:v>-0.18192689787628324</c:v>
                </c:pt>
                <c:pt idx="885">
                  <c:v>0.13265336412945711</c:v>
                </c:pt>
                <c:pt idx="886">
                  <c:v>0.14668658469496906</c:v>
                </c:pt>
                <c:pt idx="887">
                  <c:v>0.18430745866280962</c:v>
                </c:pt>
                <c:pt idx="888">
                  <c:v>0.16996965041169798</c:v>
                </c:pt>
                <c:pt idx="889">
                  <c:v>-3.3413952290328994E-2</c:v>
                </c:pt>
                <c:pt idx="890">
                  <c:v>0.23788209762019724</c:v>
                </c:pt>
                <c:pt idx="891">
                  <c:v>-0.173353610363011</c:v>
                </c:pt>
                <c:pt idx="892">
                  <c:v>0.27696894559499735</c:v>
                </c:pt>
                <c:pt idx="893">
                  <c:v>-6.210152541752588E-2</c:v>
                </c:pt>
                <c:pt idx="894">
                  <c:v>0.29222567484938483</c:v>
                </c:pt>
                <c:pt idx="895">
                  <c:v>-0.34358038139018893</c:v>
                </c:pt>
                <c:pt idx="896">
                  <c:v>0.21336902582097161</c:v>
                </c:pt>
                <c:pt idx="897">
                  <c:v>-0.21048662150153719</c:v>
                </c:pt>
                <c:pt idx="898">
                  <c:v>-6.9246312031675208E-2</c:v>
                </c:pt>
                <c:pt idx="899">
                  <c:v>0.21758752977839732</c:v>
                </c:pt>
                <c:pt idx="900">
                  <c:v>0.17986216956931217</c:v>
                </c:pt>
                <c:pt idx="901">
                  <c:v>4.8662478227112643E-2</c:v>
                </c:pt>
                <c:pt idx="902">
                  <c:v>0.37820117036069834</c:v>
                </c:pt>
                <c:pt idx="903">
                  <c:v>-0.26394007159445709</c:v>
                </c:pt>
                <c:pt idx="904">
                  <c:v>3.0390722692335184E-2</c:v>
                </c:pt>
                <c:pt idx="905">
                  <c:v>0.12436240540926755</c:v>
                </c:pt>
                <c:pt idx="906">
                  <c:v>7.8223702902420256E-2</c:v>
                </c:pt>
                <c:pt idx="907">
                  <c:v>-1.2363100905476085E-2</c:v>
                </c:pt>
                <c:pt idx="908">
                  <c:v>-1.2321498664220179E-2</c:v>
                </c:pt>
                <c:pt idx="909">
                  <c:v>-8.7008541537115389E-2</c:v>
                </c:pt>
                <c:pt idx="910">
                  <c:v>0.13424995352861385</c:v>
                </c:pt>
                <c:pt idx="911">
                  <c:v>0.11634940419401034</c:v>
                </c:pt>
                <c:pt idx="912">
                  <c:v>3.3964679076907436E-2</c:v>
                </c:pt>
                <c:pt idx="913">
                  <c:v>-0.12554271600572064</c:v>
                </c:pt>
                <c:pt idx="914">
                  <c:v>0.14663299827123222</c:v>
                </c:pt>
                <c:pt idx="915">
                  <c:v>-0.29711520857333718</c:v>
                </c:pt>
                <c:pt idx="916">
                  <c:v>0.46677122919356262</c:v>
                </c:pt>
                <c:pt idx="917">
                  <c:v>0.21046266874650521</c:v>
                </c:pt>
                <c:pt idx="918">
                  <c:v>0.31639461587300488</c:v>
                </c:pt>
                <c:pt idx="919">
                  <c:v>0.19876279363760727</c:v>
                </c:pt>
                <c:pt idx="920">
                  <c:v>-0.12294570483381335</c:v>
                </c:pt>
                <c:pt idx="921">
                  <c:v>-0.1801814604483955</c:v>
                </c:pt>
                <c:pt idx="922">
                  <c:v>0.15349693200576719</c:v>
                </c:pt>
                <c:pt idx="923">
                  <c:v>0.21104071294103932</c:v>
                </c:pt>
                <c:pt idx="924">
                  <c:v>0.28472563010023677</c:v>
                </c:pt>
                <c:pt idx="925">
                  <c:v>8.1148888357499963E-2</c:v>
                </c:pt>
                <c:pt idx="926">
                  <c:v>-0.20713967532640537</c:v>
                </c:pt>
                <c:pt idx="927">
                  <c:v>0.34450684301647178</c:v>
                </c:pt>
                <c:pt idx="928">
                  <c:v>0.25217168084064023</c:v>
                </c:pt>
                <c:pt idx="929">
                  <c:v>-2.9300385430189438E-2</c:v>
                </c:pt>
                <c:pt idx="930">
                  <c:v>0.11790507563630943</c:v>
                </c:pt>
                <c:pt idx="931">
                  <c:v>-7.8725374448771326E-2</c:v>
                </c:pt>
                <c:pt idx="932">
                  <c:v>8.4069832782492915E-2</c:v>
                </c:pt>
                <c:pt idx="933">
                  <c:v>0.30882384405523261</c:v>
                </c:pt>
                <c:pt idx="934">
                  <c:v>0.25945689179532672</c:v>
                </c:pt>
                <c:pt idx="935">
                  <c:v>0.32480678174042954</c:v>
                </c:pt>
                <c:pt idx="936">
                  <c:v>-0.16530481699989086</c:v>
                </c:pt>
                <c:pt idx="937">
                  <c:v>-3.3034868127787761E-2</c:v>
                </c:pt>
                <c:pt idx="938">
                  <c:v>0.25586074330372788</c:v>
                </c:pt>
                <c:pt idx="939">
                  <c:v>-5.4550070564241646E-2</c:v>
                </c:pt>
                <c:pt idx="940">
                  <c:v>5.1222595530334147E-3</c:v>
                </c:pt>
                <c:pt idx="941">
                  <c:v>4.4077525401781253E-3</c:v>
                </c:pt>
                <c:pt idx="942">
                  <c:v>0.25355481313327005</c:v>
                </c:pt>
                <c:pt idx="943">
                  <c:v>0.33057661818815515</c:v>
                </c:pt>
                <c:pt idx="944">
                  <c:v>0.33566479082896644</c:v>
                </c:pt>
                <c:pt idx="945">
                  <c:v>-9.3066931267841449E-2</c:v>
                </c:pt>
                <c:pt idx="946">
                  <c:v>-9.044937449384334E-2</c:v>
                </c:pt>
                <c:pt idx="947">
                  <c:v>-0.15650651829393764</c:v>
                </c:pt>
                <c:pt idx="948">
                  <c:v>0.43873471847979323</c:v>
                </c:pt>
                <c:pt idx="949">
                  <c:v>0.13935324785096254</c:v>
                </c:pt>
                <c:pt idx="950">
                  <c:v>0.2825349132881787</c:v>
                </c:pt>
                <c:pt idx="951">
                  <c:v>-9.0221672724171406E-2</c:v>
                </c:pt>
                <c:pt idx="952">
                  <c:v>-0.21232834560102415</c:v>
                </c:pt>
                <c:pt idx="953">
                  <c:v>0.17438799350408457</c:v>
                </c:pt>
                <c:pt idx="954">
                  <c:v>-0.21883236000239065</c:v>
                </c:pt>
                <c:pt idx="955">
                  <c:v>0.18935649273401226</c:v>
                </c:pt>
                <c:pt idx="956">
                  <c:v>0.12155178194451671</c:v>
                </c:pt>
                <c:pt idx="957">
                  <c:v>1.016167121818129E-2</c:v>
                </c:pt>
                <c:pt idx="958">
                  <c:v>0.113036162702955</c:v>
                </c:pt>
                <c:pt idx="959">
                  <c:v>3.1474694318208707E-3</c:v>
                </c:pt>
                <c:pt idx="960">
                  <c:v>2.6286315044606101E-2</c:v>
                </c:pt>
                <c:pt idx="961">
                  <c:v>3.7959207368263026E-2</c:v>
                </c:pt>
                <c:pt idx="962">
                  <c:v>3.5954746078202593E-2</c:v>
                </c:pt>
                <c:pt idx="963">
                  <c:v>1.278378936029001E-3</c:v>
                </c:pt>
                <c:pt idx="964">
                  <c:v>6.2413773836139476E-2</c:v>
                </c:pt>
                <c:pt idx="965">
                  <c:v>0.12184379968934443</c:v>
                </c:pt>
                <c:pt idx="966">
                  <c:v>0.11714312987779418</c:v>
                </c:pt>
                <c:pt idx="967">
                  <c:v>0.30536127791753581</c:v>
                </c:pt>
                <c:pt idx="968">
                  <c:v>-1.5803724224797075E-2</c:v>
                </c:pt>
                <c:pt idx="969">
                  <c:v>2.7867887780137879E-2</c:v>
                </c:pt>
                <c:pt idx="970">
                  <c:v>5.7952528336723083E-2</c:v>
                </c:pt>
                <c:pt idx="971">
                  <c:v>-0.13899816686426225</c:v>
                </c:pt>
                <c:pt idx="972">
                  <c:v>9.0371448915631869E-2</c:v>
                </c:pt>
                <c:pt idx="973">
                  <c:v>-0.12325453683742858</c:v>
                </c:pt>
                <c:pt idx="974">
                  <c:v>4.7210293121462035E-2</c:v>
                </c:pt>
                <c:pt idx="975">
                  <c:v>0.10295501954253075</c:v>
                </c:pt>
                <c:pt idx="976">
                  <c:v>0.26367935551078792</c:v>
                </c:pt>
                <c:pt idx="977">
                  <c:v>1.4094765099200018E-3</c:v>
                </c:pt>
                <c:pt idx="978">
                  <c:v>0.23241414938253535</c:v>
                </c:pt>
                <c:pt idx="979">
                  <c:v>8.7021055795064514E-2</c:v>
                </c:pt>
                <c:pt idx="980">
                  <c:v>0.27668527984861846</c:v>
                </c:pt>
                <c:pt idx="981">
                  <c:v>9.9011688658326366E-2</c:v>
                </c:pt>
                <c:pt idx="982">
                  <c:v>-0.14693148185365473</c:v>
                </c:pt>
                <c:pt idx="983">
                  <c:v>-2.0604255077448883E-2</c:v>
                </c:pt>
                <c:pt idx="984">
                  <c:v>0.3523933106477124</c:v>
                </c:pt>
                <c:pt idx="985">
                  <c:v>-0.27634286309539757</c:v>
                </c:pt>
                <c:pt idx="986">
                  <c:v>0.20686617537881097</c:v>
                </c:pt>
                <c:pt idx="987">
                  <c:v>-5.4099118345970212E-2</c:v>
                </c:pt>
                <c:pt idx="988">
                  <c:v>4.9370815514292316E-2</c:v>
                </c:pt>
                <c:pt idx="989">
                  <c:v>0.10773934029985367</c:v>
                </c:pt>
                <c:pt idx="990">
                  <c:v>-4.4270684207528624E-2</c:v>
                </c:pt>
                <c:pt idx="991">
                  <c:v>-5.4774545163891727E-2</c:v>
                </c:pt>
                <c:pt idx="992">
                  <c:v>-0.21053575522107509</c:v>
                </c:pt>
                <c:pt idx="993">
                  <c:v>0.30799457331604657</c:v>
                </c:pt>
                <c:pt idx="994">
                  <c:v>6.6412465554781336E-2</c:v>
                </c:pt>
                <c:pt idx="995">
                  <c:v>-1.9694816392021544E-2</c:v>
                </c:pt>
                <c:pt idx="996">
                  <c:v>0.14778101212759975</c:v>
                </c:pt>
                <c:pt idx="997">
                  <c:v>-0.13751804343078322</c:v>
                </c:pt>
                <c:pt idx="998">
                  <c:v>-8.9222005472778018E-2</c:v>
                </c:pt>
                <c:pt idx="999">
                  <c:v>4.1663089814310911E-2</c:v>
                </c:pt>
                <c:pt idx="1000">
                  <c:v>0.15973585731642193</c:v>
                </c:pt>
                <c:pt idx="1001">
                  <c:v>8.8572781580500137E-2</c:v>
                </c:pt>
                <c:pt idx="1002">
                  <c:v>0.1882423111821121</c:v>
                </c:pt>
                <c:pt idx="1003">
                  <c:v>0.13887713912076483</c:v>
                </c:pt>
                <c:pt idx="1004">
                  <c:v>-0.21972819247928349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DC-4B23-AA51-4AB623CC6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545967"/>
        <c:axId val="1518539247"/>
      </c:scatterChart>
      <c:valAx>
        <c:axId val="151854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8539247"/>
        <c:crosses val="autoZero"/>
        <c:crossBetween val="midCat"/>
      </c:valAx>
      <c:valAx>
        <c:axId val="151853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854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Historical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'S&amp;P'!$I$3:$I$100</c:f>
              <c:numCache>
                <c:formatCode>General</c:formatCode>
                <c:ptCount val="98"/>
                <c:pt idx="0">
                  <c:v>1928</c:v>
                </c:pt>
                <c:pt idx="1">
                  <c:v>1929</c:v>
                </c:pt>
                <c:pt idx="2">
                  <c:v>1930</c:v>
                </c:pt>
                <c:pt idx="3">
                  <c:v>1931</c:v>
                </c:pt>
                <c:pt idx="4">
                  <c:v>1932</c:v>
                </c:pt>
                <c:pt idx="5">
                  <c:v>1933</c:v>
                </c:pt>
                <c:pt idx="6">
                  <c:v>1934</c:v>
                </c:pt>
                <c:pt idx="7">
                  <c:v>1935</c:v>
                </c:pt>
                <c:pt idx="8">
                  <c:v>1936</c:v>
                </c:pt>
                <c:pt idx="9">
                  <c:v>1937</c:v>
                </c:pt>
                <c:pt idx="10">
                  <c:v>1938</c:v>
                </c:pt>
                <c:pt idx="11">
                  <c:v>1939</c:v>
                </c:pt>
                <c:pt idx="12">
                  <c:v>1940</c:v>
                </c:pt>
                <c:pt idx="13">
                  <c:v>1941</c:v>
                </c:pt>
                <c:pt idx="14">
                  <c:v>1942</c:v>
                </c:pt>
                <c:pt idx="15">
                  <c:v>1943</c:v>
                </c:pt>
                <c:pt idx="16">
                  <c:v>1944</c:v>
                </c:pt>
                <c:pt idx="17">
                  <c:v>1945</c:v>
                </c:pt>
                <c:pt idx="18">
                  <c:v>1946</c:v>
                </c:pt>
                <c:pt idx="19">
                  <c:v>1947</c:v>
                </c:pt>
                <c:pt idx="20">
                  <c:v>1948</c:v>
                </c:pt>
                <c:pt idx="21">
                  <c:v>1949</c:v>
                </c:pt>
                <c:pt idx="22">
                  <c:v>1950</c:v>
                </c:pt>
                <c:pt idx="23">
                  <c:v>1951</c:v>
                </c:pt>
                <c:pt idx="24">
                  <c:v>1952</c:v>
                </c:pt>
                <c:pt idx="25">
                  <c:v>1953</c:v>
                </c:pt>
                <c:pt idx="26">
                  <c:v>1954</c:v>
                </c:pt>
                <c:pt idx="27">
                  <c:v>1955</c:v>
                </c:pt>
                <c:pt idx="28">
                  <c:v>1956</c:v>
                </c:pt>
                <c:pt idx="29">
                  <c:v>1957</c:v>
                </c:pt>
                <c:pt idx="30">
                  <c:v>1958</c:v>
                </c:pt>
                <c:pt idx="31">
                  <c:v>1959</c:v>
                </c:pt>
                <c:pt idx="32">
                  <c:v>1960</c:v>
                </c:pt>
                <c:pt idx="33">
                  <c:v>1961</c:v>
                </c:pt>
                <c:pt idx="34">
                  <c:v>1962</c:v>
                </c:pt>
                <c:pt idx="35">
                  <c:v>1963</c:v>
                </c:pt>
                <c:pt idx="36">
                  <c:v>1964</c:v>
                </c:pt>
                <c:pt idx="37">
                  <c:v>1965</c:v>
                </c:pt>
                <c:pt idx="38">
                  <c:v>1966</c:v>
                </c:pt>
                <c:pt idx="39">
                  <c:v>1967</c:v>
                </c:pt>
                <c:pt idx="40">
                  <c:v>1968</c:v>
                </c:pt>
                <c:pt idx="41">
                  <c:v>1969</c:v>
                </c:pt>
                <c:pt idx="42">
                  <c:v>1970</c:v>
                </c:pt>
                <c:pt idx="43">
                  <c:v>1971</c:v>
                </c:pt>
                <c:pt idx="44">
                  <c:v>1972</c:v>
                </c:pt>
                <c:pt idx="45">
                  <c:v>1973</c:v>
                </c:pt>
                <c:pt idx="46">
                  <c:v>1974</c:v>
                </c:pt>
                <c:pt idx="47">
                  <c:v>1975</c:v>
                </c:pt>
                <c:pt idx="48">
                  <c:v>1976</c:v>
                </c:pt>
                <c:pt idx="49">
                  <c:v>1977</c:v>
                </c:pt>
                <c:pt idx="50">
                  <c:v>1978</c:v>
                </c:pt>
                <c:pt idx="51">
                  <c:v>1979</c:v>
                </c:pt>
                <c:pt idx="52">
                  <c:v>1980</c:v>
                </c:pt>
                <c:pt idx="53">
                  <c:v>1981</c:v>
                </c:pt>
                <c:pt idx="54">
                  <c:v>1982</c:v>
                </c:pt>
                <c:pt idx="55">
                  <c:v>1983</c:v>
                </c:pt>
                <c:pt idx="56">
                  <c:v>1984</c:v>
                </c:pt>
                <c:pt idx="57">
                  <c:v>1985</c:v>
                </c:pt>
                <c:pt idx="58">
                  <c:v>1986</c:v>
                </c:pt>
                <c:pt idx="59">
                  <c:v>1987</c:v>
                </c:pt>
                <c:pt idx="60">
                  <c:v>1988</c:v>
                </c:pt>
                <c:pt idx="61">
                  <c:v>1989</c:v>
                </c:pt>
                <c:pt idx="62">
                  <c:v>1990</c:v>
                </c:pt>
                <c:pt idx="63">
                  <c:v>1991</c:v>
                </c:pt>
                <c:pt idx="64">
                  <c:v>1992</c:v>
                </c:pt>
                <c:pt idx="65">
                  <c:v>1993</c:v>
                </c:pt>
                <c:pt idx="66">
                  <c:v>1994</c:v>
                </c:pt>
                <c:pt idx="67">
                  <c:v>1995</c:v>
                </c:pt>
                <c:pt idx="68">
                  <c:v>1996</c:v>
                </c:pt>
                <c:pt idx="69">
                  <c:v>1997</c:v>
                </c:pt>
                <c:pt idx="70">
                  <c:v>1998</c:v>
                </c:pt>
                <c:pt idx="71">
                  <c:v>1999</c:v>
                </c:pt>
                <c:pt idx="72">
                  <c:v>2000</c:v>
                </c:pt>
                <c:pt idx="73">
                  <c:v>2001</c:v>
                </c:pt>
                <c:pt idx="74">
                  <c:v>2002</c:v>
                </c:pt>
                <c:pt idx="75">
                  <c:v>2003</c:v>
                </c:pt>
                <c:pt idx="76">
                  <c:v>2004</c:v>
                </c:pt>
                <c:pt idx="77">
                  <c:v>2005</c:v>
                </c:pt>
                <c:pt idx="78">
                  <c:v>2006</c:v>
                </c:pt>
                <c:pt idx="79">
                  <c:v>2007</c:v>
                </c:pt>
                <c:pt idx="80">
                  <c:v>2008</c:v>
                </c:pt>
                <c:pt idx="81">
                  <c:v>2009</c:v>
                </c:pt>
                <c:pt idx="82">
                  <c:v>2010</c:v>
                </c:pt>
                <c:pt idx="83">
                  <c:v>2011</c:v>
                </c:pt>
                <c:pt idx="84">
                  <c:v>2012</c:v>
                </c:pt>
                <c:pt idx="85">
                  <c:v>2013</c:v>
                </c:pt>
                <c:pt idx="86">
                  <c:v>2014</c:v>
                </c:pt>
                <c:pt idx="87">
                  <c:v>2015</c:v>
                </c:pt>
                <c:pt idx="88">
                  <c:v>2016</c:v>
                </c:pt>
                <c:pt idx="89">
                  <c:v>2017</c:v>
                </c:pt>
                <c:pt idx="90">
                  <c:v>2018</c:v>
                </c:pt>
                <c:pt idx="91">
                  <c:v>2019</c:v>
                </c:pt>
                <c:pt idx="92">
                  <c:v>2020</c:v>
                </c:pt>
                <c:pt idx="93">
                  <c:v>2021</c:v>
                </c:pt>
                <c:pt idx="94">
                  <c:v>2022</c:v>
                </c:pt>
                <c:pt idx="95">
                  <c:v>2023</c:v>
                </c:pt>
                <c:pt idx="96">
                  <c:v>2024</c:v>
                </c:pt>
                <c:pt idx="97">
                  <c:v>2025</c:v>
                </c:pt>
              </c:numCache>
            </c:numRef>
          </c:cat>
          <c:val>
            <c:numRef>
              <c:f>'S&amp;P'!$J$3:$J$100</c:f>
              <c:numCache>
                <c:formatCode>0%</c:formatCode>
                <c:ptCount val="98"/>
                <c:pt idx="0">
                  <c:v>0.37880000000000003</c:v>
                </c:pt>
                <c:pt idx="1">
                  <c:v>-0.1191</c:v>
                </c:pt>
                <c:pt idx="2">
                  <c:v>-0.2848</c:v>
                </c:pt>
                <c:pt idx="3">
                  <c:v>-0.47070000000000001</c:v>
                </c:pt>
                <c:pt idx="4">
                  <c:v>-0.1515</c:v>
                </c:pt>
                <c:pt idx="5">
                  <c:v>0.46590000000000004</c:v>
                </c:pt>
                <c:pt idx="6">
                  <c:v>-5.9400000000000001E-2</c:v>
                </c:pt>
                <c:pt idx="7">
                  <c:v>0.41369999999999996</c:v>
                </c:pt>
                <c:pt idx="8">
                  <c:v>0.2792</c:v>
                </c:pt>
                <c:pt idx="9">
                  <c:v>-0.38590000000000002</c:v>
                </c:pt>
                <c:pt idx="10">
                  <c:v>0.25209999999999999</c:v>
                </c:pt>
                <c:pt idx="11">
                  <c:v>-5.45E-2</c:v>
                </c:pt>
                <c:pt idx="12">
                  <c:v>-0.15289999999999998</c:v>
                </c:pt>
                <c:pt idx="13">
                  <c:v>-0.17859999999999998</c:v>
                </c:pt>
                <c:pt idx="14">
                  <c:v>0.12429999999999999</c:v>
                </c:pt>
                <c:pt idx="15">
                  <c:v>0.19450000000000001</c:v>
                </c:pt>
                <c:pt idx="16">
                  <c:v>0.13800000000000001</c:v>
                </c:pt>
                <c:pt idx="17">
                  <c:v>0.30719999999999997</c:v>
                </c:pt>
                <c:pt idx="18">
                  <c:v>0.11869999999999999</c:v>
                </c:pt>
                <c:pt idx="19">
                  <c:v>-0.31</c:v>
                </c:pt>
                <c:pt idx="20">
                  <c:v>-6.5000000000000006E-3</c:v>
                </c:pt>
                <c:pt idx="21">
                  <c:v>0.1026</c:v>
                </c:pt>
                <c:pt idx="22">
                  <c:v>0.21780000000000002</c:v>
                </c:pt>
                <c:pt idx="23">
                  <c:v>0.1646</c:v>
                </c:pt>
                <c:pt idx="24">
                  <c:v>0.11779999999999999</c:v>
                </c:pt>
                <c:pt idx="25">
                  <c:v>-6.6199999999999995E-2</c:v>
                </c:pt>
                <c:pt idx="26">
                  <c:v>0.45020000000000004</c:v>
                </c:pt>
                <c:pt idx="27">
                  <c:v>0.26400000000000001</c:v>
                </c:pt>
                <c:pt idx="28">
                  <c:v>2.6200000000000001E-2</c:v>
                </c:pt>
                <c:pt idx="29">
                  <c:v>0.1431</c:v>
                </c:pt>
                <c:pt idx="30">
                  <c:v>0.38060000000000005</c:v>
                </c:pt>
                <c:pt idx="31">
                  <c:v>8.48E-2</c:v>
                </c:pt>
                <c:pt idx="32">
                  <c:v>-2.9700000000000001E-2</c:v>
                </c:pt>
                <c:pt idx="33">
                  <c:v>0.23129999999999998</c:v>
                </c:pt>
                <c:pt idx="34">
                  <c:v>0.11810000000000001</c:v>
                </c:pt>
                <c:pt idx="35">
                  <c:v>0.18890000000000001</c:v>
                </c:pt>
                <c:pt idx="36">
                  <c:v>0.12970000000000001</c:v>
                </c:pt>
                <c:pt idx="37">
                  <c:v>9.06E-2</c:v>
                </c:pt>
                <c:pt idx="38">
                  <c:v>0.13089999999999999</c:v>
                </c:pt>
                <c:pt idx="39">
                  <c:v>0.2009</c:v>
                </c:pt>
                <c:pt idx="40">
                  <c:v>7.6600000000000001E-2</c:v>
                </c:pt>
                <c:pt idx="41">
                  <c:v>0.11359999999999999</c:v>
                </c:pt>
                <c:pt idx="42">
                  <c:v>1E-3</c:v>
                </c:pt>
                <c:pt idx="43">
                  <c:v>0.1079</c:v>
                </c:pt>
                <c:pt idx="44">
                  <c:v>0.15629999999999999</c:v>
                </c:pt>
                <c:pt idx="45">
                  <c:v>0.17370000000000002</c:v>
                </c:pt>
                <c:pt idx="46">
                  <c:v>0.29719999999999996</c:v>
                </c:pt>
                <c:pt idx="47">
                  <c:v>0.3155</c:v>
                </c:pt>
                <c:pt idx="48">
                  <c:v>0.19149999999999998</c:v>
                </c:pt>
                <c:pt idx="49">
                  <c:v>-0.115</c:v>
                </c:pt>
                <c:pt idx="50">
                  <c:v>1.06E-2</c:v>
                </c:pt>
                <c:pt idx="51">
                  <c:v>0.1231</c:v>
                </c:pt>
                <c:pt idx="52">
                  <c:v>0.25769999999999998</c:v>
                </c:pt>
                <c:pt idx="53">
                  <c:v>-9.7299999999999998E-2</c:v>
                </c:pt>
                <c:pt idx="54">
                  <c:v>0.14760000000000001</c:v>
                </c:pt>
                <c:pt idx="55">
                  <c:v>0.17269999999999999</c:v>
                </c:pt>
                <c:pt idx="56">
                  <c:v>1.3999999999999999E-2</c:v>
                </c:pt>
                <c:pt idx="57">
                  <c:v>0.26329999999999998</c:v>
                </c:pt>
                <c:pt idx="58">
                  <c:v>0.1462</c:v>
                </c:pt>
                <c:pt idx="59">
                  <c:v>2.0299999999999999E-2</c:v>
                </c:pt>
                <c:pt idx="60">
                  <c:v>0.124</c:v>
                </c:pt>
                <c:pt idx="61">
                  <c:v>0.27250000000000002</c:v>
                </c:pt>
                <c:pt idx="62">
                  <c:v>-6.5599999999999992E-2</c:v>
                </c:pt>
                <c:pt idx="63">
                  <c:v>0.2631</c:v>
                </c:pt>
                <c:pt idx="64">
                  <c:v>4.4600000000000001E-2</c:v>
                </c:pt>
                <c:pt idx="65">
                  <c:v>7.0599999999999996E-2</c:v>
                </c:pt>
                <c:pt idx="66">
                  <c:v>-1.54E-2</c:v>
                </c:pt>
                <c:pt idx="67">
                  <c:v>0.34110000000000001</c:v>
                </c:pt>
                <c:pt idx="68">
                  <c:v>0.2026</c:v>
                </c:pt>
                <c:pt idx="69">
                  <c:v>0.31010000000000004</c:v>
                </c:pt>
                <c:pt idx="70">
                  <c:v>0.26669999999999999</c:v>
                </c:pt>
                <c:pt idx="71">
                  <c:v>0.1953</c:v>
                </c:pt>
                <c:pt idx="72">
                  <c:v>0.1014</c:v>
                </c:pt>
                <c:pt idx="73">
                  <c:v>0.13039999999999999</c:v>
                </c:pt>
                <c:pt idx="74">
                  <c:v>0.23370000000000002</c:v>
                </c:pt>
                <c:pt idx="75">
                  <c:v>0.26379999999999998</c:v>
                </c:pt>
                <c:pt idx="76">
                  <c:v>8.9900000000000008E-2</c:v>
                </c:pt>
                <c:pt idx="77">
                  <c:v>-0.30299999999999999</c:v>
                </c:pt>
                <c:pt idx="78">
                  <c:v>0.13619999999999999</c:v>
                </c:pt>
                <c:pt idx="79">
                  <c:v>3.5299999999999998E-2</c:v>
                </c:pt>
                <c:pt idx="80">
                  <c:v>0.38490000000000002</c:v>
                </c:pt>
                <c:pt idx="81">
                  <c:v>0.23449999999999999</c:v>
                </c:pt>
                <c:pt idx="82">
                  <c:v>0.1278</c:v>
                </c:pt>
                <c:pt idx="83">
                  <c:v>-0.3</c:v>
                </c:pt>
                <c:pt idx="84">
                  <c:v>0.1341</c:v>
                </c:pt>
                <c:pt idx="85">
                  <c:v>0.29600000000000004</c:v>
                </c:pt>
                <c:pt idx="86">
                  <c:v>0.1139</c:v>
                </c:pt>
                <c:pt idx="87">
                  <c:v>-7.3000000000000001E-3</c:v>
                </c:pt>
                <c:pt idx="88">
                  <c:v>9.5399999999999985E-2</c:v>
                </c:pt>
                <c:pt idx="89">
                  <c:v>0.19420000000000001</c:v>
                </c:pt>
                <c:pt idx="90">
                  <c:v>-6.2400000000000004E-2</c:v>
                </c:pt>
                <c:pt idx="91">
                  <c:v>0.2888</c:v>
                </c:pt>
                <c:pt idx="92">
                  <c:v>0.16260000000000002</c:v>
                </c:pt>
                <c:pt idx="93">
                  <c:v>0.26890000000000003</c:v>
                </c:pt>
                <c:pt idx="94">
                  <c:v>0.19440000000000002</c:v>
                </c:pt>
                <c:pt idx="95">
                  <c:v>0.24230000000000002</c:v>
                </c:pt>
                <c:pt idx="96">
                  <c:v>0.23309999999999997</c:v>
                </c:pt>
                <c:pt idx="97">
                  <c:v>-9.300000000000001E-3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6-4F6C-8403-193F4F9A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021232"/>
        <c:axId val="581018352"/>
      </c:lineChart>
      <c:catAx>
        <c:axId val="5810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1018352"/>
        <c:crosses val="autoZero"/>
        <c:auto val="1"/>
        <c:lblAlgn val="ctr"/>
        <c:lblOffset val="100"/>
        <c:noMultiLvlLbl val="0"/>
      </c:catAx>
      <c:valAx>
        <c:axId val="5810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10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</a:t>
          </a:r>
        </a:p>
      </cx:txPr>
    </cx:title>
    <cx:plotArea>
      <cx:plotAreaRegion>
        <cx:series layoutId="clusteredColumn" uniqueId="{0DB86561-8B39-4755-B968-070F79FC119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Historical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Historical Distribution</a:t>
          </a:r>
        </a:p>
      </cx:txPr>
    </cx:title>
    <cx:plotArea>
      <cx:plotAreaRegion>
        <cx:series layoutId="clusteredColumn" uniqueId="{4D8B95CD-1ECC-4D14-A83E-20215D3DE40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252412</xdr:colOff>
      <xdr:row>4</xdr:row>
      <xdr:rowOff>186119</xdr:rowOff>
    </xdr:from>
    <xdr:to>
      <xdr:col>34</xdr:col>
      <xdr:colOff>525517</xdr:colOff>
      <xdr:row>24</xdr:row>
      <xdr:rowOff>120430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DE602E-65CE-4E4F-AA68-3912F6900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294290</xdr:colOff>
      <xdr:row>25</xdr:row>
      <xdr:rowOff>20062</xdr:rowOff>
    </xdr:from>
    <xdr:to>
      <xdr:col>34</xdr:col>
      <xdr:colOff>558362</xdr:colOff>
      <xdr:row>45</xdr:row>
      <xdr:rowOff>109483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A687053-1AAF-32D0-A458-7C16064621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3140" y="4782562"/>
              <a:ext cx="6969672" cy="3899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330638</xdr:colOff>
      <xdr:row>1</xdr:row>
      <xdr:rowOff>155684</xdr:rowOff>
    </xdr:from>
    <xdr:to>
      <xdr:col>17</xdr:col>
      <xdr:colOff>610914</xdr:colOff>
      <xdr:row>16</xdr:row>
      <xdr:rowOff>107074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DF5D37-2D0F-B93A-3464-E2D8DB9D1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17</xdr:row>
      <xdr:rowOff>24304</xdr:rowOff>
    </xdr:from>
    <xdr:to>
      <xdr:col>18</xdr:col>
      <xdr:colOff>238672</xdr:colOff>
      <xdr:row>31</xdr:row>
      <xdr:rowOff>161815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1469A09-F9C4-65D5-E063-6DF51C1ED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400" y="3262804"/>
              <a:ext cx="4543972" cy="28045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D50D-2B71-4AB6-853B-4212B0707310}">
  <dimension ref="A1:AW30"/>
  <sheetViews>
    <sheetView tabSelected="1" zoomScale="200" zoomScaleNormal="200" workbookViewId="0">
      <selection activeCell="J21" sqref="J21"/>
    </sheetView>
  </sheetViews>
  <sheetFormatPr defaultRowHeight="15" x14ac:dyDescent="0.25"/>
  <cols>
    <col min="1" max="1" width="3.42578125" style="10" customWidth="1"/>
    <col min="2" max="49" width="9.140625" style="10"/>
  </cols>
  <sheetData>
    <row r="1" spans="1:13" x14ac:dyDescent="0.25">
      <c r="A1" s="10" t="s">
        <v>0</v>
      </c>
    </row>
    <row r="4" spans="1:13" x14ac:dyDescent="0.25">
      <c r="B4" s="4" t="s">
        <v>25</v>
      </c>
      <c r="J4" s="4" t="s">
        <v>40</v>
      </c>
    </row>
    <row r="6" spans="1:13" x14ac:dyDescent="0.25">
      <c r="B6" s="9" t="s">
        <v>28</v>
      </c>
      <c r="J6" s="10" t="s">
        <v>41</v>
      </c>
      <c r="M6" s="10" t="s">
        <v>42</v>
      </c>
    </row>
    <row r="7" spans="1:13" x14ac:dyDescent="0.25">
      <c r="B7" s="10" t="s">
        <v>7</v>
      </c>
      <c r="J7" s="10" t="s">
        <v>49</v>
      </c>
      <c r="M7" s="10" t="s">
        <v>43</v>
      </c>
    </row>
    <row r="8" spans="1:13" x14ac:dyDescent="0.25">
      <c r="B8" s="10" t="s">
        <v>8</v>
      </c>
      <c r="J8" s="10" t="s">
        <v>50</v>
      </c>
      <c r="M8" s="10" t="s">
        <v>44</v>
      </c>
    </row>
    <row r="9" spans="1:13" x14ac:dyDescent="0.25">
      <c r="B9" s="10" t="s">
        <v>10</v>
      </c>
      <c r="J9" s="10" t="s">
        <v>51</v>
      </c>
    </row>
    <row r="10" spans="1:13" x14ac:dyDescent="0.25">
      <c r="B10" s="10" t="s">
        <v>11</v>
      </c>
    </row>
    <row r="11" spans="1:13" x14ac:dyDescent="0.25">
      <c r="B11" s="10" t="s">
        <v>29</v>
      </c>
      <c r="J11" s="10" t="s">
        <v>54</v>
      </c>
    </row>
    <row r="12" spans="1:13" x14ac:dyDescent="0.25">
      <c r="B12" s="10" t="s">
        <v>30</v>
      </c>
      <c r="J12" s="10" t="s">
        <v>47</v>
      </c>
    </row>
    <row r="13" spans="1:13" x14ac:dyDescent="0.25">
      <c r="B13" s="10" t="s">
        <v>31</v>
      </c>
      <c r="J13" s="10" t="s">
        <v>55</v>
      </c>
    </row>
    <row r="14" spans="1:13" x14ac:dyDescent="0.25">
      <c r="B14" s="10" t="s">
        <v>32</v>
      </c>
    </row>
    <row r="15" spans="1:13" x14ac:dyDescent="0.25">
      <c r="J15" s="10" t="s">
        <v>45</v>
      </c>
    </row>
    <row r="16" spans="1:13" x14ac:dyDescent="0.25">
      <c r="B16" s="9" t="s">
        <v>27</v>
      </c>
      <c r="J16" s="10" t="s">
        <v>46</v>
      </c>
    </row>
    <row r="17" spans="2:10" x14ac:dyDescent="0.25">
      <c r="B17" s="10" t="s">
        <v>9</v>
      </c>
    </row>
    <row r="18" spans="2:10" x14ac:dyDescent="0.25">
      <c r="B18" s="10" t="s">
        <v>12</v>
      </c>
      <c r="J18" s="10" t="s">
        <v>59</v>
      </c>
    </row>
    <row r="19" spans="2:10" x14ac:dyDescent="0.25">
      <c r="B19" s="10" t="s">
        <v>13</v>
      </c>
      <c r="J19" s="10" t="s">
        <v>60</v>
      </c>
    </row>
    <row r="20" spans="2:10" x14ac:dyDescent="0.25">
      <c r="B20" s="10" t="s">
        <v>14</v>
      </c>
      <c r="J20" s="10" t="s">
        <v>61</v>
      </c>
    </row>
    <row r="21" spans="2:10" x14ac:dyDescent="0.25">
      <c r="B21" s="10" t="s">
        <v>15</v>
      </c>
      <c r="J21" s="10" t="s">
        <v>56</v>
      </c>
    </row>
    <row r="22" spans="2:10" x14ac:dyDescent="0.25">
      <c r="J22" s="10" t="s">
        <v>57</v>
      </c>
    </row>
    <row r="23" spans="2:10" x14ac:dyDescent="0.25">
      <c r="B23" s="9" t="s">
        <v>26</v>
      </c>
      <c r="J23" s="10" t="s">
        <v>58</v>
      </c>
    </row>
    <row r="24" spans="2:10" x14ac:dyDescent="0.25">
      <c r="B24" s="10" t="s">
        <v>33</v>
      </c>
    </row>
    <row r="25" spans="2:10" x14ac:dyDescent="0.25">
      <c r="B25" s="10" t="s">
        <v>34</v>
      </c>
      <c r="J25" s="10" t="s">
        <v>48</v>
      </c>
    </row>
    <row r="26" spans="2:10" x14ac:dyDescent="0.25">
      <c r="B26" s="10" t="s">
        <v>35</v>
      </c>
      <c r="J26" s="10" t="s">
        <v>52</v>
      </c>
    </row>
    <row r="27" spans="2:10" x14ac:dyDescent="0.25">
      <c r="B27" s="10" t="s">
        <v>36</v>
      </c>
      <c r="J27" s="10" t="s">
        <v>53</v>
      </c>
    </row>
    <row r="28" spans="2:10" x14ac:dyDescent="0.25">
      <c r="B28" s="10" t="s">
        <v>37</v>
      </c>
    </row>
    <row r="29" spans="2:10" x14ac:dyDescent="0.25">
      <c r="B29" s="10" t="s">
        <v>38</v>
      </c>
    </row>
    <row r="30" spans="2:10" x14ac:dyDescent="0.25">
      <c r="B30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2AB5-D5F9-489A-965F-DE8701D7E8F8}">
  <dimension ref="A1:AX1624"/>
  <sheetViews>
    <sheetView topLeftCell="H1" zoomScale="87" zoomScaleNormal="87" workbookViewId="0">
      <selection activeCell="H1" sqref="H1"/>
    </sheetView>
  </sheetViews>
  <sheetFormatPr defaultRowHeight="15" x14ac:dyDescent="0.25"/>
  <cols>
    <col min="1" max="1" width="4.7109375" hidden="1" customWidth="1"/>
    <col min="2" max="7" width="0" hidden="1" customWidth="1"/>
    <col min="8" max="8" width="4" style="5" customWidth="1"/>
    <col min="9" max="19" width="9.140625" style="5"/>
    <col min="20" max="20" width="15.7109375" style="5" bestFit="1" customWidth="1"/>
    <col min="21" max="16384" width="9.140625" style="5"/>
  </cols>
  <sheetData>
    <row r="1" spans="1:50" x14ac:dyDescent="0.25">
      <c r="A1" s="1" t="s">
        <v>6</v>
      </c>
      <c r="H1" s="3"/>
      <c r="I1" s="4" t="s">
        <v>24</v>
      </c>
      <c r="J1" s="3"/>
      <c r="K1" s="3"/>
      <c r="L1" s="3"/>
      <c r="M1" s="3"/>
      <c r="N1" s="3"/>
      <c r="O1" s="3"/>
      <c r="P1" s="3"/>
      <c r="Q1" s="3"/>
      <c r="R1" s="3"/>
      <c r="S1" s="3"/>
      <c r="T1" s="4" t="s">
        <v>4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25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 t="s">
        <v>1</v>
      </c>
      <c r="U2" s="6">
        <f>+AVERAGE(J3:J100)</f>
        <v>0.11337142857142855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25">
      <c r="B3">
        <v>1928</v>
      </c>
      <c r="C3" s="2">
        <v>0.37880000000000003</v>
      </c>
      <c r="H3" s="3"/>
      <c r="I3" s="3">
        <v>1928</v>
      </c>
      <c r="J3" s="7">
        <v>0.37880000000000003</v>
      </c>
      <c r="K3" s="3"/>
      <c r="L3" s="3"/>
      <c r="M3" s="3"/>
      <c r="N3" s="3"/>
      <c r="O3" s="3"/>
      <c r="P3" s="3"/>
      <c r="Q3" s="3"/>
      <c r="R3" s="3"/>
      <c r="S3" s="3"/>
      <c r="T3" s="3" t="s">
        <v>3</v>
      </c>
      <c r="U3" s="3">
        <f>+_xlfn.STDEV.P(J3:J100)</f>
        <v>0.17927227098147991</v>
      </c>
      <c r="V3" s="3"/>
      <c r="W3" s="3"/>
      <c r="X3" s="3" t="s">
        <v>1</v>
      </c>
      <c r="Y3" s="6">
        <f ca="1">+AVERAGE(W6:W1516)</f>
        <v>0.11391565629019916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25">
      <c r="B4">
        <v>1929</v>
      </c>
      <c r="C4" s="2">
        <v>-0.1191</v>
      </c>
      <c r="H4" s="3"/>
      <c r="I4" s="3">
        <v>1929</v>
      </c>
      <c r="J4" s="7">
        <v>-0.1191</v>
      </c>
      <c r="K4" s="7"/>
      <c r="L4" s="7"/>
      <c r="M4" s="7"/>
      <c r="N4" s="7"/>
      <c r="O4" s="7"/>
      <c r="P4" s="7"/>
      <c r="Q4" s="7"/>
      <c r="R4" s="7"/>
      <c r="S4" s="3"/>
      <c r="T4" s="3" t="s">
        <v>2</v>
      </c>
      <c r="U4" s="3">
        <f>+_xlfn.STDEV.S(J3:J100)</f>
        <v>0.18019398539111686</v>
      </c>
      <c r="V4" s="3"/>
      <c r="W4" s="3"/>
      <c r="X4" s="3" t="s">
        <v>5</v>
      </c>
      <c r="Y4" s="6">
        <f ca="1">+MEDIAN(W6:W1516)</f>
        <v>0.1184696693199041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5">
      <c r="B5">
        <v>1930</v>
      </c>
      <c r="C5" s="2">
        <v>-0.2848</v>
      </c>
      <c r="H5" s="3"/>
      <c r="I5" s="3">
        <v>1930</v>
      </c>
      <c r="J5" s="7">
        <v>-0.2848</v>
      </c>
      <c r="K5" s="7"/>
      <c r="L5" s="7"/>
      <c r="M5" s="7"/>
      <c r="N5" s="7"/>
      <c r="O5" s="7"/>
      <c r="P5" s="7"/>
      <c r="Q5" s="7"/>
      <c r="R5" s="7"/>
      <c r="S5" s="3"/>
      <c r="T5" s="3" t="s">
        <v>18</v>
      </c>
      <c r="U5" s="8">
        <f>+U2-U3</f>
        <v>-6.5900842410051355E-2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25">
      <c r="B6">
        <v>1931</v>
      </c>
      <c r="C6" s="2">
        <v>-0.47070000000000001</v>
      </c>
      <c r="H6" s="3"/>
      <c r="I6" s="3">
        <v>1931</v>
      </c>
      <c r="J6" s="7">
        <v>-0.47070000000000001</v>
      </c>
      <c r="K6" s="7"/>
      <c r="L6" s="7"/>
      <c r="M6" s="7"/>
      <c r="N6" s="7"/>
      <c r="O6" s="7"/>
      <c r="P6" s="7"/>
      <c r="Q6" s="7"/>
      <c r="R6" s="7"/>
      <c r="S6" s="3"/>
      <c r="T6" s="3" t="s">
        <v>19</v>
      </c>
      <c r="U6" s="8">
        <f>+U2+U3</f>
        <v>0.29264369955290848</v>
      </c>
      <c r="V6" s="3"/>
      <c r="W6" s="7">
        <f t="shared" ref="W6:W69" ca="1" si="0">+NORMINV(RAND(),$U$2,$U$3)</f>
        <v>0.28537610811675473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25">
      <c r="B7">
        <v>1932</v>
      </c>
      <c r="C7" s="2">
        <v>-0.1515</v>
      </c>
      <c r="H7" s="3"/>
      <c r="I7" s="3">
        <v>1932</v>
      </c>
      <c r="J7" s="7">
        <v>-0.1515</v>
      </c>
      <c r="K7" s="7"/>
      <c r="L7" s="7"/>
      <c r="M7" s="7"/>
      <c r="N7" s="7"/>
      <c r="O7" s="7"/>
      <c r="P7" s="7"/>
      <c r="Q7" s="7"/>
      <c r="R7" s="7"/>
      <c r="S7" s="3"/>
      <c r="T7" s="3" t="s">
        <v>20</v>
      </c>
      <c r="U7" s="8">
        <f>+U2-2*U3</f>
        <v>-0.24517311339153125</v>
      </c>
      <c r="V7" s="3"/>
      <c r="W7" s="7">
        <f t="shared" ca="1" si="0"/>
        <v>0.18015274171447365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25">
      <c r="B8">
        <v>1933</v>
      </c>
      <c r="C8" s="2">
        <v>0.46590000000000004</v>
      </c>
      <c r="H8" s="3"/>
      <c r="I8" s="3">
        <v>1933</v>
      </c>
      <c r="J8" s="7">
        <v>0.46590000000000004</v>
      </c>
      <c r="K8" s="7"/>
      <c r="L8" s="7"/>
      <c r="M8" s="7"/>
      <c r="N8" s="7"/>
      <c r="O8" s="7"/>
      <c r="P8" s="7"/>
      <c r="Q8" s="7"/>
      <c r="R8" s="7"/>
      <c r="S8" s="3"/>
      <c r="T8" s="3" t="s">
        <v>21</v>
      </c>
      <c r="U8" s="8">
        <f>+U2+2*U3</f>
        <v>0.47191597053438838</v>
      </c>
      <c r="V8" s="3"/>
      <c r="W8" s="7">
        <f t="shared" ca="1" si="0"/>
        <v>-9.7140197966247468E-2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25">
      <c r="B9">
        <v>1934</v>
      </c>
      <c r="C9" s="2">
        <v>-5.9400000000000001E-2</v>
      </c>
      <c r="H9" s="3"/>
      <c r="I9" s="3">
        <v>1934</v>
      </c>
      <c r="J9" s="7">
        <v>-5.9400000000000001E-2</v>
      </c>
      <c r="K9" s="7"/>
      <c r="L9" s="7"/>
      <c r="M9" s="7"/>
      <c r="N9" s="7"/>
      <c r="O9" s="7"/>
      <c r="P9" s="7"/>
      <c r="Q9" s="7"/>
      <c r="R9" s="7"/>
      <c r="S9" s="3"/>
      <c r="T9" s="3" t="s">
        <v>22</v>
      </c>
      <c r="U9" s="8">
        <f>+U2-3*U3</f>
        <v>-0.42444538437301116</v>
      </c>
      <c r="V9" s="3"/>
      <c r="W9" s="7">
        <f t="shared" ca="1" si="0"/>
        <v>0.13902930483079173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25">
      <c r="B10">
        <v>1935</v>
      </c>
      <c r="C10" s="2">
        <v>0.41369999999999996</v>
      </c>
      <c r="H10" s="3"/>
      <c r="I10" s="3">
        <v>1935</v>
      </c>
      <c r="J10" s="7">
        <v>0.41369999999999996</v>
      </c>
      <c r="K10" s="7"/>
      <c r="L10" s="7"/>
      <c r="M10" s="7"/>
      <c r="N10" s="7"/>
      <c r="O10" s="7"/>
      <c r="P10" s="7"/>
      <c r="Q10" s="7"/>
      <c r="R10" s="7"/>
      <c r="S10" s="3"/>
      <c r="T10" s="3" t="s">
        <v>23</v>
      </c>
      <c r="U10" s="8">
        <f>+U2+3*U3</f>
        <v>0.65118824151586829</v>
      </c>
      <c r="V10" s="3"/>
      <c r="W10" s="7">
        <f t="shared" ca="1" si="0"/>
        <v>0.16724129904938415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25">
      <c r="B11">
        <v>1936</v>
      </c>
      <c r="C11" s="2">
        <v>0.2792</v>
      </c>
      <c r="H11" s="3"/>
      <c r="I11" s="3">
        <v>1936</v>
      </c>
      <c r="J11" s="7">
        <v>0.2792</v>
      </c>
      <c r="K11" s="7"/>
      <c r="L11" s="7"/>
      <c r="M11" s="7"/>
      <c r="N11" s="7"/>
      <c r="O11" s="7"/>
      <c r="P11" s="7"/>
      <c r="Q11" s="7"/>
      <c r="R11" s="7"/>
      <c r="S11" s="3"/>
      <c r="T11" s="3" t="s">
        <v>16</v>
      </c>
      <c r="U11" s="6">
        <f ca="1">+MAX(W6:W1516)</f>
        <v>0.6944932362051971</v>
      </c>
      <c r="V11" s="3"/>
      <c r="W11" s="7">
        <f t="shared" ca="1" si="0"/>
        <v>-4.7280767291133785E-3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25">
      <c r="B12">
        <v>1937</v>
      </c>
      <c r="C12" s="2">
        <v>-0.38590000000000002</v>
      </c>
      <c r="H12" s="3"/>
      <c r="I12" s="3">
        <v>1937</v>
      </c>
      <c r="J12" s="7">
        <v>-0.38590000000000002</v>
      </c>
      <c r="K12" s="7"/>
      <c r="L12" s="7"/>
      <c r="M12" s="7"/>
      <c r="N12" s="7"/>
      <c r="O12" s="7"/>
      <c r="P12" s="7"/>
      <c r="Q12" s="7"/>
      <c r="R12" s="7"/>
      <c r="S12" s="3"/>
      <c r="T12" s="3" t="s">
        <v>17</v>
      </c>
      <c r="U12" s="6">
        <f ca="1">+MIN(W6:W1516)</f>
        <v>-0.42576831544759819</v>
      </c>
      <c r="V12" s="3"/>
      <c r="W12" s="7">
        <f t="shared" ca="1" si="0"/>
        <v>0.13734768263995628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25">
      <c r="B13">
        <v>1938</v>
      </c>
      <c r="C13" s="2">
        <v>0.25209999999999999</v>
      </c>
      <c r="H13" s="3"/>
      <c r="I13" s="3">
        <v>1938</v>
      </c>
      <c r="J13" s="7">
        <v>0.25209999999999999</v>
      </c>
      <c r="K13" s="7"/>
      <c r="L13" s="7"/>
      <c r="M13" s="7"/>
      <c r="N13" s="7"/>
      <c r="O13" s="7"/>
      <c r="P13" s="7"/>
      <c r="Q13" s="7"/>
      <c r="R13" s="7"/>
      <c r="S13" s="3"/>
      <c r="T13" s="3"/>
      <c r="U13" s="3"/>
      <c r="V13" s="3"/>
      <c r="W13" s="7">
        <f t="shared" ca="1" si="0"/>
        <v>0.18238752726984342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5">
      <c r="B14">
        <v>1939</v>
      </c>
      <c r="C14" s="2">
        <v>-5.45E-2</v>
      </c>
      <c r="H14" s="3"/>
      <c r="I14" s="3">
        <v>1939</v>
      </c>
      <c r="J14" s="7">
        <v>-5.45E-2</v>
      </c>
      <c r="K14" s="7"/>
      <c r="L14" s="7"/>
      <c r="M14" s="7"/>
      <c r="N14" s="7"/>
      <c r="O14" s="7"/>
      <c r="P14" s="7"/>
      <c r="Q14" s="7"/>
      <c r="R14" s="7"/>
      <c r="S14" s="3"/>
      <c r="T14" s="3"/>
      <c r="U14" s="3"/>
      <c r="V14" s="3"/>
      <c r="W14" s="7">
        <f t="shared" ca="1" si="0"/>
        <v>0.42537157736527187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25">
      <c r="B15">
        <v>1940</v>
      </c>
      <c r="C15" s="2">
        <v>-0.15289999999999998</v>
      </c>
      <c r="H15" s="3"/>
      <c r="I15" s="3">
        <v>1940</v>
      </c>
      <c r="J15" s="7">
        <v>-0.15289999999999998</v>
      </c>
      <c r="K15" s="7"/>
      <c r="L15" s="7"/>
      <c r="M15" s="7"/>
      <c r="N15" s="7"/>
      <c r="O15" s="7"/>
      <c r="P15" s="7"/>
      <c r="Q15" s="7"/>
      <c r="R15" s="7"/>
      <c r="S15" s="3"/>
      <c r="T15" s="3"/>
      <c r="U15" s="3"/>
      <c r="V15" s="3"/>
      <c r="W15" s="7">
        <f t="shared" ca="1" si="0"/>
        <v>0.26453357748831419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25">
      <c r="B16">
        <v>1941</v>
      </c>
      <c r="C16" s="2">
        <v>-0.17859999999999998</v>
      </c>
      <c r="H16" s="3"/>
      <c r="I16" s="3">
        <v>1941</v>
      </c>
      <c r="J16" s="7">
        <v>-0.17859999999999998</v>
      </c>
      <c r="K16" s="7"/>
      <c r="L16" s="7"/>
      <c r="M16" s="7"/>
      <c r="N16" s="7"/>
      <c r="O16" s="7"/>
      <c r="P16" s="7"/>
      <c r="Q16" s="7"/>
      <c r="R16" s="7"/>
      <c r="S16" s="3"/>
      <c r="T16" s="3"/>
      <c r="U16" s="3"/>
      <c r="V16" s="3"/>
      <c r="W16" s="7">
        <f t="shared" ca="1" si="0"/>
        <v>-0.17461661454829425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2:50" x14ac:dyDescent="0.25">
      <c r="B17">
        <v>1942</v>
      </c>
      <c r="C17" s="2">
        <v>0.12429999999999999</v>
      </c>
      <c r="H17" s="3"/>
      <c r="I17" s="3">
        <v>1942</v>
      </c>
      <c r="J17" s="7">
        <v>0.12429999999999999</v>
      </c>
      <c r="K17" s="7"/>
      <c r="L17" s="7"/>
      <c r="M17" s="7"/>
      <c r="N17" s="7"/>
      <c r="O17" s="7"/>
      <c r="P17" s="7"/>
      <c r="Q17" s="7"/>
      <c r="R17" s="7"/>
      <c r="S17" s="3"/>
      <c r="T17" s="3"/>
      <c r="U17" s="3"/>
      <c r="V17" s="3"/>
      <c r="W17" s="7">
        <f t="shared" ca="1" si="0"/>
        <v>-4.0311852036470461E-2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2:50" x14ac:dyDescent="0.25">
      <c r="B18">
        <v>1943</v>
      </c>
      <c r="C18" s="2">
        <v>0.19450000000000001</v>
      </c>
      <c r="H18" s="3"/>
      <c r="I18" s="3">
        <v>1943</v>
      </c>
      <c r="J18" s="7">
        <v>0.19450000000000001</v>
      </c>
      <c r="K18" s="7"/>
      <c r="L18" s="7"/>
      <c r="M18" s="7"/>
      <c r="N18" s="7"/>
      <c r="O18" s="7"/>
      <c r="P18" s="7"/>
      <c r="Q18" s="7"/>
      <c r="R18" s="7"/>
      <c r="S18" s="3"/>
      <c r="T18" s="3"/>
      <c r="U18" s="3"/>
      <c r="V18" s="3"/>
      <c r="W18" s="7">
        <f t="shared" ca="1" si="0"/>
        <v>0.2477939204624372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2:50" x14ac:dyDescent="0.25">
      <c r="B19">
        <v>1944</v>
      </c>
      <c r="C19" s="2">
        <v>0.13800000000000001</v>
      </c>
      <c r="H19" s="3"/>
      <c r="I19" s="3">
        <v>1944</v>
      </c>
      <c r="J19" s="7">
        <v>0.13800000000000001</v>
      </c>
      <c r="K19" s="7"/>
      <c r="L19" s="7"/>
      <c r="M19" s="7"/>
      <c r="N19" s="7"/>
      <c r="O19" s="7"/>
      <c r="P19" s="7"/>
      <c r="Q19" s="7"/>
      <c r="R19" s="7"/>
      <c r="S19" s="3"/>
      <c r="T19" s="3"/>
      <c r="U19" s="3"/>
      <c r="V19" s="3"/>
      <c r="W19" s="7">
        <f t="shared" ca="1" si="0"/>
        <v>0.56679160748693735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2:50" x14ac:dyDescent="0.25">
      <c r="B20">
        <v>1945</v>
      </c>
      <c r="C20" s="2">
        <v>0.30719999999999997</v>
      </c>
      <c r="H20" s="3"/>
      <c r="I20" s="3">
        <v>1945</v>
      </c>
      <c r="J20" s="7">
        <v>0.30719999999999997</v>
      </c>
      <c r="K20" s="7"/>
      <c r="L20" s="7"/>
      <c r="M20" s="7"/>
      <c r="N20" s="7"/>
      <c r="O20" s="7"/>
      <c r="P20" s="7"/>
      <c r="Q20" s="7"/>
      <c r="R20" s="7"/>
      <c r="S20" s="3"/>
      <c r="T20" s="3"/>
      <c r="U20" s="3"/>
      <c r="V20" s="3"/>
      <c r="W20" s="7">
        <f t="shared" ca="1" si="0"/>
        <v>7.4744343237578753E-2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2:50" x14ac:dyDescent="0.25">
      <c r="B21">
        <v>1946</v>
      </c>
      <c r="C21" s="2">
        <v>0.11869999999999999</v>
      </c>
      <c r="H21" s="3"/>
      <c r="I21" s="3">
        <v>1946</v>
      </c>
      <c r="J21" s="7">
        <v>0.11869999999999999</v>
      </c>
      <c r="K21" s="7"/>
      <c r="L21" s="7"/>
      <c r="M21" s="7"/>
      <c r="N21" s="7"/>
      <c r="O21" s="7"/>
      <c r="P21" s="7"/>
      <c r="Q21" s="7"/>
      <c r="R21" s="7"/>
      <c r="S21" s="3"/>
      <c r="T21" s="3"/>
      <c r="U21" s="3"/>
      <c r="V21" s="3"/>
      <c r="W21" s="7">
        <f t="shared" ca="1" si="0"/>
        <v>9.7424036424839378E-3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2:50" x14ac:dyDescent="0.25">
      <c r="B22">
        <v>1947</v>
      </c>
      <c r="C22" s="2">
        <v>-0.31</v>
      </c>
      <c r="H22" s="3"/>
      <c r="I22" s="3">
        <v>1947</v>
      </c>
      <c r="J22" s="7">
        <v>-0.31</v>
      </c>
      <c r="K22" s="7"/>
      <c r="L22" s="7"/>
      <c r="M22" s="7"/>
      <c r="N22" s="7"/>
      <c r="O22" s="7"/>
      <c r="P22" s="7"/>
      <c r="Q22" s="7"/>
      <c r="R22" s="7"/>
      <c r="S22" s="3"/>
      <c r="T22" s="3"/>
      <c r="U22" s="3"/>
      <c r="V22" s="3"/>
      <c r="W22" s="7">
        <f t="shared" ca="1" si="0"/>
        <v>0.18319914450779815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2:50" x14ac:dyDescent="0.25">
      <c r="B23">
        <v>1948</v>
      </c>
      <c r="C23" s="2">
        <v>-6.5000000000000006E-3</v>
      </c>
      <c r="H23" s="3"/>
      <c r="I23" s="3">
        <v>1948</v>
      </c>
      <c r="J23" s="7">
        <v>-6.5000000000000006E-3</v>
      </c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  <c r="W23" s="7">
        <f t="shared" ca="1" si="0"/>
        <v>0.37905853890803154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2:50" x14ac:dyDescent="0.25">
      <c r="B24">
        <v>1949</v>
      </c>
      <c r="C24" s="2">
        <v>0.1026</v>
      </c>
      <c r="H24" s="3"/>
      <c r="I24" s="3">
        <v>1949</v>
      </c>
      <c r="J24" s="7">
        <v>0.1026</v>
      </c>
      <c r="K24" s="7"/>
      <c r="L24" s="7"/>
      <c r="M24" s="7"/>
      <c r="N24" s="7"/>
      <c r="O24" s="7"/>
      <c r="P24" s="7"/>
      <c r="Q24" s="7"/>
      <c r="R24" s="7"/>
      <c r="S24" s="3"/>
      <c r="T24" s="3"/>
      <c r="U24" s="3"/>
      <c r="V24" s="3"/>
      <c r="W24" s="7">
        <f t="shared" ca="1" si="0"/>
        <v>0.27586035194854108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2:50" x14ac:dyDescent="0.25">
      <c r="B25">
        <v>1950</v>
      </c>
      <c r="C25" s="2">
        <v>0.21780000000000002</v>
      </c>
      <c r="H25" s="3"/>
      <c r="I25" s="3">
        <v>1950</v>
      </c>
      <c r="J25" s="7">
        <v>0.21780000000000002</v>
      </c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  <c r="W25" s="7">
        <f t="shared" ca="1" si="0"/>
        <v>0.17397396319264977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2:50" x14ac:dyDescent="0.25">
      <c r="B26">
        <v>1951</v>
      </c>
      <c r="C26" s="2">
        <v>0.1646</v>
      </c>
      <c r="H26" s="3"/>
      <c r="I26" s="3">
        <v>1951</v>
      </c>
      <c r="J26" s="7">
        <v>0.1646</v>
      </c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  <c r="W26" s="7">
        <f t="shared" ca="1" si="0"/>
        <v>-0.17228568022556112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2:50" x14ac:dyDescent="0.25">
      <c r="B27">
        <v>1952</v>
      </c>
      <c r="C27" s="2">
        <v>0.11779999999999999</v>
      </c>
      <c r="H27" s="3"/>
      <c r="I27" s="3">
        <v>1952</v>
      </c>
      <c r="J27" s="7">
        <v>0.11779999999999999</v>
      </c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  <c r="W27" s="7">
        <f t="shared" ca="1" si="0"/>
        <v>0.14990226075192753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2:50" x14ac:dyDescent="0.25">
      <c r="B28">
        <v>1953</v>
      </c>
      <c r="C28" s="2">
        <v>-6.6199999999999995E-2</v>
      </c>
      <c r="H28" s="3"/>
      <c r="I28" s="3">
        <v>1953</v>
      </c>
      <c r="J28" s="7">
        <v>-6.6199999999999995E-2</v>
      </c>
      <c r="K28" s="7"/>
      <c r="L28" s="7"/>
      <c r="M28" s="7"/>
      <c r="N28" s="7"/>
      <c r="O28" s="7"/>
      <c r="P28" s="7"/>
      <c r="Q28" s="7"/>
      <c r="R28" s="7"/>
      <c r="S28" s="3"/>
      <c r="T28" s="3"/>
      <c r="U28" s="3"/>
      <c r="V28" s="3"/>
      <c r="W28" s="7">
        <f t="shared" ca="1" si="0"/>
        <v>0.20030852885523476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2:50" x14ac:dyDescent="0.25">
      <c r="B29">
        <v>1954</v>
      </c>
      <c r="C29" s="2">
        <v>0.45020000000000004</v>
      </c>
      <c r="H29" s="3"/>
      <c r="I29" s="3">
        <v>1954</v>
      </c>
      <c r="J29" s="7">
        <v>0.45020000000000004</v>
      </c>
      <c r="K29" s="7"/>
      <c r="L29" s="7"/>
      <c r="M29" s="7"/>
      <c r="N29" s="7"/>
      <c r="O29" s="7"/>
      <c r="P29" s="7"/>
      <c r="Q29" s="7"/>
      <c r="R29" s="7"/>
      <c r="S29" s="3"/>
      <c r="T29" s="3"/>
      <c r="U29" s="3"/>
      <c r="V29" s="3"/>
      <c r="W29" s="7">
        <f t="shared" ca="1" si="0"/>
        <v>5.5125490710365391E-2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2:50" x14ac:dyDescent="0.25">
      <c r="B30">
        <v>1955</v>
      </c>
      <c r="C30" s="2">
        <v>0.26400000000000001</v>
      </c>
      <c r="H30" s="3"/>
      <c r="I30" s="3">
        <v>1955</v>
      </c>
      <c r="J30" s="7">
        <v>0.26400000000000001</v>
      </c>
      <c r="K30" s="7"/>
      <c r="L30" s="7"/>
      <c r="M30" s="7"/>
      <c r="N30" s="7"/>
      <c r="O30" s="7"/>
      <c r="P30" s="7"/>
      <c r="Q30" s="7"/>
      <c r="R30" s="7"/>
      <c r="S30" s="3"/>
      <c r="T30" s="3"/>
      <c r="U30" s="3"/>
      <c r="V30" s="3"/>
      <c r="W30" s="7">
        <f t="shared" ca="1" si="0"/>
        <v>-7.7030581809816992E-2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2:50" x14ac:dyDescent="0.25">
      <c r="B31">
        <v>1956</v>
      </c>
      <c r="C31" s="2">
        <v>2.6200000000000001E-2</v>
      </c>
      <c r="H31" s="3"/>
      <c r="I31" s="3">
        <v>1956</v>
      </c>
      <c r="J31" s="7">
        <v>2.6200000000000001E-2</v>
      </c>
      <c r="K31" s="7"/>
      <c r="L31" s="7"/>
      <c r="M31" s="7"/>
      <c r="N31" s="7"/>
      <c r="O31" s="7"/>
      <c r="P31" s="7"/>
      <c r="Q31" s="7"/>
      <c r="R31" s="7"/>
      <c r="S31" s="3"/>
      <c r="T31" s="3"/>
      <c r="U31" s="3"/>
      <c r="V31" s="3"/>
      <c r="W31" s="7">
        <f t="shared" ca="1" si="0"/>
        <v>8.0232840040611625E-2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2:50" x14ac:dyDescent="0.25">
      <c r="B32">
        <v>1957</v>
      </c>
      <c r="C32" s="2">
        <v>0.1431</v>
      </c>
      <c r="H32" s="3"/>
      <c r="I32" s="3">
        <v>1957</v>
      </c>
      <c r="J32" s="7">
        <v>0.1431</v>
      </c>
      <c r="K32" s="7"/>
      <c r="L32" s="7"/>
      <c r="M32" s="7"/>
      <c r="N32" s="7"/>
      <c r="O32" s="7"/>
      <c r="P32" s="7"/>
      <c r="Q32" s="7"/>
      <c r="R32" s="7"/>
      <c r="S32" s="3"/>
      <c r="T32" s="3"/>
      <c r="U32" s="3"/>
      <c r="V32" s="3"/>
      <c r="W32" s="7">
        <f t="shared" ca="1" si="0"/>
        <v>0.14834112870759897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2:50" x14ac:dyDescent="0.25">
      <c r="B33">
        <v>1958</v>
      </c>
      <c r="C33" s="2">
        <v>0.38060000000000005</v>
      </c>
      <c r="H33" s="3"/>
      <c r="I33" s="3">
        <v>1958</v>
      </c>
      <c r="J33" s="7">
        <v>0.38060000000000005</v>
      </c>
      <c r="K33" s="7"/>
      <c r="L33" s="7"/>
      <c r="M33" s="7"/>
      <c r="N33" s="7"/>
      <c r="O33" s="7"/>
      <c r="P33" s="7"/>
      <c r="Q33" s="7"/>
      <c r="R33" s="7"/>
      <c r="S33" s="3"/>
      <c r="T33" s="3"/>
      <c r="U33" s="3"/>
      <c r="V33" s="3"/>
      <c r="W33" s="7">
        <f t="shared" ca="1" si="0"/>
        <v>0.19947718381990956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2:50" x14ac:dyDescent="0.25">
      <c r="B34">
        <v>1959</v>
      </c>
      <c r="C34" s="2">
        <v>8.48E-2</v>
      </c>
      <c r="H34" s="3"/>
      <c r="I34" s="3">
        <v>1959</v>
      </c>
      <c r="J34" s="7">
        <v>8.48E-2</v>
      </c>
      <c r="K34" s="7"/>
      <c r="L34" s="7"/>
      <c r="M34" s="7"/>
      <c r="N34" s="7"/>
      <c r="O34" s="7"/>
      <c r="P34" s="7"/>
      <c r="Q34" s="7"/>
      <c r="R34" s="7"/>
      <c r="S34" s="3"/>
      <c r="T34" s="3"/>
      <c r="U34" s="3"/>
      <c r="V34" s="3"/>
      <c r="W34" s="7">
        <f t="shared" ca="1" si="0"/>
        <v>2.156188698711646E-2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2:50" x14ac:dyDescent="0.25">
      <c r="B35">
        <v>1960</v>
      </c>
      <c r="C35" s="2">
        <v>-2.9700000000000001E-2</v>
      </c>
      <c r="H35" s="3"/>
      <c r="I35" s="3">
        <v>1960</v>
      </c>
      <c r="J35" s="7">
        <v>-2.9700000000000001E-2</v>
      </c>
      <c r="K35" s="7"/>
      <c r="L35" s="7"/>
      <c r="M35" s="7"/>
      <c r="N35" s="7"/>
      <c r="O35" s="7"/>
      <c r="P35" s="7"/>
      <c r="Q35" s="7"/>
      <c r="R35" s="7"/>
      <c r="S35" s="3"/>
      <c r="T35" s="3"/>
      <c r="U35" s="3"/>
      <c r="V35" s="3"/>
      <c r="W35" s="7">
        <f t="shared" ca="1" si="0"/>
        <v>0.38690274195721464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2:50" x14ac:dyDescent="0.25">
      <c r="B36">
        <v>1961</v>
      </c>
      <c r="C36" s="2">
        <v>0.23129999999999998</v>
      </c>
      <c r="H36" s="3"/>
      <c r="I36" s="3">
        <v>1961</v>
      </c>
      <c r="J36" s="7">
        <v>0.23129999999999998</v>
      </c>
      <c r="K36" s="7"/>
      <c r="L36" s="7"/>
      <c r="M36" s="7"/>
      <c r="N36" s="7"/>
      <c r="O36" s="7"/>
      <c r="P36" s="7"/>
      <c r="Q36" s="7"/>
      <c r="R36" s="7"/>
      <c r="S36" s="3"/>
      <c r="T36" s="3"/>
      <c r="U36" s="3"/>
      <c r="V36" s="3"/>
      <c r="W36" s="7">
        <f t="shared" ca="1" si="0"/>
        <v>0.10168194811430487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2:50" x14ac:dyDescent="0.25">
      <c r="B37">
        <v>1962</v>
      </c>
      <c r="C37" s="2">
        <v>0.11810000000000001</v>
      </c>
      <c r="H37" s="3"/>
      <c r="I37" s="3">
        <v>1962</v>
      </c>
      <c r="J37" s="7">
        <v>0.11810000000000001</v>
      </c>
      <c r="K37" s="7"/>
      <c r="L37" s="7"/>
      <c r="M37" s="7"/>
      <c r="N37" s="7"/>
      <c r="O37" s="7"/>
      <c r="P37" s="7"/>
      <c r="Q37" s="7"/>
      <c r="R37" s="7"/>
      <c r="S37" s="3"/>
      <c r="T37" s="3"/>
      <c r="U37" s="3"/>
      <c r="V37" s="3"/>
      <c r="W37" s="7">
        <f t="shared" ca="1" si="0"/>
        <v>0.26273577256519026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2:50" x14ac:dyDescent="0.25">
      <c r="B38">
        <v>1963</v>
      </c>
      <c r="C38" s="2">
        <v>0.18890000000000001</v>
      </c>
      <c r="H38" s="3"/>
      <c r="I38" s="3">
        <v>1963</v>
      </c>
      <c r="J38" s="7">
        <v>0.18890000000000001</v>
      </c>
      <c r="K38" s="7"/>
      <c r="L38" s="7"/>
      <c r="M38" s="7"/>
      <c r="N38" s="7"/>
      <c r="O38" s="7"/>
      <c r="P38" s="7"/>
      <c r="Q38" s="7"/>
      <c r="R38" s="7"/>
      <c r="S38" s="3"/>
      <c r="T38" s="3"/>
      <c r="U38" s="3"/>
      <c r="V38" s="3"/>
      <c r="W38" s="7">
        <f t="shared" ca="1" si="0"/>
        <v>-0.13191293119628433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2:50" x14ac:dyDescent="0.25">
      <c r="B39">
        <v>1964</v>
      </c>
      <c r="C39" s="2">
        <v>0.12970000000000001</v>
      </c>
      <c r="H39" s="3"/>
      <c r="I39" s="3">
        <v>1964</v>
      </c>
      <c r="J39" s="7">
        <v>0.12970000000000001</v>
      </c>
      <c r="K39" s="7"/>
      <c r="L39" s="7"/>
      <c r="M39" s="7"/>
      <c r="N39" s="7"/>
      <c r="O39" s="7"/>
      <c r="P39" s="7"/>
      <c r="Q39" s="7"/>
      <c r="R39" s="7"/>
      <c r="S39" s="3"/>
      <c r="T39" s="3"/>
      <c r="U39" s="3"/>
      <c r="V39" s="3"/>
      <c r="W39" s="7">
        <f t="shared" ca="1" si="0"/>
        <v>-0.19626680028635918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2:50" x14ac:dyDescent="0.25">
      <c r="B40">
        <v>1965</v>
      </c>
      <c r="C40" s="2">
        <v>9.06E-2</v>
      </c>
      <c r="H40" s="3"/>
      <c r="I40" s="3">
        <v>1965</v>
      </c>
      <c r="J40" s="7">
        <v>9.06E-2</v>
      </c>
      <c r="K40" s="7"/>
      <c r="L40" s="7"/>
      <c r="M40" s="7"/>
      <c r="N40" s="7"/>
      <c r="O40" s="7"/>
      <c r="P40" s="7"/>
      <c r="Q40" s="7"/>
      <c r="R40" s="7"/>
      <c r="S40" s="3"/>
      <c r="T40" s="3"/>
      <c r="U40" s="3"/>
      <c r="V40" s="3"/>
      <c r="W40" s="7">
        <f t="shared" ca="1" si="0"/>
        <v>0.26242334156675112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2:50" x14ac:dyDescent="0.25">
      <c r="B41">
        <v>1966</v>
      </c>
      <c r="C41" s="2">
        <v>0.13089999999999999</v>
      </c>
      <c r="H41" s="3"/>
      <c r="I41" s="3">
        <v>1966</v>
      </c>
      <c r="J41" s="7">
        <v>0.13089999999999999</v>
      </c>
      <c r="K41" s="7"/>
      <c r="L41" s="7"/>
      <c r="M41" s="7"/>
      <c r="N41" s="7"/>
      <c r="O41" s="7"/>
      <c r="P41" s="7"/>
      <c r="Q41" s="7"/>
      <c r="R41" s="7"/>
      <c r="S41" s="3"/>
      <c r="T41" s="3"/>
      <c r="U41" s="3"/>
      <c r="V41" s="3"/>
      <c r="W41" s="7">
        <f t="shared" ca="1" si="0"/>
        <v>0.10628061923307942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2:50" x14ac:dyDescent="0.25">
      <c r="B42">
        <v>1967</v>
      </c>
      <c r="C42" s="2">
        <v>0.2009</v>
      </c>
      <c r="H42" s="3"/>
      <c r="I42" s="3">
        <v>1967</v>
      </c>
      <c r="J42" s="7">
        <v>0.2009</v>
      </c>
      <c r="K42" s="7"/>
      <c r="L42" s="7"/>
      <c r="M42" s="7"/>
      <c r="N42" s="7"/>
      <c r="O42" s="7"/>
      <c r="P42" s="7"/>
      <c r="Q42" s="7"/>
      <c r="R42" s="7"/>
      <c r="S42" s="3"/>
      <c r="T42" s="3"/>
      <c r="U42" s="3"/>
      <c r="V42" s="3"/>
      <c r="W42" s="7">
        <f t="shared" ca="1" si="0"/>
        <v>-1.0447979984016115E-2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2:50" x14ac:dyDescent="0.25">
      <c r="B43">
        <v>1968</v>
      </c>
      <c r="C43" s="2">
        <v>7.6600000000000001E-2</v>
      </c>
      <c r="H43" s="3"/>
      <c r="I43" s="3">
        <v>1968</v>
      </c>
      <c r="J43" s="7">
        <v>7.6600000000000001E-2</v>
      </c>
      <c r="K43" s="7"/>
      <c r="L43" s="7"/>
      <c r="M43" s="7"/>
      <c r="N43" s="7"/>
      <c r="O43" s="7"/>
      <c r="P43" s="7"/>
      <c r="Q43" s="7"/>
      <c r="R43" s="7"/>
      <c r="S43" s="3"/>
      <c r="T43" s="3"/>
      <c r="U43" s="3"/>
      <c r="V43" s="3"/>
      <c r="W43" s="7">
        <f t="shared" ca="1" si="0"/>
        <v>-4.7776416117474421E-2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2:50" x14ac:dyDescent="0.25">
      <c r="B44">
        <v>1969</v>
      </c>
      <c r="C44" s="2">
        <v>0.11359999999999999</v>
      </c>
      <c r="H44" s="3"/>
      <c r="I44" s="3">
        <v>1969</v>
      </c>
      <c r="J44" s="7">
        <v>0.11359999999999999</v>
      </c>
      <c r="K44" s="7"/>
      <c r="L44" s="7"/>
      <c r="M44" s="7"/>
      <c r="N44" s="7"/>
      <c r="O44" s="7"/>
      <c r="P44" s="7"/>
      <c r="Q44" s="7"/>
      <c r="R44" s="7"/>
      <c r="S44" s="3"/>
      <c r="T44" s="3"/>
      <c r="U44" s="3"/>
      <c r="V44" s="3"/>
      <c r="W44" s="7">
        <f t="shared" ca="1" si="0"/>
        <v>0.19959351736634184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2:50" x14ac:dyDescent="0.25">
      <c r="B45">
        <v>1970</v>
      </c>
      <c r="C45" s="2">
        <v>1E-3</v>
      </c>
      <c r="H45" s="3"/>
      <c r="I45" s="3">
        <v>1970</v>
      </c>
      <c r="J45" s="7">
        <v>1E-3</v>
      </c>
      <c r="K45" s="7"/>
      <c r="L45" s="7"/>
      <c r="M45" s="7"/>
      <c r="N45" s="7"/>
      <c r="O45" s="7"/>
      <c r="P45" s="7"/>
      <c r="Q45" s="7"/>
      <c r="R45" s="7"/>
      <c r="S45" s="3"/>
      <c r="T45" s="3"/>
      <c r="U45" s="3"/>
      <c r="V45" s="3"/>
      <c r="W45" s="7">
        <f t="shared" ca="1" si="0"/>
        <v>0.25071896494167029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2:50" x14ac:dyDescent="0.25">
      <c r="B46">
        <v>1971</v>
      </c>
      <c r="C46" s="2">
        <v>0.1079</v>
      </c>
      <c r="H46" s="3"/>
      <c r="I46" s="3">
        <v>1971</v>
      </c>
      <c r="J46" s="7">
        <v>0.1079</v>
      </c>
      <c r="K46" s="7"/>
      <c r="L46" s="7"/>
      <c r="M46" s="7"/>
      <c r="N46" s="7"/>
      <c r="O46" s="7"/>
      <c r="P46" s="7"/>
      <c r="Q46" s="7"/>
      <c r="R46" s="7"/>
      <c r="S46" s="3"/>
      <c r="T46" s="3"/>
      <c r="U46" s="3"/>
      <c r="V46" s="3"/>
      <c r="W46" s="7">
        <f t="shared" ca="1" si="0"/>
        <v>0.23985935243327805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2:50" x14ac:dyDescent="0.25">
      <c r="B47">
        <v>1972</v>
      </c>
      <c r="C47" s="2">
        <v>0.15629999999999999</v>
      </c>
      <c r="H47" s="3"/>
      <c r="I47" s="3">
        <v>1972</v>
      </c>
      <c r="J47" s="7">
        <v>0.15629999999999999</v>
      </c>
      <c r="K47" s="7"/>
      <c r="L47" s="7"/>
      <c r="M47" s="7"/>
      <c r="N47" s="7"/>
      <c r="O47" s="7"/>
      <c r="P47" s="7"/>
      <c r="Q47" s="7"/>
      <c r="R47" s="7"/>
      <c r="S47" s="3"/>
      <c r="T47" s="3"/>
      <c r="U47" s="3"/>
      <c r="V47" s="3"/>
      <c r="W47" s="7">
        <f t="shared" ca="1" si="0"/>
        <v>1.3121216390356016E-3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2:50" x14ac:dyDescent="0.25">
      <c r="B48">
        <v>1973</v>
      </c>
      <c r="C48" s="2">
        <v>0.17370000000000002</v>
      </c>
      <c r="H48" s="3"/>
      <c r="I48" s="3">
        <v>1973</v>
      </c>
      <c r="J48" s="7">
        <v>0.17370000000000002</v>
      </c>
      <c r="K48" s="7"/>
      <c r="L48" s="7"/>
      <c r="M48" s="7"/>
      <c r="N48" s="7"/>
      <c r="O48" s="7"/>
      <c r="P48" s="7"/>
      <c r="Q48" s="7"/>
      <c r="R48" s="7"/>
      <c r="S48" s="3"/>
      <c r="T48" s="3"/>
      <c r="U48" s="3"/>
      <c r="V48" s="3"/>
      <c r="W48" s="7">
        <f t="shared" ca="1" si="0"/>
        <v>0.46211881273557975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2:50" x14ac:dyDescent="0.25">
      <c r="B49">
        <v>1974</v>
      </c>
      <c r="C49" s="2">
        <v>0.29719999999999996</v>
      </c>
      <c r="H49" s="3"/>
      <c r="I49" s="3">
        <v>1974</v>
      </c>
      <c r="J49" s="7">
        <v>0.29719999999999996</v>
      </c>
      <c r="K49" s="7"/>
      <c r="L49" s="7"/>
      <c r="M49" s="7"/>
      <c r="N49" s="7"/>
      <c r="O49" s="7"/>
      <c r="P49" s="7"/>
      <c r="Q49" s="7"/>
      <c r="R49" s="7"/>
      <c r="S49" s="3"/>
      <c r="T49" s="3"/>
      <c r="U49" s="3"/>
      <c r="V49" s="3"/>
      <c r="W49" s="7">
        <f t="shared" ca="1" si="0"/>
        <v>0.26781957243891885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2:50" x14ac:dyDescent="0.25">
      <c r="B50">
        <v>1975</v>
      </c>
      <c r="C50" s="2">
        <v>0.3155</v>
      </c>
      <c r="H50" s="3"/>
      <c r="I50" s="3">
        <v>1975</v>
      </c>
      <c r="J50" s="7">
        <v>0.3155</v>
      </c>
      <c r="K50" s="7"/>
      <c r="L50" s="7"/>
      <c r="M50" s="7"/>
      <c r="N50" s="7"/>
      <c r="O50" s="7"/>
      <c r="P50" s="7"/>
      <c r="Q50" s="7"/>
      <c r="R50" s="7"/>
      <c r="S50" s="3"/>
      <c r="T50" s="3"/>
      <c r="U50" s="3"/>
      <c r="V50" s="3"/>
      <c r="W50" s="7">
        <f t="shared" ca="1" si="0"/>
        <v>0.40865772740928918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2:50" x14ac:dyDescent="0.25">
      <c r="B51">
        <v>1976</v>
      </c>
      <c r="C51" s="2">
        <v>0.19149999999999998</v>
      </c>
      <c r="H51" s="3"/>
      <c r="I51" s="3">
        <v>1976</v>
      </c>
      <c r="J51" s="7">
        <v>0.19149999999999998</v>
      </c>
      <c r="K51" s="7"/>
      <c r="L51" s="7"/>
      <c r="M51" s="7"/>
      <c r="N51" s="7"/>
      <c r="O51" s="7"/>
      <c r="P51" s="7"/>
      <c r="Q51" s="7"/>
      <c r="R51" s="7"/>
      <c r="S51" s="3"/>
      <c r="T51" s="3"/>
      <c r="U51" s="3"/>
      <c r="V51" s="3"/>
      <c r="W51" s="7">
        <f t="shared" ca="1" si="0"/>
        <v>0.19696811260912936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2:50" x14ac:dyDescent="0.25">
      <c r="B52">
        <v>1977</v>
      </c>
      <c r="C52" s="2">
        <v>-0.115</v>
      </c>
      <c r="H52" s="3"/>
      <c r="I52" s="3">
        <v>1977</v>
      </c>
      <c r="J52" s="7">
        <v>-0.115</v>
      </c>
      <c r="K52" s="7"/>
      <c r="L52" s="7"/>
      <c r="M52" s="7"/>
      <c r="N52" s="7"/>
      <c r="O52" s="7"/>
      <c r="P52" s="7"/>
      <c r="Q52" s="7"/>
      <c r="R52" s="7"/>
      <c r="S52" s="3"/>
      <c r="T52" s="3"/>
      <c r="U52" s="3"/>
      <c r="V52" s="3"/>
      <c r="W52" s="7">
        <f t="shared" ca="1" si="0"/>
        <v>0.3743866973134809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2:50" x14ac:dyDescent="0.25">
      <c r="B53">
        <v>1978</v>
      </c>
      <c r="C53" s="2">
        <v>1.06E-2</v>
      </c>
      <c r="H53" s="3"/>
      <c r="I53" s="3">
        <v>1978</v>
      </c>
      <c r="J53" s="7">
        <v>1.06E-2</v>
      </c>
      <c r="K53" s="7"/>
      <c r="L53" s="7"/>
      <c r="M53" s="7"/>
      <c r="N53" s="7"/>
      <c r="O53" s="7"/>
      <c r="P53" s="7"/>
      <c r="Q53" s="7"/>
      <c r="R53" s="7"/>
      <c r="S53" s="3"/>
      <c r="T53" s="3"/>
      <c r="U53" s="3"/>
      <c r="V53" s="3"/>
      <c r="W53" s="7">
        <f t="shared" ca="1" si="0"/>
        <v>-7.2593003007605891E-2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2:50" x14ac:dyDescent="0.25">
      <c r="B54">
        <v>1979</v>
      </c>
      <c r="C54" s="2">
        <v>0.1231</v>
      </c>
      <c r="H54" s="3"/>
      <c r="I54" s="3">
        <v>1979</v>
      </c>
      <c r="J54" s="7">
        <v>0.1231</v>
      </c>
      <c r="K54" s="7"/>
      <c r="L54" s="7"/>
      <c r="M54" s="7"/>
      <c r="N54" s="7"/>
      <c r="O54" s="7"/>
      <c r="P54" s="7"/>
      <c r="Q54" s="7"/>
      <c r="R54" s="7"/>
      <c r="S54" s="3"/>
      <c r="T54" s="3"/>
      <c r="U54" s="3"/>
      <c r="V54" s="3"/>
      <c r="W54" s="7">
        <f t="shared" ca="1" si="0"/>
        <v>0.20963794118522194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2:50" x14ac:dyDescent="0.25">
      <c r="B55">
        <v>1980</v>
      </c>
      <c r="C55" s="2">
        <v>0.25769999999999998</v>
      </c>
      <c r="H55" s="3"/>
      <c r="I55" s="3">
        <v>1980</v>
      </c>
      <c r="J55" s="7">
        <v>0.25769999999999998</v>
      </c>
      <c r="K55" s="7"/>
      <c r="L55" s="7"/>
      <c r="M55" s="7"/>
      <c r="N55" s="7"/>
      <c r="O55" s="7"/>
      <c r="P55" s="7"/>
      <c r="Q55" s="7"/>
      <c r="R55" s="7"/>
      <c r="S55" s="3"/>
      <c r="T55" s="3"/>
      <c r="U55" s="3"/>
      <c r="V55" s="3"/>
      <c r="W55" s="7">
        <f t="shared" ca="1" si="0"/>
        <v>9.910923577218049E-2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2:50" x14ac:dyDescent="0.25">
      <c r="B56">
        <v>1981</v>
      </c>
      <c r="C56" s="2">
        <v>-9.7299999999999998E-2</v>
      </c>
      <c r="H56" s="3"/>
      <c r="I56" s="3">
        <v>1981</v>
      </c>
      <c r="J56" s="7">
        <v>-9.7299999999999998E-2</v>
      </c>
      <c r="K56" s="7"/>
      <c r="L56" s="7"/>
      <c r="M56" s="7"/>
      <c r="N56" s="7"/>
      <c r="O56" s="7"/>
      <c r="P56" s="7"/>
      <c r="Q56" s="7"/>
      <c r="R56" s="7"/>
      <c r="S56" s="3"/>
      <c r="T56" s="3"/>
      <c r="U56" s="3"/>
      <c r="V56" s="3"/>
      <c r="W56" s="7">
        <f t="shared" ca="1" si="0"/>
        <v>-0.10145596664929461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2:50" x14ac:dyDescent="0.25">
      <c r="B57">
        <v>1982</v>
      </c>
      <c r="C57" s="2">
        <v>0.14760000000000001</v>
      </c>
      <c r="H57" s="3"/>
      <c r="I57" s="3">
        <v>1982</v>
      </c>
      <c r="J57" s="7">
        <v>0.14760000000000001</v>
      </c>
      <c r="K57" s="7"/>
      <c r="L57" s="7"/>
      <c r="M57" s="7"/>
      <c r="N57" s="7"/>
      <c r="O57" s="7"/>
      <c r="P57" s="7"/>
      <c r="Q57" s="7"/>
      <c r="R57" s="7"/>
      <c r="S57" s="3"/>
      <c r="T57" s="3"/>
      <c r="U57" s="3"/>
      <c r="V57" s="3"/>
      <c r="W57" s="7">
        <f t="shared" ca="1" si="0"/>
        <v>0.30615240685762202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2:50" x14ac:dyDescent="0.25">
      <c r="B58">
        <v>1983</v>
      </c>
      <c r="C58" s="2">
        <v>0.17269999999999999</v>
      </c>
      <c r="H58" s="3"/>
      <c r="I58" s="3">
        <v>1983</v>
      </c>
      <c r="J58" s="7">
        <v>0.17269999999999999</v>
      </c>
      <c r="K58" s="7"/>
      <c r="L58" s="7"/>
      <c r="M58" s="7"/>
      <c r="N58" s="7"/>
      <c r="O58" s="7"/>
      <c r="P58" s="7"/>
      <c r="Q58" s="7"/>
      <c r="R58" s="7"/>
      <c r="S58" s="3"/>
      <c r="T58" s="3"/>
      <c r="U58" s="3"/>
      <c r="V58" s="3"/>
      <c r="W58" s="7">
        <f t="shared" ca="1" si="0"/>
        <v>7.4509506083565158E-2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2:50" x14ac:dyDescent="0.25">
      <c r="B59">
        <v>1984</v>
      </c>
      <c r="C59" s="2">
        <v>1.3999999999999999E-2</v>
      </c>
      <c r="H59" s="3"/>
      <c r="I59" s="3">
        <v>1984</v>
      </c>
      <c r="J59" s="7">
        <v>1.3999999999999999E-2</v>
      </c>
      <c r="K59" s="7"/>
      <c r="L59" s="7"/>
      <c r="M59" s="7"/>
      <c r="N59" s="7"/>
      <c r="O59" s="7"/>
      <c r="P59" s="7"/>
      <c r="Q59" s="7"/>
      <c r="R59" s="7"/>
      <c r="S59" s="3"/>
      <c r="T59" s="3"/>
      <c r="U59" s="3"/>
      <c r="V59" s="3"/>
      <c r="W59" s="7">
        <f t="shared" ca="1" si="0"/>
        <v>-8.6597169867069362E-3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2:50" x14ac:dyDescent="0.25">
      <c r="B60">
        <v>1985</v>
      </c>
      <c r="C60" s="2">
        <v>0.26329999999999998</v>
      </c>
      <c r="H60" s="3"/>
      <c r="I60" s="3">
        <v>1985</v>
      </c>
      <c r="J60" s="7">
        <v>0.26329999999999998</v>
      </c>
      <c r="K60" s="7"/>
      <c r="L60" s="7"/>
      <c r="M60" s="7"/>
      <c r="N60" s="7"/>
      <c r="O60" s="7"/>
      <c r="P60" s="7"/>
      <c r="Q60" s="7"/>
      <c r="R60" s="7"/>
      <c r="S60" s="3"/>
      <c r="T60" s="3"/>
      <c r="U60" s="3"/>
      <c r="V60" s="3"/>
      <c r="W60" s="7">
        <f t="shared" ca="1" si="0"/>
        <v>-7.0439935399509018E-3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2:50" x14ac:dyDescent="0.25">
      <c r="B61">
        <v>1986</v>
      </c>
      <c r="C61" s="2">
        <v>0.1462</v>
      </c>
      <c r="H61" s="3"/>
      <c r="I61" s="3">
        <v>1986</v>
      </c>
      <c r="J61" s="7">
        <v>0.1462</v>
      </c>
      <c r="K61" s="7"/>
      <c r="L61" s="7"/>
      <c r="M61" s="7"/>
      <c r="N61" s="7"/>
      <c r="O61" s="7"/>
      <c r="P61" s="7"/>
      <c r="Q61" s="7"/>
      <c r="R61" s="7"/>
      <c r="S61" s="3"/>
      <c r="T61" s="3"/>
      <c r="U61" s="3"/>
      <c r="V61" s="3"/>
      <c r="W61" s="7">
        <f t="shared" ca="1" si="0"/>
        <v>4.297252684145049E-2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2:50" x14ac:dyDescent="0.25">
      <c r="B62">
        <v>1987</v>
      </c>
      <c r="C62" s="2">
        <v>2.0299999999999999E-2</v>
      </c>
      <c r="H62" s="3"/>
      <c r="I62" s="3">
        <v>1987</v>
      </c>
      <c r="J62" s="7">
        <v>2.0299999999999999E-2</v>
      </c>
      <c r="K62" s="7"/>
      <c r="L62" s="7"/>
      <c r="M62" s="7"/>
      <c r="N62" s="7"/>
      <c r="O62" s="7"/>
      <c r="P62" s="7"/>
      <c r="Q62" s="7"/>
      <c r="R62" s="7"/>
      <c r="S62" s="3"/>
      <c r="T62" s="3"/>
      <c r="U62" s="3"/>
      <c r="V62" s="3"/>
      <c r="W62" s="7">
        <f t="shared" ca="1" si="0"/>
        <v>0.13165554610352811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2:50" x14ac:dyDescent="0.25">
      <c r="B63">
        <v>1988</v>
      </c>
      <c r="C63" s="2">
        <v>0.124</v>
      </c>
      <c r="H63" s="3"/>
      <c r="I63" s="3">
        <v>1988</v>
      </c>
      <c r="J63" s="7">
        <v>0.124</v>
      </c>
      <c r="K63" s="7"/>
      <c r="L63" s="7"/>
      <c r="M63" s="7"/>
      <c r="N63" s="7"/>
      <c r="O63" s="7"/>
      <c r="P63" s="7"/>
      <c r="Q63" s="7"/>
      <c r="R63" s="7"/>
      <c r="S63" s="3"/>
      <c r="T63" s="3"/>
      <c r="U63" s="3"/>
      <c r="V63" s="3"/>
      <c r="W63" s="7">
        <f t="shared" ca="1" si="0"/>
        <v>-0.3361466263670268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2:50" x14ac:dyDescent="0.25">
      <c r="B64">
        <v>1989</v>
      </c>
      <c r="C64" s="2">
        <v>0.27250000000000002</v>
      </c>
      <c r="H64" s="3"/>
      <c r="I64" s="3">
        <v>1989</v>
      </c>
      <c r="J64" s="7">
        <v>0.27250000000000002</v>
      </c>
      <c r="K64" s="7"/>
      <c r="L64" s="7"/>
      <c r="M64" s="7"/>
      <c r="N64" s="7"/>
      <c r="O64" s="7"/>
      <c r="P64" s="7"/>
      <c r="Q64" s="7"/>
      <c r="R64" s="7"/>
      <c r="S64" s="3"/>
      <c r="T64" s="3"/>
      <c r="U64" s="3"/>
      <c r="V64" s="3"/>
      <c r="W64" s="7">
        <f t="shared" ca="1" si="0"/>
        <v>0.13502280792942117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2:50" x14ac:dyDescent="0.25">
      <c r="B65">
        <v>1990</v>
      </c>
      <c r="C65" s="2">
        <v>-6.5599999999999992E-2</v>
      </c>
      <c r="H65" s="3"/>
      <c r="I65" s="3">
        <v>1990</v>
      </c>
      <c r="J65" s="7">
        <v>-6.5599999999999992E-2</v>
      </c>
      <c r="K65" s="7"/>
      <c r="L65" s="7"/>
      <c r="M65" s="7"/>
      <c r="N65" s="7"/>
      <c r="O65" s="7"/>
      <c r="P65" s="7"/>
      <c r="Q65" s="7"/>
      <c r="R65" s="7"/>
      <c r="S65" s="3"/>
      <c r="T65" s="3"/>
      <c r="U65" s="3"/>
      <c r="V65" s="3"/>
      <c r="W65" s="7">
        <f t="shared" ca="1" si="0"/>
        <v>-0.2978319763285921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2:50" x14ac:dyDescent="0.25">
      <c r="B66">
        <v>1991</v>
      </c>
      <c r="C66" s="2">
        <v>0.2631</v>
      </c>
      <c r="H66" s="3"/>
      <c r="I66" s="3">
        <v>1991</v>
      </c>
      <c r="J66" s="7">
        <v>0.2631</v>
      </c>
      <c r="K66" s="7"/>
      <c r="L66" s="7"/>
      <c r="M66" s="7"/>
      <c r="N66" s="7"/>
      <c r="O66" s="7"/>
      <c r="P66" s="7"/>
      <c r="Q66" s="7"/>
      <c r="R66" s="7"/>
      <c r="S66" s="3"/>
      <c r="T66" s="3"/>
      <c r="U66" s="3"/>
      <c r="V66" s="3"/>
      <c r="W66" s="7">
        <f t="shared" ca="1" si="0"/>
        <v>0.20496458381424282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2:50" x14ac:dyDescent="0.25">
      <c r="B67">
        <v>1992</v>
      </c>
      <c r="C67" s="2">
        <v>4.4600000000000001E-2</v>
      </c>
      <c r="H67" s="3"/>
      <c r="I67" s="3">
        <v>1992</v>
      </c>
      <c r="J67" s="7">
        <v>4.4600000000000001E-2</v>
      </c>
      <c r="K67" s="7"/>
      <c r="L67" s="7"/>
      <c r="M67" s="7"/>
      <c r="N67" s="7"/>
      <c r="O67" s="7"/>
      <c r="P67" s="7"/>
      <c r="Q67" s="7"/>
      <c r="R67" s="7"/>
      <c r="S67" s="3"/>
      <c r="T67" s="3"/>
      <c r="U67" s="3"/>
      <c r="V67" s="3"/>
      <c r="W67" s="7">
        <f t="shared" ca="1" si="0"/>
        <v>0.14331260287292225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2:50" x14ac:dyDescent="0.25">
      <c r="B68">
        <v>1993</v>
      </c>
      <c r="C68" s="2">
        <v>7.0599999999999996E-2</v>
      </c>
      <c r="H68" s="3"/>
      <c r="I68" s="3">
        <v>1993</v>
      </c>
      <c r="J68" s="7">
        <v>7.0599999999999996E-2</v>
      </c>
      <c r="K68" s="7"/>
      <c r="L68" s="7"/>
      <c r="M68" s="7"/>
      <c r="N68" s="7"/>
      <c r="O68" s="7"/>
      <c r="P68" s="7"/>
      <c r="Q68" s="7"/>
      <c r="R68" s="7"/>
      <c r="S68" s="3"/>
      <c r="T68" s="3"/>
      <c r="U68" s="3"/>
      <c r="V68" s="3"/>
      <c r="W68" s="7">
        <f t="shared" ca="1" si="0"/>
        <v>0.20422674781336134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2:50" x14ac:dyDescent="0.25">
      <c r="B69">
        <v>1994</v>
      </c>
      <c r="C69" s="2">
        <v>-1.54E-2</v>
      </c>
      <c r="H69" s="3"/>
      <c r="I69" s="3">
        <v>1994</v>
      </c>
      <c r="J69" s="7">
        <v>-1.54E-2</v>
      </c>
      <c r="K69" s="7"/>
      <c r="L69" s="7"/>
      <c r="M69" s="7"/>
      <c r="N69" s="7"/>
      <c r="O69" s="7"/>
      <c r="P69" s="7"/>
      <c r="Q69" s="7"/>
      <c r="R69" s="7"/>
      <c r="S69" s="3"/>
      <c r="T69" s="3"/>
      <c r="U69" s="3"/>
      <c r="V69" s="3"/>
      <c r="W69" s="7">
        <f t="shared" ca="1" si="0"/>
        <v>7.7094750136550289E-2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2:50" x14ac:dyDescent="0.25">
      <c r="B70">
        <v>1995</v>
      </c>
      <c r="C70" s="2">
        <v>0.34110000000000001</v>
      </c>
      <c r="H70" s="3"/>
      <c r="I70" s="3">
        <v>1995</v>
      </c>
      <c r="J70" s="7">
        <v>0.34110000000000001</v>
      </c>
      <c r="K70" s="7"/>
      <c r="L70" s="7"/>
      <c r="M70" s="7"/>
      <c r="N70" s="7"/>
      <c r="O70" s="7"/>
      <c r="P70" s="7"/>
      <c r="Q70" s="7"/>
      <c r="R70" s="7"/>
      <c r="S70" s="3"/>
      <c r="T70" s="3"/>
      <c r="U70" s="3"/>
      <c r="V70" s="3"/>
      <c r="W70" s="7">
        <f t="shared" ref="W70:W133" ca="1" si="1">+NORMINV(RAND(),$U$2,$U$3)</f>
        <v>0.37572492689957421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2:50" x14ac:dyDescent="0.25">
      <c r="B71">
        <v>1996</v>
      </c>
      <c r="C71" s="2">
        <v>0.2026</v>
      </c>
      <c r="H71" s="3"/>
      <c r="I71" s="3">
        <v>1996</v>
      </c>
      <c r="J71" s="7">
        <v>0.2026</v>
      </c>
      <c r="K71" s="7"/>
      <c r="L71" s="7"/>
      <c r="M71" s="7"/>
      <c r="N71" s="7"/>
      <c r="O71" s="7"/>
      <c r="P71" s="7"/>
      <c r="Q71" s="7"/>
      <c r="R71" s="7"/>
      <c r="S71" s="3"/>
      <c r="T71" s="3"/>
      <c r="U71" s="3"/>
      <c r="V71" s="3"/>
      <c r="W71" s="7">
        <f t="shared" ca="1" si="1"/>
        <v>0.26864103190390842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2:50" x14ac:dyDescent="0.25">
      <c r="B72">
        <v>1997</v>
      </c>
      <c r="C72" s="2">
        <v>0.31010000000000004</v>
      </c>
      <c r="H72" s="3"/>
      <c r="I72" s="3">
        <v>1997</v>
      </c>
      <c r="J72" s="7">
        <v>0.31010000000000004</v>
      </c>
      <c r="K72" s="7"/>
      <c r="L72" s="7"/>
      <c r="M72" s="7"/>
      <c r="N72" s="7"/>
      <c r="O72" s="7"/>
      <c r="P72" s="7"/>
      <c r="Q72" s="7"/>
      <c r="R72" s="7"/>
      <c r="S72" s="3"/>
      <c r="T72" s="3"/>
      <c r="U72" s="3"/>
      <c r="V72" s="3"/>
      <c r="W72" s="7">
        <f t="shared" ca="1" si="1"/>
        <v>0.1611769053023421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2:50" x14ac:dyDescent="0.25">
      <c r="B73">
        <v>1998</v>
      </c>
      <c r="C73" s="2">
        <v>0.26669999999999999</v>
      </c>
      <c r="H73" s="3"/>
      <c r="I73" s="3">
        <v>1998</v>
      </c>
      <c r="J73" s="7">
        <v>0.26669999999999999</v>
      </c>
      <c r="K73" s="7"/>
      <c r="L73" s="7"/>
      <c r="M73" s="7"/>
      <c r="N73" s="7"/>
      <c r="O73" s="7"/>
      <c r="P73" s="7"/>
      <c r="Q73" s="7"/>
      <c r="R73" s="7"/>
      <c r="S73" s="3"/>
      <c r="T73" s="3"/>
      <c r="U73" s="3"/>
      <c r="V73" s="3"/>
      <c r="W73" s="7">
        <f t="shared" ca="1" si="1"/>
        <v>-8.4113760785700237E-3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2:50" x14ac:dyDescent="0.25">
      <c r="B74">
        <v>1999</v>
      </c>
      <c r="C74" s="2">
        <v>0.1953</v>
      </c>
      <c r="H74" s="3"/>
      <c r="I74" s="3">
        <v>1999</v>
      </c>
      <c r="J74" s="7">
        <v>0.1953</v>
      </c>
      <c r="K74" s="7"/>
      <c r="L74" s="7"/>
      <c r="M74" s="7"/>
      <c r="N74" s="7"/>
      <c r="O74" s="7"/>
      <c r="P74" s="7"/>
      <c r="Q74" s="7"/>
      <c r="R74" s="7"/>
      <c r="S74" s="3"/>
      <c r="T74" s="3"/>
      <c r="U74" s="3"/>
      <c r="V74" s="3"/>
      <c r="W74" s="7">
        <f t="shared" ca="1" si="1"/>
        <v>0.1703972510267793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2:50" x14ac:dyDescent="0.25">
      <c r="B75">
        <v>2000</v>
      </c>
      <c r="C75" s="2">
        <v>0.1014</v>
      </c>
      <c r="H75" s="3"/>
      <c r="I75" s="3">
        <v>2000</v>
      </c>
      <c r="J75" s="7">
        <v>0.1014</v>
      </c>
      <c r="K75" s="7"/>
      <c r="L75" s="7"/>
      <c r="M75" s="7"/>
      <c r="N75" s="7"/>
      <c r="O75" s="7"/>
      <c r="P75" s="7"/>
      <c r="Q75" s="7"/>
      <c r="R75" s="7"/>
      <c r="S75" s="3"/>
      <c r="T75" s="3"/>
      <c r="U75" s="3"/>
      <c r="V75" s="3"/>
      <c r="W75" s="7">
        <f t="shared" ca="1" si="1"/>
        <v>0.23432613562736732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2:50" x14ac:dyDescent="0.25">
      <c r="B76">
        <v>2001</v>
      </c>
      <c r="C76" s="2">
        <v>0.13039999999999999</v>
      </c>
      <c r="H76" s="3"/>
      <c r="I76" s="3">
        <v>2001</v>
      </c>
      <c r="J76" s="7">
        <v>0.13039999999999999</v>
      </c>
      <c r="K76" s="7"/>
      <c r="L76" s="7"/>
      <c r="M76" s="7"/>
      <c r="N76" s="7"/>
      <c r="O76" s="7"/>
      <c r="P76" s="7"/>
      <c r="Q76" s="7"/>
      <c r="R76" s="7"/>
      <c r="S76" s="3"/>
      <c r="T76" s="3"/>
      <c r="U76" s="3"/>
      <c r="V76" s="3"/>
      <c r="W76" s="7">
        <f t="shared" ca="1" si="1"/>
        <v>6.6516317130555738E-2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2:50" x14ac:dyDescent="0.25">
      <c r="B77">
        <v>2002</v>
      </c>
      <c r="C77" s="2">
        <v>0.23370000000000002</v>
      </c>
      <c r="H77" s="3"/>
      <c r="I77" s="3">
        <v>2002</v>
      </c>
      <c r="J77" s="7">
        <v>0.23370000000000002</v>
      </c>
      <c r="K77" s="7"/>
      <c r="L77" s="7"/>
      <c r="M77" s="7"/>
      <c r="N77" s="7"/>
      <c r="O77" s="7"/>
      <c r="P77" s="7"/>
      <c r="Q77" s="7"/>
      <c r="R77" s="7"/>
      <c r="S77" s="3"/>
      <c r="T77" s="3"/>
      <c r="U77" s="3"/>
      <c r="V77" s="3"/>
      <c r="W77" s="7">
        <f t="shared" ca="1" si="1"/>
        <v>-0.21364749810181782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2:50" x14ac:dyDescent="0.25">
      <c r="B78">
        <v>2003</v>
      </c>
      <c r="C78" s="2">
        <v>0.26379999999999998</v>
      </c>
      <c r="H78" s="3"/>
      <c r="I78" s="3">
        <v>2003</v>
      </c>
      <c r="J78" s="7">
        <v>0.26379999999999998</v>
      </c>
      <c r="K78" s="7"/>
      <c r="L78" s="7"/>
      <c r="M78" s="7"/>
      <c r="N78" s="7"/>
      <c r="O78" s="7"/>
      <c r="P78" s="7"/>
      <c r="Q78" s="7"/>
      <c r="R78" s="7"/>
      <c r="S78" s="3"/>
      <c r="T78" s="3"/>
      <c r="U78" s="3"/>
      <c r="V78" s="3"/>
      <c r="W78" s="7">
        <f t="shared" ca="1" si="1"/>
        <v>2.2988855020225116E-2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2:50" x14ac:dyDescent="0.25">
      <c r="B79">
        <v>2004</v>
      </c>
      <c r="C79" s="2">
        <v>8.9900000000000008E-2</v>
      </c>
      <c r="H79" s="3"/>
      <c r="I79" s="3">
        <v>2004</v>
      </c>
      <c r="J79" s="7">
        <v>8.9900000000000008E-2</v>
      </c>
      <c r="K79" s="7"/>
      <c r="L79" s="7"/>
      <c r="M79" s="7"/>
      <c r="N79" s="7"/>
      <c r="O79" s="7"/>
      <c r="P79" s="7"/>
      <c r="Q79" s="7"/>
      <c r="R79" s="7"/>
      <c r="S79" s="3"/>
      <c r="T79" s="3"/>
      <c r="U79" s="3"/>
      <c r="V79" s="3"/>
      <c r="W79" s="7">
        <f t="shared" ca="1" si="1"/>
        <v>0.35418878820992566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2:50" x14ac:dyDescent="0.25">
      <c r="B80">
        <v>2005</v>
      </c>
      <c r="C80" s="2">
        <v>-0.30299999999999999</v>
      </c>
      <c r="H80" s="3"/>
      <c r="I80" s="3">
        <v>2005</v>
      </c>
      <c r="J80" s="7">
        <v>-0.30299999999999999</v>
      </c>
      <c r="K80" s="7"/>
      <c r="L80" s="7"/>
      <c r="M80" s="7"/>
      <c r="N80" s="7"/>
      <c r="O80" s="7"/>
      <c r="P80" s="7"/>
      <c r="Q80" s="7"/>
      <c r="R80" s="7"/>
      <c r="S80" s="3"/>
      <c r="T80" s="3"/>
      <c r="U80" s="3"/>
      <c r="V80" s="3"/>
      <c r="W80" s="7">
        <f t="shared" ca="1" si="1"/>
        <v>8.9583095789846162E-2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2:50" x14ac:dyDescent="0.25">
      <c r="B81">
        <v>2006</v>
      </c>
      <c r="C81" s="2">
        <v>0.13619999999999999</v>
      </c>
      <c r="H81" s="3"/>
      <c r="I81" s="3">
        <v>2006</v>
      </c>
      <c r="J81" s="7">
        <v>0.13619999999999999</v>
      </c>
      <c r="K81" s="7"/>
      <c r="L81" s="7"/>
      <c r="M81" s="7"/>
      <c r="N81" s="7"/>
      <c r="O81" s="7"/>
      <c r="P81" s="7"/>
      <c r="Q81" s="7"/>
      <c r="R81" s="7"/>
      <c r="S81" s="3"/>
      <c r="T81" s="3"/>
      <c r="U81" s="3"/>
      <c r="V81" s="3"/>
      <c r="W81" s="7">
        <f t="shared" ca="1" si="1"/>
        <v>0.11961731231442049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2:50" x14ac:dyDescent="0.25">
      <c r="B82">
        <v>2007</v>
      </c>
      <c r="C82" s="2">
        <v>3.5299999999999998E-2</v>
      </c>
      <c r="H82" s="3"/>
      <c r="I82" s="3">
        <v>2007</v>
      </c>
      <c r="J82" s="7">
        <v>3.5299999999999998E-2</v>
      </c>
      <c r="K82" s="7"/>
      <c r="L82" s="7"/>
      <c r="M82" s="7"/>
      <c r="N82" s="7"/>
      <c r="O82" s="7"/>
      <c r="P82" s="7"/>
      <c r="Q82" s="7"/>
      <c r="R82" s="7"/>
      <c r="S82" s="3"/>
      <c r="T82" s="3"/>
      <c r="U82" s="3"/>
      <c r="V82" s="3"/>
      <c r="W82" s="7">
        <f t="shared" ca="1" si="1"/>
        <v>0.1618844228794637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2:50" x14ac:dyDescent="0.25">
      <c r="B83">
        <v>2008</v>
      </c>
      <c r="C83" s="2">
        <v>0.38490000000000002</v>
      </c>
      <c r="H83" s="3"/>
      <c r="I83" s="3">
        <v>2008</v>
      </c>
      <c r="J83" s="7">
        <v>0.38490000000000002</v>
      </c>
      <c r="K83" s="7"/>
      <c r="L83" s="7"/>
      <c r="M83" s="7"/>
      <c r="N83" s="7"/>
      <c r="O83" s="7"/>
      <c r="P83" s="7"/>
      <c r="Q83" s="7"/>
      <c r="R83" s="7"/>
      <c r="S83" s="3"/>
      <c r="T83" s="3"/>
      <c r="U83" s="3"/>
      <c r="V83" s="3"/>
      <c r="W83" s="7">
        <f t="shared" ca="1" si="1"/>
        <v>-0.15725600657284694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2:50" x14ac:dyDescent="0.25">
      <c r="B84">
        <v>2009</v>
      </c>
      <c r="C84" s="2">
        <v>0.23449999999999999</v>
      </c>
      <c r="H84" s="3"/>
      <c r="I84" s="3">
        <v>2009</v>
      </c>
      <c r="J84" s="7">
        <v>0.23449999999999999</v>
      </c>
      <c r="K84" s="7"/>
      <c r="L84" s="7"/>
      <c r="M84" s="7"/>
      <c r="N84" s="7"/>
      <c r="O84" s="7"/>
      <c r="P84" s="7"/>
      <c r="Q84" s="7"/>
      <c r="R84" s="7"/>
      <c r="S84" s="3"/>
      <c r="T84" s="3"/>
      <c r="U84" s="3"/>
      <c r="V84" s="3"/>
      <c r="W84" s="7">
        <f t="shared" ca="1" si="1"/>
        <v>-0.11604749871963711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2:50" x14ac:dyDescent="0.25">
      <c r="B85">
        <v>2010</v>
      </c>
      <c r="C85" s="2">
        <v>0.1278</v>
      </c>
      <c r="H85" s="3"/>
      <c r="I85" s="3">
        <v>2010</v>
      </c>
      <c r="J85" s="7">
        <v>0.1278</v>
      </c>
      <c r="K85" s="7"/>
      <c r="L85" s="7"/>
      <c r="M85" s="7"/>
      <c r="N85" s="7"/>
      <c r="O85" s="7"/>
      <c r="P85" s="7"/>
      <c r="Q85" s="7"/>
      <c r="R85" s="7"/>
      <c r="S85" s="3"/>
      <c r="T85" s="3"/>
      <c r="U85" s="3"/>
      <c r="V85" s="3"/>
      <c r="W85" s="7">
        <f t="shared" ca="1" si="1"/>
        <v>-0.13497337329355436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2:50" x14ac:dyDescent="0.25">
      <c r="B86">
        <v>2011</v>
      </c>
      <c r="C86" s="2">
        <v>-0.3</v>
      </c>
      <c r="H86" s="3"/>
      <c r="I86" s="3">
        <v>2011</v>
      </c>
      <c r="J86" s="7">
        <v>-0.3</v>
      </c>
      <c r="K86" s="7"/>
      <c r="L86" s="7"/>
      <c r="M86" s="7"/>
      <c r="N86" s="7"/>
      <c r="O86" s="7"/>
      <c r="P86" s="7"/>
      <c r="Q86" s="7"/>
      <c r="R86" s="7"/>
      <c r="S86" s="3"/>
      <c r="T86" s="3"/>
      <c r="U86" s="3"/>
      <c r="V86" s="3"/>
      <c r="W86" s="7">
        <f t="shared" ca="1" si="1"/>
        <v>0.17747983326402536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2:50" x14ac:dyDescent="0.25">
      <c r="B87">
        <v>2012</v>
      </c>
      <c r="C87" s="2">
        <v>0.1341</v>
      </c>
      <c r="H87" s="3"/>
      <c r="I87" s="3">
        <v>2012</v>
      </c>
      <c r="J87" s="7">
        <v>0.1341</v>
      </c>
      <c r="K87" s="7"/>
      <c r="L87" s="7"/>
      <c r="M87" s="7"/>
      <c r="N87" s="7"/>
      <c r="O87" s="7"/>
      <c r="P87" s="7"/>
      <c r="Q87" s="7"/>
      <c r="R87" s="7"/>
      <c r="S87" s="3"/>
      <c r="T87" s="3"/>
      <c r="U87" s="3"/>
      <c r="V87" s="3"/>
      <c r="W87" s="7">
        <f t="shared" ca="1" si="1"/>
        <v>3.4635089430222019E-2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2:50" x14ac:dyDescent="0.25">
      <c r="B88">
        <v>2013</v>
      </c>
      <c r="C88" s="2">
        <v>0.29600000000000004</v>
      </c>
      <c r="H88" s="3"/>
      <c r="I88" s="3">
        <v>2013</v>
      </c>
      <c r="J88" s="7">
        <v>0.29600000000000004</v>
      </c>
      <c r="K88" s="7"/>
      <c r="L88" s="7"/>
      <c r="M88" s="7"/>
      <c r="N88" s="7"/>
      <c r="O88" s="7"/>
      <c r="P88" s="7"/>
      <c r="Q88" s="7"/>
      <c r="R88" s="7"/>
      <c r="S88" s="3"/>
      <c r="T88" s="3"/>
      <c r="U88" s="3"/>
      <c r="V88" s="3"/>
      <c r="W88" s="7">
        <f t="shared" ca="1" si="1"/>
        <v>6.907673923289831E-2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2:50" x14ac:dyDescent="0.25">
      <c r="B89">
        <v>2014</v>
      </c>
      <c r="C89" s="2">
        <v>0.1139</v>
      </c>
      <c r="H89" s="3"/>
      <c r="I89" s="3">
        <v>2014</v>
      </c>
      <c r="J89" s="7">
        <v>0.1139</v>
      </c>
      <c r="K89" s="7"/>
      <c r="L89" s="7"/>
      <c r="M89" s="7"/>
      <c r="N89" s="7"/>
      <c r="O89" s="7"/>
      <c r="P89" s="7"/>
      <c r="Q89" s="7"/>
      <c r="R89" s="7"/>
      <c r="S89" s="3"/>
      <c r="T89" s="3"/>
      <c r="U89" s="3"/>
      <c r="V89" s="3"/>
      <c r="W89" s="7">
        <f t="shared" ca="1" si="1"/>
        <v>0.17741747834674604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2:50" x14ac:dyDescent="0.25">
      <c r="B90">
        <v>2015</v>
      </c>
      <c r="C90" s="2">
        <v>-7.3000000000000001E-3</v>
      </c>
      <c r="H90" s="3"/>
      <c r="I90" s="3">
        <v>2015</v>
      </c>
      <c r="J90" s="7">
        <v>-7.3000000000000001E-3</v>
      </c>
      <c r="K90" s="7"/>
      <c r="L90" s="7"/>
      <c r="M90" s="7"/>
      <c r="N90" s="7"/>
      <c r="O90" s="7"/>
      <c r="P90" s="7"/>
      <c r="Q90" s="7"/>
      <c r="R90" s="7"/>
      <c r="S90" s="3"/>
      <c r="T90" s="3"/>
      <c r="U90" s="3"/>
      <c r="V90" s="3"/>
      <c r="W90" s="7">
        <f t="shared" ca="1" si="1"/>
        <v>0.31890836815630597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2:50" x14ac:dyDescent="0.25">
      <c r="B91">
        <v>2016</v>
      </c>
      <c r="C91" s="2">
        <v>9.5399999999999985E-2</v>
      </c>
      <c r="H91" s="3"/>
      <c r="I91" s="3">
        <v>2016</v>
      </c>
      <c r="J91" s="7">
        <v>9.5399999999999985E-2</v>
      </c>
      <c r="K91" s="7"/>
      <c r="L91" s="7"/>
      <c r="M91" s="7"/>
      <c r="N91" s="7"/>
      <c r="O91" s="7"/>
      <c r="P91" s="7"/>
      <c r="Q91" s="7"/>
      <c r="R91" s="7"/>
      <c r="S91" s="3"/>
      <c r="T91" s="3"/>
      <c r="U91" s="3"/>
      <c r="V91" s="3"/>
      <c r="W91" s="7">
        <f t="shared" ca="1" si="1"/>
        <v>-4.9659320207748422E-2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2:50" x14ac:dyDescent="0.25">
      <c r="B92">
        <v>2017</v>
      </c>
      <c r="C92" s="2">
        <v>0.19420000000000001</v>
      </c>
      <c r="H92" s="3"/>
      <c r="I92" s="3">
        <v>2017</v>
      </c>
      <c r="J92" s="7">
        <v>0.19420000000000001</v>
      </c>
      <c r="K92" s="7"/>
      <c r="L92" s="7"/>
      <c r="M92" s="7"/>
      <c r="N92" s="7"/>
      <c r="O92" s="7"/>
      <c r="P92" s="7"/>
      <c r="Q92" s="7"/>
      <c r="R92" s="7"/>
      <c r="S92" s="3"/>
      <c r="T92" s="3"/>
      <c r="U92" s="3"/>
      <c r="V92" s="3"/>
      <c r="W92" s="7">
        <f t="shared" ca="1" si="1"/>
        <v>0.32498136695618463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2:50" x14ac:dyDescent="0.25">
      <c r="B93">
        <v>2018</v>
      </c>
      <c r="C93" s="2">
        <v>-6.2400000000000004E-2</v>
      </c>
      <c r="H93" s="3"/>
      <c r="I93" s="3">
        <v>2018</v>
      </c>
      <c r="J93" s="7">
        <v>-6.2400000000000004E-2</v>
      </c>
      <c r="K93" s="7"/>
      <c r="L93" s="7"/>
      <c r="M93" s="7"/>
      <c r="N93" s="7"/>
      <c r="O93" s="7"/>
      <c r="P93" s="7"/>
      <c r="Q93" s="7"/>
      <c r="R93" s="7"/>
      <c r="S93" s="3"/>
      <c r="T93" s="3"/>
      <c r="U93" s="3"/>
      <c r="V93" s="3"/>
      <c r="W93" s="7">
        <f t="shared" ca="1" si="1"/>
        <v>0.15492560161125218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2:50" x14ac:dyDescent="0.25">
      <c r="B94">
        <v>2019</v>
      </c>
      <c r="C94" s="2">
        <v>0.2888</v>
      </c>
      <c r="H94" s="3"/>
      <c r="I94" s="3">
        <v>2019</v>
      </c>
      <c r="J94" s="7">
        <v>0.2888</v>
      </c>
      <c r="K94" s="7"/>
      <c r="L94" s="7"/>
      <c r="M94" s="7"/>
      <c r="N94" s="7"/>
      <c r="O94" s="7"/>
      <c r="P94" s="7"/>
      <c r="Q94" s="7"/>
      <c r="R94" s="7"/>
      <c r="S94" s="3"/>
      <c r="T94" s="3"/>
      <c r="U94" s="3"/>
      <c r="V94" s="3"/>
      <c r="W94" s="7">
        <f t="shared" ca="1" si="1"/>
        <v>0.142667940540462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2:50" x14ac:dyDescent="0.25">
      <c r="B95">
        <v>2020</v>
      </c>
      <c r="C95" s="2">
        <v>0.16260000000000002</v>
      </c>
      <c r="H95" s="3"/>
      <c r="I95" s="3">
        <v>2020</v>
      </c>
      <c r="J95" s="7">
        <v>0.16260000000000002</v>
      </c>
      <c r="K95" s="7"/>
      <c r="L95" s="7"/>
      <c r="M95" s="7"/>
      <c r="N95" s="7"/>
      <c r="O95" s="7"/>
      <c r="P95" s="7"/>
      <c r="Q95" s="7"/>
      <c r="R95" s="7"/>
      <c r="S95" s="3"/>
      <c r="T95" s="3"/>
      <c r="U95" s="3"/>
      <c r="V95" s="3"/>
      <c r="W95" s="7">
        <f t="shared" ca="1" si="1"/>
        <v>1.4321492880779135E-2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2:50" x14ac:dyDescent="0.25">
      <c r="B96">
        <v>2021</v>
      </c>
      <c r="C96" s="2">
        <v>0.26890000000000003</v>
      </c>
      <c r="H96" s="3"/>
      <c r="I96" s="3">
        <v>2021</v>
      </c>
      <c r="J96" s="7">
        <v>0.26890000000000003</v>
      </c>
      <c r="K96" s="7"/>
      <c r="L96" s="7"/>
      <c r="M96" s="7"/>
      <c r="N96" s="7"/>
      <c r="O96" s="7"/>
      <c r="P96" s="7"/>
      <c r="Q96" s="7"/>
      <c r="R96" s="7"/>
      <c r="S96" s="3"/>
      <c r="T96" s="3"/>
      <c r="U96" s="3"/>
      <c r="V96" s="3"/>
      <c r="W96" s="7">
        <f t="shared" ca="1" si="1"/>
        <v>0.21924153146553779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2:50" x14ac:dyDescent="0.25">
      <c r="B97">
        <v>2022</v>
      </c>
      <c r="C97" s="2">
        <v>0.19440000000000002</v>
      </c>
      <c r="H97" s="3"/>
      <c r="I97" s="3">
        <v>2022</v>
      </c>
      <c r="J97" s="7">
        <v>0.19440000000000002</v>
      </c>
      <c r="K97" s="7"/>
      <c r="L97" s="7"/>
      <c r="M97" s="7"/>
      <c r="N97" s="7"/>
      <c r="O97" s="7"/>
      <c r="P97" s="7"/>
      <c r="Q97" s="7"/>
      <c r="R97" s="7"/>
      <c r="S97" s="3"/>
      <c r="T97" s="3"/>
      <c r="U97" s="3"/>
      <c r="V97" s="3"/>
      <c r="W97" s="7">
        <f t="shared" ca="1" si="1"/>
        <v>0.23101230888085372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2:50" x14ac:dyDescent="0.25">
      <c r="B98">
        <v>2023</v>
      </c>
      <c r="C98" s="2">
        <v>0.24230000000000002</v>
      </c>
      <c r="H98" s="3"/>
      <c r="I98" s="3">
        <v>2023</v>
      </c>
      <c r="J98" s="7">
        <v>0.24230000000000002</v>
      </c>
      <c r="K98" s="7"/>
      <c r="L98" s="7"/>
      <c r="M98" s="7"/>
      <c r="N98" s="7"/>
      <c r="O98" s="7"/>
      <c r="P98" s="7"/>
      <c r="Q98" s="7"/>
      <c r="R98" s="7"/>
      <c r="S98" s="3"/>
      <c r="T98" s="3"/>
      <c r="U98" s="3"/>
      <c r="V98" s="3"/>
      <c r="W98" s="7">
        <f t="shared" ca="1" si="1"/>
        <v>-0.14179329098257487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2:50" x14ac:dyDescent="0.25">
      <c r="B99">
        <v>2024</v>
      </c>
      <c r="C99" s="2">
        <v>0.23309999999999997</v>
      </c>
      <c r="H99" s="3"/>
      <c r="I99" s="3">
        <v>2024</v>
      </c>
      <c r="J99" s="7">
        <v>0.23309999999999997</v>
      </c>
      <c r="K99" s="7"/>
      <c r="L99" s="7"/>
      <c r="M99" s="7"/>
      <c r="N99" s="7"/>
      <c r="O99" s="7"/>
      <c r="P99" s="7"/>
      <c r="Q99" s="7"/>
      <c r="R99" s="7"/>
      <c r="S99" s="3"/>
      <c r="T99" s="3"/>
      <c r="U99" s="3"/>
      <c r="V99" s="3"/>
      <c r="W99" s="7">
        <f t="shared" ca="1" si="1"/>
        <v>0.1728623942693919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2:50" x14ac:dyDescent="0.25">
      <c r="B100">
        <v>2025</v>
      </c>
      <c r="C100" s="2">
        <v>-9.300000000000001E-3</v>
      </c>
      <c r="H100" s="3"/>
      <c r="I100" s="3">
        <v>2025</v>
      </c>
      <c r="J100" s="7">
        <v>-9.300000000000001E-3</v>
      </c>
      <c r="K100" s="7"/>
      <c r="L100" s="7"/>
      <c r="M100" s="7"/>
      <c r="N100" s="7"/>
      <c r="O100" s="7"/>
      <c r="P100" s="7"/>
      <c r="Q100" s="7"/>
      <c r="R100" s="7"/>
      <c r="S100" s="3"/>
      <c r="T100" s="3"/>
      <c r="U100" s="3"/>
      <c r="V100" s="3"/>
      <c r="W100" s="7">
        <f t="shared" ca="1" si="1"/>
        <v>0.15938437036906944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2:50" x14ac:dyDescent="0.25">
      <c r="H101" s="3"/>
      <c r="I101" s="3"/>
      <c r="J101" s="3"/>
      <c r="K101" s="7"/>
      <c r="L101" s="7"/>
      <c r="M101" s="7"/>
      <c r="N101" s="7"/>
      <c r="O101" s="7"/>
      <c r="P101" s="7"/>
      <c r="Q101" s="7"/>
      <c r="R101" s="7"/>
      <c r="S101" s="3"/>
      <c r="T101" s="3"/>
      <c r="U101" s="3"/>
      <c r="V101" s="3"/>
      <c r="W101" s="7">
        <f t="shared" ca="1" si="1"/>
        <v>0.38267919611505469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2:50" x14ac:dyDescent="0.25"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7">
        <f t="shared" ca="1" si="1"/>
        <v>0.21010050675467937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2:50" x14ac:dyDescent="0.25"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7">
        <f t="shared" ca="1" si="1"/>
        <v>0.11829861841997444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2:50" x14ac:dyDescent="0.25"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7">
        <f t="shared" ca="1" si="1"/>
        <v>0.10804686569125976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2:50" x14ac:dyDescent="0.25"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7">
        <f t="shared" ca="1" si="1"/>
        <v>1.6538356226150436E-2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2:50" x14ac:dyDescent="0.25"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7">
        <f t="shared" ca="1" si="1"/>
        <v>8.4374489463748287E-2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2:50" x14ac:dyDescent="0.25"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7">
        <f t="shared" ca="1" si="1"/>
        <v>0.45732326045515892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2:50" x14ac:dyDescent="0.25"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7">
        <f t="shared" ca="1" si="1"/>
        <v>0.2096113618919756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2:50" x14ac:dyDescent="0.25"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7">
        <f t="shared" ca="1" si="1"/>
        <v>-6.3357568051182714E-2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2:50" x14ac:dyDescent="0.25"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7">
        <f t="shared" ca="1" si="1"/>
        <v>4.3540484059861426E-2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2:50" x14ac:dyDescent="0.25"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7">
        <f t="shared" ca="1" si="1"/>
        <v>0.2833765694905343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2:50" x14ac:dyDescent="0.25"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7">
        <f t="shared" ca="1" si="1"/>
        <v>0.2267746164696739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8:50" x14ac:dyDescent="0.25"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7">
        <f t="shared" ca="1" si="1"/>
        <v>0.48708004388768988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8:50" x14ac:dyDescent="0.25"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7">
        <f t="shared" ca="1" si="1"/>
        <v>-0.10042670487868223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8:50" x14ac:dyDescent="0.25"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7">
        <f t="shared" ca="1" si="1"/>
        <v>0.24146081264646968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8:50" x14ac:dyDescent="0.25"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7">
        <f t="shared" ca="1" si="1"/>
        <v>0.23432873000296667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8:50" x14ac:dyDescent="0.25"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7">
        <f t="shared" ca="1" si="1"/>
        <v>2.4001736808662813E-2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8:50" x14ac:dyDescent="0.25"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7">
        <f t="shared" ca="1" si="1"/>
        <v>5.7961412631885291E-2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8:50" x14ac:dyDescent="0.25"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7">
        <f t="shared" ca="1" si="1"/>
        <v>0.42680564783357161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8:50" x14ac:dyDescent="0.25"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7">
        <f t="shared" ca="1" si="1"/>
        <v>-0.16301085843713942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8:50" x14ac:dyDescent="0.25"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7">
        <f t="shared" ca="1" si="1"/>
        <v>3.0804635031811994E-2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8:50" x14ac:dyDescent="0.25"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7">
        <f t="shared" ca="1" si="1"/>
        <v>0.5855045839670493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8:50" x14ac:dyDescent="0.25"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7">
        <f t="shared" ca="1" si="1"/>
        <v>0.18980714322753756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8:50" x14ac:dyDescent="0.25"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7">
        <f t="shared" ca="1" si="1"/>
        <v>0.17540313716203895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8:50" x14ac:dyDescent="0.25"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7">
        <f t="shared" ca="1" si="1"/>
        <v>8.2683659691209957E-2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8:50" x14ac:dyDescent="0.25"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7">
        <f t="shared" ca="1" si="1"/>
        <v>0.18341837029962507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8:50" x14ac:dyDescent="0.25"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7">
        <f t="shared" ca="1" si="1"/>
        <v>0.27250486565331583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8:50" x14ac:dyDescent="0.25"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7">
        <f t="shared" ca="1" si="1"/>
        <v>-9.883138970136679E-3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8:50" x14ac:dyDescent="0.25"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7">
        <f t="shared" ca="1" si="1"/>
        <v>-0.42576831544759819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8:50" x14ac:dyDescent="0.25"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7">
        <f t="shared" ca="1" si="1"/>
        <v>0.3252340452410124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8:50" x14ac:dyDescent="0.25"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7">
        <f t="shared" ca="1" si="1"/>
        <v>-1.3521445645777466E-2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8:50" x14ac:dyDescent="0.25"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7">
        <f t="shared" ca="1" si="1"/>
        <v>-0.10549586156502531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8:50" x14ac:dyDescent="0.25"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7">
        <f t="shared" ca="1" si="1"/>
        <v>0.14132257792738118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8:50" x14ac:dyDescent="0.25"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7">
        <f t="shared" ref="W134:W197" ca="1" si="2">+NORMINV(RAND(),$U$2,$U$3)</f>
        <v>4.7019410786599797E-2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8:50" x14ac:dyDescent="0.25"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7">
        <f t="shared" ca="1" si="2"/>
        <v>0.38052073209717657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8:50" x14ac:dyDescent="0.25"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7">
        <f t="shared" ca="1" si="2"/>
        <v>3.9567047842398229E-2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8:50" x14ac:dyDescent="0.25"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7">
        <f t="shared" ca="1" si="2"/>
        <v>0.17351437094901212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8:50" x14ac:dyDescent="0.25"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7">
        <f t="shared" ca="1" si="2"/>
        <v>8.5055728443896153E-2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8:50" x14ac:dyDescent="0.25"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7">
        <f t="shared" ca="1" si="2"/>
        <v>0.17176535376085625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8:50" x14ac:dyDescent="0.25"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7">
        <f t="shared" ca="1" si="2"/>
        <v>-0.15760675332600321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8:50" x14ac:dyDescent="0.25"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7">
        <f t="shared" ca="1" si="2"/>
        <v>-1.1802705395696431E-2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8:50" x14ac:dyDescent="0.25"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7">
        <f t="shared" ca="1" si="2"/>
        <v>0.36858587466776821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8:50" x14ac:dyDescent="0.25"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7">
        <f t="shared" ca="1" si="2"/>
        <v>2.348438664388651E-2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8:50" x14ac:dyDescent="0.25"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7">
        <f t="shared" ca="1" si="2"/>
        <v>0.29605445668510216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8:50" x14ac:dyDescent="0.25"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7">
        <f t="shared" ca="1" si="2"/>
        <v>0.38245113790913038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8:50" x14ac:dyDescent="0.25"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7">
        <f t="shared" ca="1" si="2"/>
        <v>0.16008033225470489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8:50" x14ac:dyDescent="0.25"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7">
        <f t="shared" ca="1" si="2"/>
        <v>2.5493193638358183E-2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8:50" x14ac:dyDescent="0.25"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7">
        <f t="shared" ca="1" si="2"/>
        <v>-6.6326359337644289E-2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8:50" x14ac:dyDescent="0.25"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7">
        <f t="shared" ca="1" si="2"/>
        <v>-0.27144467825524221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8:50" x14ac:dyDescent="0.25"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7">
        <f t="shared" ca="1" si="2"/>
        <v>0.1250017344233797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8:50" x14ac:dyDescent="0.25"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7">
        <f t="shared" ca="1" si="2"/>
        <v>0.15151786019808847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8:50" x14ac:dyDescent="0.25"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7">
        <f t="shared" ca="1" si="2"/>
        <v>0.25141938522282081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8:50" x14ac:dyDescent="0.25"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7">
        <f t="shared" ca="1" si="2"/>
        <v>0.12729884296902003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8:50" x14ac:dyDescent="0.25"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7">
        <f t="shared" ca="1" si="2"/>
        <v>0.17435281639949049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8:50" x14ac:dyDescent="0.25"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7">
        <f t="shared" ca="1" si="2"/>
        <v>0.2045202342268207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8:50" x14ac:dyDescent="0.25"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7">
        <f t="shared" ca="1" si="2"/>
        <v>0.22275851484770332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8:50" x14ac:dyDescent="0.25"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7">
        <f t="shared" ca="1" si="2"/>
        <v>-0.13326514221541452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8:50" x14ac:dyDescent="0.25"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7">
        <f t="shared" ca="1" si="2"/>
        <v>-0.33647497830413603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8:50" x14ac:dyDescent="0.25"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7">
        <f t="shared" ca="1" si="2"/>
        <v>0.22351152396021023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8:50" x14ac:dyDescent="0.25"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7">
        <f t="shared" ca="1" si="2"/>
        <v>8.4469269076690154E-2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8:50" x14ac:dyDescent="0.25"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7">
        <f t="shared" ca="1" si="2"/>
        <v>2.6704449161970303E-2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8:50" x14ac:dyDescent="0.25"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7">
        <f t="shared" ca="1" si="2"/>
        <v>0.1147712664031473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8:50" x14ac:dyDescent="0.25"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7">
        <f t="shared" ca="1" si="2"/>
        <v>-1.7266321464437615E-2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8:50" x14ac:dyDescent="0.25"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7">
        <f t="shared" ca="1" si="2"/>
        <v>0.23985439338528697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8:50" x14ac:dyDescent="0.25"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7">
        <f t="shared" ca="1" si="2"/>
        <v>0.2642651584148879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8:50" x14ac:dyDescent="0.25"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7">
        <f t="shared" ca="1" si="2"/>
        <v>0.12765728140729773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8:50" x14ac:dyDescent="0.25"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7">
        <f t="shared" ca="1" si="2"/>
        <v>-8.2879715777073024E-2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8:50" x14ac:dyDescent="0.25"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7">
        <f t="shared" ca="1" si="2"/>
        <v>0.48458645731279593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8:50" x14ac:dyDescent="0.25"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7">
        <f t="shared" ca="1" si="2"/>
        <v>0.1050016195848848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8:50" x14ac:dyDescent="0.25"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7">
        <f t="shared" ca="1" si="2"/>
        <v>5.9811610727295177E-2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8:50" x14ac:dyDescent="0.25"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7">
        <f t="shared" ca="1" si="2"/>
        <v>5.8177423071363005E-2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8:50" x14ac:dyDescent="0.25"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7">
        <f t="shared" ca="1" si="2"/>
        <v>-5.0451354506736615E-2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8:50" x14ac:dyDescent="0.25"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7">
        <f t="shared" ca="1" si="2"/>
        <v>-0.1669268480407568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8:50" x14ac:dyDescent="0.25"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7">
        <f t="shared" ca="1" si="2"/>
        <v>0.1623441461320442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8:50" x14ac:dyDescent="0.25"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7">
        <f t="shared" ca="1" si="2"/>
        <v>-0.18544661943032548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8:50" x14ac:dyDescent="0.25"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7">
        <f t="shared" ca="1" si="2"/>
        <v>-6.8239371306222554E-2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8:50" x14ac:dyDescent="0.25"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7">
        <f t="shared" ca="1" si="2"/>
        <v>7.3197777817503418E-2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8:50" x14ac:dyDescent="0.25"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7">
        <f t="shared" ca="1" si="2"/>
        <v>0.37600893247766443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8:50" x14ac:dyDescent="0.25"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7">
        <f t="shared" ca="1" si="2"/>
        <v>0.16070225461537477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8:50" x14ac:dyDescent="0.25"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7">
        <f t="shared" ca="1" si="2"/>
        <v>6.4937045630182433E-2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8:50" x14ac:dyDescent="0.25"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7">
        <f t="shared" ca="1" si="2"/>
        <v>-4.2001224972095005E-2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8:50" x14ac:dyDescent="0.25"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7">
        <f t="shared" ca="1" si="2"/>
        <v>0.20036416478707525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8:50" x14ac:dyDescent="0.25"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7">
        <f t="shared" ca="1" si="2"/>
        <v>0.19873365960572878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8:50" x14ac:dyDescent="0.25"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7">
        <f t="shared" ca="1" si="2"/>
        <v>-0.38822913965662564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8:50" x14ac:dyDescent="0.25"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7">
        <f t="shared" ca="1" si="2"/>
        <v>4.7732227781073638E-2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8:50" x14ac:dyDescent="0.25"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7">
        <f t="shared" ca="1" si="2"/>
        <v>4.8630492958821062E-2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8:50" x14ac:dyDescent="0.25"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7">
        <f t="shared" ca="1" si="2"/>
        <v>-0.25753524021208607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8:50" x14ac:dyDescent="0.25"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7">
        <f t="shared" ca="1" si="2"/>
        <v>8.3806630967789147E-2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8:50" x14ac:dyDescent="0.25"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7">
        <f t="shared" ca="1" si="2"/>
        <v>0.14180513426820196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8:50" x14ac:dyDescent="0.25"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7">
        <f t="shared" ca="1" si="2"/>
        <v>0.44431909985934531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8:50" x14ac:dyDescent="0.25"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7">
        <f t="shared" ca="1" si="2"/>
        <v>0.13431487974263437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8:50" x14ac:dyDescent="0.25"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7">
        <f t="shared" ca="1" si="2"/>
        <v>0.10963541492791817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8:50" x14ac:dyDescent="0.25"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7">
        <f t="shared" ca="1" si="2"/>
        <v>0.22810458507459008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8:50" x14ac:dyDescent="0.25"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7">
        <f t="shared" ca="1" si="2"/>
        <v>0.17607970827172864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8:50" x14ac:dyDescent="0.25"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7">
        <f t="shared" ca="1" si="2"/>
        <v>0.42315313081572242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8:50" x14ac:dyDescent="0.25"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7">
        <f t="shared" ca="1" si="2"/>
        <v>0.39052202772350214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8:50" x14ac:dyDescent="0.25"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7">
        <f t="shared" ca="1" si="2"/>
        <v>6.2321668429237961E-2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8:50" x14ac:dyDescent="0.25"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7">
        <f t="shared" ref="W198:W261" ca="1" si="3">+NORMINV(RAND(),$U$2,$U$3)</f>
        <v>0.20299052998074735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8:50" x14ac:dyDescent="0.25"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7">
        <f t="shared" ca="1" si="3"/>
        <v>3.7319607403725474E-3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8:50" x14ac:dyDescent="0.25"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7">
        <f t="shared" ca="1" si="3"/>
        <v>0.35777993393053287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8:50" x14ac:dyDescent="0.25"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7">
        <f t="shared" ca="1" si="3"/>
        <v>0.51725724390199568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8:50" x14ac:dyDescent="0.25"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7">
        <f t="shared" ca="1" si="3"/>
        <v>-0.2504019340036211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8:50" x14ac:dyDescent="0.25"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7">
        <f t="shared" ca="1" si="3"/>
        <v>0.16284952037674386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8:50" x14ac:dyDescent="0.25"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7">
        <f t="shared" ca="1" si="3"/>
        <v>8.4233595257541552E-2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8:50" x14ac:dyDescent="0.25"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7">
        <f t="shared" ca="1" si="3"/>
        <v>0.22604071816713972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8:50" x14ac:dyDescent="0.25"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7">
        <f t="shared" ca="1" si="3"/>
        <v>1.0202793111132244E-2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8:50" x14ac:dyDescent="0.25"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7">
        <f t="shared" ca="1" si="3"/>
        <v>-9.0410549727668751E-2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8:50" x14ac:dyDescent="0.25"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7">
        <f t="shared" ca="1" si="3"/>
        <v>-0.22357640627745345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8:50" x14ac:dyDescent="0.25"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7">
        <f t="shared" ca="1" si="3"/>
        <v>0.3190096395828626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8:50" x14ac:dyDescent="0.25"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7">
        <f t="shared" ca="1" si="3"/>
        <v>-0.14745633130633934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8:50" x14ac:dyDescent="0.25"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7">
        <f t="shared" ca="1" si="3"/>
        <v>0.13248614272568271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8:50" x14ac:dyDescent="0.25"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7">
        <f t="shared" ca="1" si="3"/>
        <v>6.3463340615978817E-2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8:50" x14ac:dyDescent="0.25"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7">
        <f t="shared" ca="1" si="3"/>
        <v>4.1467264585235239E-2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8:50" x14ac:dyDescent="0.25"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7">
        <f t="shared" ca="1" si="3"/>
        <v>2.8139407338231642E-2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8:50" x14ac:dyDescent="0.25"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7">
        <f t="shared" ca="1" si="3"/>
        <v>-2.2355851745784708E-2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8:50" x14ac:dyDescent="0.25"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7">
        <f t="shared" ca="1" si="3"/>
        <v>0.14048210898269048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8:50" x14ac:dyDescent="0.25"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7">
        <f t="shared" ca="1" si="3"/>
        <v>0.42971051059425713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8:50" x14ac:dyDescent="0.25"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7">
        <f t="shared" ca="1" si="3"/>
        <v>-0.23395447821166626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8:50" x14ac:dyDescent="0.25"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7">
        <f t="shared" ca="1" si="3"/>
        <v>-0.15057800884548056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8:50" x14ac:dyDescent="0.25"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7">
        <f t="shared" ca="1" si="3"/>
        <v>0.38213734450155074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8:50" x14ac:dyDescent="0.25"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7">
        <f t="shared" ca="1" si="3"/>
        <v>3.9277249988453652E-2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8:50" x14ac:dyDescent="0.25"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7">
        <f t="shared" ca="1" si="3"/>
        <v>-3.4628795650674948E-3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8:50" x14ac:dyDescent="0.25"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7">
        <f t="shared" ca="1" si="3"/>
        <v>0.3992476130470049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8:50" x14ac:dyDescent="0.25"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7">
        <f t="shared" ca="1" si="3"/>
        <v>0.33422231509088945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8:50" x14ac:dyDescent="0.25"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7">
        <f t="shared" ca="1" si="3"/>
        <v>0.29765415069512335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8:50" x14ac:dyDescent="0.25"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7">
        <f t="shared" ca="1" si="3"/>
        <v>0.24370855278408055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8:50" x14ac:dyDescent="0.25"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7">
        <f t="shared" ca="1" si="3"/>
        <v>-9.24864610746534E-2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8:50" x14ac:dyDescent="0.25"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7">
        <f t="shared" ca="1" si="3"/>
        <v>0.21787909349715939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8:50" x14ac:dyDescent="0.25"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7">
        <f t="shared" ca="1" si="3"/>
        <v>0.20072547350776138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8:50" x14ac:dyDescent="0.25"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7">
        <f t="shared" ca="1" si="3"/>
        <v>0.13496493057138342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8:50" x14ac:dyDescent="0.25"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7">
        <f t="shared" ca="1" si="3"/>
        <v>-0.11133493306469865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8:50" x14ac:dyDescent="0.25"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7">
        <f t="shared" ca="1" si="3"/>
        <v>-2.5092079551231036E-2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8:50" x14ac:dyDescent="0.25"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7">
        <f t="shared" ca="1" si="3"/>
        <v>6.7903834447134354E-2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8:50" x14ac:dyDescent="0.25"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7">
        <f t="shared" ca="1" si="3"/>
        <v>0.24178380884083683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8:50" x14ac:dyDescent="0.25"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7">
        <f t="shared" ca="1" si="3"/>
        <v>0.34373982431104494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8:50" x14ac:dyDescent="0.25"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7">
        <f t="shared" ca="1" si="3"/>
        <v>0.26332760484182566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8:50" x14ac:dyDescent="0.25"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7">
        <f t="shared" ca="1" si="3"/>
        <v>6.3868388486139946E-2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8:50" x14ac:dyDescent="0.25"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7">
        <f t="shared" ca="1" si="3"/>
        <v>9.7053208152360348E-4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8:50" x14ac:dyDescent="0.25"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7">
        <f t="shared" ca="1" si="3"/>
        <v>0.16015061103718342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8:50" x14ac:dyDescent="0.25"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7">
        <f t="shared" ca="1" si="3"/>
        <v>2.447286425261079E-2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8:50" x14ac:dyDescent="0.25"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7">
        <f t="shared" ca="1" si="3"/>
        <v>9.4935112842389355E-2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8:50" x14ac:dyDescent="0.25"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7">
        <f t="shared" ca="1" si="3"/>
        <v>0.32555063809498375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8:50" x14ac:dyDescent="0.25"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7">
        <f t="shared" ca="1" si="3"/>
        <v>8.2082802624996731E-3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8:50" x14ac:dyDescent="0.25"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7">
        <f t="shared" ca="1" si="3"/>
        <v>-5.609529988962747E-3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8:50" x14ac:dyDescent="0.25"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7">
        <f t="shared" ca="1" si="3"/>
        <v>0.32415421988748777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8:50" x14ac:dyDescent="0.25"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7">
        <f t="shared" ca="1" si="3"/>
        <v>4.8688698637960701E-2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8:50" x14ac:dyDescent="0.25"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7">
        <f t="shared" ca="1" si="3"/>
        <v>-0.10408693966723902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8:50" x14ac:dyDescent="0.25"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7">
        <f t="shared" ca="1" si="3"/>
        <v>-0.13338083329794265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8:50" x14ac:dyDescent="0.25"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7">
        <f t="shared" ca="1" si="3"/>
        <v>0.14974313519362709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8:50" x14ac:dyDescent="0.25"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7">
        <f t="shared" ca="1" si="3"/>
        <v>-0.10120541332275436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8:50" x14ac:dyDescent="0.25"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7">
        <f t="shared" ca="1" si="3"/>
        <v>0.15938788482599592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8:50" x14ac:dyDescent="0.25"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7">
        <f t="shared" ca="1" si="3"/>
        <v>0.10929486108558387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8:50" x14ac:dyDescent="0.25"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7">
        <f t="shared" ca="1" si="3"/>
        <v>0.11532623578904376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8:50" x14ac:dyDescent="0.25"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7">
        <f t="shared" ca="1" si="3"/>
        <v>-0.20772177873122477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8:50" x14ac:dyDescent="0.25"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7">
        <f t="shared" ca="1" si="3"/>
        <v>0.43066175636504384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8:50" x14ac:dyDescent="0.25"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7">
        <f t="shared" ca="1" si="3"/>
        <v>9.8175639691685579E-2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8:50" x14ac:dyDescent="0.25"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7">
        <f t="shared" ca="1" si="3"/>
        <v>-3.9716568768243712E-2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8:50" x14ac:dyDescent="0.25"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7">
        <f t="shared" ca="1" si="3"/>
        <v>-1.5874223627100351E-2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8:50" x14ac:dyDescent="0.25"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7">
        <f t="shared" ca="1" si="3"/>
        <v>8.7941631658501745E-2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8:50" x14ac:dyDescent="0.25"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7">
        <f t="shared" ca="1" si="3"/>
        <v>7.1032610624394227E-2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8:50" x14ac:dyDescent="0.25"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7">
        <f t="shared" ca="1" si="3"/>
        <v>0.24832153068801099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8:50" x14ac:dyDescent="0.25"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7">
        <f t="shared" ref="W262:W325" ca="1" si="4">+NORMINV(RAND(),$U$2,$U$3)</f>
        <v>0.26768796955154217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8:50" x14ac:dyDescent="0.25"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7">
        <f t="shared" ca="1" si="4"/>
        <v>0.23134130895102634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8:50" x14ac:dyDescent="0.25"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7">
        <f t="shared" ca="1" si="4"/>
        <v>0.15029357775122129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8:50" x14ac:dyDescent="0.25"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7">
        <f t="shared" ca="1" si="4"/>
        <v>-2.6271920940167018E-2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8:50" x14ac:dyDescent="0.25"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7">
        <f t="shared" ca="1" si="4"/>
        <v>-4.8055079223560684E-2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8:50" x14ac:dyDescent="0.25"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7">
        <f t="shared" ca="1" si="4"/>
        <v>0.17201046700406469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8:50" x14ac:dyDescent="0.25"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7">
        <f t="shared" ca="1" si="4"/>
        <v>8.970769816626073E-2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8:50" x14ac:dyDescent="0.25"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7">
        <f t="shared" ca="1" si="4"/>
        <v>0.17929811422336084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8:50" x14ac:dyDescent="0.25"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7">
        <f t="shared" ca="1" si="4"/>
        <v>0.21681268929961062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8:50" x14ac:dyDescent="0.25"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7">
        <f t="shared" ca="1" si="4"/>
        <v>-3.6899901226704682E-2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8:50" x14ac:dyDescent="0.25"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7">
        <f t="shared" ca="1" si="4"/>
        <v>0.2994063494457575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8:50" x14ac:dyDescent="0.25"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7">
        <f t="shared" ca="1" si="4"/>
        <v>0.27507452669553384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8:50" x14ac:dyDescent="0.25"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7">
        <f t="shared" ca="1" si="4"/>
        <v>0.24109461386890352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8:50" x14ac:dyDescent="0.25"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7">
        <f t="shared" ca="1" si="4"/>
        <v>0.29060119132232293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8:50" x14ac:dyDescent="0.25"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7">
        <f t="shared" ca="1" si="4"/>
        <v>2.5897920081153172E-2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8:50" x14ac:dyDescent="0.25"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7">
        <f t="shared" ca="1" si="4"/>
        <v>0.41973856231413365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8:50" x14ac:dyDescent="0.25"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7">
        <f t="shared" ca="1" si="4"/>
        <v>0.22613861065330171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8:50" x14ac:dyDescent="0.25"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7">
        <f t="shared" ca="1" si="4"/>
        <v>1.260868892708937E-2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8:50" x14ac:dyDescent="0.25"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7">
        <f t="shared" ca="1" si="4"/>
        <v>1.1989793197923315E-2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8:50" x14ac:dyDescent="0.25"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7">
        <f t="shared" ca="1" si="4"/>
        <v>0.58980838211104303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8:50" x14ac:dyDescent="0.25"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7">
        <f t="shared" ca="1" si="4"/>
        <v>-8.772239579491041E-2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8:50" x14ac:dyDescent="0.25"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7">
        <f t="shared" ca="1" si="4"/>
        <v>5.5684374696074262E-2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8:50" x14ac:dyDescent="0.25"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7">
        <f t="shared" ca="1" si="4"/>
        <v>3.8360297390023848E-2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8:50" x14ac:dyDescent="0.25"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7">
        <f t="shared" ca="1" si="4"/>
        <v>0.20840272564381063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8:50" x14ac:dyDescent="0.25"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7">
        <f t="shared" ca="1" si="4"/>
        <v>0.12634906424862563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8:50" x14ac:dyDescent="0.25"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7">
        <f t="shared" ca="1" si="4"/>
        <v>0.20516079338071175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8:50" x14ac:dyDescent="0.25"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7">
        <f t="shared" ca="1" si="4"/>
        <v>0.27093883216109693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8:50" x14ac:dyDescent="0.25"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7">
        <f t="shared" ca="1" si="4"/>
        <v>-0.13275030066868176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8:50" x14ac:dyDescent="0.25"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7">
        <f t="shared" ca="1" si="4"/>
        <v>0.23673023771897383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8:50" x14ac:dyDescent="0.25"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7">
        <f t="shared" ca="1" si="4"/>
        <v>7.4182769496221018E-2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8:50" x14ac:dyDescent="0.25"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7">
        <f t="shared" ca="1" si="4"/>
        <v>9.4205966650548006E-2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8:50" x14ac:dyDescent="0.25"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7">
        <f t="shared" ca="1" si="4"/>
        <v>0.14474128712308956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8:50" x14ac:dyDescent="0.25"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7">
        <f t="shared" ca="1" si="4"/>
        <v>0.18933697921378889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8:50" x14ac:dyDescent="0.25"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7">
        <f t="shared" ca="1" si="4"/>
        <v>0.33045699968049969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8:50" x14ac:dyDescent="0.25"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7">
        <f t="shared" ca="1" si="4"/>
        <v>0.20607057044611063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8:50" x14ac:dyDescent="0.25"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7">
        <f t="shared" ca="1" si="4"/>
        <v>0.30023364081678355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8:50" x14ac:dyDescent="0.25"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7">
        <f t="shared" ca="1" si="4"/>
        <v>-0.16494850574541536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8:50" x14ac:dyDescent="0.25"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7">
        <f t="shared" ca="1" si="4"/>
        <v>0.25813674047559793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8:50" x14ac:dyDescent="0.25"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7">
        <f t="shared" ca="1" si="4"/>
        <v>0.36361153975440558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8:50" x14ac:dyDescent="0.25"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7">
        <f t="shared" ca="1" si="4"/>
        <v>0.40559467496802487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8:50" x14ac:dyDescent="0.25"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7">
        <f t="shared" ca="1" si="4"/>
        <v>0.50190947620324833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8:50" x14ac:dyDescent="0.25"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7">
        <f t="shared" ca="1" si="4"/>
        <v>6.7800305142435902E-2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8:50" x14ac:dyDescent="0.25"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7">
        <f t="shared" ca="1" si="4"/>
        <v>-7.6028552422610071E-2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8:50" x14ac:dyDescent="0.25"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7">
        <f t="shared" ca="1" si="4"/>
        <v>0.31314871561359159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8:50" x14ac:dyDescent="0.25"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7">
        <f t="shared" ca="1" si="4"/>
        <v>0.34383256197088879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8:50" x14ac:dyDescent="0.25"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7">
        <f t="shared" ca="1" si="4"/>
        <v>-5.3748113572315306E-2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8:50" x14ac:dyDescent="0.25"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7">
        <f t="shared" ca="1" si="4"/>
        <v>-0.18089294098812503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8:50" x14ac:dyDescent="0.25"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7">
        <f t="shared" ca="1" si="4"/>
        <v>0.14704767014212594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8:50" x14ac:dyDescent="0.25"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7">
        <f t="shared" ca="1" si="4"/>
        <v>3.2883028008728651E-2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8:50" x14ac:dyDescent="0.25"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7">
        <f t="shared" ca="1" si="4"/>
        <v>0.6944932362051971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8:50" x14ac:dyDescent="0.25"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7">
        <f t="shared" ca="1" si="4"/>
        <v>0.15089332266533173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8:50" x14ac:dyDescent="0.25"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7">
        <f t="shared" ca="1" si="4"/>
        <v>4.4043851616415691E-2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8:50" x14ac:dyDescent="0.25"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7">
        <f t="shared" ca="1" si="4"/>
        <v>0.27478749465017654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8:50" x14ac:dyDescent="0.25"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7">
        <f t="shared" ca="1" si="4"/>
        <v>0.16938449890515489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8:50" x14ac:dyDescent="0.25"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7">
        <f t="shared" ca="1" si="4"/>
        <v>0.31427545292742332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8:50" x14ac:dyDescent="0.25"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7">
        <f t="shared" ca="1" si="4"/>
        <v>3.2897619250797427E-2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8:50" x14ac:dyDescent="0.25"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7">
        <f t="shared" ca="1" si="4"/>
        <v>0.11011512947338974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8:50" x14ac:dyDescent="0.25"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7">
        <f t="shared" ca="1" si="4"/>
        <v>-8.9632075022111221E-2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8:50" x14ac:dyDescent="0.25"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7">
        <f t="shared" ca="1" si="4"/>
        <v>7.5091011429117199E-2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8:50" x14ac:dyDescent="0.25"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7">
        <f t="shared" ca="1" si="4"/>
        <v>0.53859223995327676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8:50" x14ac:dyDescent="0.25"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7">
        <f t="shared" ca="1" si="4"/>
        <v>-0.23500703252566602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8:50" x14ac:dyDescent="0.25"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7">
        <f t="shared" ca="1" si="4"/>
        <v>-7.0754284029515072E-2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8:50" x14ac:dyDescent="0.25"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7">
        <f t="shared" ca="1" si="4"/>
        <v>0.12284102236128423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8:50" x14ac:dyDescent="0.25"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7">
        <f t="shared" ca="1" si="4"/>
        <v>0.2332594737768951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8:50" x14ac:dyDescent="0.25"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7">
        <f t="shared" ref="W326:W389" ca="1" si="5">+NORMINV(RAND(),$U$2,$U$3)</f>
        <v>0.21176929076795215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8:50" x14ac:dyDescent="0.25"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7">
        <f t="shared" ca="1" si="5"/>
        <v>0.14654987983649048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8:50" x14ac:dyDescent="0.25"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7">
        <f t="shared" ca="1" si="5"/>
        <v>5.8831970703555288E-2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8:50" x14ac:dyDescent="0.25"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7">
        <f t="shared" ca="1" si="5"/>
        <v>0.15891476736386784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8:50" x14ac:dyDescent="0.25"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7">
        <f t="shared" ca="1" si="5"/>
        <v>-3.9632843452509045E-2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8:50" x14ac:dyDescent="0.25"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7">
        <f t="shared" ca="1" si="5"/>
        <v>-0.13726893650054228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8:50" x14ac:dyDescent="0.25"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7">
        <f t="shared" ca="1" si="5"/>
        <v>3.9468515805317211E-3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8:50" x14ac:dyDescent="0.25"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7">
        <f t="shared" ca="1" si="5"/>
        <v>0.17364107817996055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8:50" x14ac:dyDescent="0.25"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7">
        <f t="shared" ca="1" si="5"/>
        <v>7.157817998620894E-2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8:50" x14ac:dyDescent="0.25"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7">
        <f t="shared" ca="1" si="5"/>
        <v>-0.25697020635546008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8:50" x14ac:dyDescent="0.25"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7">
        <f t="shared" ca="1" si="5"/>
        <v>5.8686724514579895E-2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8:50" x14ac:dyDescent="0.25"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7">
        <f t="shared" ca="1" si="5"/>
        <v>0.45438159379245641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8:50" x14ac:dyDescent="0.25"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7">
        <f t="shared" ca="1" si="5"/>
        <v>-4.938579020179247E-2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8:50" x14ac:dyDescent="0.25"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7">
        <f t="shared" ca="1" si="5"/>
        <v>1.4431918167524344E-2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8:50" x14ac:dyDescent="0.25"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7">
        <f t="shared" ca="1" si="5"/>
        <v>0.15514505728236047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8:50" x14ac:dyDescent="0.25"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7">
        <f t="shared" ca="1" si="5"/>
        <v>0.59664165395282931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8:50" x14ac:dyDescent="0.25"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7">
        <f t="shared" ca="1" si="5"/>
        <v>4.4555487307328112E-2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8:50" x14ac:dyDescent="0.25"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7">
        <f t="shared" ca="1" si="5"/>
        <v>2.5587454253338832E-2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8:50" x14ac:dyDescent="0.25"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7">
        <f t="shared" ca="1" si="5"/>
        <v>6.6459967463610228E-2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8:50" x14ac:dyDescent="0.25"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7">
        <f t="shared" ca="1" si="5"/>
        <v>0.16758323797775082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8:50" x14ac:dyDescent="0.25"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7">
        <f t="shared" ca="1" si="5"/>
        <v>8.617394164704989E-2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8:50" x14ac:dyDescent="0.25"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7">
        <f t="shared" ca="1" si="5"/>
        <v>2.662036256835329E-2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8:50" x14ac:dyDescent="0.25"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7">
        <f t="shared" ca="1" si="5"/>
        <v>3.5987782369489019E-3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spans="8:50" x14ac:dyDescent="0.25"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7">
        <f t="shared" ca="1" si="5"/>
        <v>0.11257872017377919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spans="8:50" x14ac:dyDescent="0.25"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7">
        <f t="shared" ca="1" si="5"/>
        <v>3.1930979586266464E-2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spans="8:50" x14ac:dyDescent="0.25"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7">
        <f t="shared" ca="1" si="5"/>
        <v>0.19501720741642137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spans="8:50" x14ac:dyDescent="0.25"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7">
        <f t="shared" ca="1" si="5"/>
        <v>0.12134320492396447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spans="8:50" x14ac:dyDescent="0.25"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7">
        <f t="shared" ca="1" si="5"/>
        <v>0.17784354209113634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spans="8:50" x14ac:dyDescent="0.25"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7">
        <f t="shared" ca="1" si="5"/>
        <v>-0.11709579135891278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spans="8:50" x14ac:dyDescent="0.25"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7">
        <f t="shared" ca="1" si="5"/>
        <v>0.35587705604549807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spans="8:50" x14ac:dyDescent="0.25"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7">
        <f t="shared" ca="1" si="5"/>
        <v>0.19070248677373125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spans="8:50" x14ac:dyDescent="0.25"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7">
        <f t="shared" ca="1" si="5"/>
        <v>0.18845120972136331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spans="8:50" x14ac:dyDescent="0.25"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7">
        <f t="shared" ca="1" si="5"/>
        <v>-0.29602307888309309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spans="8:50" x14ac:dyDescent="0.25"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7">
        <f t="shared" ca="1" si="5"/>
        <v>-0.11471785954140278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spans="8:50" x14ac:dyDescent="0.25"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7">
        <f t="shared" ca="1" si="5"/>
        <v>0.32722008407613312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spans="8:50" x14ac:dyDescent="0.25"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7">
        <f t="shared" ca="1" si="5"/>
        <v>0.13979204124103362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spans="8:50" x14ac:dyDescent="0.25"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7">
        <f t="shared" ca="1" si="5"/>
        <v>0.26318608350450939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spans="8:50" x14ac:dyDescent="0.25"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7">
        <f t="shared" ca="1" si="5"/>
        <v>0.28683886155223398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spans="8:50" x14ac:dyDescent="0.25"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7">
        <f t="shared" ca="1" si="5"/>
        <v>1.7890864088327407E-2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spans="8:50" x14ac:dyDescent="0.25"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7">
        <f t="shared" ca="1" si="5"/>
        <v>0.35920898866888329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spans="8:50" x14ac:dyDescent="0.25"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7">
        <f t="shared" ca="1" si="5"/>
        <v>-9.2051498915189336E-2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spans="8:50" x14ac:dyDescent="0.25"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7">
        <f t="shared" ca="1" si="5"/>
        <v>0.28847632617508184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spans="8:50" x14ac:dyDescent="0.25"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7">
        <f t="shared" ca="1" si="5"/>
        <v>7.7029194551481397E-2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spans="8:50" x14ac:dyDescent="0.25"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7">
        <f t="shared" ca="1" si="5"/>
        <v>0.22725661794811697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spans="8:50" x14ac:dyDescent="0.25"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7">
        <f t="shared" ca="1" si="5"/>
        <v>-0.15177429248694757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spans="8:50" x14ac:dyDescent="0.25"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7">
        <f t="shared" ca="1" si="5"/>
        <v>0.22398087972321634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spans="8:50" x14ac:dyDescent="0.25"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7">
        <f t="shared" ca="1" si="5"/>
        <v>-0.1938946541773115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spans="8:50" x14ac:dyDescent="0.25"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7">
        <f t="shared" ca="1" si="5"/>
        <v>0.39873838527594008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spans="8:50" x14ac:dyDescent="0.25"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7">
        <f t="shared" ca="1" si="5"/>
        <v>5.8848881218022238E-2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spans="8:50" x14ac:dyDescent="0.25"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7">
        <f t="shared" ca="1" si="5"/>
        <v>0.21226323459095864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spans="8:50" x14ac:dyDescent="0.25"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7">
        <f t="shared" ca="1" si="5"/>
        <v>0.1156938363898269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spans="8:50" x14ac:dyDescent="0.25"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7">
        <f t="shared" ca="1" si="5"/>
        <v>-6.935138479134452E-2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spans="8:50" x14ac:dyDescent="0.25"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7">
        <f t="shared" ca="1" si="5"/>
        <v>0.21345817193060418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spans="8:50" x14ac:dyDescent="0.25"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7">
        <f t="shared" ca="1" si="5"/>
        <v>0.17029732776141504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spans="8:50" x14ac:dyDescent="0.25"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7">
        <f t="shared" ca="1" si="5"/>
        <v>9.6631914929298943E-2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spans="8:50" x14ac:dyDescent="0.25"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7">
        <f t="shared" ca="1" si="5"/>
        <v>5.5705706066696094E-2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spans="8:50" x14ac:dyDescent="0.25"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7">
        <f t="shared" ca="1" si="5"/>
        <v>-0.17857390073144364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spans="8:50" x14ac:dyDescent="0.25"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7">
        <f t="shared" ca="1" si="5"/>
        <v>0.13586359753755292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spans="8:50" x14ac:dyDescent="0.25"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7">
        <f t="shared" ca="1" si="5"/>
        <v>1.597506932033424E-2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spans="8:50" x14ac:dyDescent="0.25"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7">
        <f t="shared" ca="1" si="5"/>
        <v>0.1036494667891537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spans="8:50" x14ac:dyDescent="0.25"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7">
        <f t="shared" ca="1" si="5"/>
        <v>3.6054965081111945E-2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spans="8:50" x14ac:dyDescent="0.25"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7">
        <f t="shared" ca="1" si="5"/>
        <v>0.27115300317858992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spans="8:50" x14ac:dyDescent="0.25"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7">
        <f t="shared" ca="1" si="5"/>
        <v>9.7956361311331702E-2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spans="8:50" x14ac:dyDescent="0.25"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7">
        <f t="shared" ca="1" si="5"/>
        <v>7.7402299771226368E-2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spans="8:50" x14ac:dyDescent="0.25"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7">
        <f t="shared" ref="W390:W453" ca="1" si="6">+NORMINV(RAND(),$U$2,$U$3)</f>
        <v>-2.9463206156673458E-2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spans="8:50" x14ac:dyDescent="0.25"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7">
        <f t="shared" ca="1" si="6"/>
        <v>0.14099781257060129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spans="8:50" x14ac:dyDescent="0.25"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7">
        <f t="shared" ca="1" si="6"/>
        <v>0.14034689356517482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spans="8:50" x14ac:dyDescent="0.25"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7">
        <f t="shared" ca="1" si="6"/>
        <v>3.0438143402818585E-2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spans="8:50" x14ac:dyDescent="0.25"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7">
        <f t="shared" ca="1" si="6"/>
        <v>5.0583802757831905E-2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spans="8:50" x14ac:dyDescent="0.25"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7">
        <f t="shared" ca="1" si="6"/>
        <v>-9.758534118709096E-2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spans="8:50" x14ac:dyDescent="0.25"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7">
        <f t="shared" ca="1" si="6"/>
        <v>0.23395059745335042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spans="8:50" x14ac:dyDescent="0.25"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7">
        <f t="shared" ca="1" si="6"/>
        <v>-4.5954562984932237E-2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spans="8:50" x14ac:dyDescent="0.25"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7">
        <f t="shared" ca="1" si="6"/>
        <v>0.2397550634556912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spans="8:50" x14ac:dyDescent="0.25"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7">
        <f t="shared" ca="1" si="6"/>
        <v>9.0941861507202751E-2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spans="8:50" x14ac:dyDescent="0.25"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7">
        <f t="shared" ca="1" si="6"/>
        <v>6.7183498443589007E-2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spans="8:50" x14ac:dyDescent="0.25"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7">
        <f t="shared" ca="1" si="6"/>
        <v>3.9548341789379299E-2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spans="8:50" x14ac:dyDescent="0.25"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7">
        <f t="shared" ca="1" si="6"/>
        <v>-8.3775306404453173E-2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spans="8:50" x14ac:dyDescent="0.25"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7">
        <f t="shared" ca="1" si="6"/>
        <v>8.0817427557540553E-2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spans="8:50" x14ac:dyDescent="0.25"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7">
        <f t="shared" ca="1" si="6"/>
        <v>0.2751090318303766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spans="8:50" x14ac:dyDescent="0.25"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7">
        <f t="shared" ca="1" si="6"/>
        <v>-9.1015666955675187E-2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spans="8:50" x14ac:dyDescent="0.25"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7">
        <f t="shared" ca="1" si="6"/>
        <v>0.20027132807721379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8:50" x14ac:dyDescent="0.25"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7">
        <f t="shared" ca="1" si="6"/>
        <v>0.15310437175294642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spans="8:50" x14ac:dyDescent="0.25"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7">
        <f t="shared" ca="1" si="6"/>
        <v>-0.10036499564881936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spans="8:50" x14ac:dyDescent="0.25"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7">
        <f t="shared" ca="1" si="6"/>
        <v>-2.9722226332532797E-3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spans="8:50" x14ac:dyDescent="0.25"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7">
        <f t="shared" ca="1" si="6"/>
        <v>0.13379958108434567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spans="8:50" x14ac:dyDescent="0.25"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7">
        <f t="shared" ca="1" si="6"/>
        <v>0.17024619971717364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spans="8:50" x14ac:dyDescent="0.25"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7">
        <f t="shared" ca="1" si="6"/>
        <v>0.10541729858270296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spans="8:50" x14ac:dyDescent="0.25"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7">
        <f t="shared" ca="1" si="6"/>
        <v>5.3060538949834854E-2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spans="8:50" x14ac:dyDescent="0.25"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7">
        <f t="shared" ca="1" si="6"/>
        <v>0.31456011452833593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spans="8:50" x14ac:dyDescent="0.25"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7">
        <f t="shared" ca="1" si="6"/>
        <v>2.7895201327791358E-2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spans="8:50" x14ac:dyDescent="0.25"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7">
        <f t="shared" ca="1" si="6"/>
        <v>-3.8321515987343915E-2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spans="8:50" x14ac:dyDescent="0.25"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7">
        <f t="shared" ca="1" si="6"/>
        <v>0.26698211279662321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spans="8:50" x14ac:dyDescent="0.25"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7">
        <f t="shared" ca="1" si="6"/>
        <v>-0.23208376212830489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spans="8:50" x14ac:dyDescent="0.25"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7">
        <f t="shared" ca="1" si="6"/>
        <v>0.43265992612808923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spans="8:50" x14ac:dyDescent="0.25"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7">
        <f t="shared" ca="1" si="6"/>
        <v>0.29397594324476745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spans="8:50" x14ac:dyDescent="0.25"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7">
        <f t="shared" ca="1" si="6"/>
        <v>-0.37462531477303934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spans="8:50" x14ac:dyDescent="0.25"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7">
        <f t="shared" ca="1" si="6"/>
        <v>5.0198765438117451E-2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spans="8:50" x14ac:dyDescent="0.25"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7">
        <f t="shared" ca="1" si="6"/>
        <v>-2.2082464915201119E-2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spans="8:50" x14ac:dyDescent="0.25"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7">
        <f t="shared" ca="1" si="6"/>
        <v>0.17678815269827264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spans="8:50" x14ac:dyDescent="0.25"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7">
        <f t="shared" ca="1" si="6"/>
        <v>0.19361463991617997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spans="8:50" x14ac:dyDescent="0.25"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7">
        <f t="shared" ca="1" si="6"/>
        <v>0.29706228553977543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spans="8:50" x14ac:dyDescent="0.25"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7">
        <f t="shared" ca="1" si="6"/>
        <v>7.9645083950280054E-3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spans="8:50" x14ac:dyDescent="0.25"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7">
        <f t="shared" ca="1" si="6"/>
        <v>7.7528884429450801E-2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spans="8:50" x14ac:dyDescent="0.25"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7">
        <f t="shared" ca="1" si="6"/>
        <v>-2.0387910066497691E-2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spans="8:50" x14ac:dyDescent="0.25"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7">
        <f t="shared" ca="1" si="6"/>
        <v>9.6638786934002519E-2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spans="8:50" x14ac:dyDescent="0.25"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7">
        <f t="shared" ca="1" si="6"/>
        <v>8.8266462538969179E-2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spans="8:50" x14ac:dyDescent="0.25"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7">
        <f t="shared" ca="1" si="6"/>
        <v>0.53389301536907108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spans="8:50" x14ac:dyDescent="0.25"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7">
        <f t="shared" ca="1" si="6"/>
        <v>4.7637485647630373E-2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spans="8:50" x14ac:dyDescent="0.25"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7">
        <f t="shared" ca="1" si="6"/>
        <v>5.6860870913326561E-3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spans="8:50" x14ac:dyDescent="0.25"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7">
        <f t="shared" ca="1" si="6"/>
        <v>0.1746837271821364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spans="8:50" x14ac:dyDescent="0.25"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7">
        <f t="shared" ca="1" si="6"/>
        <v>0.12092483765624747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spans="8:50" x14ac:dyDescent="0.25"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7">
        <f t="shared" ca="1" si="6"/>
        <v>3.7007194660993281E-2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spans="8:50" x14ac:dyDescent="0.25"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7">
        <f t="shared" ca="1" si="6"/>
        <v>0.27430999275765588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spans="8:50" x14ac:dyDescent="0.25"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7">
        <f t="shared" ca="1" si="6"/>
        <v>0.10393854521940198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spans="8:50" x14ac:dyDescent="0.25"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7">
        <f t="shared" ca="1" si="6"/>
        <v>-4.1302813003602362E-3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spans="8:50" x14ac:dyDescent="0.25"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7">
        <f t="shared" ca="1" si="6"/>
        <v>-0.20864853208785222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spans="8:50" x14ac:dyDescent="0.25"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7">
        <f t="shared" ca="1" si="6"/>
        <v>-0.2897826477523287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spans="8:50" x14ac:dyDescent="0.25"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7">
        <f t="shared" ca="1" si="6"/>
        <v>0.15418056050034012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spans="8:50" x14ac:dyDescent="0.25"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7">
        <f t="shared" ca="1" si="6"/>
        <v>3.2525779383334147E-2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spans="8:50" x14ac:dyDescent="0.25"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7">
        <f t="shared" ca="1" si="6"/>
        <v>0.30944118167917622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spans="8:50" x14ac:dyDescent="0.25"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7">
        <f t="shared" ca="1" si="6"/>
        <v>-1.2587277869681654E-2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spans="8:50" x14ac:dyDescent="0.25"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7">
        <f t="shared" ca="1" si="6"/>
        <v>0.27968607988919753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spans="8:50" x14ac:dyDescent="0.25"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7">
        <f t="shared" ca="1" si="6"/>
        <v>0.1821827477447174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spans="8:50" x14ac:dyDescent="0.25"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7">
        <f t="shared" ca="1" si="6"/>
        <v>4.6268684831081444E-2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spans="8:50" x14ac:dyDescent="0.25"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7">
        <f t="shared" ca="1" si="6"/>
        <v>8.7265059704816295E-2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spans="8:50" x14ac:dyDescent="0.25"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7">
        <f t="shared" ca="1" si="6"/>
        <v>-0.10300755464021223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spans="8:50" x14ac:dyDescent="0.25"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7">
        <f t="shared" ca="1" si="6"/>
        <v>0.24051193029808637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spans="8:50" x14ac:dyDescent="0.25"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7">
        <f t="shared" ca="1" si="6"/>
        <v>0.14283493014078621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spans="8:50" x14ac:dyDescent="0.25"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7">
        <f t="shared" ref="W454:W517" ca="1" si="7">+NORMINV(RAND(),$U$2,$U$3)</f>
        <v>0.11059622771700371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spans="8:50" x14ac:dyDescent="0.25"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7">
        <f t="shared" ca="1" si="7"/>
        <v>-0.11544133661801038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spans="8:50" x14ac:dyDescent="0.25"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7">
        <f t="shared" ca="1" si="7"/>
        <v>1.8121490782648908E-2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spans="8:50" x14ac:dyDescent="0.25"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7">
        <f t="shared" ca="1" si="7"/>
        <v>0.15083538869248297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spans="8:50" x14ac:dyDescent="0.25"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7">
        <f t="shared" ca="1" si="7"/>
        <v>-0.14454377462284151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spans="8:50" x14ac:dyDescent="0.25"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7">
        <f t="shared" ca="1" si="7"/>
        <v>9.8082010454261098E-3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spans="8:50" x14ac:dyDescent="0.25"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7">
        <f t="shared" ca="1" si="7"/>
        <v>0.14227347950943822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spans="8:50" x14ac:dyDescent="0.25"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7">
        <f t="shared" ca="1" si="7"/>
        <v>0.38935209970979756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spans="8:50" x14ac:dyDescent="0.25"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7">
        <f t="shared" ca="1" si="7"/>
        <v>3.2135421766156247E-3</v>
      </c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spans="8:50" x14ac:dyDescent="0.25"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7">
        <f t="shared" ca="1" si="7"/>
        <v>0.30624500511363995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spans="8:50" x14ac:dyDescent="0.25"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7">
        <f t="shared" ca="1" si="7"/>
        <v>0.23716940515667223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spans="8:50" x14ac:dyDescent="0.25"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7">
        <f t="shared" ca="1" si="7"/>
        <v>0.36648385872147782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spans="8:50" x14ac:dyDescent="0.25"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7">
        <f t="shared" ca="1" si="7"/>
        <v>-0.15027247645947051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spans="8:50" x14ac:dyDescent="0.25"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7">
        <f t="shared" ca="1" si="7"/>
        <v>0.26851623565982213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spans="8:50" x14ac:dyDescent="0.25"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7">
        <f t="shared" ca="1" si="7"/>
        <v>-1.1450466321913544E-2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spans="8:50" x14ac:dyDescent="0.25"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7">
        <f t="shared" ca="1" si="7"/>
        <v>-4.4285954819385506E-2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spans="8:50" x14ac:dyDescent="0.25"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7">
        <f t="shared" ca="1" si="7"/>
        <v>0.20664687652194672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spans="8:50" x14ac:dyDescent="0.25"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7">
        <f t="shared" ca="1" si="7"/>
        <v>0.2999583531222933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spans="8:50" x14ac:dyDescent="0.25"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7">
        <f t="shared" ca="1" si="7"/>
        <v>0.31313175441854701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spans="8:50" x14ac:dyDescent="0.25"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7">
        <f t="shared" ca="1" si="7"/>
        <v>5.0344688558312173E-2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spans="8:50" x14ac:dyDescent="0.25"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7">
        <f t="shared" ca="1" si="7"/>
        <v>0.38446022572493305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spans="8:50" x14ac:dyDescent="0.25"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7">
        <f t="shared" ca="1" si="7"/>
        <v>8.7866867125330733E-2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spans="8:50" x14ac:dyDescent="0.25"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7">
        <f t="shared" ca="1" si="7"/>
        <v>1.0435749802931729E-2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spans="8:50" x14ac:dyDescent="0.25"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7">
        <f t="shared" ca="1" si="7"/>
        <v>0.41186291684898235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spans="8:50" x14ac:dyDescent="0.25"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7">
        <f t="shared" ca="1" si="7"/>
        <v>0.32270605041636041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spans="8:50" x14ac:dyDescent="0.25"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7">
        <f t="shared" ca="1" si="7"/>
        <v>-6.721115344232638E-2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spans="8:50" x14ac:dyDescent="0.25"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7">
        <f t="shared" ca="1" si="7"/>
        <v>3.3402329011854276E-2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spans="8:50" x14ac:dyDescent="0.25"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7">
        <f t="shared" ca="1" si="7"/>
        <v>0.42751090484896009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spans="8:50" x14ac:dyDescent="0.25"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7">
        <f t="shared" ca="1" si="7"/>
        <v>8.8919370061660188E-2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spans="8:50" x14ac:dyDescent="0.25"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7">
        <f t="shared" ca="1" si="7"/>
        <v>0.16162834891503225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spans="8:50" x14ac:dyDescent="0.25"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7">
        <f t="shared" ca="1" si="7"/>
        <v>0.38857308824777959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spans="8:50" x14ac:dyDescent="0.25"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7">
        <f t="shared" ca="1" si="7"/>
        <v>-3.5958303137157185E-2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spans="8:50" x14ac:dyDescent="0.25"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7">
        <f t="shared" ca="1" si="7"/>
        <v>-0.10498189299588563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spans="8:50" x14ac:dyDescent="0.25"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7">
        <f t="shared" ca="1" si="7"/>
        <v>9.3000045419621008E-3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spans="8:50" x14ac:dyDescent="0.25"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7">
        <f t="shared" ca="1" si="7"/>
        <v>0.272319407282341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spans="8:50" x14ac:dyDescent="0.25"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7">
        <f t="shared" ca="1" si="7"/>
        <v>-0.17602536343737385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spans="8:50" x14ac:dyDescent="0.25"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7">
        <f t="shared" ca="1" si="7"/>
        <v>-9.6358187850487401E-2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spans="8:50" x14ac:dyDescent="0.25"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7">
        <f t="shared" ca="1" si="7"/>
        <v>0.57993505131716483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spans="8:50" x14ac:dyDescent="0.25"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7">
        <f t="shared" ca="1" si="7"/>
        <v>6.6550181536772779E-2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spans="8:50" x14ac:dyDescent="0.25"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7">
        <f t="shared" ca="1" si="7"/>
        <v>0.14613947558798951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spans="8:50" x14ac:dyDescent="0.25"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7">
        <f t="shared" ca="1" si="7"/>
        <v>0.11483992878420134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spans="8:50" x14ac:dyDescent="0.25"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7">
        <f t="shared" ca="1" si="7"/>
        <v>6.331862792844839E-2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spans="8:50" x14ac:dyDescent="0.25"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7">
        <f t="shared" ca="1" si="7"/>
        <v>0.17094811730521964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spans="8:50" x14ac:dyDescent="0.25"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7">
        <f t="shared" ca="1" si="7"/>
        <v>-4.7299659000989744E-2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spans="8:50" x14ac:dyDescent="0.25"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7">
        <f t="shared" ca="1" si="7"/>
        <v>0.12656652895403686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spans="8:50" x14ac:dyDescent="0.25"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7">
        <f t="shared" ca="1" si="7"/>
        <v>0.13349752204446452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spans="8:50" x14ac:dyDescent="0.25"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7">
        <f t="shared" ca="1" si="7"/>
        <v>0.39320769730839994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spans="8:50" x14ac:dyDescent="0.25"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7">
        <f t="shared" ca="1" si="7"/>
        <v>0.50984097424011954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spans="8:50" x14ac:dyDescent="0.25"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7">
        <f t="shared" ca="1" si="7"/>
        <v>8.4491422612878786E-2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spans="8:50" x14ac:dyDescent="0.25"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7">
        <f t="shared" ca="1" si="7"/>
        <v>3.2043231549588422E-2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spans="8:50" x14ac:dyDescent="0.25"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7">
        <f t="shared" ca="1" si="7"/>
        <v>-3.923333331731084E-2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spans="8:50" x14ac:dyDescent="0.25"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7">
        <f t="shared" ca="1" si="7"/>
        <v>2.0605509338278011E-3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spans="8:50" x14ac:dyDescent="0.25"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7">
        <f t="shared" ca="1" si="7"/>
        <v>-0.14840551154063047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spans="8:50" x14ac:dyDescent="0.25"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7">
        <f t="shared" ca="1" si="7"/>
        <v>0.14003847865000671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spans="8:50" x14ac:dyDescent="0.25"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7">
        <f t="shared" ca="1" si="7"/>
        <v>-1.1290395854055515E-2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spans="8:50" x14ac:dyDescent="0.25"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7">
        <f t="shared" ca="1" si="7"/>
        <v>0.13313697483312847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spans="8:50" x14ac:dyDescent="0.25"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7">
        <f t="shared" ca="1" si="7"/>
        <v>-0.2786112015878312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spans="8:50" x14ac:dyDescent="0.25"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7">
        <f t="shared" ca="1" si="7"/>
        <v>0.24887003573330202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spans="8:50" x14ac:dyDescent="0.25"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7">
        <f t="shared" ca="1" si="7"/>
        <v>0.18489835409238897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spans="8:50" x14ac:dyDescent="0.25"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7">
        <f t="shared" ca="1" si="7"/>
        <v>-3.3716986941529817E-2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spans="8:50" x14ac:dyDescent="0.25"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7">
        <f t="shared" ca="1" si="7"/>
        <v>0.27390623845157097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spans="8:50" x14ac:dyDescent="0.25"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7">
        <f t="shared" ca="1" si="7"/>
        <v>0.17347032499232495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spans="8:50" x14ac:dyDescent="0.25"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7">
        <f t="shared" ca="1" si="7"/>
        <v>-3.2195416688681269E-2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spans="8:50" x14ac:dyDescent="0.25"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7">
        <f t="shared" ca="1" si="7"/>
        <v>0.24195457191963243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spans="8:50" x14ac:dyDescent="0.25"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7">
        <f t="shared" ref="W518:W581" ca="1" si="8">+NORMINV(RAND(),$U$2,$U$3)</f>
        <v>0.21783638385139509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spans="8:50" x14ac:dyDescent="0.25"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7">
        <f t="shared" ca="1" si="8"/>
        <v>-0.2465905256049688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spans="8:50" x14ac:dyDescent="0.25"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7">
        <f t="shared" ca="1" si="8"/>
        <v>6.5273144727371668E-2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spans="8:50" x14ac:dyDescent="0.25"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7">
        <f t="shared" ca="1" si="8"/>
        <v>-7.9524969195451475E-2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spans="8:50" x14ac:dyDescent="0.25"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7">
        <f t="shared" ca="1" si="8"/>
        <v>0.17741727614923514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spans="8:50" x14ac:dyDescent="0.25"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7">
        <f t="shared" ca="1" si="8"/>
        <v>0.24866883334611284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spans="8:50" x14ac:dyDescent="0.25"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7">
        <f t="shared" ca="1" si="8"/>
        <v>0.23238875503319051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spans="8:50" x14ac:dyDescent="0.25"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7">
        <f t="shared" ca="1" si="8"/>
        <v>0.45761093252336088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spans="8:50" x14ac:dyDescent="0.25"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7">
        <f t="shared" ca="1" si="8"/>
        <v>-9.0840066029086355E-2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spans="8:50" x14ac:dyDescent="0.25"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7">
        <f t="shared" ca="1" si="8"/>
        <v>-7.2703497492989419E-2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spans="8:50" x14ac:dyDescent="0.25"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7">
        <f t="shared" ca="1" si="8"/>
        <v>7.0095935488039204E-2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spans="8:50" x14ac:dyDescent="0.25"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7">
        <f t="shared" ca="1" si="8"/>
        <v>0.36648856215183057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spans="8:50" x14ac:dyDescent="0.25"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7">
        <f t="shared" ca="1" si="8"/>
        <v>0.16364390930618197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spans="8:50" x14ac:dyDescent="0.25"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7">
        <f t="shared" ca="1" si="8"/>
        <v>-6.2937553171503555E-2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spans="8:50" x14ac:dyDescent="0.25"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7">
        <f t="shared" ca="1" si="8"/>
        <v>0.1966007716448607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spans="8:50" x14ac:dyDescent="0.25"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7">
        <f t="shared" ca="1" si="8"/>
        <v>0.46839067652146393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spans="8:50" x14ac:dyDescent="0.25"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7">
        <f t="shared" ca="1" si="8"/>
        <v>-0.3287458133841295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spans="8:50" x14ac:dyDescent="0.25"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7">
        <f t="shared" ca="1" si="8"/>
        <v>-1.2925980616961499E-2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spans="8:50" x14ac:dyDescent="0.25"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7">
        <f t="shared" ca="1" si="8"/>
        <v>0.34237261606949682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spans="8:50" x14ac:dyDescent="0.25"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7">
        <f t="shared" ca="1" si="8"/>
        <v>6.5224471722140659E-2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spans="8:50" x14ac:dyDescent="0.25"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7">
        <f t="shared" ca="1" si="8"/>
        <v>4.3969670005789233E-2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spans="8:50" x14ac:dyDescent="0.25"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7">
        <f t="shared" ca="1" si="8"/>
        <v>0.23878455331475668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spans="8:50" x14ac:dyDescent="0.25"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7">
        <f t="shared" ca="1" si="8"/>
        <v>0.1184696693199041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spans="8:50" x14ac:dyDescent="0.25"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7">
        <f t="shared" ca="1" si="8"/>
        <v>0.30778909503809876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spans="8:50" x14ac:dyDescent="0.25"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7">
        <f t="shared" ca="1" si="8"/>
        <v>0.23743967088121859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spans="8:50" x14ac:dyDescent="0.25"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7">
        <f t="shared" ca="1" si="8"/>
        <v>5.3100352899162505E-2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spans="8:50" x14ac:dyDescent="0.25"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7">
        <f t="shared" ca="1" si="8"/>
        <v>8.3289807579167999E-2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spans="8:50" x14ac:dyDescent="0.25"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7">
        <f t="shared" ca="1" si="8"/>
        <v>-8.5033122713424766E-2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spans="8:50" x14ac:dyDescent="0.25"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7">
        <f t="shared" ca="1" si="8"/>
        <v>0.15456275356946564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spans="8:50" x14ac:dyDescent="0.25"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7">
        <f t="shared" ca="1" si="8"/>
        <v>0.38931482305857751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spans="8:50" x14ac:dyDescent="0.25"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7">
        <f t="shared" ca="1" si="8"/>
        <v>-0.28778405760672315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spans="8:50" x14ac:dyDescent="0.25"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7">
        <f t="shared" ca="1" si="8"/>
        <v>0.37200526794885697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spans="8:50" x14ac:dyDescent="0.25"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7">
        <f t="shared" ca="1" si="8"/>
        <v>0.32286982012195309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spans="8:50" x14ac:dyDescent="0.25"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7">
        <f t="shared" ca="1" si="8"/>
        <v>0.32677209380061262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spans="8:50" x14ac:dyDescent="0.25"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7">
        <f t="shared" ca="1" si="8"/>
        <v>1.8527114447948939E-2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spans="8:50" x14ac:dyDescent="0.25"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7">
        <f t="shared" ca="1" si="8"/>
        <v>-4.3331567849646854E-2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spans="8:50" x14ac:dyDescent="0.25"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7">
        <f t="shared" ca="1" si="8"/>
        <v>0.11694247555338727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spans="8:50" x14ac:dyDescent="0.25"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7">
        <f t="shared" ca="1" si="8"/>
        <v>0.35630769285786207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spans="8:50" x14ac:dyDescent="0.25"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7">
        <f t="shared" ca="1" si="8"/>
        <v>-0.12997826112473654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spans="8:50" x14ac:dyDescent="0.25"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7">
        <f t="shared" ca="1" si="8"/>
        <v>0.37791771162634791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spans="8:50" x14ac:dyDescent="0.25"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7">
        <f t="shared" ca="1" si="8"/>
        <v>0.15670462895993434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spans="8:50" x14ac:dyDescent="0.25"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7">
        <f t="shared" ca="1" si="8"/>
        <v>-0.14861930006155427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spans="8:50" x14ac:dyDescent="0.25"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7">
        <f t="shared" ca="1" si="8"/>
        <v>0.15020267749638219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spans="8:50" x14ac:dyDescent="0.25"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7">
        <f t="shared" ca="1" si="8"/>
        <v>0.17913521398952337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spans="8:50" x14ac:dyDescent="0.25"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7">
        <f t="shared" ca="1" si="8"/>
        <v>0.163876289840171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spans="8:50" x14ac:dyDescent="0.25"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7">
        <f t="shared" ca="1" si="8"/>
        <v>0.29861623975188384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spans="8:50" x14ac:dyDescent="0.25"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7">
        <f t="shared" ca="1" si="8"/>
        <v>-7.1593478253785398E-3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spans="8:50" x14ac:dyDescent="0.25"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7">
        <f t="shared" ca="1" si="8"/>
        <v>-0.19898393402245912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spans="8:50" x14ac:dyDescent="0.25"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7">
        <f t="shared" ca="1" si="8"/>
        <v>-9.1380812237768491E-2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spans="8:50" x14ac:dyDescent="0.25"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7">
        <f t="shared" ca="1" si="8"/>
        <v>5.5329463199318779E-2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spans="8:50" x14ac:dyDescent="0.25"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7">
        <f t="shared" ca="1" si="8"/>
        <v>4.3051285391524904E-2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spans="8:50" x14ac:dyDescent="0.25"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7">
        <f t="shared" ca="1" si="8"/>
        <v>0.17148764148942236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spans="8:50" x14ac:dyDescent="0.25"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7">
        <f t="shared" ca="1" si="8"/>
        <v>0.19498220369576863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spans="8:50" x14ac:dyDescent="0.25"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7">
        <f t="shared" ca="1" si="8"/>
        <v>-1.5932447160301608E-2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spans="8:50" x14ac:dyDescent="0.25"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7">
        <f t="shared" ca="1" si="8"/>
        <v>-7.0018109667669928E-2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spans="8:50" x14ac:dyDescent="0.25"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7">
        <f t="shared" ca="1" si="8"/>
        <v>0.24295090428849797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spans="8:50" x14ac:dyDescent="0.25"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7">
        <f t="shared" ca="1" si="8"/>
        <v>0.17254235788597047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spans="8:50" x14ac:dyDescent="0.25"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7">
        <f t="shared" ca="1" si="8"/>
        <v>6.6692171708242098E-2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spans="8:50" x14ac:dyDescent="0.25"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7">
        <f t="shared" ca="1" si="8"/>
        <v>-5.3875600057515668E-2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spans="8:50" x14ac:dyDescent="0.25"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7">
        <f t="shared" ca="1" si="8"/>
        <v>0.14518040989689013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spans="8:50" x14ac:dyDescent="0.25"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7">
        <f t="shared" ca="1" si="8"/>
        <v>-8.6863714326740962E-2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spans="8:50" x14ac:dyDescent="0.25"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7">
        <f t="shared" ca="1" si="8"/>
        <v>-0.24459194028743753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spans="8:50" x14ac:dyDescent="0.25"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7">
        <f t="shared" ca="1" si="8"/>
        <v>-9.1851764623347709E-4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spans="8:50" x14ac:dyDescent="0.25"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7">
        <f t="shared" ca="1" si="8"/>
        <v>1.1538913470833675E-2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spans="8:50" x14ac:dyDescent="0.25"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7">
        <f t="shared" ref="W582:W645" ca="1" si="9">+NORMINV(RAND(),$U$2,$U$3)</f>
        <v>0.18202539162987985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spans="8:50" x14ac:dyDescent="0.25"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7">
        <f t="shared" ca="1" si="9"/>
        <v>9.9586282131874676E-2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spans="8:50" x14ac:dyDescent="0.25"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7">
        <f t="shared" ca="1" si="9"/>
        <v>8.675790300790881E-3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spans="8:50" x14ac:dyDescent="0.25"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7">
        <f t="shared" ca="1" si="9"/>
        <v>0.15353270609770425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spans="8:50" x14ac:dyDescent="0.25"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7">
        <f t="shared" ca="1" si="9"/>
        <v>0.49521363643586974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spans="8:50" x14ac:dyDescent="0.25"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7">
        <f t="shared" ca="1" si="9"/>
        <v>5.8320720599571933E-2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spans="8:50" x14ac:dyDescent="0.25"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7">
        <f t="shared" ca="1" si="9"/>
        <v>4.4542406144644081E-2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spans="8:50" x14ac:dyDescent="0.25"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7">
        <f t="shared" ca="1" si="9"/>
        <v>-2.5215406865403397E-2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spans="8:50" x14ac:dyDescent="0.25"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7">
        <f t="shared" ca="1" si="9"/>
        <v>0.23303247097933849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spans="8:50" x14ac:dyDescent="0.25"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7">
        <f t="shared" ca="1" si="9"/>
        <v>-0.11853005486536915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spans="8:50" x14ac:dyDescent="0.25"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7">
        <f t="shared" ca="1" si="9"/>
        <v>-6.7512351137080331E-2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spans="8:50" x14ac:dyDescent="0.25"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7">
        <f t="shared" ca="1" si="9"/>
        <v>-0.17414598396498798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spans="8:50" x14ac:dyDescent="0.25"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7">
        <f t="shared" ca="1" si="9"/>
        <v>-4.1737067432926031E-2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spans="8:50" x14ac:dyDescent="0.25"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7">
        <f t="shared" ca="1" si="9"/>
        <v>0.1473139227955754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spans="8:50" x14ac:dyDescent="0.25"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7">
        <f t="shared" ca="1" si="9"/>
        <v>-0.13649939516300896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spans="8:50" x14ac:dyDescent="0.25"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7">
        <f t="shared" ca="1" si="9"/>
        <v>0.14097648712550243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spans="8:50" x14ac:dyDescent="0.25"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7">
        <f t="shared" ca="1" si="9"/>
        <v>1.7218386914199649E-2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spans="8:50" x14ac:dyDescent="0.25"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7">
        <f t="shared" ca="1" si="9"/>
        <v>0.10191728255210389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spans="8:50" x14ac:dyDescent="0.25"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7">
        <f t="shared" ca="1" si="9"/>
        <v>8.859787123108688E-2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spans="8:50" x14ac:dyDescent="0.25"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7">
        <f t="shared" ca="1" si="9"/>
        <v>0.38643092717164057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spans="8:50" x14ac:dyDescent="0.25"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7">
        <f t="shared" ca="1" si="9"/>
        <v>0.22809896791851436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spans="8:50" x14ac:dyDescent="0.25"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7">
        <f t="shared" ca="1" si="9"/>
        <v>0.22229540188300337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spans="8:50" x14ac:dyDescent="0.25"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7">
        <f t="shared" ca="1" si="9"/>
        <v>0.16785539665298871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spans="8:50" x14ac:dyDescent="0.25"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7">
        <f t="shared" ca="1" si="9"/>
        <v>0.23150679653175232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spans="8:50" x14ac:dyDescent="0.25"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7">
        <f t="shared" ca="1" si="9"/>
        <v>7.0259493018003855E-2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spans="8:50" x14ac:dyDescent="0.25"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7">
        <f t="shared" ca="1" si="9"/>
        <v>0.37744389703974612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spans="8:50" x14ac:dyDescent="0.25"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7">
        <f t="shared" ca="1" si="9"/>
        <v>0.31974151134826045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spans="8:50" x14ac:dyDescent="0.25"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7">
        <f t="shared" ca="1" si="9"/>
        <v>5.9182340757936533E-2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spans="8:50" x14ac:dyDescent="0.25"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7">
        <f t="shared" ca="1" si="9"/>
        <v>8.6397614729811167E-2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spans="8:50" x14ac:dyDescent="0.25"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7">
        <f t="shared" ca="1" si="9"/>
        <v>0.53201822810411004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spans="8:50" x14ac:dyDescent="0.25"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7">
        <f t="shared" ca="1" si="9"/>
        <v>0.30096310389560882</v>
      </c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spans="8:50" x14ac:dyDescent="0.25"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7">
        <f t="shared" ca="1" si="9"/>
        <v>7.8135549603450816E-3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spans="8:50" x14ac:dyDescent="0.25"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7">
        <f t="shared" ca="1" si="9"/>
        <v>0.26131959788520254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spans="8:50" x14ac:dyDescent="0.25"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7">
        <f t="shared" ca="1" si="9"/>
        <v>-8.152213670394555E-2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spans="8:50" x14ac:dyDescent="0.25"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7">
        <f t="shared" ca="1" si="9"/>
        <v>2.7601123387576074E-2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spans="8:50" x14ac:dyDescent="0.25"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7">
        <f t="shared" ca="1" si="9"/>
        <v>0.13185743144080153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spans="8:50" x14ac:dyDescent="0.25"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7">
        <f t="shared" ca="1" si="9"/>
        <v>-0.2565443660405079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spans="8:50" x14ac:dyDescent="0.25"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7">
        <f t="shared" ca="1" si="9"/>
        <v>0.24771700986371481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spans="8:50" x14ac:dyDescent="0.25"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7">
        <f t="shared" ca="1" si="9"/>
        <v>0.33838228503034551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spans="8:50" x14ac:dyDescent="0.25"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7">
        <f t="shared" ca="1" si="9"/>
        <v>5.9396516133073687E-2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spans="8:50" x14ac:dyDescent="0.25"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7">
        <f t="shared" ca="1" si="9"/>
        <v>0.17911855490320924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spans="8:50" x14ac:dyDescent="0.25"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7">
        <f t="shared" ca="1" si="9"/>
        <v>-9.1178787300629741E-2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spans="8:50" x14ac:dyDescent="0.25"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7">
        <f t="shared" ca="1" si="9"/>
        <v>-0.29110981463055952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spans="8:50" x14ac:dyDescent="0.25"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7">
        <f t="shared" ca="1" si="9"/>
        <v>0.27525074878846012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spans="8:50" x14ac:dyDescent="0.25"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7">
        <f t="shared" ca="1" si="9"/>
        <v>5.0660063912050302E-2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spans="8:50" x14ac:dyDescent="0.25"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7">
        <f t="shared" ca="1" si="9"/>
        <v>0.21380648243903136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spans="8:50" x14ac:dyDescent="0.25"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7">
        <f t="shared" ca="1" si="9"/>
        <v>0.25174927464308988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spans="8:50" x14ac:dyDescent="0.25"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7">
        <f t="shared" ca="1" si="9"/>
        <v>0.15542931016440159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spans="8:50" x14ac:dyDescent="0.25"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7">
        <f t="shared" ca="1" si="9"/>
        <v>0.2928915610083887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spans="8:50" x14ac:dyDescent="0.25"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7">
        <f t="shared" ca="1" si="9"/>
        <v>9.8663414999057356E-2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spans="8:50" x14ac:dyDescent="0.25"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7">
        <f t="shared" ca="1" si="9"/>
        <v>0.49670905858288378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spans="8:50" x14ac:dyDescent="0.25"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7">
        <f t="shared" ca="1" si="9"/>
        <v>0.14058354986578334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spans="8:50" x14ac:dyDescent="0.25"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7">
        <f t="shared" ca="1" si="9"/>
        <v>0.30192317905702948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spans="8:50" x14ac:dyDescent="0.25"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7">
        <f t="shared" ca="1" si="9"/>
        <v>0.14581154262002871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spans="8:50" x14ac:dyDescent="0.25"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7">
        <f t="shared" ca="1" si="9"/>
        <v>0.16349485955345655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spans="8:50" x14ac:dyDescent="0.25"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7">
        <f t="shared" ca="1" si="9"/>
        <v>6.5244493404392132E-2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spans="8:50" x14ac:dyDescent="0.25"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7">
        <f t="shared" ca="1" si="9"/>
        <v>-6.3904803379104258E-3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spans="8:50" x14ac:dyDescent="0.25"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7">
        <f t="shared" ca="1" si="9"/>
        <v>6.6603119817857548E-2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spans="8:50" x14ac:dyDescent="0.25"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7">
        <f t="shared" ca="1" si="9"/>
        <v>0.20228639313051455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spans="8:50" x14ac:dyDescent="0.25"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7">
        <f t="shared" ca="1" si="9"/>
        <v>0.16071762844580767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spans="8:50" x14ac:dyDescent="0.25"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7">
        <f t="shared" ca="1" si="9"/>
        <v>0.19948141914563389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spans="8:50" x14ac:dyDescent="0.25"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7">
        <f t="shared" ca="1" si="9"/>
        <v>-1.4658715815972542E-2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spans="8:50" x14ac:dyDescent="0.25"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7">
        <f t="shared" ca="1" si="9"/>
        <v>0.17809860522790921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spans="8:50" x14ac:dyDescent="0.25"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7">
        <f t="shared" ca="1" si="9"/>
        <v>0.18151022894744367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spans="8:50" x14ac:dyDescent="0.25"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7">
        <f t="shared" ref="W646:W709" ca="1" si="10">+NORMINV(RAND(),$U$2,$U$3)</f>
        <v>0.11055855039227061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spans="8:50" x14ac:dyDescent="0.25"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7">
        <f t="shared" ca="1" si="10"/>
        <v>6.456930980402964E-2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spans="8:50" x14ac:dyDescent="0.25"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7">
        <f t="shared" ca="1" si="10"/>
        <v>-0.15400223554571363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spans="8:50" x14ac:dyDescent="0.25"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7">
        <f t="shared" ca="1" si="10"/>
        <v>0.31477321366066446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spans="8:50" x14ac:dyDescent="0.25"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7">
        <f t="shared" ca="1" si="10"/>
        <v>0.18588350855224264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spans="8:50" x14ac:dyDescent="0.25"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7">
        <f t="shared" ca="1" si="10"/>
        <v>0.16298619584130289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spans="8:50" x14ac:dyDescent="0.25"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7">
        <f t="shared" ca="1" si="10"/>
        <v>0.13962785959566903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spans="8:50" x14ac:dyDescent="0.25"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7">
        <f t="shared" ca="1" si="10"/>
        <v>0.12885643449791234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spans="8:50" x14ac:dyDescent="0.25"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7">
        <f t="shared" ca="1" si="10"/>
        <v>-0.14297264531692688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spans="8:50" x14ac:dyDescent="0.25"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7">
        <f t="shared" ca="1" si="10"/>
        <v>0.24224152846813829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spans="8:50" x14ac:dyDescent="0.25"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7">
        <f t="shared" ca="1" si="10"/>
        <v>0.35308462084728431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spans="8:50" x14ac:dyDescent="0.25"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7">
        <f t="shared" ca="1" si="10"/>
        <v>0.1715209377999995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spans="8:50" x14ac:dyDescent="0.25"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7">
        <f t="shared" ca="1" si="10"/>
        <v>0.29676409456375619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spans="8:50" x14ac:dyDescent="0.25"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7">
        <f t="shared" ca="1" si="10"/>
        <v>-0.3293702766211129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spans="8:50" x14ac:dyDescent="0.25"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7">
        <f t="shared" ca="1" si="10"/>
        <v>0.22865262850899792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spans="8:50" x14ac:dyDescent="0.25"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7">
        <f t="shared" ca="1" si="10"/>
        <v>-0.10404383228124388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spans="8:50" x14ac:dyDescent="0.25"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7">
        <f t="shared" ca="1" si="10"/>
        <v>0.18332944007026397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spans="8:50" x14ac:dyDescent="0.25"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7">
        <f t="shared" ca="1" si="10"/>
        <v>4.2077412915685092E-2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spans="8:50" x14ac:dyDescent="0.25"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7">
        <f t="shared" ca="1" si="10"/>
        <v>-5.5480520167745975E-2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spans="8:50" x14ac:dyDescent="0.25"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7">
        <f t="shared" ca="1" si="10"/>
        <v>-4.0112948125437628E-2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spans="8:50" x14ac:dyDescent="0.25"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7">
        <f t="shared" ca="1" si="10"/>
        <v>0.10928919892629534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spans="8:50" x14ac:dyDescent="0.25"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7">
        <f t="shared" ca="1" si="10"/>
        <v>0.14365806066067438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spans="8:50" x14ac:dyDescent="0.25"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7">
        <f t="shared" ca="1" si="10"/>
        <v>0.32067661627021149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spans="8:50" x14ac:dyDescent="0.25"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7">
        <f t="shared" ca="1" si="10"/>
        <v>0.35827811580170782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spans="8:50" x14ac:dyDescent="0.25"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7">
        <f t="shared" ca="1" si="10"/>
        <v>0.13426106047185543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spans="8:50" x14ac:dyDescent="0.25"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7">
        <f t="shared" ca="1" si="10"/>
        <v>4.5575101959079545E-2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spans="8:50" x14ac:dyDescent="0.25"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7">
        <f t="shared" ca="1" si="10"/>
        <v>4.4374117514107247E-2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spans="8:50" x14ac:dyDescent="0.25"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7">
        <f t="shared" ca="1" si="10"/>
        <v>0.30216693050790289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spans="8:50" x14ac:dyDescent="0.25"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7">
        <f t="shared" ca="1" si="10"/>
        <v>0.31826453400371618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spans="8:50" x14ac:dyDescent="0.25"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7">
        <f t="shared" ca="1" si="10"/>
        <v>0.48606066113962626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spans="8:50" x14ac:dyDescent="0.25"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7">
        <f t="shared" ca="1" si="10"/>
        <v>-7.9069493910757613E-2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spans="8:50" x14ac:dyDescent="0.25"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7">
        <f t="shared" ca="1" si="10"/>
        <v>3.0263384522336539E-2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spans="8:50" x14ac:dyDescent="0.25"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7">
        <f t="shared" ca="1" si="10"/>
        <v>0.33638931896107055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spans="8:50" x14ac:dyDescent="0.25"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7">
        <f t="shared" ca="1" si="10"/>
        <v>0.21829050047255946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spans="8:50" x14ac:dyDescent="0.25"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7">
        <f t="shared" ca="1" si="10"/>
        <v>0.36976989485366396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spans="8:50" x14ac:dyDescent="0.25"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7">
        <f t="shared" ca="1" si="10"/>
        <v>0.29898401158570953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spans="8:50" x14ac:dyDescent="0.25"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7">
        <f t="shared" ca="1" si="10"/>
        <v>0.13867436284976636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spans="8:50" x14ac:dyDescent="0.25"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7">
        <f t="shared" ca="1" si="10"/>
        <v>0.30035340057001925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spans="8:50" x14ac:dyDescent="0.25"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7">
        <f t="shared" ca="1" si="10"/>
        <v>6.7985211808690438E-2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spans="8:50" x14ac:dyDescent="0.25"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7">
        <f t="shared" ca="1" si="10"/>
        <v>0.38009728730162334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spans="8:50" x14ac:dyDescent="0.25"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7">
        <f t="shared" ca="1" si="10"/>
        <v>0.22647305375867705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spans="8:50" x14ac:dyDescent="0.25"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7">
        <f t="shared" ca="1" si="10"/>
        <v>0.42073781045365566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spans="8:50" x14ac:dyDescent="0.25"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7">
        <f t="shared" ca="1" si="10"/>
        <v>-3.5934629987301639E-2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spans="8:50" x14ac:dyDescent="0.25"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7">
        <f t="shared" ca="1" si="10"/>
        <v>-2.6782349722635837E-2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spans="8:50" x14ac:dyDescent="0.25"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7">
        <f t="shared" ca="1" si="10"/>
        <v>0.37047806363862246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spans="8:50" x14ac:dyDescent="0.25"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7">
        <f t="shared" ca="1" si="10"/>
        <v>1.8857470319747244E-2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spans="8:50" x14ac:dyDescent="0.25"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7">
        <f t="shared" ca="1" si="10"/>
        <v>3.9719839847774732E-2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spans="8:50" x14ac:dyDescent="0.25"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7">
        <f t="shared" ca="1" si="10"/>
        <v>0.13323193329155653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spans="8:50" x14ac:dyDescent="0.25"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7">
        <f t="shared" ca="1" si="10"/>
        <v>0.12120790337785553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spans="8:50" x14ac:dyDescent="0.25"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7">
        <f t="shared" ca="1" si="10"/>
        <v>0.10376024007426453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spans="8:50" x14ac:dyDescent="0.25"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7">
        <f t="shared" ca="1" si="10"/>
        <v>1.8452691651750619E-2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spans="8:50" x14ac:dyDescent="0.25"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7">
        <f t="shared" ca="1" si="10"/>
        <v>0.26816778210329378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spans="8:50" x14ac:dyDescent="0.25"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7">
        <f t="shared" ca="1" si="10"/>
        <v>-0.20008586558496194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spans="8:50" x14ac:dyDescent="0.25"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7">
        <f t="shared" ca="1" si="10"/>
        <v>0.20108835722709989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spans="8:50" x14ac:dyDescent="0.25"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7">
        <f t="shared" ca="1" si="10"/>
        <v>6.0312882385359042E-2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spans="8:50" x14ac:dyDescent="0.25"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7">
        <f t="shared" ca="1" si="10"/>
        <v>0.16649717451026533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spans="8:50" x14ac:dyDescent="0.25"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7">
        <f t="shared" ca="1" si="10"/>
        <v>4.7631845482424467E-2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spans="8:50" x14ac:dyDescent="0.25"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7">
        <f t="shared" ca="1" si="10"/>
        <v>5.8902527420629062E-2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spans="8:50" x14ac:dyDescent="0.25"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7">
        <f t="shared" ca="1" si="10"/>
        <v>0.1182019394810693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spans="8:50" x14ac:dyDescent="0.25"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7">
        <f t="shared" ca="1" si="10"/>
        <v>0.42878530967801115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spans="8:50" x14ac:dyDescent="0.25"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7">
        <f t="shared" ca="1" si="10"/>
        <v>0.46478232213364112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spans="8:50" x14ac:dyDescent="0.25"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7">
        <f t="shared" ca="1" si="10"/>
        <v>0.29025760956299668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spans="8:50" x14ac:dyDescent="0.25"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7">
        <f t="shared" ca="1" si="10"/>
        <v>-0.24309530235929999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spans="8:50" x14ac:dyDescent="0.25"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7">
        <f t="shared" ca="1" si="10"/>
        <v>-0.17681268584769677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spans="8:50" x14ac:dyDescent="0.25"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7">
        <f t="shared" ref="W710:W773" ca="1" si="11">+NORMINV(RAND(),$U$2,$U$3)</f>
        <v>0.2563398831937489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spans="8:50" x14ac:dyDescent="0.25"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7">
        <f t="shared" ca="1" si="11"/>
        <v>0.15826713426254443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spans="8:50" x14ac:dyDescent="0.25"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7">
        <f t="shared" ca="1" si="11"/>
        <v>0.11398931045365265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spans="8:50" x14ac:dyDescent="0.25"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7">
        <f t="shared" ca="1" si="11"/>
        <v>0.32684352471547878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spans="8:50" x14ac:dyDescent="0.25"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7">
        <f t="shared" ca="1" si="11"/>
        <v>0.36098021430445421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spans="8:50" x14ac:dyDescent="0.25"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7">
        <f t="shared" ca="1" si="11"/>
        <v>3.1008824455292475E-2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spans="8:50" x14ac:dyDescent="0.25"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7">
        <f t="shared" ca="1" si="11"/>
        <v>-8.7734858217769066E-2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spans="8:50" x14ac:dyDescent="0.25"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7">
        <f t="shared" ca="1" si="11"/>
        <v>0.35409509189249144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spans="8:50" x14ac:dyDescent="0.25"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7">
        <f t="shared" ca="1" si="11"/>
        <v>-2.0608221119587641E-2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spans="8:50" x14ac:dyDescent="0.25"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7">
        <f t="shared" ca="1" si="11"/>
        <v>-0.22131816506383961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spans="8:50" x14ac:dyDescent="0.25"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7">
        <f t="shared" ca="1" si="11"/>
        <v>0.44185389151528004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spans="8:50" x14ac:dyDescent="0.25"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7">
        <f t="shared" ca="1" si="11"/>
        <v>-1.2237395010119126E-2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spans="8:50" x14ac:dyDescent="0.25"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7">
        <f t="shared" ca="1" si="11"/>
        <v>7.2439419473019767E-2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spans="8:50" x14ac:dyDescent="0.25"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7">
        <f t="shared" ca="1" si="11"/>
        <v>-0.14792235713513413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spans="8:50" x14ac:dyDescent="0.25"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7">
        <f t="shared" ca="1" si="11"/>
        <v>0.19033544122124191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spans="8:50" x14ac:dyDescent="0.25"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7">
        <f t="shared" ca="1" si="11"/>
        <v>0.44053352623144465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spans="8:50" x14ac:dyDescent="0.25"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7">
        <f t="shared" ca="1" si="11"/>
        <v>0.15574570952806768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spans="8:50" x14ac:dyDescent="0.25"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7">
        <f t="shared" ca="1" si="11"/>
        <v>-7.7135242547305624E-2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spans="8:50" x14ac:dyDescent="0.25"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7">
        <f t="shared" ca="1" si="11"/>
        <v>0.19333883946573199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spans="8:50" x14ac:dyDescent="0.25"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7">
        <f t="shared" ca="1" si="11"/>
        <v>0.13021968561300237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spans="8:50" x14ac:dyDescent="0.25"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7">
        <f t="shared" ca="1" si="11"/>
        <v>0.48968467581990582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spans="8:50" x14ac:dyDescent="0.25"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7">
        <f t="shared" ca="1" si="11"/>
        <v>0.13115582538890985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spans="8:50" x14ac:dyDescent="0.25"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7">
        <f t="shared" ca="1" si="11"/>
        <v>0.2981642038212135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spans="8:50" x14ac:dyDescent="0.25"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7">
        <f t="shared" ca="1" si="11"/>
        <v>0.46529555576504372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spans="8:50" x14ac:dyDescent="0.25"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7">
        <f t="shared" ca="1" si="11"/>
        <v>2.6981781306413016E-2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spans="8:50" x14ac:dyDescent="0.25"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7">
        <f t="shared" ca="1" si="11"/>
        <v>0.25479685905173499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spans="8:50" x14ac:dyDescent="0.25"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7">
        <f t="shared" ca="1" si="11"/>
        <v>-0.14548119931858244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spans="8:50" x14ac:dyDescent="0.25"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7">
        <f t="shared" ca="1" si="11"/>
        <v>0.11578821574512399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spans="8:50" x14ac:dyDescent="0.25"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7">
        <f t="shared" ca="1" si="11"/>
        <v>0.26760357124751494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spans="8:50" x14ac:dyDescent="0.25"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7">
        <f t="shared" ca="1" si="11"/>
        <v>0.13952963735338936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spans="8:50" x14ac:dyDescent="0.25"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7">
        <f t="shared" ca="1" si="11"/>
        <v>6.1501748795906509E-2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spans="8:50" x14ac:dyDescent="0.25"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7">
        <f t="shared" ca="1" si="11"/>
        <v>3.7827830603392218E-2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spans="8:50" x14ac:dyDescent="0.25"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7">
        <f t="shared" ca="1" si="11"/>
        <v>0.22392332700507134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spans="8:50" x14ac:dyDescent="0.25"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7">
        <f t="shared" ca="1" si="11"/>
        <v>0.29343433015726711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spans="8:50" x14ac:dyDescent="0.25"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7">
        <f t="shared" ca="1" si="11"/>
        <v>-8.0542185820498671E-2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spans="8:50" x14ac:dyDescent="0.25"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7">
        <f t="shared" ca="1" si="11"/>
        <v>0.13429922889120599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spans="8:50" x14ac:dyDescent="0.25"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7">
        <f t="shared" ca="1" si="11"/>
        <v>-0.21992557483403902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spans="8:50" x14ac:dyDescent="0.25"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7">
        <f t="shared" ca="1" si="11"/>
        <v>0.29423445143038079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spans="8:50" x14ac:dyDescent="0.25"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7">
        <f t="shared" ca="1" si="11"/>
        <v>6.6787349141005772E-2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spans="8:50" x14ac:dyDescent="0.25"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7">
        <f t="shared" ca="1" si="11"/>
        <v>-4.1473846726484673E-2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spans="8:50" x14ac:dyDescent="0.25"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7">
        <f t="shared" ca="1" si="11"/>
        <v>-0.30775229910175012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spans="8:50" x14ac:dyDescent="0.25"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7">
        <f t="shared" ca="1" si="11"/>
        <v>0.36931625033445481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spans="8:50" x14ac:dyDescent="0.25"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7">
        <f t="shared" ca="1" si="11"/>
        <v>0.30844870075668662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spans="8:50" x14ac:dyDescent="0.25"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7">
        <f t="shared" ca="1" si="11"/>
        <v>0.20045563112350162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spans="8:50" x14ac:dyDescent="0.25"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7">
        <f t="shared" ca="1" si="11"/>
        <v>0.31251500416698957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spans="8:50" x14ac:dyDescent="0.25"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7">
        <f t="shared" ca="1" si="11"/>
        <v>5.5235754884364573E-2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spans="8:50" x14ac:dyDescent="0.25"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7">
        <f t="shared" ca="1" si="11"/>
        <v>6.957111537015051E-2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spans="8:50" x14ac:dyDescent="0.25"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7">
        <f t="shared" ca="1" si="11"/>
        <v>-0.16381093527165674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spans="8:50" x14ac:dyDescent="0.25"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7">
        <f t="shared" ca="1" si="11"/>
        <v>0.29327450031476687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spans="8:50" x14ac:dyDescent="0.25"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7">
        <f t="shared" ca="1" si="11"/>
        <v>6.5186557216448171E-2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spans="8:50" x14ac:dyDescent="0.25"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7">
        <f t="shared" ca="1" si="11"/>
        <v>-1.7084616476372036E-2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spans="8:50" x14ac:dyDescent="0.25"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7">
        <f t="shared" ca="1" si="11"/>
        <v>-6.2238261704702494E-2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spans="8:50" x14ac:dyDescent="0.25"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7">
        <f t="shared" ca="1" si="11"/>
        <v>0.35932910602225743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spans="8:50" x14ac:dyDescent="0.25"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7">
        <f t="shared" ca="1" si="11"/>
        <v>0.19768881642144906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spans="8:50" x14ac:dyDescent="0.25"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7">
        <f t="shared" ca="1" si="11"/>
        <v>1.3398364726168663E-2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spans="8:50" x14ac:dyDescent="0.25"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7">
        <f t="shared" ca="1" si="11"/>
        <v>0.1887144107548489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spans="8:50" x14ac:dyDescent="0.25"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7">
        <f t="shared" ca="1" si="11"/>
        <v>-9.9537591857761606E-2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spans="8:50" x14ac:dyDescent="0.25"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7">
        <f t="shared" ca="1" si="11"/>
        <v>0.25844767444358885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spans="8:50" x14ac:dyDescent="0.25"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7">
        <f t="shared" ca="1" si="11"/>
        <v>-6.7809674738547751E-2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spans="8:50" x14ac:dyDescent="0.25"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7">
        <f t="shared" ca="1" si="11"/>
        <v>0.5185502121188621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spans="8:50" x14ac:dyDescent="0.25"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7">
        <f t="shared" ca="1" si="11"/>
        <v>0.26173291119544106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spans="8:50" x14ac:dyDescent="0.25"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7">
        <f t="shared" ca="1" si="11"/>
        <v>0.12534521429615514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spans="8:50" x14ac:dyDescent="0.25"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7">
        <f t="shared" ca="1" si="11"/>
        <v>0.15262130732466028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spans="8:50" x14ac:dyDescent="0.25"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7">
        <f t="shared" ca="1" si="11"/>
        <v>-0.11811756562247107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spans="8:50" x14ac:dyDescent="0.25"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7">
        <f t="shared" ref="W774:W837" ca="1" si="12">+NORMINV(RAND(),$U$2,$U$3)</f>
        <v>0.20907627584849123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spans="8:50" x14ac:dyDescent="0.25"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7">
        <f t="shared" ca="1" si="12"/>
        <v>0.10651118940787058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spans="8:50" x14ac:dyDescent="0.25"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7">
        <f t="shared" ca="1" si="12"/>
        <v>0.18228582263490983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spans="8:50" x14ac:dyDescent="0.25"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7">
        <f t="shared" ca="1" si="12"/>
        <v>0.16672323623300189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spans="8:50" x14ac:dyDescent="0.25"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7">
        <f t="shared" ca="1" si="12"/>
        <v>3.0188076902860503E-2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spans="8:50" x14ac:dyDescent="0.25"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7">
        <f t="shared" ca="1" si="12"/>
        <v>0.13665162014695709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spans="8:50" x14ac:dyDescent="0.25"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7">
        <f t="shared" ca="1" si="12"/>
        <v>-0.123456737401565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spans="8:50" x14ac:dyDescent="0.25"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7">
        <f t="shared" ca="1" si="12"/>
        <v>0.44659740716252072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spans="8:50" x14ac:dyDescent="0.25"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7">
        <f t="shared" ca="1" si="12"/>
        <v>8.515198067747734E-2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spans="8:50" x14ac:dyDescent="0.25"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7">
        <f t="shared" ca="1" si="12"/>
        <v>1.5705245931579417E-2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spans="8:50" x14ac:dyDescent="0.25"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7">
        <f t="shared" ca="1" si="12"/>
        <v>0.60713786495398647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spans="8:50" x14ac:dyDescent="0.25"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7">
        <f t="shared" ca="1" si="12"/>
        <v>4.2517771883433059E-2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spans="8:50" x14ac:dyDescent="0.25"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7">
        <f t="shared" ca="1" si="12"/>
        <v>0.12641987134279253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spans="8:50" x14ac:dyDescent="0.25"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7">
        <f t="shared" ca="1" si="12"/>
        <v>0.12262141102801689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spans="8:50" x14ac:dyDescent="0.25"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7">
        <f t="shared" ca="1" si="12"/>
        <v>0.23764647973522307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spans="8:50" x14ac:dyDescent="0.25"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7">
        <f t="shared" ca="1" si="12"/>
        <v>0.1001517843195944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spans="8:50" x14ac:dyDescent="0.25"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7">
        <f t="shared" ca="1" si="12"/>
        <v>0.11567393892430712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spans="8:50" x14ac:dyDescent="0.25"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7">
        <f t="shared" ca="1" si="12"/>
        <v>0.16548478879531289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spans="8:50" x14ac:dyDescent="0.25"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7">
        <f t="shared" ca="1" si="12"/>
        <v>-2.6423746235069004E-2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spans="8:50" x14ac:dyDescent="0.25"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7">
        <f t="shared" ca="1" si="12"/>
        <v>0.14605100840504945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spans="8:50" x14ac:dyDescent="0.25"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7">
        <f t="shared" ca="1" si="12"/>
        <v>0.5273483231918723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spans="8:50" x14ac:dyDescent="0.25"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7">
        <f t="shared" ca="1" si="12"/>
        <v>0.26743378854411953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spans="8:50" x14ac:dyDescent="0.25"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7">
        <f t="shared" ca="1" si="12"/>
        <v>0.28028004241820631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spans="8:50" x14ac:dyDescent="0.25"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7">
        <f t="shared" ca="1" si="12"/>
        <v>0.26129842151772914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spans="8:50" x14ac:dyDescent="0.25"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7">
        <f t="shared" ca="1" si="12"/>
        <v>0.40567987779241976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spans="8:50" x14ac:dyDescent="0.25"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7">
        <f t="shared" ca="1" si="12"/>
        <v>4.7063139837078466E-2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spans="8:50" x14ac:dyDescent="0.25"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7">
        <f t="shared" ca="1" si="12"/>
        <v>4.9085731179501976E-2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spans="8:50" x14ac:dyDescent="0.25"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7">
        <f t="shared" ca="1" si="12"/>
        <v>9.9636756413147287E-3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spans="8:50" x14ac:dyDescent="0.25"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7">
        <f t="shared" ca="1" si="12"/>
        <v>0.11965295111591268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spans="8:50" x14ac:dyDescent="0.25"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7">
        <f t="shared" ca="1" si="12"/>
        <v>-0.23964283041495227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spans="8:50" x14ac:dyDescent="0.25"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7">
        <f t="shared" ca="1" si="12"/>
        <v>0.11062515039136551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spans="8:50" x14ac:dyDescent="0.25"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7">
        <f t="shared" ca="1" si="12"/>
        <v>0.20762999910322105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spans="8:50" x14ac:dyDescent="0.25"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7">
        <f t="shared" ca="1" si="12"/>
        <v>0.20359045669012082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spans="8:50" x14ac:dyDescent="0.25"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7">
        <f t="shared" ca="1" si="12"/>
        <v>-8.5570916428043362E-2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spans="8:50" x14ac:dyDescent="0.25"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7">
        <f t="shared" ca="1" si="12"/>
        <v>6.5031621788329275E-2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spans="8:50" x14ac:dyDescent="0.25"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7">
        <f t="shared" ca="1" si="12"/>
        <v>-7.7298215132508494E-2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spans="8:50" x14ac:dyDescent="0.25"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7">
        <f t="shared" ca="1" si="12"/>
        <v>-0.10121445635300598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spans="8:50" x14ac:dyDescent="0.25"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7">
        <f t="shared" ca="1" si="12"/>
        <v>0.13280261149534894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spans="8:50" x14ac:dyDescent="0.25"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7">
        <f t="shared" ca="1" si="12"/>
        <v>6.9678169457878136E-2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spans="8:50" x14ac:dyDescent="0.25"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7">
        <f t="shared" ca="1" si="12"/>
        <v>-3.0669753923975571E-2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spans="8:50" x14ac:dyDescent="0.25"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7">
        <f t="shared" ca="1" si="12"/>
        <v>-2.3343288113093733E-2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spans="8:50" x14ac:dyDescent="0.25"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7">
        <f t="shared" ca="1" si="12"/>
        <v>-2.1051947893989217E-2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spans="8:50" x14ac:dyDescent="0.25"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7">
        <f t="shared" ca="1" si="12"/>
        <v>0.23135202453692091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spans="8:50" x14ac:dyDescent="0.25"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7">
        <f t="shared" ca="1" si="12"/>
        <v>-5.8020146205924952E-2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spans="8:50" x14ac:dyDescent="0.25"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7">
        <f t="shared" ca="1" si="12"/>
        <v>0.33874009583030967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spans="8:50" x14ac:dyDescent="0.25"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7">
        <f t="shared" ca="1" si="12"/>
        <v>0.33011757621942234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spans="8:50" x14ac:dyDescent="0.25"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7">
        <f t="shared" ca="1" si="12"/>
        <v>0.18302498882524887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spans="8:50" x14ac:dyDescent="0.25"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7">
        <f t="shared" ca="1" si="12"/>
        <v>0.39955393381658272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spans="8:50" x14ac:dyDescent="0.25"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7">
        <f t="shared" ca="1" si="12"/>
        <v>8.08918792596722E-2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spans="8:50" x14ac:dyDescent="0.25"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7">
        <f t="shared" ca="1" si="12"/>
        <v>0.28934151487459253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spans="8:50" x14ac:dyDescent="0.25"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7">
        <f t="shared" ca="1" si="12"/>
        <v>0.39453824825111977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spans="8:50" x14ac:dyDescent="0.25"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7">
        <f t="shared" ca="1" si="12"/>
        <v>4.8663412435233797E-2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spans="8:50" x14ac:dyDescent="0.25"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7">
        <f t="shared" ca="1" si="12"/>
        <v>3.66695713686883E-2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spans="8:50" x14ac:dyDescent="0.25"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7">
        <f t="shared" ca="1" si="12"/>
        <v>0.17988731786814444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spans="8:50" x14ac:dyDescent="0.25"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7">
        <f t="shared" ca="1" si="12"/>
        <v>-0.34814265100282293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spans="8:50" x14ac:dyDescent="0.25"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7">
        <f t="shared" ca="1" si="12"/>
        <v>0.33056785202668154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spans="8:50" x14ac:dyDescent="0.25"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7">
        <f t="shared" ca="1" si="12"/>
        <v>-0.36300513917904687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spans="8:50" x14ac:dyDescent="0.25"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7">
        <f t="shared" ca="1" si="12"/>
        <v>0.11991332034150178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spans="8:50" x14ac:dyDescent="0.25"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7">
        <f t="shared" ca="1" si="12"/>
        <v>0.1231235658844773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spans="8:50" x14ac:dyDescent="0.25"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7">
        <f t="shared" ca="1" si="12"/>
        <v>5.2978175086274663E-2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spans="8:50" x14ac:dyDescent="0.25"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7">
        <f t="shared" ca="1" si="12"/>
        <v>-0.20287787359578846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spans="8:50" x14ac:dyDescent="0.25"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7">
        <f t="shared" ca="1" si="12"/>
        <v>0.17437842224102654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spans="8:50" x14ac:dyDescent="0.25"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7">
        <f t="shared" ca="1" si="12"/>
        <v>3.7803802416368909E-2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spans="8:50" x14ac:dyDescent="0.25"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7">
        <f t="shared" ca="1" si="12"/>
        <v>-0.27578114889948868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spans="8:50" x14ac:dyDescent="0.25"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7">
        <f t="shared" ref="W838:W901" ca="1" si="13">+NORMINV(RAND(),$U$2,$U$3)</f>
        <v>0.23752623259536421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spans="8:50" x14ac:dyDescent="0.25"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7">
        <f t="shared" ca="1" si="13"/>
        <v>-0.1966135568379026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spans="8:50" x14ac:dyDescent="0.25"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7">
        <f t="shared" ca="1" si="13"/>
        <v>7.0865696530689221E-2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spans="8:50" x14ac:dyDescent="0.25"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7">
        <f t="shared" ca="1" si="13"/>
        <v>0.23443658207006141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spans="8:50" x14ac:dyDescent="0.25"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7">
        <f t="shared" ca="1" si="13"/>
        <v>0.28551230249026927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spans="8:50" x14ac:dyDescent="0.25"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7">
        <f t="shared" ca="1" si="13"/>
        <v>0.15615420586041145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spans="8:50" x14ac:dyDescent="0.25"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7">
        <f t="shared" ca="1" si="13"/>
        <v>0.32901098425656211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spans="8:50" x14ac:dyDescent="0.25"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7">
        <f t="shared" ca="1" si="13"/>
        <v>0.32184951707346515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spans="8:50" x14ac:dyDescent="0.25"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7">
        <f t="shared" ca="1" si="13"/>
        <v>0.24044917533068488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spans="8:50" x14ac:dyDescent="0.25"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7">
        <f t="shared" ca="1" si="13"/>
        <v>-7.8861229192262752E-2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spans="8:50" x14ac:dyDescent="0.25"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7">
        <f t="shared" ca="1" si="13"/>
        <v>0.10512553773506811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spans="8:50" x14ac:dyDescent="0.25"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7">
        <f t="shared" ca="1" si="13"/>
        <v>1.7553290250932899E-2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spans="8:50" x14ac:dyDescent="0.25"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7">
        <f t="shared" ca="1" si="13"/>
        <v>0.10117433502094558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spans="8:50" x14ac:dyDescent="0.25"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7">
        <f t="shared" ca="1" si="13"/>
        <v>0.10349544180060927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spans="8:50" x14ac:dyDescent="0.25"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7">
        <f t="shared" ca="1" si="13"/>
        <v>0.17696703606510861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spans="8:50" x14ac:dyDescent="0.25"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7">
        <f t="shared" ca="1" si="13"/>
        <v>0.34058037810698516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spans="8:50" x14ac:dyDescent="0.25"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7">
        <f t="shared" ca="1" si="13"/>
        <v>-0.11020721961988393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spans="8:50" x14ac:dyDescent="0.25"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7">
        <f t="shared" ca="1" si="13"/>
        <v>5.0766352710339593E-2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spans="8:50" x14ac:dyDescent="0.25"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7">
        <f t="shared" ca="1" si="13"/>
        <v>-0.36738164330404838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spans="8:50" x14ac:dyDescent="0.25"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7">
        <f t="shared" ca="1" si="13"/>
        <v>-1.9956831850146559E-2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spans="8:50" x14ac:dyDescent="0.25"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7">
        <f t="shared" ca="1" si="13"/>
        <v>0.14861470819858341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spans="8:50" x14ac:dyDescent="0.25"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7">
        <f t="shared" ca="1" si="13"/>
        <v>0.28867074385076769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spans="8:50" x14ac:dyDescent="0.25"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7">
        <f t="shared" ca="1" si="13"/>
        <v>-0.21437908271120043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spans="8:50" x14ac:dyDescent="0.25"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7">
        <f t="shared" ca="1" si="13"/>
        <v>0.29009518516185873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spans="8:50" x14ac:dyDescent="0.25"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7">
        <f t="shared" ca="1" si="13"/>
        <v>-9.0569331450522275E-2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spans="8:50" x14ac:dyDescent="0.25"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7">
        <f t="shared" ca="1" si="13"/>
        <v>0.24187411087476807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spans="8:50" x14ac:dyDescent="0.25"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7">
        <f t="shared" ca="1" si="13"/>
        <v>-0.12579921367897334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spans="8:50" x14ac:dyDescent="0.25"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7">
        <f t="shared" ca="1" si="13"/>
        <v>0.15153967851405564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spans="8:50" x14ac:dyDescent="0.25"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7">
        <f t="shared" ca="1" si="13"/>
        <v>6.7598054921705869E-2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spans="8:50" x14ac:dyDescent="0.25"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7">
        <f t="shared" ca="1" si="13"/>
        <v>8.5063240707665091E-2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spans="8:50" x14ac:dyDescent="0.25"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7">
        <f t="shared" ca="1" si="13"/>
        <v>-0.25902970974001049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spans="8:50" x14ac:dyDescent="0.25"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7">
        <f t="shared" ca="1" si="13"/>
        <v>-0.19403183893222364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spans="8:50" x14ac:dyDescent="0.25"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7">
        <f t="shared" ca="1" si="13"/>
        <v>0.285146185004644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spans="8:50" x14ac:dyDescent="0.25"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7">
        <f t="shared" ca="1" si="13"/>
        <v>-0.1406938940422045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spans="8:50" x14ac:dyDescent="0.25"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7">
        <f t="shared" ca="1" si="13"/>
        <v>-0.27906753256296796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spans="8:50" x14ac:dyDescent="0.25"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7">
        <f t="shared" ca="1" si="13"/>
        <v>0.25166788684313657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 spans="8:50" x14ac:dyDescent="0.25"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7">
        <f t="shared" ca="1" si="13"/>
        <v>-0.22167844186818586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spans="8:50" x14ac:dyDescent="0.25"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7">
        <f t="shared" ca="1" si="13"/>
        <v>0.2131452603949735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 spans="8:50" x14ac:dyDescent="0.25"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7">
        <f t="shared" ca="1" si="13"/>
        <v>0.15496995409739037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spans="8:50" x14ac:dyDescent="0.25"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7">
        <f t="shared" ca="1" si="13"/>
        <v>0.2968756551984616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 spans="8:50" x14ac:dyDescent="0.25"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7">
        <f t="shared" ca="1" si="13"/>
        <v>0.65709840677731124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spans="8:50" x14ac:dyDescent="0.25"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7">
        <f t="shared" ca="1" si="13"/>
        <v>0.30187029642142171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 spans="8:50" x14ac:dyDescent="0.25"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7">
        <f t="shared" ca="1" si="13"/>
        <v>0.45890422550366805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spans="8:50" x14ac:dyDescent="0.25"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7">
        <f t="shared" ca="1" si="13"/>
        <v>7.7722949197454372E-2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 spans="8:50" x14ac:dyDescent="0.25"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7">
        <f t="shared" ca="1" si="13"/>
        <v>0.15387055391635027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spans="8:50" x14ac:dyDescent="0.25"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7">
        <f t="shared" ca="1" si="13"/>
        <v>-5.8988926096055147E-2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 spans="8:50" x14ac:dyDescent="0.25"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7">
        <f t="shared" ca="1" si="13"/>
        <v>0.4915694754733404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spans="8:50" x14ac:dyDescent="0.25"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7">
        <f t="shared" ca="1" si="13"/>
        <v>-0.27787992906481285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spans="8:50" x14ac:dyDescent="0.25"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7">
        <f t="shared" ca="1" si="13"/>
        <v>-8.1947283507901855E-2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spans="8:50" x14ac:dyDescent="0.25"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7">
        <f t="shared" ca="1" si="13"/>
        <v>5.1741504493493226E-2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 spans="8:50" x14ac:dyDescent="0.25"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7">
        <f t="shared" ca="1" si="13"/>
        <v>-8.8954251629553838E-3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spans="8:50" x14ac:dyDescent="0.25"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7">
        <f t="shared" ca="1" si="13"/>
        <v>0.11649852584019565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 spans="8:50" x14ac:dyDescent="0.25"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7">
        <f t="shared" ca="1" si="13"/>
        <v>0.60167926119735249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spans="8:50" x14ac:dyDescent="0.25"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7">
        <f t="shared" ca="1" si="13"/>
        <v>0.11911230541820436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 spans="8:50" x14ac:dyDescent="0.25"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7">
        <f t="shared" ca="1" si="13"/>
        <v>-0.26505094831269727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spans="8:50" x14ac:dyDescent="0.25"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7">
        <f t="shared" ca="1" si="13"/>
        <v>0.28684391694452555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 spans="8:50" x14ac:dyDescent="0.25"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7">
        <f t="shared" ca="1" si="13"/>
        <v>0.41915948634080624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spans="8:50" x14ac:dyDescent="0.25"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7">
        <f t="shared" ca="1" si="13"/>
        <v>0.23033257551094022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 spans="8:50" x14ac:dyDescent="0.25"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7">
        <f t="shared" ca="1" si="13"/>
        <v>3.2603997000454243E-2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spans="8:50" x14ac:dyDescent="0.25"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7">
        <f t="shared" ca="1" si="13"/>
        <v>0.4375514362767724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 spans="8:50" x14ac:dyDescent="0.25"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7">
        <f t="shared" ca="1" si="13"/>
        <v>0.41822254957849681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spans="8:50" x14ac:dyDescent="0.25"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7">
        <f t="shared" ca="1" si="13"/>
        <v>0.29153481061320685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 spans="8:50" x14ac:dyDescent="0.25"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7">
        <f t="shared" ca="1" si="13"/>
        <v>-0.10917708055590634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spans="8:50" x14ac:dyDescent="0.25"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7">
        <f t="shared" ca="1" si="13"/>
        <v>8.732839057249453E-2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 spans="8:50" x14ac:dyDescent="0.25"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7">
        <f t="shared" ref="W902:W965" ca="1" si="14">+NORMINV(RAND(),$U$2,$U$3)</f>
        <v>0.20692841567044673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spans="8:50" x14ac:dyDescent="0.25"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7">
        <f t="shared" ca="1" si="14"/>
        <v>-8.8170478843820066E-3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 spans="8:50" x14ac:dyDescent="0.25"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7">
        <f t="shared" ca="1" si="14"/>
        <v>0.29265801613620662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spans="8:50" x14ac:dyDescent="0.25"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7">
        <f t="shared" ca="1" si="14"/>
        <v>0.23003999566399669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 spans="8:50" x14ac:dyDescent="0.25"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7">
        <f t="shared" ca="1" si="14"/>
        <v>0.27096837998147577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spans="8:50" x14ac:dyDescent="0.25"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7">
        <f t="shared" ca="1" si="14"/>
        <v>0.27085360134357067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 spans="8:50" x14ac:dyDescent="0.25"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7">
        <f t="shared" ca="1" si="14"/>
        <v>4.9317115751870033E-2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spans="8:50" x14ac:dyDescent="0.25"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7">
        <f t="shared" ca="1" si="14"/>
        <v>0.14070513245100935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 spans="8:50" x14ac:dyDescent="0.25"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7">
        <f t="shared" ca="1" si="14"/>
        <v>0.33869666179904667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spans="8:50" x14ac:dyDescent="0.25"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7">
        <f t="shared" ca="1" si="14"/>
        <v>0.37359857645122529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 spans="8:50" x14ac:dyDescent="0.25"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7">
        <f t="shared" ca="1" si="14"/>
        <v>0.20054699750160968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spans="8:50" x14ac:dyDescent="0.25"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7">
        <f t="shared" ca="1" si="14"/>
        <v>4.2187410038958068E-2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 spans="8:50" x14ac:dyDescent="0.25"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7">
        <f t="shared" ca="1" si="14"/>
        <v>0.31878240274949426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spans="8:50" x14ac:dyDescent="0.25"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7">
        <f t="shared" ca="1" si="14"/>
        <v>-0.21748670875210152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 spans="8:50" x14ac:dyDescent="0.25"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7">
        <f t="shared" ca="1" si="14"/>
        <v>0.3030740489961633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spans="8:50" x14ac:dyDescent="0.25"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7">
        <f t="shared" ca="1" si="14"/>
        <v>-1.7584794983307075E-2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 spans="8:50" x14ac:dyDescent="0.25"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7">
        <f t="shared" ca="1" si="14"/>
        <v>0.23195922713048528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spans="8:50" x14ac:dyDescent="0.25"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7">
        <f t="shared" ca="1" si="14"/>
        <v>-0.25343277860147356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 spans="8:50" x14ac:dyDescent="0.25"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7">
        <f t="shared" ca="1" si="14"/>
        <v>-0.15292229361736287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spans="8:50" x14ac:dyDescent="0.25"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7">
        <f t="shared" ca="1" si="14"/>
        <v>3.7310442557364459E-2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 spans="8:50" x14ac:dyDescent="0.25"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7">
        <f t="shared" ca="1" si="14"/>
        <v>2.2832012932110582E-2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spans="8:50" x14ac:dyDescent="0.25"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7">
        <f t="shared" ca="1" si="14"/>
        <v>0.2491956687539883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 spans="8:50" x14ac:dyDescent="0.25"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7">
        <f t="shared" ca="1" si="14"/>
        <v>0.46486961807362004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spans="8:50" x14ac:dyDescent="0.25"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7">
        <f t="shared" ca="1" si="14"/>
        <v>0.11370597451484793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 spans="8:50" x14ac:dyDescent="0.25"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7">
        <f t="shared" ca="1" si="14"/>
        <v>0.23585045718194733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spans="8:50" x14ac:dyDescent="0.25"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7">
        <f t="shared" ca="1" si="14"/>
        <v>0.47794184076379731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 spans="8:50" x14ac:dyDescent="0.25"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7">
        <f t="shared" ca="1" si="14"/>
        <v>-0.13498397755011032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spans="8:50" x14ac:dyDescent="0.25"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7">
        <f t="shared" ca="1" si="14"/>
        <v>0.1609557705566369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 spans="8:50" x14ac:dyDescent="0.25"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7">
        <f t="shared" ca="1" si="14"/>
        <v>0.1727364754486192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spans="8:50" x14ac:dyDescent="0.25"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7">
        <f t="shared" ca="1" si="14"/>
        <v>8.3651946318366366E-2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 spans="8:50" x14ac:dyDescent="0.25"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7">
        <f t="shared" ca="1" si="14"/>
        <v>8.6427887895486832E-2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spans="8:50" x14ac:dyDescent="0.25"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7">
        <f t="shared" ca="1" si="14"/>
        <v>0.1521004074704384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 spans="8:50" x14ac:dyDescent="0.25"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7">
        <f t="shared" ca="1" si="14"/>
        <v>-0.12742066849859562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spans="8:50" x14ac:dyDescent="0.25"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7">
        <f t="shared" ca="1" si="14"/>
        <v>0.13758841966082336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spans="8:50" x14ac:dyDescent="0.25"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7">
        <f t="shared" ca="1" si="14"/>
        <v>0.17588051689361553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spans="8:50" x14ac:dyDescent="0.25"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7">
        <f t="shared" ca="1" si="14"/>
        <v>0.19301866563241526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 spans="8:50" x14ac:dyDescent="0.25"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7">
        <f t="shared" ca="1" si="14"/>
        <v>-0.11049504887344301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spans="8:50" x14ac:dyDescent="0.25"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7">
        <f t="shared" ca="1" si="14"/>
        <v>0.34791397379123801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 spans="8:50" x14ac:dyDescent="0.25"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7">
        <f t="shared" ca="1" si="14"/>
        <v>0.16132846727454242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spans="8:50" x14ac:dyDescent="0.25"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7">
        <f t="shared" ca="1" si="14"/>
        <v>0.37943981662722476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 spans="8:50" x14ac:dyDescent="0.25"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7">
        <f t="shared" ca="1" si="14"/>
        <v>0.2087052607447098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spans="8:50" x14ac:dyDescent="0.25"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7">
        <f t="shared" ca="1" si="14"/>
        <v>-5.174307403232882E-2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 spans="8:50" x14ac:dyDescent="0.25"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7">
        <f t="shared" ca="1" si="14"/>
        <v>0.22138631793557928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spans="8:50" x14ac:dyDescent="0.25"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7">
        <f t="shared" ca="1" si="14"/>
        <v>8.074391659247307E-2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 spans="8:50" x14ac:dyDescent="0.25"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7">
        <f t="shared" ca="1" si="14"/>
        <v>0.23073884027958452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spans="8:50" x14ac:dyDescent="0.25"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7">
        <f t="shared" ca="1" si="14"/>
        <v>2.0012984866703179E-2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 spans="8:50" x14ac:dyDescent="0.25"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7">
        <f t="shared" ca="1" si="14"/>
        <v>0.35105450163722879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spans="8:50" x14ac:dyDescent="0.25"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7">
        <f t="shared" ca="1" si="14"/>
        <v>0.10156045074758657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 spans="8:50" x14ac:dyDescent="0.25"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7">
        <f t="shared" ca="1" si="14"/>
        <v>-0.31145638516255963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spans="8:50" x14ac:dyDescent="0.25"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7">
        <f t="shared" ca="1" si="14"/>
        <v>0.27487030971316589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 spans="8:50" x14ac:dyDescent="0.25"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7">
        <f t="shared" ca="1" si="14"/>
        <v>8.0594466638738371E-2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spans="8:50" x14ac:dyDescent="0.25"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7">
        <f t="shared" ca="1" si="14"/>
        <v>-7.3281732222668386E-2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 spans="8:50" x14ac:dyDescent="0.25"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7">
        <f t="shared" ca="1" si="14"/>
        <v>0.20875034965801428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spans="8:50" x14ac:dyDescent="0.25"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7">
        <f t="shared" ca="1" si="14"/>
        <v>0.32865297192963083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 spans="8:50" x14ac:dyDescent="0.25"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7">
        <f t="shared" ca="1" si="14"/>
        <v>-3.8046876680877403E-2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spans="8:50" x14ac:dyDescent="0.25"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7">
        <f t="shared" ca="1" si="14"/>
        <v>-2.7581039556861434E-2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 spans="8:50" x14ac:dyDescent="0.25"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7">
        <f t="shared" ca="1" si="14"/>
        <v>0.18082654914590551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spans="8:50" x14ac:dyDescent="0.25"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7">
        <f t="shared" ca="1" si="14"/>
        <v>0.12882100994681736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spans="8:50" x14ac:dyDescent="0.25"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7">
        <f t="shared" ca="1" si="14"/>
        <v>0.13806497763105119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 spans="8:50" x14ac:dyDescent="0.25"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7">
        <f t="shared" ca="1" si="14"/>
        <v>-0.19011664268317152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</row>
    <row r="962" spans="8:50" x14ac:dyDescent="0.25"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7">
        <f t="shared" ca="1" si="14"/>
        <v>0.28298911354957279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 spans="8:50" x14ac:dyDescent="0.25"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7">
        <f t="shared" ca="1" si="14"/>
        <v>0.34083644527785145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</row>
    <row r="964" spans="8:50" x14ac:dyDescent="0.25"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7">
        <f t="shared" ca="1" si="14"/>
        <v>6.3198538201695964E-2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 spans="8:50" x14ac:dyDescent="0.25"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7">
        <f t="shared" ca="1" si="14"/>
        <v>6.4948629648770961E-2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</row>
    <row r="966" spans="8:50" x14ac:dyDescent="0.25"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7">
        <f t="shared" ref="W966:W1029" ca="1" si="15">+NORMINV(RAND(),$U$2,$U$3)</f>
        <v>7.1822375377547307E-2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 spans="8:50" x14ac:dyDescent="0.25"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7">
        <f t="shared" ca="1" si="15"/>
        <v>0.30210396231988845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</row>
    <row r="968" spans="8:50" x14ac:dyDescent="0.25"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7">
        <f t="shared" ca="1" si="15"/>
        <v>-1.8670034580564529E-2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 spans="8:50" x14ac:dyDescent="0.25"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7">
        <f t="shared" ca="1" si="15"/>
        <v>0.44333293240515426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</row>
    <row r="970" spans="8:50" x14ac:dyDescent="0.25"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7">
        <f t="shared" ca="1" si="15"/>
        <v>1.8539305710150444E-2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 spans="8:50" x14ac:dyDescent="0.25"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7">
        <f t="shared" ca="1" si="15"/>
        <v>-8.2796545042835151E-3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</row>
    <row r="972" spans="8:50" x14ac:dyDescent="0.25"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7">
        <f t="shared" ca="1" si="15"/>
        <v>-0.15928213067036812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 spans="8:50" x14ac:dyDescent="0.25"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7">
        <f t="shared" ca="1" si="15"/>
        <v>8.4176105309495028E-2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</row>
    <row r="974" spans="8:50" x14ac:dyDescent="0.25"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7">
        <f t="shared" ca="1" si="15"/>
        <v>0.22499920697701237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 spans="8:50" x14ac:dyDescent="0.25"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7">
        <f t="shared" ca="1" si="15"/>
        <v>-7.9946332110358023E-2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</row>
    <row r="976" spans="8:50" x14ac:dyDescent="0.25"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7">
        <f t="shared" ca="1" si="15"/>
        <v>0.18802567505793349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 spans="8:50" x14ac:dyDescent="0.25"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7">
        <f t="shared" ca="1" si="15"/>
        <v>-9.5572734377600596E-2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</row>
    <row r="978" spans="8:50" x14ac:dyDescent="0.25"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7">
        <f t="shared" ca="1" si="15"/>
        <v>-0.16506005397615164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 spans="8:50" x14ac:dyDescent="0.25"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7">
        <f t="shared" ca="1" si="15"/>
        <v>0.33349558645057487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</row>
    <row r="980" spans="8:50" x14ac:dyDescent="0.25"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7">
        <f t="shared" ca="1" si="15"/>
        <v>9.0403321153022909E-2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 spans="8:50" x14ac:dyDescent="0.25"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7">
        <f t="shared" ca="1" si="15"/>
        <v>0.24843155689825619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</row>
    <row r="982" spans="8:50" x14ac:dyDescent="0.25"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7">
        <f t="shared" ca="1" si="15"/>
        <v>-0.13686793516714951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 spans="8:50" x14ac:dyDescent="0.25"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7">
        <f t="shared" ca="1" si="15"/>
        <v>0.27493332245641167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</row>
    <row r="984" spans="8:50" x14ac:dyDescent="0.25"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7">
        <f t="shared" ca="1" si="15"/>
        <v>8.2447135055479071E-2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 spans="8:50" x14ac:dyDescent="0.25"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7">
        <f t="shared" ca="1" si="15"/>
        <v>4.2151012227139448E-2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</row>
    <row r="986" spans="8:50" x14ac:dyDescent="0.25"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7">
        <f t="shared" ca="1" si="15"/>
        <v>0.15309236947500593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 spans="8:50" x14ac:dyDescent="0.25"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7">
        <f t="shared" ca="1" si="15"/>
        <v>0.21407728704087647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</row>
    <row r="988" spans="8:50" x14ac:dyDescent="0.25"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7">
        <f t="shared" ca="1" si="15"/>
        <v>0.12667558305046667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 spans="8:50" x14ac:dyDescent="0.25"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7">
        <f t="shared" ca="1" si="15"/>
        <v>-0.12412248145549125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</row>
    <row r="990" spans="8:50" x14ac:dyDescent="0.25"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7">
        <f t="shared" ca="1" si="15"/>
        <v>0.17890949028730313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 spans="8:50" x14ac:dyDescent="0.25"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7">
        <f t="shared" ca="1" si="15"/>
        <v>0.14500567982633641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</row>
    <row r="992" spans="8:50" x14ac:dyDescent="0.25"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7">
        <f t="shared" ca="1" si="15"/>
        <v>7.4041746030331229E-2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 spans="8:50" x14ac:dyDescent="0.25"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7">
        <f t="shared" ca="1" si="15"/>
        <v>0.34166951480632379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</row>
    <row r="994" spans="8:50" x14ac:dyDescent="0.25"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7">
        <f t="shared" ca="1" si="15"/>
        <v>0.16608537110720062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 spans="8:50" x14ac:dyDescent="0.25"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7">
        <f t="shared" ca="1" si="15"/>
        <v>0.22532695825400362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</row>
    <row r="996" spans="8:50" x14ac:dyDescent="0.25"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7">
        <f t="shared" ca="1" si="15"/>
        <v>0.15782998695334996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spans="8:50" x14ac:dyDescent="0.25"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7">
        <f t="shared" ca="1" si="15"/>
        <v>-0.22070522371632534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</row>
    <row r="998" spans="8:50" x14ac:dyDescent="0.25"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7">
        <f t="shared" ca="1" si="15"/>
        <v>9.8415565649101477E-5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 spans="8:50" x14ac:dyDescent="0.25"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7">
        <f t="shared" ca="1" si="15"/>
        <v>0.27788279337653232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</row>
    <row r="1000" spans="8:50" x14ac:dyDescent="0.25"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7">
        <f t="shared" ca="1" si="15"/>
        <v>1.5931057600133136E-2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  <row r="1001" spans="8:50" x14ac:dyDescent="0.25"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7">
        <f t="shared" ca="1" si="15"/>
        <v>0.46859705299554461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</row>
    <row r="1002" spans="8:50" x14ac:dyDescent="0.25"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7">
        <f t="shared" ca="1" si="15"/>
        <v>0.15310693271831516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</row>
    <row r="1003" spans="8:50" x14ac:dyDescent="0.25"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7">
        <f t="shared" ca="1" si="15"/>
        <v>2.1790070106623566E-3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</row>
    <row r="1004" spans="8:50" x14ac:dyDescent="0.25"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7">
        <f t="shared" ca="1" si="15"/>
        <v>0.12818417924055722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</row>
    <row r="1005" spans="8:50" x14ac:dyDescent="0.25"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7">
        <f t="shared" ca="1" si="15"/>
        <v>0.24274290694151518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</row>
    <row r="1006" spans="8:50" x14ac:dyDescent="0.25"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7">
        <f t="shared" ca="1" si="15"/>
        <v>-0.10053287523629841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</row>
    <row r="1007" spans="8:50" x14ac:dyDescent="0.25"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7">
        <f t="shared" ca="1" si="15"/>
        <v>0.28008037895721599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</row>
    <row r="1008" spans="8:50" x14ac:dyDescent="0.25"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7">
        <f t="shared" ca="1" si="15"/>
        <v>-0.17881515915547391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</row>
    <row r="1009" spans="8:50" x14ac:dyDescent="0.25"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7">
        <f t="shared" ca="1" si="15"/>
        <v>3.3599012643523093E-2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</row>
    <row r="1010" spans="8:50" x14ac:dyDescent="0.25"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7">
        <f t="shared" ca="1" si="15"/>
        <v>0.12742166807333993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</row>
    <row r="1011" spans="8:50" x14ac:dyDescent="0.25"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7">
        <f t="shared" ca="1" si="15"/>
        <v>0.20581090820195871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</row>
    <row r="1012" spans="8:50" x14ac:dyDescent="0.25"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7">
        <f t="shared" ca="1" si="15"/>
        <v>6.8028882615037048E-2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</row>
    <row r="1013" spans="8:50" x14ac:dyDescent="0.25"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7">
        <f t="shared" ca="1" si="15"/>
        <v>-9.4963982231754132E-2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</row>
    <row r="1014" spans="8:50" x14ac:dyDescent="0.25"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7">
        <f t="shared" ca="1" si="15"/>
        <v>2.6399898276738845E-2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</row>
    <row r="1015" spans="8:50" x14ac:dyDescent="0.25"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7">
        <f t="shared" ca="1" si="15"/>
        <v>0.10343188563599999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</row>
    <row r="1016" spans="8:50" x14ac:dyDescent="0.25"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7">
        <f t="shared" ca="1" si="15"/>
        <v>-4.422070863762291E-2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</row>
    <row r="1017" spans="8:50" x14ac:dyDescent="0.25"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7">
        <f t="shared" ca="1" si="15"/>
        <v>0.26690291925735432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</row>
    <row r="1018" spans="8:50" x14ac:dyDescent="0.25"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7">
        <f t="shared" ca="1" si="15"/>
        <v>0.30784545771954885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</row>
    <row r="1019" spans="8:50" x14ac:dyDescent="0.25"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7">
        <f t="shared" ca="1" si="15"/>
        <v>0.19329597113279165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</row>
    <row r="1020" spans="8:50" x14ac:dyDescent="0.25"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7">
        <f t="shared" ca="1" si="15"/>
        <v>-0.12391263102590173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</row>
    <row r="1021" spans="8:50" x14ac:dyDescent="0.25"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7">
        <f t="shared" ca="1" si="15"/>
        <v>-1.0989311548987232E-2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</row>
    <row r="1022" spans="8:50" x14ac:dyDescent="0.25"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7">
        <f t="shared" ca="1" si="15"/>
        <v>0.37765592564358419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</row>
    <row r="1023" spans="8:50" x14ac:dyDescent="0.25"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7">
        <f t="shared" ca="1" si="15"/>
        <v>-6.8197600511054321E-2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</row>
    <row r="1024" spans="8:50" x14ac:dyDescent="0.25"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7">
        <f t="shared" ca="1" si="15"/>
        <v>-7.4847608184151662E-2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</row>
    <row r="1025" spans="8:50" x14ac:dyDescent="0.25"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7">
        <f t="shared" ca="1" si="15"/>
        <v>0.11598223453430719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</row>
    <row r="1026" spans="8:50" x14ac:dyDescent="0.25"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7">
        <f t="shared" ca="1" si="15"/>
        <v>9.6443718204281728E-2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</row>
    <row r="1027" spans="8:50" x14ac:dyDescent="0.25"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7">
        <f t="shared" ca="1" si="15"/>
        <v>0.19529591656834128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</row>
    <row r="1028" spans="8:50" x14ac:dyDescent="0.25"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7">
        <f t="shared" ca="1" si="15"/>
        <v>0.31554807352446412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</row>
    <row r="1029" spans="8:50" x14ac:dyDescent="0.25"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7">
        <f t="shared" ca="1" si="15"/>
        <v>-4.336547539656524E-3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</row>
    <row r="1030" spans="8:50" x14ac:dyDescent="0.25"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7">
        <f t="shared" ref="W1030:W1093" ca="1" si="16">+NORMINV(RAND(),$U$2,$U$3)</f>
        <v>-4.952868551633946E-3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</row>
    <row r="1031" spans="8:50" x14ac:dyDescent="0.25"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7">
        <f t="shared" ca="1" si="16"/>
        <v>0.20898526927554822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</row>
    <row r="1032" spans="8:50" x14ac:dyDescent="0.25"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7">
        <f t="shared" ca="1" si="16"/>
        <v>0.1516033204565867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</row>
    <row r="1033" spans="8:50" x14ac:dyDescent="0.25"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7">
        <f t="shared" ca="1" si="16"/>
        <v>0.46638740193324763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</row>
    <row r="1034" spans="8:50" x14ac:dyDescent="0.25"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7">
        <f t="shared" ca="1" si="16"/>
        <v>-9.2672420704402306E-2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</row>
    <row r="1035" spans="8:50" x14ac:dyDescent="0.25"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7">
        <f t="shared" ca="1" si="16"/>
        <v>0.17594037294790382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</row>
    <row r="1036" spans="8:50" x14ac:dyDescent="0.25"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7">
        <f t="shared" ca="1" si="16"/>
        <v>-0.19864819879306589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</row>
    <row r="1037" spans="8:50" x14ac:dyDescent="0.25"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7">
        <f t="shared" ca="1" si="16"/>
        <v>0.27896617609095348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</row>
    <row r="1038" spans="8:50" x14ac:dyDescent="0.25"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7">
        <f t="shared" ca="1" si="16"/>
        <v>0.18738487229461354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</row>
    <row r="1039" spans="8:50" x14ac:dyDescent="0.25"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7">
        <f t="shared" ca="1" si="16"/>
        <v>-1.4883879169384176E-2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</row>
    <row r="1040" spans="8:50" x14ac:dyDescent="0.25"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7">
        <f t="shared" ca="1" si="16"/>
        <v>1.5539918947008916E-2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</row>
    <row r="1041" spans="8:50" x14ac:dyDescent="0.25"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7">
        <f t="shared" ca="1" si="16"/>
        <v>-0.19165501728117962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</row>
    <row r="1042" spans="8:50" x14ac:dyDescent="0.25"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7">
        <f t="shared" ca="1" si="16"/>
        <v>9.6311674675794809E-2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</row>
    <row r="1043" spans="8:50" x14ac:dyDescent="0.25"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7">
        <f t="shared" ca="1" si="16"/>
        <v>0.40843788467999409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</row>
    <row r="1044" spans="8:50" x14ac:dyDescent="0.25"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7">
        <f t="shared" ca="1" si="16"/>
        <v>-0.15579179275253935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</row>
    <row r="1045" spans="8:50" x14ac:dyDescent="0.25"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7">
        <f t="shared" ca="1" si="16"/>
        <v>0.27393451755133441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</row>
    <row r="1046" spans="8:50" x14ac:dyDescent="0.25"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7">
        <f t="shared" ca="1" si="16"/>
        <v>-0.14171300367537926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</row>
    <row r="1047" spans="8:50" x14ac:dyDescent="0.25"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7">
        <f t="shared" ca="1" si="16"/>
        <v>0.47465074122335577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</row>
    <row r="1048" spans="8:50" x14ac:dyDescent="0.25"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7">
        <f t="shared" ca="1" si="16"/>
        <v>0.23819591145376767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</row>
    <row r="1049" spans="8:50" x14ac:dyDescent="0.25"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7">
        <f t="shared" ca="1" si="16"/>
        <v>0.26582403035303093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</row>
    <row r="1050" spans="8:50" x14ac:dyDescent="0.25"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7">
        <f t="shared" ca="1" si="16"/>
        <v>0.15042144044684061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</row>
    <row r="1051" spans="8:50" x14ac:dyDescent="0.25"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7">
        <f t="shared" ca="1" si="16"/>
        <v>1.6155887060615506E-2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</row>
    <row r="1052" spans="8:50" x14ac:dyDescent="0.25"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7">
        <f t="shared" ca="1" si="16"/>
        <v>-1.5575132653524296E-2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</row>
    <row r="1053" spans="8:50" x14ac:dyDescent="0.25"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7">
        <f t="shared" ca="1" si="16"/>
        <v>0.19378732204404778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</row>
    <row r="1054" spans="8:50" x14ac:dyDescent="0.25"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7">
        <f t="shared" ca="1" si="16"/>
        <v>4.9284111627782401E-2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</row>
    <row r="1055" spans="8:50" x14ac:dyDescent="0.25"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7">
        <f t="shared" ca="1" si="16"/>
        <v>-0.11137939099630899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</row>
    <row r="1056" spans="8:50" x14ac:dyDescent="0.25"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7">
        <f t="shared" ca="1" si="16"/>
        <v>0.28404991540484203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</row>
    <row r="1057" spans="8:50" x14ac:dyDescent="0.25"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7">
        <f t="shared" ca="1" si="16"/>
        <v>0.33679977152306334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</row>
    <row r="1058" spans="8:50" x14ac:dyDescent="0.25"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7">
        <f t="shared" ca="1" si="16"/>
        <v>0.27708173223293725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</row>
    <row r="1059" spans="8:50" x14ac:dyDescent="0.25"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7">
        <f t="shared" ca="1" si="16"/>
        <v>0.15447632556494167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</row>
    <row r="1060" spans="8:50" x14ac:dyDescent="0.25"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7">
        <f t="shared" ca="1" si="16"/>
        <v>-0.19706558234710592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</row>
    <row r="1061" spans="8:50" x14ac:dyDescent="0.25"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7">
        <f t="shared" ca="1" si="16"/>
        <v>6.8353067748022744E-2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</row>
    <row r="1062" spans="8:50" x14ac:dyDescent="0.25"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7">
        <f t="shared" ca="1" si="16"/>
        <v>3.8712429611509114E-2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</row>
    <row r="1063" spans="8:50" x14ac:dyDescent="0.25"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7">
        <f t="shared" ca="1" si="16"/>
        <v>0.25592931628097826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</row>
    <row r="1064" spans="8:50" x14ac:dyDescent="0.25"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7">
        <f t="shared" ca="1" si="16"/>
        <v>4.0923580425724276E-2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</row>
    <row r="1065" spans="8:50" x14ac:dyDescent="0.25"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7">
        <f t="shared" ca="1" si="16"/>
        <v>0.39666033128623746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</row>
    <row r="1066" spans="8:50" x14ac:dyDescent="0.25"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7">
        <f t="shared" ca="1" si="16"/>
        <v>0.12724116353779488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</row>
    <row r="1067" spans="8:50" x14ac:dyDescent="0.25"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7">
        <f t="shared" ca="1" si="16"/>
        <v>-8.8794175671529682E-2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</row>
    <row r="1068" spans="8:50" x14ac:dyDescent="0.25"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7">
        <f t="shared" ca="1" si="16"/>
        <v>-0.28692488296011981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</row>
    <row r="1069" spans="8:50" x14ac:dyDescent="0.25"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7">
        <f t="shared" ca="1" si="16"/>
        <v>0.11927899246129994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</row>
    <row r="1070" spans="8:50" x14ac:dyDescent="0.25"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7">
        <f t="shared" ca="1" si="16"/>
        <v>-6.8811683143239752E-2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</row>
    <row r="1071" spans="8:50" x14ac:dyDescent="0.25"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7">
        <f t="shared" ca="1" si="16"/>
        <v>0.40521981825671666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</row>
    <row r="1072" spans="8:50" x14ac:dyDescent="0.25"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7">
        <f t="shared" ca="1" si="16"/>
        <v>0.49847622521853757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</row>
    <row r="1073" spans="8:50" x14ac:dyDescent="0.25"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7">
        <f t="shared" ca="1" si="16"/>
        <v>6.5713681510647853E-2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</row>
    <row r="1074" spans="8:50" x14ac:dyDescent="0.25"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7">
        <f t="shared" ca="1" si="16"/>
        <v>0.25898058327352597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</row>
    <row r="1075" spans="8:50" x14ac:dyDescent="0.25"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7">
        <f t="shared" ca="1" si="16"/>
        <v>8.1303976536938882E-3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</row>
    <row r="1076" spans="8:50" x14ac:dyDescent="0.25"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7">
        <f t="shared" ca="1" si="16"/>
        <v>-0.12468641658923245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</row>
    <row r="1077" spans="8:50" x14ac:dyDescent="0.25"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7">
        <f t="shared" ca="1" si="16"/>
        <v>6.6416656855777356E-2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</row>
    <row r="1078" spans="8:50" x14ac:dyDescent="0.25"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7">
        <f t="shared" ca="1" si="16"/>
        <v>-2.8953467992510709E-2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</row>
    <row r="1079" spans="8:50" x14ac:dyDescent="0.25"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7">
        <f t="shared" ca="1" si="16"/>
        <v>0.1349323955648126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</row>
    <row r="1080" spans="8:50" x14ac:dyDescent="0.25"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7">
        <f t="shared" ca="1" si="16"/>
        <v>0.19038489503259337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</row>
    <row r="1081" spans="8:50" x14ac:dyDescent="0.25"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7">
        <f t="shared" ca="1" si="16"/>
        <v>1.9029534944845161E-2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</row>
    <row r="1082" spans="8:50" x14ac:dyDescent="0.25"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7">
        <f t="shared" ca="1" si="16"/>
        <v>9.0627686370651273E-2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</row>
    <row r="1083" spans="8:50" x14ac:dyDescent="0.25"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7">
        <f t="shared" ca="1" si="16"/>
        <v>-5.5207207500790334E-3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</row>
    <row r="1084" spans="8:50" x14ac:dyDescent="0.25"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7">
        <f t="shared" ca="1" si="16"/>
        <v>0.19603243028684544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</row>
    <row r="1085" spans="8:50" x14ac:dyDescent="0.25"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7">
        <f t="shared" ca="1" si="16"/>
        <v>0.17499994237920463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</row>
    <row r="1086" spans="8:50" x14ac:dyDescent="0.25"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7">
        <f t="shared" ca="1" si="16"/>
        <v>0.34780927793398486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</row>
    <row r="1087" spans="8:50" x14ac:dyDescent="0.25"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7">
        <f t="shared" ca="1" si="16"/>
        <v>0.37096790289574955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</row>
    <row r="1088" spans="8:50" x14ac:dyDescent="0.25"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7">
        <f t="shared" ca="1" si="16"/>
        <v>-0.25540599984588119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</row>
    <row r="1089" spans="8:50" x14ac:dyDescent="0.25"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7">
        <f t="shared" ca="1" si="16"/>
        <v>0.30841372601568756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</row>
    <row r="1090" spans="8:50" x14ac:dyDescent="0.25"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7">
        <f t="shared" ca="1" si="16"/>
        <v>9.1659731642561193E-2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</row>
    <row r="1091" spans="8:50" x14ac:dyDescent="0.25"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7">
        <f t="shared" ca="1" si="16"/>
        <v>9.0689650022119081E-2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</row>
    <row r="1092" spans="8:50" x14ac:dyDescent="0.25"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7">
        <f t="shared" ca="1" si="16"/>
        <v>0.39844404990777621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</row>
    <row r="1093" spans="8:50" x14ac:dyDescent="0.25"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7">
        <f t="shared" ca="1" si="16"/>
        <v>0.15695390361959799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</row>
    <row r="1094" spans="8:50" x14ac:dyDescent="0.25"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7">
        <f t="shared" ref="W1094:W1157" ca="1" si="17">+NORMINV(RAND(),$U$2,$U$3)</f>
        <v>0.39258956355083985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</row>
    <row r="1095" spans="8:50" x14ac:dyDescent="0.25"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7">
        <f t="shared" ca="1" si="17"/>
        <v>8.8137830240918452E-2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</row>
    <row r="1096" spans="8:50" x14ac:dyDescent="0.25"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7">
        <f t="shared" ca="1" si="17"/>
        <v>7.8176189617638614E-2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</row>
    <row r="1097" spans="8:50" x14ac:dyDescent="0.25"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7">
        <f t="shared" ca="1" si="17"/>
        <v>0.29201042993062526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</row>
    <row r="1098" spans="8:50" x14ac:dyDescent="0.25"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7">
        <f t="shared" ca="1" si="17"/>
        <v>0.12167071995844221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</row>
    <row r="1099" spans="8:50" x14ac:dyDescent="0.25"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7">
        <f t="shared" ca="1" si="17"/>
        <v>-4.7267066583301001E-2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</row>
    <row r="1100" spans="8:50" x14ac:dyDescent="0.25"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7">
        <f t="shared" ca="1" si="17"/>
        <v>4.974740148678547E-2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</row>
    <row r="1101" spans="8:50" x14ac:dyDescent="0.25"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7">
        <f t="shared" ca="1" si="17"/>
        <v>1.8365766612346318E-2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</row>
    <row r="1102" spans="8:50" x14ac:dyDescent="0.25"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7">
        <f t="shared" ca="1" si="17"/>
        <v>-5.3593357086109225E-2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</row>
    <row r="1103" spans="8:50" x14ac:dyDescent="0.25"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7">
        <f t="shared" ca="1" si="17"/>
        <v>-0.13791478988730627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</row>
    <row r="1104" spans="8:50" x14ac:dyDescent="0.25"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7">
        <f t="shared" ca="1" si="17"/>
        <v>0.14190060097528173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</row>
    <row r="1105" spans="8:50" x14ac:dyDescent="0.25"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7">
        <f t="shared" ca="1" si="17"/>
        <v>0.23791543571171458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</row>
    <row r="1106" spans="8:50" x14ac:dyDescent="0.25"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7">
        <f t="shared" ca="1" si="17"/>
        <v>0.26911526931766028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</row>
    <row r="1107" spans="8:50" x14ac:dyDescent="0.25"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7">
        <f t="shared" ca="1" si="17"/>
        <v>3.0968209235673755E-3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</row>
    <row r="1108" spans="8:50" x14ac:dyDescent="0.25"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7">
        <f t="shared" ca="1" si="17"/>
        <v>2.8035828252705397E-2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</row>
    <row r="1109" spans="8:50" x14ac:dyDescent="0.25"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7">
        <f t="shared" ca="1" si="17"/>
        <v>-1.2819313172798566E-2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</row>
    <row r="1110" spans="8:50" x14ac:dyDescent="0.25"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7">
        <f t="shared" ca="1" si="17"/>
        <v>-0.3107294374803834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</row>
    <row r="1111" spans="8:50" x14ac:dyDescent="0.25"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7">
        <f t="shared" ca="1" si="17"/>
        <v>0.31808960054654351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</row>
    <row r="1112" spans="8:50" x14ac:dyDescent="0.25"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7">
        <f t="shared" ca="1" si="17"/>
        <v>2.6567264809497712E-2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</row>
    <row r="1113" spans="8:50" x14ac:dyDescent="0.25"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7">
        <f t="shared" ca="1" si="17"/>
        <v>5.0050679721526103E-2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</row>
    <row r="1114" spans="8:50" x14ac:dyDescent="0.25"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7">
        <f t="shared" ca="1" si="17"/>
        <v>-0.1373762876779398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</row>
    <row r="1115" spans="8:50" x14ac:dyDescent="0.25"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7">
        <f t="shared" ca="1" si="17"/>
        <v>0.11408729963492314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</row>
    <row r="1116" spans="8:50" x14ac:dyDescent="0.25"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7">
        <f t="shared" ca="1" si="17"/>
        <v>-5.8670103751514532E-2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</row>
    <row r="1117" spans="8:50" x14ac:dyDescent="0.25"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7">
        <f t="shared" ca="1" si="17"/>
        <v>-2.8708893019439088E-2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</row>
    <row r="1118" spans="8:50" x14ac:dyDescent="0.25"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7">
        <f t="shared" ca="1" si="17"/>
        <v>-2.9460999769955074E-2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</row>
    <row r="1119" spans="8:50" x14ac:dyDescent="0.25"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7">
        <f t="shared" ca="1" si="17"/>
        <v>0.21508376388946585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</row>
    <row r="1120" spans="8:50" x14ac:dyDescent="0.25"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7">
        <f t="shared" ca="1" si="17"/>
        <v>-4.009617059281699E-2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</row>
    <row r="1121" spans="8:50" x14ac:dyDescent="0.25"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7">
        <f t="shared" ca="1" si="17"/>
        <v>-0.15848164528941905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</row>
    <row r="1122" spans="8:50" x14ac:dyDescent="0.25"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7">
        <f t="shared" ca="1" si="17"/>
        <v>0.33772240697551692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</row>
    <row r="1123" spans="8:50" x14ac:dyDescent="0.25"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7">
        <f t="shared" ca="1" si="17"/>
        <v>0.14264041725872573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</row>
    <row r="1124" spans="8:50" x14ac:dyDescent="0.25"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7">
        <f t="shared" ca="1" si="17"/>
        <v>0.23445180938477894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</row>
    <row r="1125" spans="8:50" x14ac:dyDescent="0.25"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7">
        <f t="shared" ca="1" si="17"/>
        <v>0.31775129959942316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</row>
    <row r="1126" spans="8:50" x14ac:dyDescent="0.25"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7">
        <f t="shared" ca="1" si="17"/>
        <v>0.18646284960490456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</row>
    <row r="1127" spans="8:50" x14ac:dyDescent="0.25"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7">
        <f t="shared" ca="1" si="17"/>
        <v>0.13679058745138251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</row>
    <row r="1128" spans="8:50" x14ac:dyDescent="0.25"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7">
        <f t="shared" ca="1" si="17"/>
        <v>0.53116316196922497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</row>
    <row r="1129" spans="8:50" x14ac:dyDescent="0.25"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7">
        <f t="shared" ca="1" si="17"/>
        <v>0.30321705906049873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</row>
    <row r="1130" spans="8:50" x14ac:dyDescent="0.25"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7">
        <f t="shared" ca="1" si="17"/>
        <v>-7.2853153397456905E-3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</row>
    <row r="1131" spans="8:50" x14ac:dyDescent="0.25"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7">
        <f t="shared" ca="1" si="17"/>
        <v>0.23833155700732866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</row>
    <row r="1132" spans="8:50" x14ac:dyDescent="0.25"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7">
        <f t="shared" ca="1" si="17"/>
        <v>-2.0916020543185823E-2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</row>
    <row r="1133" spans="8:50" x14ac:dyDescent="0.25"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7">
        <f t="shared" ca="1" si="17"/>
        <v>0.1293586943244899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</row>
    <row r="1134" spans="8:50" x14ac:dyDescent="0.25"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7">
        <f t="shared" ca="1" si="17"/>
        <v>0.34007526931176385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</row>
    <row r="1135" spans="8:50" x14ac:dyDescent="0.25"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7">
        <f t="shared" ca="1" si="17"/>
        <v>0.4411150825827973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</row>
    <row r="1136" spans="8:50" x14ac:dyDescent="0.25"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7">
        <f t="shared" ca="1" si="17"/>
        <v>0.36278257797889601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</row>
    <row r="1137" spans="8:50" x14ac:dyDescent="0.25"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7">
        <f t="shared" ca="1" si="17"/>
        <v>-0.14893028737796127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</row>
    <row r="1138" spans="8:50" x14ac:dyDescent="0.25"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7">
        <f t="shared" ca="1" si="17"/>
        <v>-0.11941420316426328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</row>
    <row r="1139" spans="8:50" x14ac:dyDescent="0.25"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7">
        <f t="shared" ca="1" si="17"/>
        <v>-2.5817466196836961E-2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</row>
    <row r="1140" spans="8:50" x14ac:dyDescent="0.25"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7">
        <f t="shared" ca="1" si="17"/>
        <v>0.11158244908396137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</row>
    <row r="1141" spans="8:50" x14ac:dyDescent="0.25"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7">
        <f t="shared" ca="1" si="17"/>
        <v>8.7812702198661954E-2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</row>
    <row r="1142" spans="8:50" x14ac:dyDescent="0.25"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7">
        <f t="shared" ca="1" si="17"/>
        <v>2.5450926947922101E-2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</row>
    <row r="1143" spans="8:50" x14ac:dyDescent="0.25"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7">
        <f t="shared" ca="1" si="17"/>
        <v>-0.11234794560014684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</row>
    <row r="1144" spans="8:50" x14ac:dyDescent="0.25"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7">
        <f t="shared" ca="1" si="17"/>
        <v>0.29245108411871928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</row>
    <row r="1145" spans="8:50" x14ac:dyDescent="0.25"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7">
        <f t="shared" ca="1" si="17"/>
        <v>-9.195286297467048E-3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</row>
    <row r="1146" spans="8:50" x14ac:dyDescent="0.25"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7">
        <f t="shared" ca="1" si="17"/>
        <v>0.20097087977277506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</row>
    <row r="1147" spans="8:50" x14ac:dyDescent="0.25"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7">
        <f t="shared" ca="1" si="17"/>
        <v>7.9911010437588734E-2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</row>
    <row r="1148" spans="8:50" x14ac:dyDescent="0.25"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7">
        <f t="shared" ca="1" si="17"/>
        <v>-5.4143763112864257E-3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</row>
    <row r="1149" spans="8:50" x14ac:dyDescent="0.25"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7">
        <f t="shared" ca="1" si="17"/>
        <v>0.43914489609429092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</row>
    <row r="1150" spans="8:50" x14ac:dyDescent="0.25"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7">
        <f t="shared" ca="1" si="17"/>
        <v>0.58356400177974932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</row>
    <row r="1151" spans="8:50" x14ac:dyDescent="0.25"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7">
        <f t="shared" ca="1" si="17"/>
        <v>0.13121248033757515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</row>
    <row r="1152" spans="8:50" x14ac:dyDescent="0.25"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7">
        <f t="shared" ca="1" si="17"/>
        <v>3.4362070148973037E-2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</row>
    <row r="1153" spans="8:50" x14ac:dyDescent="0.25"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7">
        <f t="shared" ca="1" si="17"/>
        <v>0.12271628600635005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</row>
    <row r="1154" spans="8:50" x14ac:dyDescent="0.25"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7">
        <f t="shared" ca="1" si="17"/>
        <v>-0.15261434854465428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</row>
    <row r="1155" spans="8:50" x14ac:dyDescent="0.25"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7">
        <f t="shared" ca="1" si="17"/>
        <v>0.16238335113336841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</row>
    <row r="1156" spans="8:50" x14ac:dyDescent="0.25"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7">
        <f t="shared" ca="1" si="17"/>
        <v>0.22948602844107327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</row>
    <row r="1157" spans="8:50" x14ac:dyDescent="0.25"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7">
        <f t="shared" ca="1" si="17"/>
        <v>6.8826676212542237E-2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</row>
    <row r="1158" spans="8:50" x14ac:dyDescent="0.25"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7">
        <f t="shared" ref="W1158:W1221" ca="1" si="18">+NORMINV(RAND(),$U$2,$U$3)</f>
        <v>3.5016648488855412E-2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</row>
    <row r="1159" spans="8:50" x14ac:dyDescent="0.25"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7">
        <f t="shared" ca="1" si="18"/>
        <v>0.14412832286789995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</row>
    <row r="1160" spans="8:50" x14ac:dyDescent="0.25"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7">
        <f t="shared" ca="1" si="18"/>
        <v>0.1564519402185533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</row>
    <row r="1161" spans="8:50" x14ac:dyDescent="0.25"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7">
        <f t="shared" ca="1" si="18"/>
        <v>4.4558353888018681E-2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</row>
    <row r="1162" spans="8:50" x14ac:dyDescent="0.25"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7">
        <f t="shared" ca="1" si="18"/>
        <v>0.11503335280718066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</row>
    <row r="1163" spans="8:50" x14ac:dyDescent="0.25"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7">
        <f t="shared" ca="1" si="18"/>
        <v>0.23356516234715935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</row>
    <row r="1164" spans="8:50" x14ac:dyDescent="0.25"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7">
        <f t="shared" ca="1" si="18"/>
        <v>0.13707829082565626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</row>
    <row r="1165" spans="8:50" x14ac:dyDescent="0.25"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7">
        <f t="shared" ca="1" si="18"/>
        <v>5.9728896434165991E-2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</row>
    <row r="1166" spans="8:50" x14ac:dyDescent="0.25"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7">
        <f t="shared" ca="1" si="18"/>
        <v>1.2642601115197924E-2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</row>
    <row r="1167" spans="8:50" x14ac:dyDescent="0.25"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7">
        <f t="shared" ca="1" si="18"/>
        <v>0.25213299381511173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</row>
    <row r="1168" spans="8:50" x14ac:dyDescent="0.25"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7">
        <f t="shared" ca="1" si="18"/>
        <v>7.48747916400654E-2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</row>
    <row r="1169" spans="8:50" x14ac:dyDescent="0.25"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7">
        <f t="shared" ca="1" si="18"/>
        <v>-8.6526226664192699E-2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</row>
    <row r="1170" spans="8:50" x14ac:dyDescent="0.25"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7">
        <f t="shared" ca="1" si="18"/>
        <v>-3.359787968079829E-2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</row>
    <row r="1171" spans="8:50" x14ac:dyDescent="0.25"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7">
        <f t="shared" ca="1" si="18"/>
        <v>0.36663557548849673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</row>
    <row r="1172" spans="8:50" x14ac:dyDescent="0.25"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7">
        <f t="shared" ca="1" si="18"/>
        <v>0.28942035693402368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</row>
    <row r="1173" spans="8:50" x14ac:dyDescent="0.25"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7">
        <f t="shared" ca="1" si="18"/>
        <v>-0.35112052370499069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</row>
    <row r="1174" spans="8:50" x14ac:dyDescent="0.25"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7">
        <f t="shared" ca="1" si="18"/>
        <v>0.39435095180458368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</row>
    <row r="1175" spans="8:50" x14ac:dyDescent="0.25"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7">
        <f t="shared" ca="1" si="18"/>
        <v>0.17179499887381622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</row>
    <row r="1176" spans="8:50" x14ac:dyDescent="0.25"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7">
        <f t="shared" ca="1" si="18"/>
        <v>0.2156994732867285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</row>
    <row r="1177" spans="8:50" x14ac:dyDescent="0.25"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7">
        <f t="shared" ca="1" si="18"/>
        <v>0.10391135798360468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</row>
    <row r="1178" spans="8:50" x14ac:dyDescent="0.25"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7">
        <f t="shared" ca="1" si="18"/>
        <v>0.15417763748038299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</row>
    <row r="1179" spans="8:50" x14ac:dyDescent="0.25"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7">
        <f t="shared" ca="1" si="18"/>
        <v>-9.8762517728006302E-2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</row>
    <row r="1180" spans="8:50" x14ac:dyDescent="0.25"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7">
        <f t="shared" ca="1" si="18"/>
        <v>7.3540378734404083E-2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</row>
    <row r="1181" spans="8:50" x14ac:dyDescent="0.25"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7">
        <f t="shared" ca="1" si="18"/>
        <v>-1.9449918955980472E-3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</row>
    <row r="1182" spans="8:50" x14ac:dyDescent="0.25"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7">
        <f t="shared" ca="1" si="18"/>
        <v>0.14442265447123181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</row>
    <row r="1183" spans="8:50" x14ac:dyDescent="0.25"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7">
        <f t="shared" ca="1" si="18"/>
        <v>0.20968104769226237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</row>
    <row r="1184" spans="8:50" x14ac:dyDescent="0.25"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7">
        <f t="shared" ca="1" si="18"/>
        <v>1.5599855472450908E-2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</row>
    <row r="1185" spans="8:50" x14ac:dyDescent="0.25"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7">
        <f t="shared" ca="1" si="18"/>
        <v>9.9058679490370782E-2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</row>
    <row r="1186" spans="8:50" x14ac:dyDescent="0.25"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7">
        <f t="shared" ca="1" si="18"/>
        <v>0.19004779351172743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</row>
    <row r="1187" spans="8:50" x14ac:dyDescent="0.25"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7">
        <f t="shared" ca="1" si="18"/>
        <v>6.4446712827259445E-2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</row>
    <row r="1188" spans="8:50" x14ac:dyDescent="0.25"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7">
        <f t="shared" ca="1" si="18"/>
        <v>9.202328489701532E-2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</row>
    <row r="1189" spans="8:50" x14ac:dyDescent="0.25"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7">
        <f t="shared" ca="1" si="18"/>
        <v>-3.8665018648549501E-2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</row>
    <row r="1190" spans="8:50" x14ac:dyDescent="0.25"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7">
        <f t="shared" ca="1" si="18"/>
        <v>9.1807642069490797E-2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</row>
    <row r="1191" spans="8:50" x14ac:dyDescent="0.25"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7">
        <f t="shared" ca="1" si="18"/>
        <v>0.34844178672307263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</row>
    <row r="1192" spans="8:50" x14ac:dyDescent="0.25"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7">
        <f t="shared" ca="1" si="18"/>
        <v>0.14164022824916767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</row>
    <row r="1193" spans="8:50" x14ac:dyDescent="0.25"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7">
        <f t="shared" ca="1" si="18"/>
        <v>0.21226251369745416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</row>
    <row r="1194" spans="8:50" x14ac:dyDescent="0.25"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7">
        <f t="shared" ca="1" si="18"/>
        <v>3.5656058684205016E-3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</row>
    <row r="1195" spans="8:50" x14ac:dyDescent="0.25"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7">
        <f t="shared" ca="1" si="18"/>
        <v>8.6721543016339109E-2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</row>
    <row r="1196" spans="8:50" x14ac:dyDescent="0.25"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7">
        <f t="shared" ca="1" si="18"/>
        <v>-0.11985092675459576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</row>
    <row r="1197" spans="8:50" x14ac:dyDescent="0.25"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7">
        <f t="shared" ca="1" si="18"/>
        <v>0.32366564644327123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</row>
    <row r="1198" spans="8:50" x14ac:dyDescent="0.25"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7">
        <f t="shared" ca="1" si="18"/>
        <v>6.2049006798188762E-2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</row>
    <row r="1199" spans="8:50" x14ac:dyDescent="0.25"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7">
        <f t="shared" ca="1" si="18"/>
        <v>0.14130693229415481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</row>
    <row r="1200" spans="8:50" x14ac:dyDescent="0.25"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7">
        <f t="shared" ca="1" si="18"/>
        <v>0.35617816690017101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</row>
    <row r="1201" spans="8:50" x14ac:dyDescent="0.25"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7">
        <f t="shared" ca="1" si="18"/>
        <v>0.26225050081508811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</row>
    <row r="1202" spans="8:50" x14ac:dyDescent="0.25"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7">
        <f t="shared" ca="1" si="18"/>
        <v>3.9999856606254394E-2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</row>
    <row r="1203" spans="8:50" x14ac:dyDescent="0.25"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7">
        <f t="shared" ca="1" si="18"/>
        <v>0.38128390193710265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</row>
    <row r="1204" spans="8:50" x14ac:dyDescent="0.25"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7">
        <f t="shared" ca="1" si="18"/>
        <v>-0.13523746806204268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</row>
    <row r="1205" spans="8:50" x14ac:dyDescent="0.25"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7">
        <f t="shared" ca="1" si="18"/>
        <v>0.13264270580180035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</row>
    <row r="1206" spans="8:50" x14ac:dyDescent="0.25"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7">
        <f t="shared" ca="1" si="18"/>
        <v>7.860189267746065E-3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</row>
    <row r="1207" spans="8:50" x14ac:dyDescent="0.25"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7">
        <f t="shared" ca="1" si="18"/>
        <v>0.29362776387845846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</row>
    <row r="1208" spans="8:50" x14ac:dyDescent="0.25"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7">
        <f t="shared" ca="1" si="18"/>
        <v>-0.33453855336700827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</row>
    <row r="1209" spans="8:50" x14ac:dyDescent="0.25"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7">
        <f t="shared" ca="1" si="18"/>
        <v>0.25876542392846363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</row>
    <row r="1210" spans="8:50" x14ac:dyDescent="0.25"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7">
        <f t="shared" ca="1" si="18"/>
        <v>0.28320590370402143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</row>
    <row r="1211" spans="8:50" x14ac:dyDescent="0.25"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7">
        <f t="shared" ca="1" si="18"/>
        <v>-1.4602503414208726E-2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</row>
    <row r="1212" spans="8:50" x14ac:dyDescent="0.25"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7">
        <f t="shared" ca="1" si="18"/>
        <v>0.15474503004173995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</row>
    <row r="1213" spans="8:50" x14ac:dyDescent="0.25"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7">
        <f t="shared" ca="1" si="18"/>
        <v>8.3703002159369072E-2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</row>
    <row r="1214" spans="8:50" x14ac:dyDescent="0.25"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7">
        <f t="shared" ca="1" si="18"/>
        <v>-8.172422191973043E-2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</row>
    <row r="1215" spans="8:50" x14ac:dyDescent="0.25"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7">
        <f t="shared" ca="1" si="18"/>
        <v>3.5986925672899697E-2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</row>
    <row r="1216" spans="8:50" x14ac:dyDescent="0.25"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7">
        <f t="shared" ca="1" si="18"/>
        <v>0.16590970731430654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</row>
    <row r="1217" spans="8:50" x14ac:dyDescent="0.25"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7">
        <f t="shared" ca="1" si="18"/>
        <v>4.4480084982320728E-2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</row>
    <row r="1218" spans="8:50" x14ac:dyDescent="0.25"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7">
        <f t="shared" ca="1" si="18"/>
        <v>0.36240034305239677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</row>
    <row r="1219" spans="8:50" x14ac:dyDescent="0.25"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7">
        <f t="shared" ca="1" si="18"/>
        <v>0.477309783032484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</row>
    <row r="1220" spans="8:50" x14ac:dyDescent="0.25"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7">
        <f t="shared" ca="1" si="18"/>
        <v>0.35952143248877966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</row>
    <row r="1221" spans="8:50" x14ac:dyDescent="0.25"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7">
        <f t="shared" ca="1" si="18"/>
        <v>-0.24203725189777592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</row>
    <row r="1222" spans="8:50" x14ac:dyDescent="0.25"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7">
        <f t="shared" ref="W1222:W1285" ca="1" si="19">+NORMINV(RAND(),$U$2,$U$3)</f>
        <v>0.2231733687339853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</row>
    <row r="1223" spans="8:50" x14ac:dyDescent="0.25"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7">
        <f t="shared" ca="1" si="19"/>
        <v>0.15545589167398005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</row>
    <row r="1224" spans="8:50" x14ac:dyDescent="0.25"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7">
        <f t="shared" ca="1" si="19"/>
        <v>-6.3916112028724006E-2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</row>
    <row r="1225" spans="8:50" x14ac:dyDescent="0.25"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7">
        <f t="shared" ca="1" si="19"/>
        <v>0.29298228629602791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</row>
    <row r="1226" spans="8:50" x14ac:dyDescent="0.25"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7">
        <f t="shared" ca="1" si="19"/>
        <v>0.14224292440083264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</row>
    <row r="1227" spans="8:50" x14ac:dyDescent="0.25"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7">
        <f t="shared" ca="1" si="19"/>
        <v>0.36332360779393907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</row>
    <row r="1228" spans="8:50" x14ac:dyDescent="0.25"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7">
        <f t="shared" ca="1" si="19"/>
        <v>0.1236132636811418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</row>
    <row r="1229" spans="8:50" x14ac:dyDescent="0.25"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7">
        <f t="shared" ca="1" si="19"/>
        <v>0.29415969137231129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</row>
    <row r="1230" spans="8:50" x14ac:dyDescent="0.25"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7">
        <f t="shared" ca="1" si="19"/>
        <v>6.6333420567951856E-2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</row>
    <row r="1231" spans="8:50" x14ac:dyDescent="0.25"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7">
        <f t="shared" ca="1" si="19"/>
        <v>0.21026873376145444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</row>
    <row r="1232" spans="8:50" x14ac:dyDescent="0.25"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7">
        <f t="shared" ca="1" si="19"/>
        <v>0.562812516045337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</row>
    <row r="1233" spans="8:50" x14ac:dyDescent="0.25"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7">
        <f t="shared" ca="1" si="19"/>
        <v>-7.9867048179457348E-2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</row>
    <row r="1234" spans="8:50" x14ac:dyDescent="0.25"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7">
        <f t="shared" ca="1" si="19"/>
        <v>0.30755379084613177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</row>
    <row r="1235" spans="8:50" x14ac:dyDescent="0.25"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7">
        <f t="shared" ca="1" si="19"/>
        <v>-0.15905673286110644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</row>
    <row r="1236" spans="8:50" x14ac:dyDescent="0.25"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7">
        <f t="shared" ca="1" si="19"/>
        <v>7.9188931872230639E-2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</row>
    <row r="1237" spans="8:50" x14ac:dyDescent="0.25"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7">
        <f t="shared" ca="1" si="19"/>
        <v>7.0441266032060121E-2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</row>
    <row r="1238" spans="8:50" x14ac:dyDescent="0.25"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7">
        <f t="shared" ca="1" si="19"/>
        <v>0.15292418455165829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</row>
    <row r="1239" spans="8:50" x14ac:dyDescent="0.25"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7">
        <f t="shared" ca="1" si="19"/>
        <v>0.18716451333360706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</row>
    <row r="1240" spans="8:50" x14ac:dyDescent="0.25"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7">
        <f t="shared" ca="1" si="19"/>
        <v>0.20735575596436412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</row>
    <row r="1241" spans="8:50" x14ac:dyDescent="0.25"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7">
        <f t="shared" ca="1" si="19"/>
        <v>0.49974585124287729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</row>
    <row r="1242" spans="8:50" x14ac:dyDescent="0.25"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7">
        <f t="shared" ca="1" si="19"/>
        <v>0.23495262931464575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</row>
    <row r="1243" spans="8:50" x14ac:dyDescent="0.25"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7">
        <f t="shared" ca="1" si="19"/>
        <v>0.31916949448908377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</row>
    <row r="1244" spans="8:50" x14ac:dyDescent="0.25"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7">
        <f t="shared" ca="1" si="19"/>
        <v>0.18713864379419398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</row>
    <row r="1245" spans="8:50" x14ac:dyDescent="0.25"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7">
        <f t="shared" ca="1" si="19"/>
        <v>-0.12167923492687406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</row>
    <row r="1246" spans="8:50" x14ac:dyDescent="0.25"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7">
        <f t="shared" ca="1" si="19"/>
        <v>0.36698965717964033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</row>
    <row r="1247" spans="8:50" x14ac:dyDescent="0.25"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7">
        <f t="shared" ca="1" si="19"/>
        <v>4.0178456147249172E-2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</row>
    <row r="1248" spans="8:50" x14ac:dyDescent="0.25"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7">
        <f t="shared" ca="1" si="19"/>
        <v>-0.18300740681905686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</row>
    <row r="1249" spans="8:50" x14ac:dyDescent="0.25"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7">
        <f t="shared" ca="1" si="19"/>
        <v>0.11877903433289703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</row>
    <row r="1250" spans="8:50" x14ac:dyDescent="0.25"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7">
        <f t="shared" ca="1" si="19"/>
        <v>-0.10917732021666628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</row>
    <row r="1251" spans="8:50" x14ac:dyDescent="0.25"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7">
        <f t="shared" ca="1" si="19"/>
        <v>0.12835747413364357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</row>
    <row r="1252" spans="8:50" x14ac:dyDescent="0.25"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7">
        <f t="shared" ca="1" si="19"/>
        <v>0.3059027561499954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</row>
    <row r="1253" spans="8:50" x14ac:dyDescent="0.25"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7">
        <f t="shared" ca="1" si="19"/>
        <v>0.15607256366069927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</row>
    <row r="1254" spans="8:50" x14ac:dyDescent="0.25"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7">
        <f t="shared" ca="1" si="19"/>
        <v>0.19797532249487329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</row>
    <row r="1255" spans="8:50" x14ac:dyDescent="0.25"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7">
        <f t="shared" ca="1" si="19"/>
        <v>0.14141006961281211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</row>
    <row r="1256" spans="8:50" x14ac:dyDescent="0.25"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7">
        <f t="shared" ca="1" si="19"/>
        <v>0.26579633957891391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</row>
    <row r="1257" spans="8:50" x14ac:dyDescent="0.25"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7">
        <f t="shared" ca="1" si="19"/>
        <v>0.21523232112207791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</row>
    <row r="1258" spans="8:50" x14ac:dyDescent="0.25"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7">
        <f t="shared" ca="1" si="19"/>
        <v>0.13657077398560508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</row>
    <row r="1259" spans="8:50" x14ac:dyDescent="0.25"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7">
        <f t="shared" ca="1" si="19"/>
        <v>1.103050022224504E-2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</row>
    <row r="1260" spans="8:50" x14ac:dyDescent="0.25"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7">
        <f t="shared" ca="1" si="19"/>
        <v>-4.1230370841479722E-2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</row>
    <row r="1261" spans="8:50" x14ac:dyDescent="0.25"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7">
        <f t="shared" ca="1" si="19"/>
        <v>0.11852255280146096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</row>
    <row r="1262" spans="8:50" x14ac:dyDescent="0.25"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7">
        <f t="shared" ca="1" si="19"/>
        <v>-0.107547372875182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</row>
    <row r="1263" spans="8:50" x14ac:dyDescent="0.25"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7">
        <f t="shared" ca="1" si="19"/>
        <v>0.12107440972089899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</row>
    <row r="1264" spans="8:50" x14ac:dyDescent="0.25"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7">
        <f t="shared" ca="1" si="19"/>
        <v>0.22143404057445371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</row>
    <row r="1265" spans="8:50" x14ac:dyDescent="0.25"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7">
        <f t="shared" ca="1" si="19"/>
        <v>9.0714848614653634E-2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</row>
    <row r="1266" spans="8:50" x14ac:dyDescent="0.25"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7">
        <f t="shared" ca="1" si="19"/>
        <v>0.17225095091213474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</row>
    <row r="1267" spans="8:50" x14ac:dyDescent="0.25"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7">
        <f t="shared" ca="1" si="19"/>
        <v>-0.12977784738981218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</row>
    <row r="1268" spans="8:50" x14ac:dyDescent="0.25"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7">
        <f t="shared" ca="1" si="19"/>
        <v>8.4045771451526613E-2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</row>
    <row r="1269" spans="8:50" x14ac:dyDescent="0.25"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7">
        <f t="shared" ca="1" si="19"/>
        <v>-0.23139333228884096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</row>
    <row r="1270" spans="8:50" x14ac:dyDescent="0.25"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7">
        <f t="shared" ca="1" si="19"/>
        <v>0.14275166829747313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</row>
    <row r="1271" spans="8:50" x14ac:dyDescent="0.25"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7">
        <f t="shared" ca="1" si="19"/>
        <v>0.26488539039380155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</row>
    <row r="1272" spans="8:50" x14ac:dyDescent="0.25"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7">
        <f t="shared" ca="1" si="19"/>
        <v>2.9466059173329326E-2</v>
      </c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</row>
    <row r="1273" spans="8:50" x14ac:dyDescent="0.25"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7">
        <f t="shared" ca="1" si="19"/>
        <v>-2.5797625946892153E-2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</row>
    <row r="1274" spans="8:50" x14ac:dyDescent="0.25"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7">
        <f t="shared" ca="1" si="19"/>
        <v>-3.421926236918342E-2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</row>
    <row r="1275" spans="8:50" x14ac:dyDescent="0.25"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7">
        <f t="shared" ca="1" si="19"/>
        <v>0.24776521760110409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</row>
    <row r="1276" spans="8:50" x14ac:dyDescent="0.25"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7">
        <f t="shared" ca="1" si="19"/>
        <v>0.27161504439015055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</row>
    <row r="1277" spans="8:50" x14ac:dyDescent="0.25"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7">
        <f t="shared" ca="1" si="19"/>
        <v>0.28824746004908969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</row>
    <row r="1278" spans="8:50" x14ac:dyDescent="0.25"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7">
        <f t="shared" ca="1" si="19"/>
        <v>0.17520920253032193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</row>
    <row r="1279" spans="8:50" x14ac:dyDescent="0.25"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7">
        <f t="shared" ca="1" si="19"/>
        <v>-8.1880610772767801E-2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</row>
    <row r="1280" spans="8:50" x14ac:dyDescent="0.25"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7">
        <f t="shared" ca="1" si="19"/>
        <v>1.1013762252598078E-2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</row>
    <row r="1281" spans="8:50" x14ac:dyDescent="0.25"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7">
        <f t="shared" ca="1" si="19"/>
        <v>0.10652311573162897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</row>
    <row r="1282" spans="8:50" x14ac:dyDescent="0.25"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7">
        <f t="shared" ca="1" si="19"/>
        <v>-0.18747265277554143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</row>
    <row r="1283" spans="8:50" x14ac:dyDescent="0.25"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7">
        <f t="shared" ca="1" si="19"/>
        <v>7.2242422043043403E-2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</row>
    <row r="1284" spans="8:50" x14ac:dyDescent="0.25"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7">
        <f t="shared" ca="1" si="19"/>
        <v>0.33093931762571765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</row>
    <row r="1285" spans="8:50" x14ac:dyDescent="0.25"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7">
        <f t="shared" ca="1" si="19"/>
        <v>1.9861924109348394E-3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</row>
    <row r="1286" spans="8:50" x14ac:dyDescent="0.25"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7">
        <f t="shared" ref="W1286:W1349" ca="1" si="20">+NORMINV(RAND(),$U$2,$U$3)</f>
        <v>-0.210473986990318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</row>
    <row r="1287" spans="8:50" x14ac:dyDescent="0.25"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7">
        <f t="shared" ca="1" si="20"/>
        <v>-9.5711896878031319E-2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</row>
    <row r="1288" spans="8:50" x14ac:dyDescent="0.25"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7">
        <f t="shared" ca="1" si="20"/>
        <v>0.26185733764483859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</row>
    <row r="1289" spans="8:50" x14ac:dyDescent="0.25"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7">
        <f t="shared" ca="1" si="20"/>
        <v>0.24982659075204644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</row>
    <row r="1290" spans="8:50" x14ac:dyDescent="0.25"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7">
        <f t="shared" ca="1" si="20"/>
        <v>1.5627836709917783E-2</v>
      </c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</row>
    <row r="1291" spans="8:50" x14ac:dyDescent="0.25"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7">
        <f t="shared" ca="1" si="20"/>
        <v>0.1424816189390124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</row>
    <row r="1292" spans="8:50" x14ac:dyDescent="0.25"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7">
        <f t="shared" ca="1" si="20"/>
        <v>6.5465094002711277E-2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</row>
    <row r="1293" spans="8:50" x14ac:dyDescent="0.25"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7">
        <f t="shared" ca="1" si="20"/>
        <v>2.1199446416051537E-2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</row>
    <row r="1294" spans="8:50" x14ac:dyDescent="0.25"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7">
        <f t="shared" ca="1" si="20"/>
        <v>0.18343054129324854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</row>
    <row r="1295" spans="8:50" x14ac:dyDescent="0.25"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7">
        <f t="shared" ca="1" si="20"/>
        <v>0.20037911431652861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</row>
    <row r="1296" spans="8:50" x14ac:dyDescent="0.25"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7">
        <f t="shared" ca="1" si="20"/>
        <v>0.25024935124539721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</row>
    <row r="1297" spans="8:50" x14ac:dyDescent="0.25"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7">
        <f t="shared" ca="1" si="20"/>
        <v>8.5153429071136974E-2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</row>
    <row r="1298" spans="8:50" x14ac:dyDescent="0.25"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7">
        <f t="shared" ca="1" si="20"/>
        <v>-7.8011409209116214E-2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</row>
    <row r="1299" spans="8:50" x14ac:dyDescent="0.25"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7">
        <f t="shared" ca="1" si="20"/>
        <v>-6.6248544105015642E-2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</row>
    <row r="1300" spans="8:50" x14ac:dyDescent="0.25"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7">
        <f t="shared" ca="1" si="20"/>
        <v>-3.2311740650260948E-2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</row>
    <row r="1301" spans="8:50" x14ac:dyDescent="0.25"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7">
        <f t="shared" ca="1" si="20"/>
        <v>-0.10524006706317492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</row>
    <row r="1302" spans="8:50" x14ac:dyDescent="0.25"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7">
        <f t="shared" ca="1" si="20"/>
        <v>0.40185570486050493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</row>
    <row r="1303" spans="8:50" x14ac:dyDescent="0.25"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7">
        <f t="shared" ca="1" si="20"/>
        <v>-9.3073521933355371E-2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</row>
    <row r="1304" spans="8:50" x14ac:dyDescent="0.25"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7">
        <f t="shared" ca="1" si="20"/>
        <v>0.23120110244482672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</row>
    <row r="1305" spans="8:50" x14ac:dyDescent="0.25"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7">
        <f t="shared" ca="1" si="20"/>
        <v>-0.20937659558383737</v>
      </c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</row>
    <row r="1306" spans="8:50" x14ac:dyDescent="0.25"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7">
        <f t="shared" ca="1" si="20"/>
        <v>-0.15689185901190494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</row>
    <row r="1307" spans="8:50" x14ac:dyDescent="0.25"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7">
        <f t="shared" ca="1" si="20"/>
        <v>0.47319569115339205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</row>
    <row r="1308" spans="8:50" x14ac:dyDescent="0.25"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7">
        <f t="shared" ca="1" si="20"/>
        <v>-2.7452774737499588E-2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</row>
    <row r="1309" spans="8:50" x14ac:dyDescent="0.25"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7">
        <f t="shared" ca="1" si="20"/>
        <v>0.14508702302073562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</row>
    <row r="1310" spans="8:50" x14ac:dyDescent="0.25"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7">
        <f t="shared" ca="1" si="20"/>
        <v>0.36997584798412081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</row>
    <row r="1311" spans="8:50" x14ac:dyDescent="0.25"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7">
        <f t="shared" ca="1" si="20"/>
        <v>0.11343522321790533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</row>
    <row r="1312" spans="8:50" x14ac:dyDescent="0.25"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7">
        <f t="shared" ca="1" si="20"/>
        <v>0.24327354573449128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</row>
    <row r="1313" spans="8:50" x14ac:dyDescent="0.25"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7">
        <f t="shared" ca="1" si="20"/>
        <v>-2.7601396222436889E-2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</row>
    <row r="1314" spans="8:50" x14ac:dyDescent="0.25"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7">
        <f t="shared" ca="1" si="20"/>
        <v>0.2827709317169057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</row>
    <row r="1315" spans="8:50" x14ac:dyDescent="0.25"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7">
        <f t="shared" ca="1" si="20"/>
        <v>0.47315089529447268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</row>
    <row r="1316" spans="8:50" x14ac:dyDescent="0.25"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7">
        <f t="shared" ca="1" si="20"/>
        <v>0.17442553546381778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</row>
    <row r="1317" spans="8:50" x14ac:dyDescent="0.25"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7">
        <f t="shared" ca="1" si="20"/>
        <v>0.21474222905389806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</row>
    <row r="1318" spans="8:50" x14ac:dyDescent="0.25"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7">
        <f t="shared" ca="1" si="20"/>
        <v>-0.29127046803713119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</row>
    <row r="1319" spans="8:50" x14ac:dyDescent="0.25"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7">
        <f t="shared" ca="1" si="20"/>
        <v>9.4790495112894779E-2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</row>
    <row r="1320" spans="8:50" x14ac:dyDescent="0.25"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7">
        <f t="shared" ca="1" si="20"/>
        <v>0.3453762282162014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</row>
    <row r="1321" spans="8:50" x14ac:dyDescent="0.25"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7">
        <f t="shared" ca="1" si="20"/>
        <v>0.35378445074600084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</row>
    <row r="1322" spans="8:50" x14ac:dyDescent="0.25"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7">
        <f t="shared" ca="1" si="20"/>
        <v>2.0786992843684085E-2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</row>
    <row r="1323" spans="8:50" x14ac:dyDescent="0.25"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7">
        <f t="shared" ca="1" si="20"/>
        <v>0.21793848122172949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</row>
    <row r="1324" spans="8:50" x14ac:dyDescent="0.25"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7">
        <f t="shared" ca="1" si="20"/>
        <v>0.10129546823505989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</row>
    <row r="1325" spans="8:50" x14ac:dyDescent="0.25"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7">
        <f t="shared" ca="1" si="20"/>
        <v>-6.9961735768447622E-2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</row>
    <row r="1326" spans="8:50" x14ac:dyDescent="0.25"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7">
        <f t="shared" ca="1" si="20"/>
        <v>0.31981814540599501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</row>
    <row r="1327" spans="8:50" x14ac:dyDescent="0.25"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7">
        <f t="shared" ca="1" si="20"/>
        <v>-0.15915271425514033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</row>
    <row r="1328" spans="8:50" x14ac:dyDescent="0.25"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7">
        <f t="shared" ca="1" si="20"/>
        <v>0.22607960953725897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</row>
    <row r="1329" spans="8:50" x14ac:dyDescent="0.25"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7">
        <f t="shared" ca="1" si="20"/>
        <v>8.1768373425512381E-2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</row>
    <row r="1330" spans="8:50" x14ac:dyDescent="0.25"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7">
        <f t="shared" ca="1" si="20"/>
        <v>0.24748321556826774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</row>
    <row r="1331" spans="8:50" x14ac:dyDescent="0.25"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7">
        <f t="shared" ca="1" si="20"/>
        <v>0.28113325594883593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</row>
    <row r="1332" spans="8:50" x14ac:dyDescent="0.25"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7">
        <f t="shared" ca="1" si="20"/>
        <v>-7.1042002105729807E-3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</row>
    <row r="1333" spans="8:50" x14ac:dyDescent="0.25"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7">
        <f t="shared" ca="1" si="20"/>
        <v>0.11885269485492883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</row>
    <row r="1334" spans="8:50" x14ac:dyDescent="0.25"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7">
        <f t="shared" ca="1" si="20"/>
        <v>0.12052801895322787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</row>
    <row r="1335" spans="8:50" x14ac:dyDescent="0.25"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7">
        <f t="shared" ca="1" si="20"/>
        <v>0.23247963763425397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</row>
    <row r="1336" spans="8:50" x14ac:dyDescent="0.25"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7">
        <f t="shared" ca="1" si="20"/>
        <v>1.6044951304981167E-2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</row>
    <row r="1337" spans="8:50" x14ac:dyDescent="0.25"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7">
        <f t="shared" ca="1" si="20"/>
        <v>0.39436664155216894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</row>
    <row r="1338" spans="8:50" x14ac:dyDescent="0.25"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7">
        <f t="shared" ca="1" si="20"/>
        <v>0.22330567773996818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</row>
    <row r="1339" spans="8:50" x14ac:dyDescent="0.25"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7">
        <f t="shared" ca="1" si="20"/>
        <v>0.39943208682583464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</row>
    <row r="1340" spans="8:50" x14ac:dyDescent="0.25"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7">
        <f t="shared" ca="1" si="20"/>
        <v>-0.19965248761079246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</row>
    <row r="1341" spans="8:50" x14ac:dyDescent="0.25"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7">
        <f t="shared" ca="1" si="20"/>
        <v>0.31404958591369742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</row>
    <row r="1342" spans="8:50" x14ac:dyDescent="0.25"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7">
        <f t="shared" ca="1" si="20"/>
        <v>0.34684694089225032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</row>
    <row r="1343" spans="8:50" x14ac:dyDescent="0.25"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7">
        <f t="shared" ca="1" si="20"/>
        <v>0.21125225771920181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</row>
    <row r="1344" spans="8:50" x14ac:dyDescent="0.25"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7">
        <f t="shared" ca="1" si="20"/>
        <v>-7.6005821780225982E-2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</row>
    <row r="1345" spans="8:50" x14ac:dyDescent="0.25"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7">
        <f t="shared" ca="1" si="20"/>
        <v>0.31129490132622806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</row>
    <row r="1346" spans="8:50" x14ac:dyDescent="0.25"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7">
        <f t="shared" ca="1" si="20"/>
        <v>0.29378601506104385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</row>
    <row r="1347" spans="8:50" x14ac:dyDescent="0.25"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7">
        <f t="shared" ca="1" si="20"/>
        <v>-7.1526154114928395E-2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</row>
    <row r="1348" spans="8:50" x14ac:dyDescent="0.25"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7">
        <f t="shared" ca="1" si="20"/>
        <v>6.1511371782891067E-3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</row>
    <row r="1349" spans="8:50" x14ac:dyDescent="0.25"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7">
        <f t="shared" ca="1" si="20"/>
        <v>0.17324379842829382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</row>
    <row r="1350" spans="8:50" x14ac:dyDescent="0.25"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7">
        <f t="shared" ref="W1350:W1413" ca="1" si="21">+NORMINV(RAND(),$U$2,$U$3)</f>
        <v>0.25349030600553446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</row>
    <row r="1351" spans="8:50" x14ac:dyDescent="0.25"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7">
        <f t="shared" ca="1" si="21"/>
        <v>0.13776864950644041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</row>
    <row r="1352" spans="8:50" x14ac:dyDescent="0.25"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7">
        <f t="shared" ca="1" si="21"/>
        <v>0.44529563552503454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</row>
    <row r="1353" spans="8:50" x14ac:dyDescent="0.25"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7">
        <f t="shared" ca="1" si="21"/>
        <v>0.24204130277700736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</row>
    <row r="1354" spans="8:50" x14ac:dyDescent="0.25"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7">
        <f t="shared" ca="1" si="21"/>
        <v>0.39522482864268643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</row>
    <row r="1355" spans="8:50" x14ac:dyDescent="0.25"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7">
        <f t="shared" ca="1" si="21"/>
        <v>-3.0732449829330447E-2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</row>
    <row r="1356" spans="8:50" x14ac:dyDescent="0.25"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7">
        <f t="shared" ca="1" si="21"/>
        <v>0.10627392802449757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</row>
    <row r="1357" spans="8:50" x14ac:dyDescent="0.25"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7">
        <f t="shared" ca="1" si="21"/>
        <v>-0.11327152927546523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</row>
    <row r="1358" spans="8:50" x14ac:dyDescent="0.25"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7">
        <f t="shared" ca="1" si="21"/>
        <v>9.5625922520769319E-2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</row>
    <row r="1359" spans="8:50" x14ac:dyDescent="0.25"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7">
        <f t="shared" ca="1" si="21"/>
        <v>-0.2595017981482316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</row>
    <row r="1360" spans="8:50" x14ac:dyDescent="0.25"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7">
        <f t="shared" ca="1" si="21"/>
        <v>0.19330364524056762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</row>
    <row r="1361" spans="8:50" x14ac:dyDescent="0.25"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7">
        <f t="shared" ca="1" si="21"/>
        <v>-7.76777892311213E-2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</row>
    <row r="1362" spans="8:50" x14ac:dyDescent="0.25"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7">
        <f t="shared" ca="1" si="21"/>
        <v>0.19376726558440288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</row>
    <row r="1363" spans="8:50" x14ac:dyDescent="0.25"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7">
        <f t="shared" ca="1" si="21"/>
        <v>0.13793475024129123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</row>
    <row r="1364" spans="8:50" x14ac:dyDescent="0.25"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7">
        <f t="shared" ca="1" si="21"/>
        <v>4.208846385653206E-3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</row>
    <row r="1365" spans="8:50" x14ac:dyDescent="0.25"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7">
        <f t="shared" ca="1" si="21"/>
        <v>4.3012546428771795E-2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</row>
    <row r="1366" spans="8:50" x14ac:dyDescent="0.25"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7">
        <f t="shared" ca="1" si="21"/>
        <v>-7.9416138371170633E-2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</row>
    <row r="1367" spans="8:50" x14ac:dyDescent="0.25"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7">
        <f t="shared" ca="1" si="21"/>
        <v>3.009205194012296E-2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</row>
    <row r="1368" spans="8:50" x14ac:dyDescent="0.25"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7">
        <f t="shared" ca="1" si="21"/>
        <v>-3.9147817185350417E-2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</row>
    <row r="1369" spans="8:50" x14ac:dyDescent="0.25"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7">
        <f t="shared" ca="1" si="21"/>
        <v>6.4820317462415067E-2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</row>
    <row r="1370" spans="8:50" x14ac:dyDescent="0.25"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7">
        <f t="shared" ca="1" si="21"/>
        <v>-0.10916437890789847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</row>
    <row r="1371" spans="8:50" x14ac:dyDescent="0.25"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7">
        <f t="shared" ca="1" si="21"/>
        <v>7.8232801964518289E-2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</row>
    <row r="1372" spans="8:50" x14ac:dyDescent="0.25"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7">
        <f t="shared" ca="1" si="21"/>
        <v>0.2281370382752233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</row>
    <row r="1373" spans="8:50" x14ac:dyDescent="0.25"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7">
        <f t="shared" ca="1" si="21"/>
        <v>-5.4749612974801812E-2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</row>
    <row r="1374" spans="8:50" x14ac:dyDescent="0.25"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7">
        <f t="shared" ca="1" si="21"/>
        <v>-0.12245617198897736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</row>
    <row r="1375" spans="8:50" x14ac:dyDescent="0.25"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7">
        <f t="shared" ca="1" si="21"/>
        <v>0.31376216108643884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</row>
    <row r="1376" spans="8:50" x14ac:dyDescent="0.25"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7">
        <f t="shared" ca="1" si="21"/>
        <v>0.12432629019320907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</row>
    <row r="1377" spans="8:50" x14ac:dyDescent="0.25"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7">
        <f t="shared" ca="1" si="21"/>
        <v>3.3388759653057556E-2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</row>
    <row r="1378" spans="8:50" x14ac:dyDescent="0.25"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7">
        <f t="shared" ca="1" si="21"/>
        <v>0.40589191935781455</v>
      </c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</row>
    <row r="1379" spans="8:50" x14ac:dyDescent="0.25"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7">
        <f t="shared" ca="1" si="21"/>
        <v>5.6351101955749619E-2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</row>
    <row r="1380" spans="8:50" x14ac:dyDescent="0.25"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7">
        <f t="shared" ca="1" si="21"/>
        <v>0.27067436897865316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</row>
    <row r="1381" spans="8:50" x14ac:dyDescent="0.25"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7">
        <f t="shared" ca="1" si="21"/>
        <v>4.2856892875258693E-2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</row>
    <row r="1382" spans="8:50" x14ac:dyDescent="0.25"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7">
        <f t="shared" ca="1" si="21"/>
        <v>0.23091226174224511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</row>
    <row r="1383" spans="8:50" x14ac:dyDescent="0.25"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7">
        <f t="shared" ca="1" si="21"/>
        <v>-6.177617690227484E-2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</row>
    <row r="1384" spans="8:50" x14ac:dyDescent="0.25"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7">
        <f t="shared" ca="1" si="21"/>
        <v>1.8798592429827579E-2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</row>
    <row r="1385" spans="8:50" x14ac:dyDescent="0.25"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7">
        <f t="shared" ca="1" si="21"/>
        <v>0.19779942357836142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</row>
    <row r="1386" spans="8:50" x14ac:dyDescent="0.25"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7">
        <f t="shared" ca="1" si="21"/>
        <v>0.29038237178253806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</row>
    <row r="1387" spans="8:50" x14ac:dyDescent="0.25"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7">
        <f t="shared" ca="1" si="21"/>
        <v>2.9725283449170817E-2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</row>
    <row r="1388" spans="8:50" x14ac:dyDescent="0.25"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7">
        <f t="shared" ca="1" si="21"/>
        <v>-2.0199633661860353E-2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</row>
    <row r="1389" spans="8:50" x14ac:dyDescent="0.25"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7">
        <f t="shared" ca="1" si="21"/>
        <v>0.43265709749247877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</row>
    <row r="1390" spans="8:50" x14ac:dyDescent="0.25"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7">
        <f t="shared" ca="1" si="21"/>
        <v>0.14259904347652996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</row>
    <row r="1391" spans="8:50" x14ac:dyDescent="0.25"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7">
        <f t="shared" ca="1" si="21"/>
        <v>0.24802909353744895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</row>
    <row r="1392" spans="8:50" x14ac:dyDescent="0.25"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7">
        <f t="shared" ca="1" si="21"/>
        <v>0.39323077451296712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</row>
    <row r="1393" spans="8:50" x14ac:dyDescent="0.25"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7">
        <f t="shared" ca="1" si="21"/>
        <v>0.13754235229690623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</row>
    <row r="1394" spans="8:50" x14ac:dyDescent="0.25"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7">
        <f t="shared" ca="1" si="21"/>
        <v>0.24044439527092049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</row>
    <row r="1395" spans="8:50" x14ac:dyDescent="0.25"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7">
        <f t="shared" ca="1" si="21"/>
        <v>4.8409154406490199E-2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</row>
    <row r="1396" spans="8:50" x14ac:dyDescent="0.25"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7">
        <f t="shared" ca="1" si="21"/>
        <v>-0.18192689787628324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</row>
    <row r="1397" spans="8:50" x14ac:dyDescent="0.25"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7">
        <f t="shared" ca="1" si="21"/>
        <v>0.13265336412945711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</row>
    <row r="1398" spans="8:50" x14ac:dyDescent="0.25"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7">
        <f t="shared" ca="1" si="21"/>
        <v>0.14668658469496906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</row>
    <row r="1399" spans="8:50" x14ac:dyDescent="0.25"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7">
        <f t="shared" ca="1" si="21"/>
        <v>0.18430745866280962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</row>
    <row r="1400" spans="8:50" x14ac:dyDescent="0.25"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7">
        <f t="shared" ca="1" si="21"/>
        <v>0.16996965041169798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</row>
    <row r="1401" spans="8:50" x14ac:dyDescent="0.25"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7">
        <f t="shared" ca="1" si="21"/>
        <v>-3.3413952290328994E-2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</row>
    <row r="1402" spans="8:50" x14ac:dyDescent="0.25"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7">
        <f t="shared" ca="1" si="21"/>
        <v>0.23788209762019724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</row>
    <row r="1403" spans="8:50" x14ac:dyDescent="0.25"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7">
        <f t="shared" ca="1" si="21"/>
        <v>-0.173353610363011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</row>
    <row r="1404" spans="8:50" x14ac:dyDescent="0.25"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7">
        <f t="shared" ca="1" si="21"/>
        <v>0.27696894559499735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</row>
    <row r="1405" spans="8:50" x14ac:dyDescent="0.25"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7">
        <f t="shared" ca="1" si="21"/>
        <v>-6.210152541752588E-2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</row>
    <row r="1406" spans="8:50" x14ac:dyDescent="0.25"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7">
        <f t="shared" ca="1" si="21"/>
        <v>0.29222567484938483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</row>
    <row r="1407" spans="8:50" x14ac:dyDescent="0.25"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7">
        <f t="shared" ca="1" si="21"/>
        <v>-0.34358038139018893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</row>
    <row r="1408" spans="8:50" x14ac:dyDescent="0.25"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7">
        <f t="shared" ca="1" si="21"/>
        <v>0.21336902582097161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</row>
    <row r="1409" spans="8:50" x14ac:dyDescent="0.25"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7">
        <f t="shared" ca="1" si="21"/>
        <v>-0.21048662150153719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</row>
    <row r="1410" spans="8:50" x14ac:dyDescent="0.25"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7">
        <f t="shared" ca="1" si="21"/>
        <v>-6.9246312031675208E-2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</row>
    <row r="1411" spans="8:50" x14ac:dyDescent="0.25"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7">
        <f t="shared" ca="1" si="21"/>
        <v>0.21758752977839732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</row>
    <row r="1412" spans="8:50" x14ac:dyDescent="0.25"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7">
        <f t="shared" ca="1" si="21"/>
        <v>0.17986216956931217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</row>
    <row r="1413" spans="8:50" x14ac:dyDescent="0.25"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7">
        <f t="shared" ca="1" si="21"/>
        <v>4.8662478227112643E-2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</row>
    <row r="1414" spans="8:50" x14ac:dyDescent="0.25"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7">
        <f t="shared" ref="W1414:W1477" ca="1" si="22">+NORMINV(RAND(),$U$2,$U$3)</f>
        <v>0.37820117036069834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</row>
    <row r="1415" spans="8:50" x14ac:dyDescent="0.25"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7">
        <f t="shared" ca="1" si="22"/>
        <v>-0.26394007159445709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</row>
    <row r="1416" spans="8:50" x14ac:dyDescent="0.25"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7">
        <f t="shared" ca="1" si="22"/>
        <v>3.0390722692335184E-2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</row>
    <row r="1417" spans="8:50" x14ac:dyDescent="0.25"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7">
        <f t="shared" ca="1" si="22"/>
        <v>0.12436240540926755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</row>
    <row r="1418" spans="8:50" x14ac:dyDescent="0.25"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7">
        <f t="shared" ca="1" si="22"/>
        <v>7.8223702902420256E-2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</row>
    <row r="1419" spans="8:50" x14ac:dyDescent="0.25"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7">
        <f t="shared" ca="1" si="22"/>
        <v>-1.2363100905476085E-2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</row>
    <row r="1420" spans="8:50" x14ac:dyDescent="0.25"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7">
        <f t="shared" ca="1" si="22"/>
        <v>-1.2321498664220179E-2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</row>
    <row r="1421" spans="8:50" x14ac:dyDescent="0.25"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7">
        <f t="shared" ca="1" si="22"/>
        <v>-8.7008541537115389E-2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</row>
    <row r="1422" spans="8:50" x14ac:dyDescent="0.25"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7">
        <f t="shared" ca="1" si="22"/>
        <v>0.13424995352861385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</row>
    <row r="1423" spans="8:50" x14ac:dyDescent="0.25"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7">
        <f t="shared" ca="1" si="22"/>
        <v>0.11634940419401034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</row>
    <row r="1424" spans="8:50" x14ac:dyDescent="0.25"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7">
        <f t="shared" ca="1" si="22"/>
        <v>3.3964679076907436E-2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</row>
    <row r="1425" spans="8:50" x14ac:dyDescent="0.25"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7">
        <f t="shared" ca="1" si="22"/>
        <v>-0.12554271600572064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</row>
    <row r="1426" spans="8:50" x14ac:dyDescent="0.25"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7">
        <f t="shared" ca="1" si="22"/>
        <v>0.14663299827123222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</row>
    <row r="1427" spans="8:50" x14ac:dyDescent="0.25"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7">
        <f t="shared" ca="1" si="22"/>
        <v>-0.29711520857333718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</row>
    <row r="1428" spans="8:50" x14ac:dyDescent="0.25"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7">
        <f t="shared" ca="1" si="22"/>
        <v>0.46677122919356262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</row>
    <row r="1429" spans="8:50" x14ac:dyDescent="0.25"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7">
        <f t="shared" ca="1" si="22"/>
        <v>0.21046266874650521</v>
      </c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</row>
    <row r="1430" spans="8:50" x14ac:dyDescent="0.25"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7">
        <f t="shared" ca="1" si="22"/>
        <v>0.31639461587300488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</row>
    <row r="1431" spans="8:50" x14ac:dyDescent="0.25"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7">
        <f t="shared" ca="1" si="22"/>
        <v>0.19876279363760727</v>
      </c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</row>
    <row r="1432" spans="8:50" x14ac:dyDescent="0.25"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7">
        <f t="shared" ca="1" si="22"/>
        <v>-0.12294570483381335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</row>
    <row r="1433" spans="8:50" x14ac:dyDescent="0.25"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7">
        <f t="shared" ca="1" si="22"/>
        <v>-0.1801814604483955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</row>
    <row r="1434" spans="8:50" x14ac:dyDescent="0.25"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7">
        <f t="shared" ca="1" si="22"/>
        <v>0.15349693200576719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</row>
    <row r="1435" spans="8:50" x14ac:dyDescent="0.25"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7">
        <f t="shared" ca="1" si="22"/>
        <v>0.21104071294103932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</row>
    <row r="1436" spans="8:50" x14ac:dyDescent="0.25"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7">
        <f t="shared" ca="1" si="22"/>
        <v>0.28472563010023677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</row>
    <row r="1437" spans="8:50" x14ac:dyDescent="0.25"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7">
        <f t="shared" ca="1" si="22"/>
        <v>8.1148888357499963E-2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</row>
    <row r="1438" spans="8:50" x14ac:dyDescent="0.25"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7">
        <f t="shared" ca="1" si="22"/>
        <v>-0.20713967532640537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</row>
    <row r="1439" spans="8:50" x14ac:dyDescent="0.25"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7">
        <f t="shared" ca="1" si="22"/>
        <v>0.34450684301647178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</row>
    <row r="1440" spans="8:50" x14ac:dyDescent="0.25"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7">
        <f t="shared" ca="1" si="22"/>
        <v>0.25217168084064023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</row>
    <row r="1441" spans="8:50" x14ac:dyDescent="0.25"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7">
        <f t="shared" ca="1" si="22"/>
        <v>-2.9300385430189438E-2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</row>
    <row r="1442" spans="8:50" x14ac:dyDescent="0.25"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7">
        <f t="shared" ca="1" si="22"/>
        <v>0.11790507563630943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</row>
    <row r="1443" spans="8:50" x14ac:dyDescent="0.25"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7">
        <f t="shared" ca="1" si="22"/>
        <v>-7.8725374448771326E-2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</row>
    <row r="1444" spans="8:50" x14ac:dyDescent="0.25"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7">
        <f t="shared" ca="1" si="22"/>
        <v>8.4069832782492915E-2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</row>
    <row r="1445" spans="8:50" x14ac:dyDescent="0.25"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7">
        <f t="shared" ca="1" si="22"/>
        <v>0.30882384405523261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</row>
    <row r="1446" spans="8:50" x14ac:dyDescent="0.25"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7">
        <f t="shared" ca="1" si="22"/>
        <v>0.25945689179532672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</row>
    <row r="1447" spans="8:50" x14ac:dyDescent="0.25"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7">
        <f t="shared" ca="1" si="22"/>
        <v>0.32480678174042954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</row>
    <row r="1448" spans="8:50" x14ac:dyDescent="0.25"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7">
        <f t="shared" ca="1" si="22"/>
        <v>-0.16530481699989086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</row>
    <row r="1449" spans="8:50" x14ac:dyDescent="0.25"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7">
        <f t="shared" ca="1" si="22"/>
        <v>-3.3034868127787761E-2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</row>
    <row r="1450" spans="8:50" x14ac:dyDescent="0.25"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7">
        <f t="shared" ca="1" si="22"/>
        <v>0.25586074330372788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</row>
    <row r="1451" spans="8:50" x14ac:dyDescent="0.25"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7">
        <f t="shared" ca="1" si="22"/>
        <v>-5.4550070564241646E-2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</row>
    <row r="1452" spans="8:50" x14ac:dyDescent="0.25"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7">
        <f t="shared" ca="1" si="22"/>
        <v>5.1222595530334147E-3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</row>
    <row r="1453" spans="8:50" x14ac:dyDescent="0.25"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7">
        <f t="shared" ca="1" si="22"/>
        <v>4.4077525401781253E-3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</row>
    <row r="1454" spans="8:50" x14ac:dyDescent="0.25"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7">
        <f t="shared" ca="1" si="22"/>
        <v>0.25355481313327005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</row>
    <row r="1455" spans="8:50" x14ac:dyDescent="0.25"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7">
        <f t="shared" ca="1" si="22"/>
        <v>0.33057661818815515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</row>
    <row r="1456" spans="8:50" x14ac:dyDescent="0.25"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7">
        <f t="shared" ca="1" si="22"/>
        <v>0.33566479082896644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</row>
    <row r="1457" spans="8:50" x14ac:dyDescent="0.25"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7">
        <f t="shared" ca="1" si="22"/>
        <v>-9.3066931267841449E-2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</row>
    <row r="1458" spans="8:50" x14ac:dyDescent="0.25"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7">
        <f t="shared" ca="1" si="22"/>
        <v>-9.044937449384334E-2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</row>
    <row r="1459" spans="8:50" x14ac:dyDescent="0.25"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7">
        <f t="shared" ca="1" si="22"/>
        <v>-0.15650651829393764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</row>
    <row r="1460" spans="8:50" x14ac:dyDescent="0.25"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7">
        <f t="shared" ca="1" si="22"/>
        <v>0.43873471847979323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</row>
    <row r="1461" spans="8:50" x14ac:dyDescent="0.25"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7">
        <f t="shared" ca="1" si="22"/>
        <v>0.13935324785096254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</row>
    <row r="1462" spans="8:50" x14ac:dyDescent="0.25"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7">
        <f t="shared" ca="1" si="22"/>
        <v>0.2825349132881787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</row>
    <row r="1463" spans="8:50" x14ac:dyDescent="0.25"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7">
        <f t="shared" ca="1" si="22"/>
        <v>-9.0221672724171406E-2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</row>
    <row r="1464" spans="8:50" x14ac:dyDescent="0.25"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7">
        <f t="shared" ca="1" si="22"/>
        <v>-0.21232834560102415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</row>
    <row r="1465" spans="8:50" x14ac:dyDescent="0.25"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7">
        <f t="shared" ca="1" si="22"/>
        <v>0.17438799350408457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</row>
    <row r="1466" spans="8:50" x14ac:dyDescent="0.25"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7">
        <f t="shared" ca="1" si="22"/>
        <v>-0.21883236000239065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</row>
    <row r="1467" spans="8:50" x14ac:dyDescent="0.25"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7">
        <f t="shared" ca="1" si="22"/>
        <v>0.18935649273401226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</row>
    <row r="1468" spans="8:50" x14ac:dyDescent="0.25"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7">
        <f t="shared" ca="1" si="22"/>
        <v>0.12155178194451671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</row>
    <row r="1469" spans="8:50" x14ac:dyDescent="0.25"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7">
        <f t="shared" ca="1" si="22"/>
        <v>1.016167121818129E-2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</row>
    <row r="1470" spans="8:50" x14ac:dyDescent="0.25"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7">
        <f t="shared" ca="1" si="22"/>
        <v>0.113036162702955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</row>
    <row r="1471" spans="8:50" x14ac:dyDescent="0.25"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7">
        <f t="shared" ca="1" si="22"/>
        <v>3.1474694318208707E-3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</row>
    <row r="1472" spans="8:50" x14ac:dyDescent="0.25"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7">
        <f t="shared" ca="1" si="22"/>
        <v>2.6286315044606101E-2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</row>
    <row r="1473" spans="8:50" x14ac:dyDescent="0.25"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7">
        <f t="shared" ca="1" si="22"/>
        <v>3.7959207368263026E-2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</row>
    <row r="1474" spans="8:50" x14ac:dyDescent="0.25"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7">
        <f t="shared" ca="1" si="22"/>
        <v>3.5954746078202593E-2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</row>
    <row r="1475" spans="8:50" x14ac:dyDescent="0.25"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7">
        <f t="shared" ca="1" si="22"/>
        <v>1.278378936029001E-3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</row>
    <row r="1476" spans="8:50" x14ac:dyDescent="0.25"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7">
        <f t="shared" ca="1" si="22"/>
        <v>6.2413773836139476E-2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</row>
    <row r="1477" spans="8:50" x14ac:dyDescent="0.25"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7">
        <f t="shared" ca="1" si="22"/>
        <v>0.12184379968934443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</row>
    <row r="1478" spans="8:50" x14ac:dyDescent="0.25"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7">
        <f t="shared" ref="W1478:W1516" ca="1" si="23">+NORMINV(RAND(),$U$2,$U$3)</f>
        <v>0.11714312987779418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</row>
    <row r="1479" spans="8:50" x14ac:dyDescent="0.25"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7">
        <f t="shared" ca="1" si="23"/>
        <v>0.30536127791753581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</row>
    <row r="1480" spans="8:50" x14ac:dyDescent="0.25"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7">
        <f t="shared" ca="1" si="23"/>
        <v>-1.5803724224797075E-2</v>
      </c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</row>
    <row r="1481" spans="8:50" x14ac:dyDescent="0.25"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7">
        <f t="shared" ca="1" si="23"/>
        <v>2.7867887780137879E-2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</row>
    <row r="1482" spans="8:50" x14ac:dyDescent="0.25"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7">
        <f t="shared" ca="1" si="23"/>
        <v>5.7952528336723083E-2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</row>
    <row r="1483" spans="8:50" x14ac:dyDescent="0.25"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7">
        <f t="shared" ca="1" si="23"/>
        <v>-0.13899816686426225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</row>
    <row r="1484" spans="8:50" x14ac:dyDescent="0.25"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7">
        <f t="shared" ca="1" si="23"/>
        <v>9.0371448915631869E-2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</row>
    <row r="1485" spans="8:50" x14ac:dyDescent="0.25"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7">
        <f t="shared" ca="1" si="23"/>
        <v>-0.12325453683742858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</row>
    <row r="1486" spans="8:50" x14ac:dyDescent="0.25"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7">
        <f t="shared" ca="1" si="23"/>
        <v>4.7210293121462035E-2</v>
      </c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</row>
    <row r="1487" spans="8:50" x14ac:dyDescent="0.25"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7">
        <f t="shared" ca="1" si="23"/>
        <v>0.10295501954253075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</row>
    <row r="1488" spans="8:50" x14ac:dyDescent="0.25"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7">
        <f t="shared" ca="1" si="23"/>
        <v>0.26367935551078792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</row>
    <row r="1489" spans="8:50" x14ac:dyDescent="0.25"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7">
        <f t="shared" ca="1" si="23"/>
        <v>1.4094765099200018E-3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</row>
    <row r="1490" spans="8:50" x14ac:dyDescent="0.25"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7">
        <f t="shared" ca="1" si="23"/>
        <v>0.23241414938253535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</row>
    <row r="1491" spans="8:50" x14ac:dyDescent="0.25"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7">
        <f t="shared" ca="1" si="23"/>
        <v>8.7021055795064514E-2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</row>
    <row r="1492" spans="8:50" x14ac:dyDescent="0.25"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7">
        <f t="shared" ca="1" si="23"/>
        <v>0.27668527984861846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</row>
    <row r="1493" spans="8:50" x14ac:dyDescent="0.25"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7">
        <f t="shared" ca="1" si="23"/>
        <v>9.9011688658326366E-2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</row>
    <row r="1494" spans="8:50" x14ac:dyDescent="0.25"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7">
        <f t="shared" ca="1" si="23"/>
        <v>-0.14693148185365473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</row>
    <row r="1495" spans="8:50" x14ac:dyDescent="0.25"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7">
        <f t="shared" ca="1" si="23"/>
        <v>-2.0604255077448883E-2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</row>
    <row r="1496" spans="8:50" x14ac:dyDescent="0.25"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7">
        <f t="shared" ca="1" si="23"/>
        <v>0.3523933106477124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</row>
    <row r="1497" spans="8:50" x14ac:dyDescent="0.25"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7">
        <f t="shared" ca="1" si="23"/>
        <v>-0.27634286309539757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</row>
    <row r="1498" spans="8:50" x14ac:dyDescent="0.25"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7">
        <f t="shared" ca="1" si="23"/>
        <v>0.20686617537881097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</row>
    <row r="1499" spans="8:50" x14ac:dyDescent="0.25"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7">
        <f t="shared" ca="1" si="23"/>
        <v>-5.4099118345970212E-2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</row>
    <row r="1500" spans="8:50" x14ac:dyDescent="0.25"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7">
        <f t="shared" ca="1" si="23"/>
        <v>4.9370815514292316E-2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</row>
    <row r="1501" spans="8:50" x14ac:dyDescent="0.25"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7">
        <f t="shared" ca="1" si="23"/>
        <v>0.10773934029985367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</row>
    <row r="1502" spans="8:50" x14ac:dyDescent="0.25"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7">
        <f t="shared" ca="1" si="23"/>
        <v>-4.4270684207528624E-2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</row>
    <row r="1503" spans="8:50" x14ac:dyDescent="0.25"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7">
        <f t="shared" ca="1" si="23"/>
        <v>-5.4774545163891727E-2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</row>
    <row r="1504" spans="8:50" x14ac:dyDescent="0.25"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7">
        <f t="shared" ca="1" si="23"/>
        <v>-0.21053575522107509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</row>
    <row r="1505" spans="8:50" x14ac:dyDescent="0.25"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7">
        <f t="shared" ca="1" si="23"/>
        <v>0.30799457331604657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</row>
    <row r="1506" spans="8:50" x14ac:dyDescent="0.25"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7">
        <f t="shared" ca="1" si="23"/>
        <v>6.6412465554781336E-2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</row>
    <row r="1507" spans="8:50" x14ac:dyDescent="0.25"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7">
        <f t="shared" ca="1" si="23"/>
        <v>-1.9694816392021544E-2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</row>
    <row r="1508" spans="8:50" x14ac:dyDescent="0.25"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7">
        <f t="shared" ca="1" si="23"/>
        <v>0.14778101212759975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</row>
    <row r="1509" spans="8:50" x14ac:dyDescent="0.25"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7">
        <f t="shared" ca="1" si="23"/>
        <v>-0.13751804343078322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</row>
    <row r="1510" spans="8:50" x14ac:dyDescent="0.25"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7">
        <f t="shared" ca="1" si="23"/>
        <v>-8.9222005472778018E-2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</row>
    <row r="1511" spans="8:50" x14ac:dyDescent="0.25"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7">
        <f t="shared" ca="1" si="23"/>
        <v>4.1663089814310911E-2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</row>
    <row r="1512" spans="8:50" x14ac:dyDescent="0.25"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7">
        <f t="shared" ca="1" si="23"/>
        <v>0.15973585731642193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</row>
    <row r="1513" spans="8:50" x14ac:dyDescent="0.25"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7">
        <f t="shared" ca="1" si="23"/>
        <v>8.8572781580500137E-2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</row>
    <row r="1514" spans="8:50" x14ac:dyDescent="0.25"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7">
        <f t="shared" ca="1" si="23"/>
        <v>0.1882423111821121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</row>
    <row r="1515" spans="8:50" x14ac:dyDescent="0.25"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7">
        <f t="shared" ca="1" si="23"/>
        <v>0.13887713912076483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</row>
    <row r="1516" spans="8:50" x14ac:dyDescent="0.25"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7">
        <f t="shared" ca="1" si="23"/>
        <v>-0.21972819247928349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</row>
    <row r="1517" spans="8:50" x14ac:dyDescent="0.25"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</row>
    <row r="1518" spans="8:50" x14ac:dyDescent="0.25"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</row>
    <row r="1519" spans="8:50" x14ac:dyDescent="0.25"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</row>
    <row r="1520" spans="8:50" x14ac:dyDescent="0.25"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</row>
    <row r="1521" spans="8:50" x14ac:dyDescent="0.25"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</row>
    <row r="1522" spans="8:50" x14ac:dyDescent="0.25"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</row>
    <row r="1523" spans="8:50" x14ac:dyDescent="0.25"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</row>
    <row r="1524" spans="8:50" x14ac:dyDescent="0.25"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</row>
    <row r="1525" spans="8:50" x14ac:dyDescent="0.25"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</row>
    <row r="1526" spans="8:50" x14ac:dyDescent="0.25"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</row>
    <row r="1527" spans="8:50" x14ac:dyDescent="0.25"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</row>
    <row r="1528" spans="8:50" x14ac:dyDescent="0.25"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</row>
    <row r="1529" spans="8:50" x14ac:dyDescent="0.25"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</row>
    <row r="1530" spans="8:50" x14ac:dyDescent="0.25"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</row>
    <row r="1531" spans="8:50" x14ac:dyDescent="0.25"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</row>
    <row r="1532" spans="8:50" x14ac:dyDescent="0.25"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</row>
    <row r="1533" spans="8:50" x14ac:dyDescent="0.25"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</row>
    <row r="1534" spans="8:50" x14ac:dyDescent="0.25"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</row>
    <row r="1535" spans="8:50" x14ac:dyDescent="0.25"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</row>
    <row r="1536" spans="8:50" x14ac:dyDescent="0.25"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</row>
    <row r="1537" spans="8:50" x14ac:dyDescent="0.25"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</row>
    <row r="1538" spans="8:50" x14ac:dyDescent="0.25"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</row>
    <row r="1539" spans="8:50" x14ac:dyDescent="0.25"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</row>
    <row r="1540" spans="8:50" x14ac:dyDescent="0.25"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</row>
    <row r="1541" spans="8:50" x14ac:dyDescent="0.25"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</row>
    <row r="1542" spans="8:50" x14ac:dyDescent="0.25"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</row>
    <row r="1543" spans="8:50" x14ac:dyDescent="0.25"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</row>
    <row r="1544" spans="8:50" x14ac:dyDescent="0.25"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</row>
    <row r="1545" spans="8:50" x14ac:dyDescent="0.25"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</row>
    <row r="1546" spans="8:50" x14ac:dyDescent="0.25"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</row>
    <row r="1547" spans="8:50" x14ac:dyDescent="0.25"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</row>
    <row r="1548" spans="8:50" x14ac:dyDescent="0.25"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</row>
    <row r="1549" spans="8:50" x14ac:dyDescent="0.25"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</row>
    <row r="1550" spans="8:50" x14ac:dyDescent="0.25"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</row>
    <row r="1551" spans="8:50" x14ac:dyDescent="0.25"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</row>
    <row r="1552" spans="8:50" x14ac:dyDescent="0.25"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</row>
    <row r="1553" spans="8:50" x14ac:dyDescent="0.25"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</row>
    <row r="1554" spans="8:50" x14ac:dyDescent="0.25"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</row>
    <row r="1555" spans="8:50" x14ac:dyDescent="0.25"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</row>
    <row r="1556" spans="8:50" x14ac:dyDescent="0.25"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</row>
    <row r="1557" spans="8:50" x14ac:dyDescent="0.25"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</row>
    <row r="1558" spans="8:50" x14ac:dyDescent="0.25"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</row>
    <row r="1559" spans="8:50" x14ac:dyDescent="0.25"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</row>
    <row r="1560" spans="8:50" x14ac:dyDescent="0.25"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</row>
    <row r="1561" spans="8:50" x14ac:dyDescent="0.25"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</row>
    <row r="1562" spans="8:50" x14ac:dyDescent="0.25"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</row>
    <row r="1563" spans="8:50" x14ac:dyDescent="0.25"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</row>
    <row r="1564" spans="8:50" x14ac:dyDescent="0.25"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</row>
    <row r="1565" spans="8:50" x14ac:dyDescent="0.25"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</row>
    <row r="1566" spans="8:50" x14ac:dyDescent="0.25"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</row>
    <row r="1567" spans="8:50" x14ac:dyDescent="0.25"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</row>
    <row r="1568" spans="8:50" x14ac:dyDescent="0.25"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</row>
    <row r="1569" spans="8:50" x14ac:dyDescent="0.25"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</row>
    <row r="1570" spans="8:50" x14ac:dyDescent="0.25"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</row>
    <row r="1571" spans="8:50" x14ac:dyDescent="0.25"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</row>
    <row r="1572" spans="8:50" x14ac:dyDescent="0.25"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</row>
    <row r="1573" spans="8:50" x14ac:dyDescent="0.25"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</row>
    <row r="1574" spans="8:50" x14ac:dyDescent="0.25"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</row>
    <row r="1575" spans="8:50" x14ac:dyDescent="0.25"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</row>
    <row r="1576" spans="8:50" x14ac:dyDescent="0.25"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</row>
    <row r="1577" spans="8:50" x14ac:dyDescent="0.25"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</row>
    <row r="1578" spans="8:50" x14ac:dyDescent="0.25"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</row>
    <row r="1579" spans="8:50" x14ac:dyDescent="0.25"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</row>
    <row r="1580" spans="8:50" x14ac:dyDescent="0.25"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</row>
    <row r="1581" spans="8:50" x14ac:dyDescent="0.25"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</row>
    <row r="1582" spans="8:50" x14ac:dyDescent="0.25"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</row>
    <row r="1583" spans="8:50" x14ac:dyDescent="0.25"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</row>
    <row r="1584" spans="8:50" x14ac:dyDescent="0.25"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</row>
    <row r="1585" spans="8:50" x14ac:dyDescent="0.25"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</row>
    <row r="1586" spans="8:50" x14ac:dyDescent="0.25"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</row>
    <row r="1587" spans="8:50" x14ac:dyDescent="0.25"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</row>
    <row r="1588" spans="8:50" x14ac:dyDescent="0.25"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</row>
    <row r="1589" spans="8:50" x14ac:dyDescent="0.25"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</row>
    <row r="1590" spans="8:50" x14ac:dyDescent="0.25"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</row>
    <row r="1591" spans="8:50" x14ac:dyDescent="0.25"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</row>
    <row r="1592" spans="8:50" x14ac:dyDescent="0.25"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</row>
    <row r="1593" spans="8:50" x14ac:dyDescent="0.25"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</row>
    <row r="1594" spans="8:50" x14ac:dyDescent="0.25"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</row>
    <row r="1595" spans="8:50" x14ac:dyDescent="0.25"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</row>
    <row r="1596" spans="8:50" x14ac:dyDescent="0.25"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</row>
    <row r="1597" spans="8:50" x14ac:dyDescent="0.25"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</row>
    <row r="1598" spans="8:50" x14ac:dyDescent="0.25"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</row>
    <row r="1599" spans="8:50" x14ac:dyDescent="0.25"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</row>
    <row r="1600" spans="8:50" x14ac:dyDescent="0.25"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</row>
    <row r="1601" spans="8:50" x14ac:dyDescent="0.25"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</row>
    <row r="1602" spans="8:50" x14ac:dyDescent="0.25"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</row>
    <row r="1603" spans="8:50" x14ac:dyDescent="0.25"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</row>
    <row r="1604" spans="8:50" x14ac:dyDescent="0.25"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</row>
    <row r="1605" spans="8:50" x14ac:dyDescent="0.25"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</row>
    <row r="1606" spans="8:50" x14ac:dyDescent="0.25"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</row>
    <row r="1607" spans="8:50" x14ac:dyDescent="0.25"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</row>
    <row r="1608" spans="8:50" x14ac:dyDescent="0.25"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</row>
    <row r="1609" spans="8:50" x14ac:dyDescent="0.25"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</row>
    <row r="1610" spans="8:50" x14ac:dyDescent="0.25"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</row>
    <row r="1611" spans="8:50" x14ac:dyDescent="0.25"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</row>
    <row r="1612" spans="8:50" x14ac:dyDescent="0.25"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</row>
    <row r="1613" spans="8:50" x14ac:dyDescent="0.25"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</row>
    <row r="1614" spans="8:50" x14ac:dyDescent="0.25"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</row>
    <row r="1615" spans="8:50" x14ac:dyDescent="0.25"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</row>
    <row r="1616" spans="8:50" x14ac:dyDescent="0.25"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</row>
    <row r="1617" spans="8:50" x14ac:dyDescent="0.25"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</row>
    <row r="1618" spans="8:50" x14ac:dyDescent="0.25"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</row>
    <row r="1619" spans="8:50" x14ac:dyDescent="0.25"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</row>
    <row r="1620" spans="8:50" x14ac:dyDescent="0.25"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</row>
    <row r="1621" spans="8:50" x14ac:dyDescent="0.25"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</row>
    <row r="1622" spans="8:50" x14ac:dyDescent="0.25"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</row>
    <row r="1623" spans="8:50" x14ac:dyDescent="0.25"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</row>
    <row r="1624" spans="8:50" x14ac:dyDescent="0.25"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04F44-8DEE-4BB2-8899-CB6EDB24D1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Markets</vt:lpstr>
      <vt:lpstr>S&amp;P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2024-05-29T15:25:23Z</dcterms:created>
  <dcterms:modified xsi:type="dcterms:W3CDTF">2026-08-28T17:08:42Z</dcterms:modified>
</cp:coreProperties>
</file>