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90E4C13-A18E-4BBA-97FF-3C76209B85A0}" xr6:coauthVersionLast="47" xr6:coauthVersionMax="47" xr10:uidLastSave="{00000000-0000-0000-0000-000000000000}"/>
  <bookViews>
    <workbookView xWindow="225" yWindow="2730" windowWidth="38175" windowHeight="15240" xr2:uid="{3200E5B3-0EFC-4FC5-8F9E-F74C0FC60A47}"/>
  </bookViews>
  <sheets>
    <sheet name="Markets" sheetId="1" r:id="rId1"/>
    <sheet name="Commodities" sheetId="3" r:id="rId2"/>
    <sheet name="S&amp;P" sheetId="5" r:id="rId3"/>
  </sheets>
  <definedNames>
    <definedName name="_xlchart.v1.0" hidden="1">'S&amp;P'!$J$3:$J$100</definedName>
    <definedName name="_xlchart.v1.1" hidden="1">'S&amp;P'!$W$6:$W$1516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5" i="5" l="1"/>
  <c r="U4" i="5"/>
  <c r="U3" i="5"/>
  <c r="U2" i="5"/>
  <c r="W1268" i="5"/>
  <c r="W777" i="5" l="1"/>
  <c r="W779" i="5"/>
  <c r="W795" i="5"/>
  <c r="W796" i="5"/>
  <c r="W801" i="5"/>
  <c r="W860" i="5"/>
  <c r="W861" i="5"/>
  <c r="W863" i="5"/>
  <c r="W864" i="5"/>
  <c r="W865" i="5"/>
  <c r="W1083" i="5"/>
  <c r="W1147" i="5"/>
  <c r="W927" i="5"/>
  <c r="W485" i="5"/>
  <c r="W1148" i="5"/>
  <c r="W492" i="5"/>
  <c r="W1149" i="5"/>
  <c r="W493" i="5"/>
  <c r="W1151" i="5"/>
  <c r="W532" i="5"/>
  <c r="W1153" i="5"/>
  <c r="W533" i="5"/>
  <c r="W1215" i="5"/>
  <c r="W534" i="5"/>
  <c r="W1216" i="5"/>
  <c r="W536" i="5"/>
  <c r="W1217" i="5"/>
  <c r="W547" i="5"/>
  <c r="W1218" i="5"/>
  <c r="W590" i="5"/>
  <c r="W1219" i="5"/>
  <c r="W591" i="5"/>
  <c r="W1453" i="5"/>
  <c r="W592" i="5"/>
  <c r="W1456" i="5"/>
  <c r="W1296" i="5"/>
  <c r="W930" i="5"/>
  <c r="W993" i="5"/>
  <c r="W413" i="5"/>
  <c r="W995" i="5"/>
  <c r="W414" i="5"/>
  <c r="W1363" i="5"/>
  <c r="W651" i="5"/>
  <c r="W997" i="5"/>
  <c r="W417" i="5"/>
  <c r="W1370" i="5"/>
  <c r="W711" i="5"/>
  <c r="W1371" i="5"/>
  <c r="W715" i="5"/>
  <c r="W1064" i="5"/>
  <c r="W1437" i="5"/>
  <c r="W593" i="5"/>
  <c r="W928" i="5"/>
  <c r="W1281" i="5"/>
  <c r="W594" i="5"/>
  <c r="W929" i="5"/>
  <c r="W1283" i="5"/>
  <c r="W595" i="5"/>
  <c r="W647" i="5"/>
  <c r="W931" i="5"/>
  <c r="W1299" i="5"/>
  <c r="W648" i="5"/>
  <c r="W1300" i="5"/>
  <c r="W649" i="5"/>
  <c r="W1362" i="5"/>
  <c r="W650" i="5"/>
  <c r="W996" i="5"/>
  <c r="W416" i="5"/>
  <c r="W1369" i="5"/>
  <c r="W710" i="5"/>
  <c r="W998" i="5"/>
  <c r="W426" i="5"/>
  <c r="W1060" i="5"/>
  <c r="W429" i="5"/>
  <c r="W714" i="5"/>
  <c r="W1061" i="5"/>
  <c r="W1436" i="5"/>
  <c r="W471" i="5"/>
  <c r="W472" i="5"/>
  <c r="W716" i="5"/>
  <c r="W1082" i="5"/>
  <c r="W1440" i="5"/>
  <c r="W494" i="5"/>
  <c r="W551" i="5"/>
  <c r="W652" i="5"/>
  <c r="W866" i="5"/>
  <c r="W932" i="5"/>
  <c r="W999" i="5"/>
  <c r="W1084" i="5"/>
  <c r="W1154" i="5"/>
  <c r="W1457" i="5"/>
  <c r="W495" i="5"/>
  <c r="W606" i="5"/>
  <c r="W737" i="5"/>
  <c r="W804" i="5"/>
  <c r="W1089" i="5"/>
  <c r="W1155" i="5"/>
  <c r="W1458" i="5"/>
  <c r="W496" i="5"/>
  <c r="W497" i="5"/>
  <c r="W612" i="5"/>
  <c r="W869" i="5"/>
  <c r="W1023" i="5"/>
  <c r="W1092" i="5"/>
  <c r="W1463" i="5"/>
  <c r="W441" i="5"/>
  <c r="W498" i="5"/>
  <c r="W613" i="5"/>
  <c r="W872" i="5"/>
  <c r="W951" i="5"/>
  <c r="W1024" i="5"/>
  <c r="W1175" i="5"/>
  <c r="W1464" i="5"/>
  <c r="W499" i="5"/>
  <c r="W556" i="5"/>
  <c r="W677" i="5"/>
  <c r="W954" i="5"/>
  <c r="W1025" i="5"/>
  <c r="W1095" i="5"/>
  <c r="W1176" i="5"/>
  <c r="W1465" i="5"/>
  <c r="W29" i="5"/>
  <c r="W500" i="5"/>
  <c r="W557" i="5"/>
  <c r="W680" i="5"/>
  <c r="W875" i="5"/>
  <c r="W955" i="5"/>
  <c r="W1026" i="5"/>
  <c r="W1106" i="5"/>
  <c r="W1177" i="5"/>
  <c r="W1466" i="5"/>
  <c r="W150" i="5"/>
  <c r="W501" i="5"/>
  <c r="W558" i="5"/>
  <c r="W616" i="5"/>
  <c r="W810" i="5"/>
  <c r="W956" i="5"/>
  <c r="W1027" i="5"/>
  <c r="W1109" i="5"/>
  <c r="W1178" i="5"/>
  <c r="W1467" i="5"/>
  <c r="W204" i="5"/>
  <c r="W503" i="5"/>
  <c r="W560" i="5"/>
  <c r="W617" i="5"/>
  <c r="W891" i="5"/>
  <c r="W962" i="5"/>
  <c r="W1031" i="5"/>
  <c r="W1112" i="5"/>
  <c r="W1468" i="5"/>
  <c r="W206" i="5"/>
  <c r="W504" i="5"/>
  <c r="W561" i="5"/>
  <c r="W686" i="5"/>
  <c r="W892" i="5"/>
  <c r="W963" i="5"/>
  <c r="W1045" i="5"/>
  <c r="W1113" i="5"/>
  <c r="W1180" i="5"/>
  <c r="W1491" i="5"/>
  <c r="W456" i="5"/>
  <c r="W563" i="5"/>
  <c r="W687" i="5"/>
  <c r="W830" i="5"/>
  <c r="W964" i="5"/>
  <c r="U5" i="5"/>
  <c r="W1485" i="5"/>
  <c r="W1455" i="5"/>
  <c r="W1424" i="5"/>
  <c r="W1392" i="5"/>
  <c r="W1361" i="5"/>
  <c r="W1331" i="5"/>
  <c r="W1298" i="5"/>
  <c r="W1267" i="5"/>
  <c r="W1237" i="5"/>
  <c r="W1204" i="5"/>
  <c r="W1171" i="5"/>
  <c r="W1141" i="5"/>
  <c r="W1108" i="5"/>
  <c r="W1077" i="5"/>
  <c r="W1047" i="5"/>
  <c r="W1016" i="5"/>
  <c r="W984" i="5"/>
  <c r="W953" i="5"/>
  <c r="W923" i="5"/>
  <c r="W890" i="5"/>
  <c r="W859" i="5"/>
  <c r="W827" i="5"/>
  <c r="W794" i="5"/>
  <c r="W763" i="5"/>
  <c r="W733" i="5"/>
  <c r="W700" i="5"/>
  <c r="W669" i="5"/>
  <c r="W639" i="5"/>
  <c r="W609" i="5"/>
  <c r="W579" i="5"/>
  <c r="W549" i="5"/>
  <c r="W520" i="5"/>
  <c r="W488" i="5"/>
  <c r="W458" i="5"/>
  <c r="W428" i="5"/>
  <c r="W205" i="5"/>
  <c r="W1516" i="5"/>
  <c r="W1484" i="5"/>
  <c r="W1454" i="5"/>
  <c r="W1421" i="5"/>
  <c r="W1391" i="5"/>
  <c r="W1360" i="5"/>
  <c r="W1329" i="5"/>
  <c r="W1297" i="5"/>
  <c r="W1266" i="5"/>
  <c r="W1236" i="5"/>
  <c r="W1203" i="5"/>
  <c r="W1170" i="5"/>
  <c r="W1140" i="5"/>
  <c r="W1107" i="5"/>
  <c r="W1076" i="5"/>
  <c r="W1046" i="5"/>
  <c r="W1013" i="5"/>
  <c r="W983" i="5"/>
  <c r="W952" i="5"/>
  <c r="W921" i="5"/>
  <c r="W889" i="5"/>
  <c r="W858" i="5"/>
  <c r="W825" i="5"/>
  <c r="W793" i="5"/>
  <c r="W762" i="5"/>
  <c r="W732" i="5"/>
  <c r="W699" i="5"/>
  <c r="W668" i="5"/>
  <c r="W638" i="5"/>
  <c r="W608" i="5"/>
  <c r="W578" i="5"/>
  <c r="W548" i="5"/>
  <c r="W519" i="5"/>
  <c r="W486" i="5"/>
  <c r="W457" i="5"/>
  <c r="W427" i="5"/>
  <c r="W1514" i="5"/>
  <c r="W1482" i="5"/>
  <c r="W1452" i="5"/>
  <c r="W1419" i="5"/>
  <c r="W1388" i="5"/>
  <c r="W1358" i="5"/>
  <c r="W1325" i="5"/>
  <c r="W1295" i="5"/>
  <c r="W1264" i="5"/>
  <c r="W1233" i="5"/>
  <c r="W1199" i="5"/>
  <c r="W1168" i="5"/>
  <c r="W1137" i="5"/>
  <c r="W1105" i="5"/>
  <c r="W1074" i="5"/>
  <c r="W1044" i="5"/>
  <c r="W1011" i="5"/>
  <c r="W980" i="5"/>
  <c r="W950" i="5"/>
  <c r="W917" i="5"/>
  <c r="W887" i="5"/>
  <c r="W854" i="5"/>
  <c r="W821" i="5"/>
  <c r="W791" i="5"/>
  <c r="W760" i="5"/>
  <c r="W729" i="5"/>
  <c r="W697" i="5"/>
  <c r="W666" i="5"/>
  <c r="W636" i="5"/>
  <c r="W605" i="5"/>
  <c r="W576" i="5"/>
  <c r="W546" i="5"/>
  <c r="W515" i="5"/>
  <c r="W484" i="5"/>
  <c r="W455" i="5"/>
  <c r="W425" i="5"/>
  <c r="W149" i="5"/>
  <c r="W1448" i="5"/>
  <c r="W1322" i="5"/>
  <c r="W1226" i="5"/>
  <c r="W1132" i="5"/>
  <c r="W1071" i="5"/>
  <c r="W977" i="5"/>
  <c r="W881" i="5"/>
  <c r="W818" i="5"/>
  <c r="W757" i="5"/>
  <c r="W693" i="5"/>
  <c r="W632" i="5"/>
  <c r="W541" i="5"/>
  <c r="W451" i="5"/>
  <c r="W508" i="5"/>
  <c r="W84" i="5"/>
  <c r="W1443" i="5"/>
  <c r="W1349" i="5"/>
  <c r="W1286" i="5"/>
  <c r="W1223" i="5"/>
  <c r="W1129" i="5"/>
  <c r="W1035" i="5"/>
  <c r="W974" i="5"/>
  <c r="W845" i="5"/>
  <c r="W721" i="5"/>
  <c r="W596" i="5"/>
  <c r="W477" i="5"/>
  <c r="W1442" i="5"/>
  <c r="W1315" i="5"/>
  <c r="W1221" i="5"/>
  <c r="W1128" i="5"/>
  <c r="W1003" i="5"/>
  <c r="W877" i="5"/>
  <c r="W752" i="5"/>
  <c r="W1513" i="5"/>
  <c r="W1481" i="5"/>
  <c r="W1451" i="5"/>
  <c r="W1418" i="5"/>
  <c r="W1387" i="5"/>
  <c r="W1357" i="5"/>
  <c r="W1324" i="5"/>
  <c r="W1293" i="5"/>
  <c r="W1263" i="5"/>
  <c r="W1228" i="5"/>
  <c r="W1197" i="5"/>
  <c r="W1167" i="5"/>
  <c r="W1136" i="5"/>
  <c r="W1104" i="5"/>
  <c r="W1073" i="5"/>
  <c r="W1043" i="5"/>
  <c r="W1010" i="5"/>
  <c r="W979" i="5"/>
  <c r="W949" i="5"/>
  <c r="W916" i="5"/>
  <c r="W883" i="5"/>
  <c r="W853" i="5"/>
  <c r="W820" i="5"/>
  <c r="W789" i="5"/>
  <c r="W759" i="5"/>
  <c r="W728" i="5"/>
  <c r="W696" i="5"/>
  <c r="W665" i="5"/>
  <c r="W635" i="5"/>
  <c r="W604" i="5"/>
  <c r="W575" i="5"/>
  <c r="W543" i="5"/>
  <c r="W513" i="5"/>
  <c r="W483" i="5"/>
  <c r="W453" i="5"/>
  <c r="W424" i="5"/>
  <c r="W148" i="5"/>
  <c r="W1479" i="5"/>
  <c r="W1416" i="5"/>
  <c r="W1385" i="5"/>
  <c r="W1355" i="5"/>
  <c r="W1291" i="5"/>
  <c r="W1259" i="5"/>
  <c r="W1195" i="5"/>
  <c r="W1101" i="5"/>
  <c r="W1008" i="5"/>
  <c r="W912" i="5"/>
  <c r="W787" i="5"/>
  <c r="W663" i="5"/>
  <c r="W570" i="5"/>
  <c r="W481" i="5"/>
  <c r="W87" i="5"/>
  <c r="W479" i="5"/>
  <c r="W1476" i="5"/>
  <c r="W1253" i="5"/>
  <c r="W1098" i="5"/>
  <c r="W908" i="5"/>
  <c r="W753" i="5"/>
  <c r="W628" i="5"/>
  <c r="W507" i="5"/>
  <c r="W419" i="5"/>
  <c r="W1505" i="5"/>
  <c r="W1252" i="5"/>
  <c r="W1097" i="5"/>
  <c r="W938" i="5"/>
  <c r="W813" i="5"/>
  <c r="W720" i="5"/>
  <c r="W1512" i="5"/>
  <c r="W1480" i="5"/>
  <c r="W1449" i="5"/>
  <c r="W1417" i="5"/>
  <c r="W1386" i="5"/>
  <c r="W1356" i="5"/>
  <c r="W1323" i="5"/>
  <c r="W1292" i="5"/>
  <c r="W1262" i="5"/>
  <c r="W1227" i="5"/>
  <c r="W1196" i="5"/>
  <c r="W1166" i="5"/>
  <c r="W1133" i="5"/>
  <c r="W1103" i="5"/>
  <c r="W1072" i="5"/>
  <c r="W1041" i="5"/>
  <c r="W1009" i="5"/>
  <c r="W978" i="5"/>
  <c r="W948" i="5"/>
  <c r="W915" i="5"/>
  <c r="W882" i="5"/>
  <c r="W852" i="5"/>
  <c r="W819" i="5"/>
  <c r="W788" i="5"/>
  <c r="W758" i="5"/>
  <c r="W725" i="5"/>
  <c r="W695" i="5"/>
  <c r="W664" i="5"/>
  <c r="W633" i="5"/>
  <c r="W603" i="5"/>
  <c r="W573" i="5"/>
  <c r="W542" i="5"/>
  <c r="W512" i="5"/>
  <c r="W482" i="5"/>
  <c r="W452" i="5"/>
  <c r="W423" i="5"/>
  <c r="W146" i="5"/>
  <c r="W1509" i="5"/>
  <c r="W1165" i="5"/>
  <c r="W1040" i="5"/>
  <c r="W947" i="5"/>
  <c r="W851" i="5"/>
  <c r="W724" i="5"/>
  <c r="W602" i="5"/>
  <c r="W510" i="5"/>
  <c r="W422" i="5"/>
  <c r="W449" i="5"/>
  <c r="W1506" i="5"/>
  <c r="W1382" i="5"/>
  <c r="W1161" i="5"/>
  <c r="W1004" i="5"/>
  <c r="W878" i="5"/>
  <c r="W815" i="5"/>
  <c r="W690" i="5"/>
  <c r="W567" i="5"/>
  <c r="W448" i="5"/>
  <c r="W1475" i="5"/>
  <c r="W1348" i="5"/>
  <c r="W1191" i="5"/>
  <c r="W1067" i="5"/>
  <c r="W971" i="5"/>
  <c r="W844" i="5"/>
  <c r="W1508" i="5"/>
  <c r="W1478" i="5"/>
  <c r="W1445" i="5"/>
  <c r="W1415" i="5"/>
  <c r="W1384" i="5"/>
  <c r="W1353" i="5"/>
  <c r="W1321" i="5"/>
  <c r="W1290" i="5"/>
  <c r="W1257" i="5"/>
  <c r="W1225" i="5"/>
  <c r="W1194" i="5"/>
  <c r="W1164" i="5"/>
  <c r="W1131" i="5"/>
  <c r="W1100" i="5"/>
  <c r="W1070" i="5"/>
  <c r="W1037" i="5"/>
  <c r="W1007" i="5"/>
  <c r="W976" i="5"/>
  <c r="W945" i="5"/>
  <c r="W911" i="5"/>
  <c r="W880" i="5"/>
  <c r="W849" i="5"/>
  <c r="W817" i="5"/>
  <c r="W786" i="5"/>
  <c r="W756" i="5"/>
  <c r="W723" i="5"/>
  <c r="W692" i="5"/>
  <c r="W662" i="5"/>
  <c r="W630" i="5"/>
  <c r="W601" i="5"/>
  <c r="W569" i="5"/>
  <c r="W540" i="5"/>
  <c r="W509" i="5"/>
  <c r="W480" i="5"/>
  <c r="W450" i="5"/>
  <c r="W421" i="5"/>
  <c r="W85" i="5"/>
  <c r="W1507" i="5"/>
  <c r="W1477" i="5"/>
  <c r="W1444" i="5"/>
  <c r="W1413" i="5"/>
  <c r="W1383" i="5"/>
  <c r="W1352" i="5"/>
  <c r="W1320" i="5"/>
  <c r="W1287" i="5"/>
  <c r="W1256" i="5"/>
  <c r="W1224" i="5"/>
  <c r="W1193" i="5"/>
  <c r="W1163" i="5"/>
  <c r="W1130" i="5"/>
  <c r="W1099" i="5"/>
  <c r="W1069" i="5"/>
  <c r="W1036" i="5"/>
  <c r="W1005" i="5"/>
  <c r="W975" i="5"/>
  <c r="W940" i="5"/>
  <c r="W909" i="5"/>
  <c r="W879" i="5"/>
  <c r="W848" i="5"/>
  <c r="W816" i="5"/>
  <c r="W785" i="5"/>
  <c r="W755" i="5"/>
  <c r="W722" i="5"/>
  <c r="W691" i="5"/>
  <c r="W661" i="5"/>
  <c r="W629" i="5"/>
  <c r="W597" i="5"/>
  <c r="W568" i="5"/>
  <c r="W539" i="5"/>
  <c r="W420" i="5"/>
  <c r="W1412" i="5"/>
  <c r="W1319" i="5"/>
  <c r="W1192" i="5"/>
  <c r="W1068" i="5"/>
  <c r="W939" i="5"/>
  <c r="W784" i="5"/>
  <c r="W660" i="5"/>
  <c r="W537" i="5"/>
  <c r="W83" i="5"/>
  <c r="W1411" i="5"/>
  <c r="W1381" i="5"/>
  <c r="W1285" i="5"/>
  <c r="W1160" i="5"/>
  <c r="W1034" i="5"/>
  <c r="W907" i="5"/>
  <c r="W1504" i="5"/>
  <c r="W1473" i="5"/>
  <c r="W1441" i="5"/>
  <c r="W1410" i="5"/>
  <c r="W1380" i="5"/>
  <c r="W1347" i="5"/>
  <c r="W1314" i="5"/>
  <c r="W1284" i="5"/>
  <c r="W1251" i="5"/>
  <c r="W1220" i="5"/>
  <c r="W1190" i="5"/>
  <c r="W1157" i="5"/>
  <c r="W1127" i="5"/>
  <c r="W1096" i="5"/>
  <c r="W1065" i="5"/>
  <c r="W1033" i="5"/>
  <c r="W1002" i="5"/>
  <c r="W969" i="5"/>
  <c r="W937" i="5"/>
  <c r="W906" i="5"/>
  <c r="W876" i="5"/>
  <c r="W843" i="5"/>
  <c r="W812" i="5"/>
  <c r="W782" i="5"/>
  <c r="W749" i="5"/>
  <c r="W719" i="5"/>
  <c r="W688" i="5"/>
  <c r="W657" i="5"/>
  <c r="W1500" i="5"/>
  <c r="W1439" i="5"/>
  <c r="W1389" i="5"/>
  <c r="W1333" i="5"/>
  <c r="W1272" i="5"/>
  <c r="W1213" i="5"/>
  <c r="W1152" i="5"/>
  <c r="W1093" i="5"/>
  <c r="W1032" i="5"/>
  <c r="W985" i="5"/>
  <c r="W926" i="5"/>
  <c r="W1488" i="5"/>
  <c r="W1429" i="5"/>
  <c r="W1368" i="5"/>
  <c r="W1309" i="5"/>
  <c r="W1248" i="5"/>
  <c r="W1189" i="5"/>
  <c r="W1142" i="5"/>
  <c r="W1081" i="5"/>
  <c r="W1022" i="5"/>
  <c r="W961" i="5"/>
  <c r="W902" i="5"/>
  <c r="W841" i="5"/>
  <c r="W792" i="5"/>
  <c r="W736" i="5"/>
  <c r="W676" i="5"/>
  <c r="W621" i="5"/>
  <c r="W581" i="5"/>
  <c r="W529" i="5"/>
  <c r="W476" i="5"/>
  <c r="W436" i="5"/>
  <c r="W27" i="5"/>
  <c r="W1487" i="5"/>
  <c r="W1428" i="5"/>
  <c r="W1367" i="5"/>
  <c r="W1308" i="5"/>
  <c r="W1247" i="5"/>
  <c r="W1188" i="5"/>
  <c r="W1139" i="5"/>
  <c r="W1080" i="5"/>
  <c r="W1021" i="5"/>
  <c r="W960" i="5"/>
  <c r="W901" i="5"/>
  <c r="W840" i="5"/>
  <c r="W783" i="5"/>
  <c r="W735" i="5"/>
  <c r="W675" i="5"/>
  <c r="W620" i="5"/>
  <c r="W580" i="5"/>
  <c r="W528" i="5"/>
  <c r="W475" i="5"/>
  <c r="W433" i="5"/>
  <c r="W26" i="5"/>
  <c r="W1483" i="5"/>
  <c r="W1427" i="5"/>
  <c r="W1365" i="5"/>
  <c r="W1307" i="5"/>
  <c r="W1245" i="5"/>
  <c r="W1187" i="5"/>
  <c r="W1125" i="5"/>
  <c r="W1079" i="5"/>
  <c r="W1020" i="5"/>
  <c r="W959" i="5"/>
  <c r="W900" i="5"/>
  <c r="W839" i="5"/>
  <c r="W781" i="5"/>
  <c r="W734" i="5"/>
  <c r="W674" i="5"/>
  <c r="W619" i="5"/>
  <c r="W577" i="5"/>
  <c r="W527" i="5"/>
  <c r="W474" i="5"/>
  <c r="W432" i="5"/>
  <c r="W25" i="5"/>
  <c r="W1472" i="5"/>
  <c r="W1425" i="5"/>
  <c r="W1364" i="5"/>
  <c r="W1305" i="5"/>
  <c r="W1244" i="5"/>
  <c r="W1185" i="5"/>
  <c r="W1124" i="5"/>
  <c r="W1075" i="5"/>
  <c r="W1019" i="5"/>
  <c r="W957" i="5"/>
  <c r="W899" i="5"/>
  <c r="W837" i="5"/>
  <c r="W780" i="5"/>
  <c r="W731" i="5"/>
  <c r="W673" i="5"/>
  <c r="W618" i="5"/>
  <c r="W566" i="5"/>
  <c r="W525" i="5"/>
  <c r="W473" i="5"/>
  <c r="W431" i="5"/>
  <c r="W1469" i="5"/>
  <c r="W1420" i="5"/>
  <c r="W738" i="5"/>
  <c r="W1017" i="5"/>
  <c r="W1379" i="5"/>
  <c r="W440" i="5"/>
  <c r="W806" i="5"/>
  <c r="W1169" i="5"/>
  <c r="W672" i="5"/>
  <c r="W1394" i="5"/>
  <c r="W744" i="5"/>
  <c r="W1313" i="5"/>
  <c r="W444" i="5"/>
  <c r="W809" i="5"/>
  <c r="W1243" i="5"/>
  <c r="W445" i="5"/>
  <c r="W888" i="5"/>
  <c r="W1332" i="5"/>
  <c r="W811" i="5"/>
  <c r="W1334" i="5"/>
  <c r="W748" i="5"/>
  <c r="W1335" i="5"/>
  <c r="W207" i="5"/>
  <c r="W761" i="5"/>
  <c r="W1115" i="5"/>
  <c r="W1336" i="5"/>
  <c r="W267" i="5"/>
  <c r="W564" i="5"/>
  <c r="W831" i="5"/>
  <c r="W1118" i="5"/>
  <c r="W1493" i="5"/>
  <c r="W516" i="5"/>
  <c r="W698" i="5"/>
  <c r="W897" i="5"/>
  <c r="W1119" i="5"/>
  <c r="W1496" i="5"/>
  <c r="W464" i="5"/>
  <c r="W582" i="5"/>
  <c r="W701" i="5"/>
  <c r="W833" i="5"/>
  <c r="W1051" i="5"/>
  <c r="W1120" i="5"/>
  <c r="W1273" i="5"/>
  <c r="W1408" i="5"/>
  <c r="W465" i="5"/>
  <c r="W641" i="5"/>
  <c r="W768" i="5"/>
  <c r="W904" i="5"/>
  <c r="W1052" i="5"/>
  <c r="W1274" i="5"/>
  <c r="W1499" i="5"/>
  <c r="W347" i="5"/>
  <c r="W467" i="5"/>
  <c r="W523" i="5"/>
  <c r="W585" i="5"/>
  <c r="W642" i="5"/>
  <c r="W705" i="5"/>
  <c r="W771" i="5"/>
  <c r="W835" i="5"/>
  <c r="W905" i="5"/>
  <c r="W987" i="5"/>
  <c r="W1053" i="5"/>
  <c r="W1122" i="5"/>
  <c r="W1209" i="5"/>
  <c r="W1275" i="5"/>
  <c r="W1341" i="5"/>
  <c r="W1430" i="5"/>
  <c r="W1501" i="5"/>
  <c r="W717" i="5"/>
  <c r="W1301" i="5"/>
  <c r="W552" i="5"/>
  <c r="W933" i="5"/>
  <c r="W1377" i="5"/>
  <c r="W553" i="5"/>
  <c r="W667" i="5"/>
  <c r="W868" i="5"/>
  <c r="W1156" i="5"/>
  <c r="W1310" i="5"/>
  <c r="W554" i="5"/>
  <c r="W936" i="5"/>
  <c r="W1311" i="5"/>
  <c r="W807" i="5"/>
  <c r="W1241" i="5"/>
  <c r="W614" i="5"/>
  <c r="W1395" i="5"/>
  <c r="W615" i="5"/>
  <c r="W1328" i="5"/>
  <c r="W681" i="5"/>
  <c r="W1397" i="5"/>
  <c r="W683" i="5"/>
  <c r="W1250" i="5"/>
  <c r="W623" i="5"/>
  <c r="W1401" i="5"/>
  <c r="W624" i="5"/>
  <c r="W1048" i="5"/>
  <c r="W1492" i="5"/>
  <c r="W459" i="5"/>
  <c r="W625" i="5"/>
  <c r="W764" i="5"/>
  <c r="W896" i="5"/>
  <c r="W1049" i="5"/>
  <c r="W1269" i="5"/>
  <c r="W1337" i="5"/>
  <c r="W268" i="5"/>
  <c r="W565" i="5"/>
  <c r="W765" i="5"/>
  <c r="W968" i="5"/>
  <c r="W1200" i="5"/>
  <c r="W1407" i="5"/>
  <c r="W521" i="5"/>
  <c r="W767" i="5"/>
  <c r="W981" i="5"/>
  <c r="W1205" i="5"/>
  <c r="W1497" i="5"/>
  <c r="W584" i="5"/>
  <c r="W704" i="5"/>
  <c r="W834" i="5"/>
  <c r="W986" i="5"/>
  <c r="W1121" i="5"/>
  <c r="W1208" i="5"/>
  <c r="W1340" i="5"/>
  <c r="W1409" i="5"/>
  <c r="W410" i="5"/>
  <c r="W468" i="5"/>
  <c r="W524" i="5"/>
  <c r="W587" i="5"/>
  <c r="W643" i="5"/>
  <c r="W707" i="5"/>
  <c r="W772" i="5"/>
  <c r="W836" i="5"/>
  <c r="W920" i="5"/>
  <c r="W988" i="5"/>
  <c r="W1055" i="5"/>
  <c r="W1123" i="5"/>
  <c r="W1211" i="5"/>
  <c r="W1276" i="5"/>
  <c r="W1343" i="5"/>
  <c r="W1431" i="5"/>
  <c r="W1502" i="5"/>
  <c r="W1372" i="5"/>
  <c r="W659" i="5"/>
  <c r="W1012" i="5"/>
  <c r="W1304" i="5"/>
  <c r="W611" i="5"/>
  <c r="W935" i="5"/>
  <c r="W1459" i="5"/>
  <c r="W671" i="5"/>
  <c r="W1240" i="5"/>
  <c r="W555" i="5"/>
  <c r="W1312" i="5"/>
  <c r="W443" i="5"/>
  <c r="W873" i="5"/>
  <c r="W1400" i="5"/>
  <c r="W803" i="5"/>
  <c r="W1235" i="5"/>
  <c r="W437" i="5"/>
  <c r="W867" i="5"/>
  <c r="W1238" i="5"/>
  <c r="W438" i="5"/>
  <c r="W805" i="5"/>
  <c r="W1091" i="5"/>
  <c r="W1239" i="5"/>
  <c r="W739" i="5"/>
  <c r="W1393" i="5"/>
  <c r="W743" i="5"/>
  <c r="W1094" i="5"/>
  <c r="W28" i="5"/>
  <c r="W808" i="5"/>
  <c r="W1242" i="5"/>
  <c r="W745" i="5"/>
  <c r="W1396" i="5"/>
  <c r="W746" i="5"/>
  <c r="W1249" i="5"/>
  <c r="W446" i="5"/>
  <c r="W747" i="5"/>
  <c r="W1179" i="5"/>
  <c r="W447" i="5"/>
  <c r="W824" i="5"/>
  <c r="W1265" i="5"/>
  <c r="W505" i="5"/>
  <c r="W893" i="5"/>
  <c r="W1181" i="5"/>
  <c r="W1403" i="5"/>
  <c r="W506" i="5"/>
  <c r="W689" i="5"/>
  <c r="W965" i="5"/>
  <c r="W1184" i="5"/>
  <c r="W1406" i="5"/>
  <c r="W460" i="5"/>
  <c r="W637" i="5"/>
  <c r="W832" i="5"/>
  <c r="W1050" i="5"/>
  <c r="W1271" i="5"/>
  <c r="W1338" i="5"/>
  <c r="W269" i="5"/>
  <c r="W640" i="5"/>
  <c r="W903" i="5"/>
  <c r="W1339" i="5"/>
  <c r="W270" i="5"/>
  <c r="W522" i="5"/>
  <c r="W411" i="5"/>
  <c r="W469" i="5"/>
  <c r="W530" i="5"/>
  <c r="W588" i="5"/>
  <c r="W644" i="5"/>
  <c r="W708" i="5"/>
  <c r="W773" i="5"/>
  <c r="W842" i="5"/>
  <c r="W924" i="5"/>
  <c r="W989" i="5"/>
  <c r="W1056" i="5"/>
  <c r="W1143" i="5"/>
  <c r="W1212" i="5"/>
  <c r="W1277" i="5"/>
  <c r="W1344" i="5"/>
  <c r="W1434" i="5"/>
  <c r="W1503" i="5"/>
  <c r="W412" i="5"/>
  <c r="W470" i="5"/>
  <c r="W531" i="5"/>
  <c r="W589" i="5"/>
  <c r="W645" i="5"/>
  <c r="W709" i="5"/>
  <c r="W776" i="5"/>
  <c r="W855" i="5"/>
  <c r="W925" i="5"/>
  <c r="W992" i="5"/>
  <c r="W1059" i="5"/>
  <c r="W1146" i="5"/>
  <c r="W1214" i="5"/>
  <c r="W1280" i="5"/>
  <c r="W1359" i="5"/>
  <c r="W1435" i="5"/>
  <c r="W1515" i="5"/>
  <c r="W388" i="5"/>
  <c r="U10" i="5"/>
  <c r="W1498" i="5"/>
  <c r="W1474" i="5"/>
  <c r="W1450" i="5"/>
  <c r="W1426" i="5"/>
  <c r="W1402" i="5"/>
  <c r="W1378" i="5"/>
  <c r="W1354" i="5"/>
  <c r="W1330" i="5"/>
  <c r="W1306" i="5"/>
  <c r="W1282" i="5"/>
  <c r="W1258" i="5"/>
  <c r="W1234" i="5"/>
  <c r="W1210" i="5"/>
  <c r="W1186" i="5"/>
  <c r="W1162" i="5"/>
  <c r="W1138" i="5"/>
  <c r="W1114" i="5"/>
  <c r="W1090" i="5"/>
  <c r="W1066" i="5"/>
  <c r="W1042" i="5"/>
  <c r="W1018" i="5"/>
  <c r="W994" i="5"/>
  <c r="W970" i="5"/>
  <c r="W946" i="5"/>
  <c r="W922" i="5"/>
  <c r="W898" i="5"/>
  <c r="W874" i="5"/>
  <c r="W850" i="5"/>
  <c r="W826" i="5"/>
  <c r="W802" i="5"/>
  <c r="W778" i="5"/>
  <c r="W754" i="5"/>
  <c r="W730" i="5"/>
  <c r="W706" i="5"/>
  <c r="W682" i="5"/>
  <c r="W658" i="5"/>
  <c r="W634" i="5"/>
  <c r="W610" i="5"/>
  <c r="W586" i="5"/>
  <c r="W562" i="5"/>
  <c r="W538" i="5"/>
  <c r="W514" i="5"/>
  <c r="W490" i="5"/>
  <c r="W466" i="5"/>
  <c r="W442" i="5"/>
  <c r="W418" i="5"/>
  <c r="W147" i="5"/>
  <c r="U7" i="5"/>
  <c r="W1495" i="5"/>
  <c r="W1471" i="5"/>
  <c r="W1447" i="5"/>
  <c r="W1423" i="5"/>
  <c r="W1399" i="5"/>
  <c r="W1375" i="5"/>
  <c r="W1351" i="5"/>
  <c r="W1327" i="5"/>
  <c r="W1303" i="5"/>
  <c r="W1279" i="5"/>
  <c r="W1255" i="5"/>
  <c r="W1231" i="5"/>
  <c r="W1207" i="5"/>
  <c r="W1183" i="5"/>
  <c r="W1159" i="5"/>
  <c r="W1135" i="5"/>
  <c r="W1111" i="5"/>
  <c r="W1087" i="5"/>
  <c r="W1063" i="5"/>
  <c r="W1039" i="5"/>
  <c r="W1015" i="5"/>
  <c r="W991" i="5"/>
  <c r="W967" i="5"/>
  <c r="W943" i="5"/>
  <c r="W919" i="5"/>
  <c r="W895" i="5"/>
  <c r="W871" i="5"/>
  <c r="W847" i="5"/>
  <c r="W823" i="5"/>
  <c r="W799" i="5"/>
  <c r="W775" i="5"/>
  <c r="W751" i="5"/>
  <c r="W727" i="5"/>
  <c r="W703" i="5"/>
  <c r="W679" i="5"/>
  <c r="W655" i="5"/>
  <c r="W631" i="5"/>
  <c r="W607" i="5"/>
  <c r="W583" i="5"/>
  <c r="W559" i="5"/>
  <c r="W535" i="5"/>
  <c r="W511" i="5"/>
  <c r="W487" i="5"/>
  <c r="W463" i="5"/>
  <c r="W439" i="5"/>
  <c r="W415" i="5"/>
  <c r="W86" i="5"/>
  <c r="U6" i="5"/>
  <c r="W1494" i="5"/>
  <c r="W1470" i="5"/>
  <c r="W1446" i="5"/>
  <c r="W1422" i="5"/>
  <c r="W1398" i="5"/>
  <c r="W1374" i="5"/>
  <c r="W1350" i="5"/>
  <c r="W1326" i="5"/>
  <c r="W1302" i="5"/>
  <c r="W1278" i="5"/>
  <c r="W1254" i="5"/>
  <c r="W1230" i="5"/>
  <c r="W1206" i="5"/>
  <c r="W1182" i="5"/>
  <c r="W1158" i="5"/>
  <c r="W1134" i="5"/>
  <c r="W1110" i="5"/>
  <c r="W1086" i="5"/>
  <c r="W1062" i="5"/>
  <c r="W1038" i="5"/>
  <c r="W1014" i="5"/>
  <c r="W990" i="5"/>
  <c r="W966" i="5"/>
  <c r="W942" i="5"/>
  <c r="W918" i="5"/>
  <c r="W894" i="5"/>
  <c r="W870" i="5"/>
  <c r="W846" i="5"/>
  <c r="W822" i="5"/>
  <c r="W798" i="5"/>
  <c r="W774" i="5"/>
  <c r="W750" i="5"/>
  <c r="W726" i="5"/>
  <c r="W702" i="5"/>
  <c r="W678" i="5"/>
  <c r="W654" i="5"/>
  <c r="W1511" i="5"/>
  <c r="W1510" i="5"/>
  <c r="W1486" i="5"/>
  <c r="W1462" i="5"/>
  <c r="W1438" i="5"/>
  <c r="W1414" i="5"/>
  <c r="W1390" i="5"/>
  <c r="W1366" i="5"/>
  <c r="W1342" i="5"/>
  <c r="W1318" i="5"/>
  <c r="W1294" i="5"/>
  <c r="W1270" i="5"/>
  <c r="W1246" i="5"/>
  <c r="W1222" i="5"/>
  <c r="W1198" i="5"/>
  <c r="W1174" i="5"/>
  <c r="W1150" i="5"/>
  <c r="W1126" i="5"/>
  <c r="W1102" i="5"/>
  <c r="W1078" i="5"/>
  <c r="W1054" i="5"/>
  <c r="W1030" i="5"/>
  <c r="W1006" i="5"/>
  <c r="W982" i="5"/>
  <c r="W958" i="5"/>
  <c r="W934" i="5"/>
  <c r="W910" i="5"/>
  <c r="W886" i="5"/>
  <c r="W862" i="5"/>
  <c r="W838" i="5"/>
  <c r="W814" i="5"/>
  <c r="W790" i="5"/>
  <c r="W766" i="5"/>
  <c r="W742" i="5"/>
  <c r="W718" i="5"/>
  <c r="W694" i="5"/>
  <c r="W670" i="5"/>
  <c r="W646" i="5"/>
  <c r="W622" i="5"/>
  <c r="W598" i="5"/>
  <c r="W574" i="5"/>
  <c r="W550" i="5"/>
  <c r="W526" i="5"/>
  <c r="W502" i="5"/>
  <c r="W478" i="5"/>
  <c r="W454" i="5"/>
  <c r="W430" i="5"/>
  <c r="W326" i="5"/>
  <c r="W327" i="5"/>
  <c r="W434" i="5"/>
  <c r="W461" i="5"/>
  <c r="W489" i="5"/>
  <c r="W517" i="5"/>
  <c r="W544" i="5"/>
  <c r="W571" i="5"/>
  <c r="W599" i="5"/>
  <c r="W626" i="5"/>
  <c r="W653" i="5"/>
  <c r="W684" i="5"/>
  <c r="W712" i="5"/>
  <c r="W740" i="5"/>
  <c r="W769" i="5"/>
  <c r="W797" i="5"/>
  <c r="W828" i="5"/>
  <c r="W856" i="5"/>
  <c r="W884" i="5"/>
  <c r="W913" i="5"/>
  <c r="W941" i="5"/>
  <c r="W972" i="5"/>
  <c r="W1000" i="5"/>
  <c r="W1028" i="5"/>
  <c r="W1057" i="5"/>
  <c r="W1085" i="5"/>
  <c r="W1116" i="5"/>
  <c r="W1144" i="5"/>
  <c r="W1172" i="5"/>
  <c r="W1201" i="5"/>
  <c r="W1229" i="5"/>
  <c r="W1260" i="5"/>
  <c r="W1288" i="5"/>
  <c r="W1316" i="5"/>
  <c r="W1345" i="5"/>
  <c r="W1373" i="5"/>
  <c r="W1404" i="5"/>
  <c r="W1432" i="5"/>
  <c r="W1460" i="5"/>
  <c r="W1489" i="5"/>
  <c r="U8" i="5"/>
  <c r="W328" i="5"/>
  <c r="W435" i="5"/>
  <c r="W462" i="5"/>
  <c r="W491" i="5"/>
  <c r="W518" i="5"/>
  <c r="W545" i="5"/>
  <c r="W572" i="5"/>
  <c r="W600" i="5"/>
  <c r="W627" i="5"/>
  <c r="W656" i="5"/>
  <c r="W685" i="5"/>
  <c r="W713" i="5"/>
  <c r="W741" i="5"/>
  <c r="W770" i="5"/>
  <c r="W800" i="5"/>
  <c r="W829" i="5"/>
  <c r="W857" i="5"/>
  <c r="W885" i="5"/>
  <c r="W914" i="5"/>
  <c r="W944" i="5"/>
  <c r="W973" i="5"/>
  <c r="W1001" i="5"/>
  <c r="W1029" i="5"/>
  <c r="W1058" i="5"/>
  <c r="W1088" i="5"/>
  <c r="W1117" i="5"/>
  <c r="W1145" i="5"/>
  <c r="W1173" i="5"/>
  <c r="W1202" i="5"/>
  <c r="W1232" i="5"/>
  <c r="W1261" i="5"/>
  <c r="W1289" i="5"/>
  <c r="W1317" i="5"/>
  <c r="W1346" i="5"/>
  <c r="W1376" i="5"/>
  <c r="W1405" i="5"/>
  <c r="W1433" i="5"/>
  <c r="W1461" i="5"/>
  <c r="W1490" i="5"/>
  <c r="U9" i="5"/>
  <c r="W208" i="5"/>
  <c r="W289" i="5"/>
  <c r="W348" i="5"/>
  <c r="W42" i="5"/>
  <c r="W105" i="5"/>
  <c r="W163" i="5"/>
  <c r="W226" i="5"/>
  <c r="W290" i="5"/>
  <c r="W349" i="5"/>
  <c r="W107" i="5"/>
  <c r="W228" i="5"/>
  <c r="W292" i="5"/>
  <c r="W50" i="5"/>
  <c r="W171" i="5"/>
  <c r="W293" i="5"/>
  <c r="W109" i="5"/>
  <c r="W294" i="5"/>
  <c r="W110" i="5"/>
  <c r="W231" i="5"/>
  <c r="W354" i="5"/>
  <c r="W53" i="5"/>
  <c r="W174" i="5"/>
  <c r="W355" i="5"/>
  <c r="W54" i="5"/>
  <c r="W175" i="5"/>
  <c r="W233" i="5"/>
  <c r="W297" i="5"/>
  <c r="W55" i="5"/>
  <c r="W298" i="5"/>
  <c r="W235" i="5"/>
  <c r="W178" i="5"/>
  <c r="W241" i="5"/>
  <c r="W300" i="5"/>
  <c r="W377" i="5"/>
  <c r="W58" i="5"/>
  <c r="W179" i="5"/>
  <c r="W378" i="5"/>
  <c r="W76" i="5"/>
  <c r="W197" i="5"/>
  <c r="W319" i="5"/>
  <c r="W14" i="5"/>
  <c r="W135" i="5"/>
  <c r="W256" i="5"/>
  <c r="W320" i="5"/>
  <c r="W78" i="5"/>
  <c r="W199" i="5"/>
  <c r="W257" i="5"/>
  <c r="W386" i="5"/>
  <c r="W137" i="5"/>
  <c r="W322" i="5"/>
  <c r="W17" i="5"/>
  <c r="W138" i="5"/>
  <c r="W259" i="5"/>
  <c r="W408" i="5"/>
  <c r="W384" i="5"/>
  <c r="W360" i="5"/>
  <c r="W336" i="5"/>
  <c r="W312" i="5"/>
  <c r="W288" i="5"/>
  <c r="W264" i="5"/>
  <c r="W240" i="5"/>
  <c r="W216" i="5"/>
  <c r="W192" i="5"/>
  <c r="W168" i="5"/>
  <c r="W144" i="5"/>
  <c r="W120" i="5"/>
  <c r="W96" i="5"/>
  <c r="W72" i="5"/>
  <c r="W48" i="5"/>
  <c r="W24" i="5"/>
  <c r="W407" i="5"/>
  <c r="W383" i="5"/>
  <c r="W359" i="5"/>
  <c r="W335" i="5"/>
  <c r="W311" i="5"/>
  <c r="W287" i="5"/>
  <c r="W263" i="5"/>
  <c r="W239" i="5"/>
  <c r="W215" i="5"/>
  <c r="W191" i="5"/>
  <c r="W167" i="5"/>
  <c r="W143" i="5"/>
  <c r="W119" i="5"/>
  <c r="W95" i="5"/>
  <c r="W71" i="5"/>
  <c r="W47" i="5"/>
  <c r="W23" i="5"/>
  <c r="W406" i="5"/>
  <c r="W382" i="5"/>
  <c r="W358" i="5"/>
  <c r="W334" i="5"/>
  <c r="W310" i="5"/>
  <c r="W286" i="5"/>
  <c r="W262" i="5"/>
  <c r="W238" i="5"/>
  <c r="W214" i="5"/>
  <c r="W190" i="5"/>
  <c r="W166" i="5"/>
  <c r="W142" i="5"/>
  <c r="W118" i="5"/>
  <c r="W94" i="5"/>
  <c r="W70" i="5"/>
  <c r="W46" i="5"/>
  <c r="W22" i="5"/>
  <c r="W405" i="5"/>
  <c r="W381" i="5"/>
  <c r="W357" i="5"/>
  <c r="W333" i="5"/>
  <c r="W309" i="5"/>
  <c r="W285" i="5"/>
  <c r="W261" i="5"/>
  <c r="W237" i="5"/>
  <c r="W213" i="5"/>
  <c r="W189" i="5"/>
  <c r="W165" i="5"/>
  <c r="W141" i="5"/>
  <c r="W117" i="5"/>
  <c r="W93" i="5"/>
  <c r="W69" i="5"/>
  <c r="W45" i="5"/>
  <c r="W21" i="5"/>
  <c r="W404" i="5"/>
  <c r="W380" i="5"/>
  <c r="W356" i="5"/>
  <c r="W332" i="5"/>
  <c r="W308" i="5"/>
  <c r="W284" i="5"/>
  <c r="W260" i="5"/>
  <c r="W236" i="5"/>
  <c r="W212" i="5"/>
  <c r="W188" i="5"/>
  <c r="W164" i="5"/>
  <c r="W140" i="5"/>
  <c r="W116" i="5"/>
  <c r="W92" i="5"/>
  <c r="W68" i="5"/>
  <c r="W44" i="5"/>
  <c r="W20" i="5"/>
  <c r="W409" i="5"/>
  <c r="W375" i="5"/>
  <c r="W346" i="5"/>
  <c r="W317" i="5"/>
  <c r="W283" i="5"/>
  <c r="W254" i="5"/>
  <c r="W225" i="5"/>
  <c r="W196" i="5"/>
  <c r="W162" i="5"/>
  <c r="W133" i="5"/>
  <c r="W104" i="5"/>
  <c r="W75" i="5"/>
  <c r="W41" i="5"/>
  <c r="W12" i="5"/>
  <c r="W403" i="5"/>
  <c r="W374" i="5"/>
  <c r="W345" i="5"/>
  <c r="W316" i="5"/>
  <c r="W282" i="5"/>
  <c r="W253" i="5"/>
  <c r="W224" i="5"/>
  <c r="W195" i="5"/>
  <c r="W161" i="5"/>
  <c r="W132" i="5"/>
  <c r="W103" i="5"/>
  <c r="W74" i="5"/>
  <c r="W40" i="5"/>
  <c r="W11" i="5"/>
  <c r="W9" i="5"/>
  <c r="W400" i="5"/>
  <c r="W342" i="5"/>
  <c r="W313" i="5"/>
  <c r="W279" i="5"/>
  <c r="W221" i="5"/>
  <c r="W187" i="5"/>
  <c r="W129" i="5"/>
  <c r="W66" i="5"/>
  <c r="W8" i="5"/>
  <c r="W370" i="5"/>
  <c r="W307" i="5"/>
  <c r="W249" i="5"/>
  <c r="W186" i="5"/>
  <c r="W128" i="5"/>
  <c r="W65" i="5"/>
  <c r="W7" i="5"/>
  <c r="W369" i="5"/>
  <c r="W340" i="5"/>
  <c r="W277" i="5"/>
  <c r="W248" i="5"/>
  <c r="W185" i="5"/>
  <c r="W127" i="5"/>
  <c r="W64" i="5"/>
  <c r="W6" i="5"/>
  <c r="W368" i="5"/>
  <c r="W305" i="5"/>
  <c r="W247" i="5"/>
  <c r="W184" i="5"/>
  <c r="W126" i="5"/>
  <c r="W63" i="5"/>
  <c r="W367" i="5"/>
  <c r="W246" i="5"/>
  <c r="W183" i="5"/>
  <c r="W125" i="5"/>
  <c r="W62" i="5"/>
  <c r="W366" i="5"/>
  <c r="W303" i="5"/>
  <c r="W245" i="5"/>
  <c r="W211" i="5"/>
  <c r="W182" i="5"/>
  <c r="W124" i="5"/>
  <c r="W90" i="5"/>
  <c r="W32" i="5"/>
  <c r="W365" i="5"/>
  <c r="W210" i="5"/>
  <c r="W123" i="5"/>
  <c r="W60" i="5"/>
  <c r="W364" i="5"/>
  <c r="W330" i="5"/>
  <c r="W272" i="5"/>
  <c r="W209" i="5"/>
  <c r="W151" i="5"/>
  <c r="W88" i="5"/>
  <c r="W30" i="5"/>
  <c r="W392" i="5"/>
  <c r="W329" i="5"/>
  <c r="W402" i="5"/>
  <c r="W373" i="5"/>
  <c r="W344" i="5"/>
  <c r="W315" i="5"/>
  <c r="W281" i="5"/>
  <c r="W252" i="5"/>
  <c r="W223" i="5"/>
  <c r="W194" i="5"/>
  <c r="W160" i="5"/>
  <c r="W131" i="5"/>
  <c r="W102" i="5"/>
  <c r="W73" i="5"/>
  <c r="W39" i="5"/>
  <c r="W10" i="5"/>
  <c r="W401" i="5"/>
  <c r="W372" i="5"/>
  <c r="W343" i="5"/>
  <c r="W314" i="5"/>
  <c r="W280" i="5"/>
  <c r="W251" i="5"/>
  <c r="W222" i="5"/>
  <c r="W193" i="5"/>
  <c r="W159" i="5"/>
  <c r="W130" i="5"/>
  <c r="W101" i="5"/>
  <c r="W67" i="5"/>
  <c r="W38" i="5"/>
  <c r="W371" i="5"/>
  <c r="W250" i="5"/>
  <c r="W158" i="5"/>
  <c r="W100" i="5"/>
  <c r="W37" i="5"/>
  <c r="W399" i="5"/>
  <c r="W341" i="5"/>
  <c r="W278" i="5"/>
  <c r="W220" i="5"/>
  <c r="W157" i="5"/>
  <c r="W99" i="5"/>
  <c r="W36" i="5"/>
  <c r="W398" i="5"/>
  <c r="W306" i="5"/>
  <c r="W219" i="5"/>
  <c r="W156" i="5"/>
  <c r="W98" i="5"/>
  <c r="W35" i="5"/>
  <c r="W397" i="5"/>
  <c r="W339" i="5"/>
  <c r="W276" i="5"/>
  <c r="W218" i="5"/>
  <c r="W155" i="5"/>
  <c r="W97" i="5"/>
  <c r="W34" i="5"/>
  <c r="W396" i="5"/>
  <c r="W338" i="5"/>
  <c r="W275" i="5"/>
  <c r="W217" i="5"/>
  <c r="W154" i="5"/>
  <c r="W91" i="5"/>
  <c r="W33" i="5"/>
  <c r="W395" i="5"/>
  <c r="W337" i="5"/>
  <c r="W274" i="5"/>
  <c r="W153" i="5"/>
  <c r="W61" i="5"/>
  <c r="W394" i="5"/>
  <c r="W331" i="5"/>
  <c r="W302" i="5"/>
  <c r="W273" i="5"/>
  <c r="W244" i="5"/>
  <c r="W181" i="5"/>
  <c r="W152" i="5"/>
  <c r="W89" i="5"/>
  <c r="W31" i="5"/>
  <c r="W393" i="5"/>
  <c r="W301" i="5"/>
  <c r="W243" i="5"/>
  <c r="W180" i="5"/>
  <c r="W122" i="5"/>
  <c r="W59" i="5"/>
  <c r="W363" i="5"/>
  <c r="W271" i="5"/>
  <c r="W304" i="5"/>
  <c r="W391" i="5"/>
  <c r="W43" i="5"/>
  <c r="W106" i="5"/>
  <c r="W169" i="5"/>
  <c r="W227" i="5"/>
  <c r="W291" i="5"/>
  <c r="W350" i="5"/>
  <c r="W49" i="5"/>
  <c r="W170" i="5"/>
  <c r="W351" i="5"/>
  <c r="W108" i="5"/>
  <c r="W229" i="5"/>
  <c r="W352" i="5"/>
  <c r="W51" i="5"/>
  <c r="W172" i="5"/>
  <c r="W230" i="5"/>
  <c r="W353" i="5"/>
  <c r="W52" i="5"/>
  <c r="W173" i="5"/>
  <c r="W295" i="5"/>
  <c r="W111" i="5"/>
  <c r="W232" i="5"/>
  <c r="W296" i="5"/>
  <c r="W112" i="5"/>
  <c r="W361" i="5"/>
  <c r="W113" i="5"/>
  <c r="W176" i="5"/>
  <c r="W234" i="5"/>
  <c r="W362" i="5"/>
  <c r="W56" i="5"/>
  <c r="W114" i="5"/>
  <c r="W177" i="5"/>
  <c r="W299" i="5"/>
  <c r="W376" i="5"/>
  <c r="W57" i="5"/>
  <c r="W121" i="5"/>
  <c r="W242" i="5"/>
  <c r="W318" i="5"/>
  <c r="W13" i="5"/>
  <c r="W134" i="5"/>
  <c r="W255" i="5"/>
  <c r="W379" i="5"/>
  <c r="W77" i="5"/>
  <c r="W198" i="5"/>
  <c r="W385" i="5"/>
  <c r="W15" i="5"/>
  <c r="W136" i="5"/>
  <c r="W321" i="5"/>
  <c r="W16" i="5"/>
  <c r="W79" i="5"/>
  <c r="W200" i="5"/>
  <c r="W258" i="5"/>
  <c r="W387" i="5"/>
  <c r="W80" i="5"/>
  <c r="W201" i="5"/>
  <c r="W323" i="5"/>
  <c r="W18" i="5"/>
  <c r="W81" i="5"/>
  <c r="W139" i="5"/>
  <c r="W202" i="5"/>
  <c r="W265" i="5"/>
  <c r="W324" i="5"/>
  <c r="W389" i="5"/>
  <c r="W19" i="5"/>
  <c r="W82" i="5"/>
  <c r="W145" i="5"/>
  <c r="W203" i="5"/>
  <c r="W266" i="5"/>
  <c r="W325" i="5"/>
  <c r="W390" i="5"/>
  <c r="Y4" i="5" l="1"/>
  <c r="Y3" i="5"/>
  <c r="U12" i="5"/>
  <c r="U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ACF467-4DD8-41E6-88F9-9666E382FC13}" keepAlive="1" name="Query - Document" description="Connection to the 'Document' query in the workbook." type="5" refreshedVersion="0" background="1">
    <dbPr connection="Provider=Microsoft.Mashup.OleDb.1;Data Source=$Workbook$;Location=Document;Extended Properties=&quot;&quot;" command="SELECT * FROM [Document]"/>
  </connection>
</connections>
</file>

<file path=xl/sharedStrings.xml><?xml version="1.0" encoding="utf-8"?>
<sst xmlns="http://schemas.openxmlformats.org/spreadsheetml/2006/main" count="31" uniqueCount="30">
  <si>
    <t>Makro-Sheet</t>
  </si>
  <si>
    <t>Mean</t>
  </si>
  <si>
    <t>Standard.Dev (S)</t>
  </si>
  <si>
    <t>Standard.Dev (P)</t>
  </si>
  <si>
    <t xml:space="preserve">Monte Carl Sim </t>
  </si>
  <si>
    <t>Median</t>
  </si>
  <si>
    <t xml:space="preserve">Hisotical S&amp;P 500 Returns </t>
  </si>
  <si>
    <t>Commodites</t>
  </si>
  <si>
    <t>S&amp;P500</t>
  </si>
  <si>
    <t>NASDAQ</t>
  </si>
  <si>
    <t>DAX</t>
  </si>
  <si>
    <t>DOW Jones</t>
  </si>
  <si>
    <t>Russel 2000</t>
  </si>
  <si>
    <t>US</t>
  </si>
  <si>
    <t>EU</t>
  </si>
  <si>
    <t>MDAX</t>
  </si>
  <si>
    <t>SDAX</t>
  </si>
  <si>
    <t>CAC40</t>
  </si>
  <si>
    <t>FTSE MIB</t>
  </si>
  <si>
    <t>IBEX 35</t>
  </si>
  <si>
    <t xml:space="preserve">Swiss Market Index </t>
  </si>
  <si>
    <t>Max</t>
  </si>
  <si>
    <t>Min</t>
  </si>
  <si>
    <t>1 Sigma low</t>
  </si>
  <si>
    <t>1 Sigma high</t>
  </si>
  <si>
    <t>2 Sigma low</t>
  </si>
  <si>
    <t>2 Sigma high</t>
  </si>
  <si>
    <t>3 Sigma low</t>
  </si>
  <si>
    <t>3 Sigma high</t>
  </si>
  <si>
    <t>Hisotical S&amp;P 500 Returns 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</si>
</sst>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10">
    <xf numFmtId="0" fontId="0" fillId="0" borderId="0" xfId="0"/>
    <xf numFmtId="0" fontId="2" fillId="0" borderId="0" xfId="0" applyFont="1"/>
    <xf numFmtId="9" fontId="0" fillId="0" borderId="0" xfId="1" applyFont="1"/>
    <xf numFmtId="0" fontId="1" fillId="0" borderId="0" xfId="0" applyFont="1"/>
    <xf numFmtId="0" fontId="19" fillId="0" borderId="0" xfId="0" applyFont="1"/>
    <xf numFmtId="0" fontId="20" fillId="0" borderId="0" xfId="0" applyFont="1"/>
    <xf numFmtId="164" fontId="1" fillId="0" borderId="0" xfId="0" applyNumberFormat="1" applyFont="1"/>
    <xf numFmtId="9" fontId="1" fillId="0" borderId="0" xfId="1" applyFont="1"/>
    <xf numFmtId="164" fontId="1" fillId="0" borderId="0" xfId="1" applyNumberFormat="1" applyFont="1"/>
    <xf numFmtId="0" fontId="21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 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Distribution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'S&amp;P'!$W$512:$W$1516</c:f>
              <c:numCache>
                <c:formatCode>0%</c:formatCode>
                <c:ptCount val="1005"/>
                <c:pt idx="0">
                  <c:v>-0.21014035105429041</c:v>
                </c:pt>
                <c:pt idx="1">
                  <c:v>8.4915757808879777E-2</c:v>
                </c:pt>
                <c:pt idx="2">
                  <c:v>0.12544383531917425</c:v>
                </c:pt>
                <c:pt idx="3">
                  <c:v>0.31294291110588995</c:v>
                </c:pt>
                <c:pt idx="4">
                  <c:v>-0.33903832641966597</c:v>
                </c:pt>
                <c:pt idx="5">
                  <c:v>0.22964974124169696</c:v>
                </c:pt>
                <c:pt idx="6">
                  <c:v>-8.2331810676749675E-2</c:v>
                </c:pt>
                <c:pt idx="7">
                  <c:v>0.25561836121644371</c:v>
                </c:pt>
                <c:pt idx="8">
                  <c:v>0.12517478208808766</c:v>
                </c:pt>
                <c:pt idx="9">
                  <c:v>-5.2621362898671045E-2</c:v>
                </c:pt>
                <c:pt idx="10">
                  <c:v>0.36212290887807691</c:v>
                </c:pt>
                <c:pt idx="11">
                  <c:v>0.435397754502304</c:v>
                </c:pt>
                <c:pt idx="12">
                  <c:v>0.29400659480871888</c:v>
                </c:pt>
                <c:pt idx="13">
                  <c:v>0.10115504180972561</c:v>
                </c:pt>
                <c:pt idx="14">
                  <c:v>1.2684109199226606E-2</c:v>
                </c:pt>
                <c:pt idx="15">
                  <c:v>5.2362550214656509E-2</c:v>
                </c:pt>
                <c:pt idx="16">
                  <c:v>0.37910233687365474</c:v>
                </c:pt>
                <c:pt idx="17">
                  <c:v>8.2260428927079243E-3</c:v>
                </c:pt>
                <c:pt idx="18">
                  <c:v>0.32799630392633639</c:v>
                </c:pt>
                <c:pt idx="19">
                  <c:v>7.0853271980325649E-4</c:v>
                </c:pt>
                <c:pt idx="20">
                  <c:v>0.40617588487138306</c:v>
                </c:pt>
                <c:pt idx="21">
                  <c:v>0.19607067388712338</c:v>
                </c:pt>
                <c:pt idx="22">
                  <c:v>0.35283594976100879</c:v>
                </c:pt>
                <c:pt idx="23">
                  <c:v>8.6034793104768192E-2</c:v>
                </c:pt>
                <c:pt idx="24">
                  <c:v>0.16370416557136214</c:v>
                </c:pt>
                <c:pt idx="25">
                  <c:v>0.34695251161569873</c:v>
                </c:pt>
                <c:pt idx="26">
                  <c:v>0.20997683324246591</c:v>
                </c:pt>
                <c:pt idx="27">
                  <c:v>0.30312735268878277</c:v>
                </c:pt>
                <c:pt idx="28">
                  <c:v>-0.32732484456821859</c:v>
                </c:pt>
                <c:pt idx="29">
                  <c:v>0.37465349348732269</c:v>
                </c:pt>
                <c:pt idx="30">
                  <c:v>-4.272742870410727E-2</c:v>
                </c:pt>
                <c:pt idx="31">
                  <c:v>8.9956347801524922E-2</c:v>
                </c:pt>
                <c:pt idx="32">
                  <c:v>0.11184585920071356</c:v>
                </c:pt>
                <c:pt idx="33">
                  <c:v>0.12208585195874518</c:v>
                </c:pt>
                <c:pt idx="34">
                  <c:v>6.0460595994172167E-3</c:v>
                </c:pt>
                <c:pt idx="35">
                  <c:v>0.27508481983553407</c:v>
                </c:pt>
                <c:pt idx="36">
                  <c:v>-2.2002910106802512E-2</c:v>
                </c:pt>
                <c:pt idx="37">
                  <c:v>0.22900226318708017</c:v>
                </c:pt>
                <c:pt idx="38">
                  <c:v>-0.12228148216169195</c:v>
                </c:pt>
                <c:pt idx="39">
                  <c:v>-0.281999456673375</c:v>
                </c:pt>
                <c:pt idx="40">
                  <c:v>0.13964969645677258</c:v>
                </c:pt>
                <c:pt idx="41">
                  <c:v>1.9368847354868976E-2</c:v>
                </c:pt>
                <c:pt idx="42">
                  <c:v>0.30186751668122425</c:v>
                </c:pt>
                <c:pt idx="43">
                  <c:v>0.17904308779543746</c:v>
                </c:pt>
                <c:pt idx="44">
                  <c:v>0.14307076175887554</c:v>
                </c:pt>
                <c:pt idx="45">
                  <c:v>0.23212317883215217</c:v>
                </c:pt>
                <c:pt idx="46">
                  <c:v>0.10088768103533823</c:v>
                </c:pt>
                <c:pt idx="47">
                  <c:v>1.5576579016300551E-2</c:v>
                </c:pt>
                <c:pt idx="48">
                  <c:v>0.22701150778937862</c:v>
                </c:pt>
                <c:pt idx="49">
                  <c:v>-0.21137688964785956</c:v>
                </c:pt>
                <c:pt idx="50">
                  <c:v>7.1952260684665786E-2</c:v>
                </c:pt>
                <c:pt idx="51">
                  <c:v>-4.0552339331658763E-2</c:v>
                </c:pt>
                <c:pt idx="52">
                  <c:v>-8.8279489094424443E-2</c:v>
                </c:pt>
                <c:pt idx="53">
                  <c:v>0.25166515480086377</c:v>
                </c:pt>
                <c:pt idx="54">
                  <c:v>0.41610605794398092</c:v>
                </c:pt>
                <c:pt idx="55">
                  <c:v>0.10358592166049223</c:v>
                </c:pt>
                <c:pt idx="56">
                  <c:v>-7.8543000662609622E-2</c:v>
                </c:pt>
                <c:pt idx="57">
                  <c:v>-0.16500828943110668</c:v>
                </c:pt>
                <c:pt idx="58">
                  <c:v>0.1963402675027362</c:v>
                </c:pt>
                <c:pt idx="59">
                  <c:v>0.16114158805339332</c:v>
                </c:pt>
                <c:pt idx="60">
                  <c:v>3.6115327437368602E-2</c:v>
                </c:pt>
                <c:pt idx="61">
                  <c:v>-0.38665718397338289</c:v>
                </c:pt>
                <c:pt idx="62">
                  <c:v>0.183635950071242</c:v>
                </c:pt>
                <c:pt idx="63">
                  <c:v>-4.9862618259445268E-3</c:v>
                </c:pt>
                <c:pt idx="64">
                  <c:v>-0.15804368962078896</c:v>
                </c:pt>
                <c:pt idx="65">
                  <c:v>0.18722683550748004</c:v>
                </c:pt>
                <c:pt idx="66">
                  <c:v>-1.2651238747897336E-3</c:v>
                </c:pt>
                <c:pt idx="67">
                  <c:v>0.22284929010159787</c:v>
                </c:pt>
                <c:pt idx="68">
                  <c:v>4.7802511763291061E-2</c:v>
                </c:pt>
                <c:pt idx="69">
                  <c:v>-0.17560578651759784</c:v>
                </c:pt>
                <c:pt idx="70">
                  <c:v>0.14357539556409044</c:v>
                </c:pt>
                <c:pt idx="71">
                  <c:v>0.14824176148810353</c:v>
                </c:pt>
                <c:pt idx="72">
                  <c:v>0.36704071944355432</c:v>
                </c:pt>
                <c:pt idx="73">
                  <c:v>-0.18802973756888541</c:v>
                </c:pt>
                <c:pt idx="74">
                  <c:v>0.1921052489104923</c:v>
                </c:pt>
                <c:pt idx="75">
                  <c:v>0.24385522029582007</c:v>
                </c:pt>
                <c:pt idx="76">
                  <c:v>2.5164536340507582E-2</c:v>
                </c:pt>
                <c:pt idx="77">
                  <c:v>1.3082546089164857E-2</c:v>
                </c:pt>
                <c:pt idx="78">
                  <c:v>2.6434430528651381E-3</c:v>
                </c:pt>
                <c:pt idx="79">
                  <c:v>0.23506644925154838</c:v>
                </c:pt>
                <c:pt idx="80">
                  <c:v>0.13280644342161441</c:v>
                </c:pt>
                <c:pt idx="81">
                  <c:v>0.37401303636762873</c:v>
                </c:pt>
                <c:pt idx="82">
                  <c:v>-0.14231094308630116</c:v>
                </c:pt>
                <c:pt idx="83">
                  <c:v>-6.0365549613750749E-2</c:v>
                </c:pt>
                <c:pt idx="84">
                  <c:v>0.14456103166668977</c:v>
                </c:pt>
                <c:pt idx="85">
                  <c:v>0.22069515662119898</c:v>
                </c:pt>
                <c:pt idx="86">
                  <c:v>0.10881552993857704</c:v>
                </c:pt>
                <c:pt idx="87">
                  <c:v>0.1874559584690117</c:v>
                </c:pt>
                <c:pt idx="88">
                  <c:v>4.0411159983777312E-2</c:v>
                </c:pt>
                <c:pt idx="89">
                  <c:v>6.045889767483556E-2</c:v>
                </c:pt>
                <c:pt idx="90">
                  <c:v>7.0369093169551589E-2</c:v>
                </c:pt>
                <c:pt idx="91">
                  <c:v>0.26231228404719081</c:v>
                </c:pt>
                <c:pt idx="92">
                  <c:v>8.350537409190617E-3</c:v>
                </c:pt>
                <c:pt idx="93">
                  <c:v>-9.2655746163132338E-2</c:v>
                </c:pt>
                <c:pt idx="94">
                  <c:v>0.16076816821496237</c:v>
                </c:pt>
                <c:pt idx="95">
                  <c:v>0.29473918307858538</c:v>
                </c:pt>
                <c:pt idx="96">
                  <c:v>5.5096367013291007E-2</c:v>
                </c:pt>
                <c:pt idx="97">
                  <c:v>0.1348706295580932</c:v>
                </c:pt>
                <c:pt idx="98">
                  <c:v>-7.3480631908352648E-2</c:v>
                </c:pt>
                <c:pt idx="99">
                  <c:v>-8.8746908476224559E-2</c:v>
                </c:pt>
                <c:pt idx="100">
                  <c:v>0.23967324987094846</c:v>
                </c:pt>
                <c:pt idx="101">
                  <c:v>0.28134951480968867</c:v>
                </c:pt>
                <c:pt idx="102">
                  <c:v>-0.28738360903524218</c:v>
                </c:pt>
                <c:pt idx="103">
                  <c:v>4.6927348055240709E-2</c:v>
                </c:pt>
                <c:pt idx="104">
                  <c:v>0.17419720629505941</c:v>
                </c:pt>
                <c:pt idx="105">
                  <c:v>0.13159227377661362</c:v>
                </c:pt>
                <c:pt idx="106">
                  <c:v>0.20185276217826964</c:v>
                </c:pt>
                <c:pt idx="107">
                  <c:v>0.15810440576647863</c:v>
                </c:pt>
                <c:pt idx="108">
                  <c:v>0.31431863099526086</c:v>
                </c:pt>
                <c:pt idx="109">
                  <c:v>2.8532391463962054E-2</c:v>
                </c:pt>
                <c:pt idx="110">
                  <c:v>-4.5117082393968791E-2</c:v>
                </c:pt>
                <c:pt idx="111">
                  <c:v>-5.8240640490819784E-3</c:v>
                </c:pt>
                <c:pt idx="112">
                  <c:v>0.13825779846834413</c:v>
                </c:pt>
                <c:pt idx="113">
                  <c:v>-0.11436881458761423</c:v>
                </c:pt>
                <c:pt idx="114">
                  <c:v>-9.3118292387450716E-2</c:v>
                </c:pt>
                <c:pt idx="115">
                  <c:v>0.20341250310753861</c:v>
                </c:pt>
                <c:pt idx="116">
                  <c:v>0.13831230348654239</c:v>
                </c:pt>
                <c:pt idx="117">
                  <c:v>0.32549404686813749</c:v>
                </c:pt>
                <c:pt idx="118">
                  <c:v>6.91578972634391E-2</c:v>
                </c:pt>
                <c:pt idx="119">
                  <c:v>6.2696385661332871E-2</c:v>
                </c:pt>
                <c:pt idx="120">
                  <c:v>8.5357007773606774E-2</c:v>
                </c:pt>
                <c:pt idx="121">
                  <c:v>2.271199058891045E-2</c:v>
                </c:pt>
                <c:pt idx="122">
                  <c:v>5.4258033183570822E-2</c:v>
                </c:pt>
                <c:pt idx="123">
                  <c:v>1.7088782197365787E-2</c:v>
                </c:pt>
                <c:pt idx="124">
                  <c:v>0.21492672944811103</c:v>
                </c:pt>
                <c:pt idx="125">
                  <c:v>0.2760180752702906</c:v>
                </c:pt>
                <c:pt idx="126">
                  <c:v>0.30673633748076479</c:v>
                </c:pt>
                <c:pt idx="127">
                  <c:v>0.23325879592399865</c:v>
                </c:pt>
                <c:pt idx="128">
                  <c:v>0.14488918763508918</c:v>
                </c:pt>
                <c:pt idx="129">
                  <c:v>-0.11397339529661706</c:v>
                </c:pt>
                <c:pt idx="130">
                  <c:v>0.15702862463194303</c:v>
                </c:pt>
                <c:pt idx="131">
                  <c:v>0.38787866149505423</c:v>
                </c:pt>
                <c:pt idx="132">
                  <c:v>0.2758161451746593</c:v>
                </c:pt>
                <c:pt idx="133">
                  <c:v>0.11293947142517649</c:v>
                </c:pt>
                <c:pt idx="134">
                  <c:v>-0.10035646351759882</c:v>
                </c:pt>
                <c:pt idx="135">
                  <c:v>0.1994306241643771</c:v>
                </c:pt>
                <c:pt idx="136">
                  <c:v>0.32298724276650365</c:v>
                </c:pt>
                <c:pt idx="137">
                  <c:v>0.11330009772972541</c:v>
                </c:pt>
                <c:pt idx="138">
                  <c:v>0.23710937057348275</c:v>
                </c:pt>
                <c:pt idx="139">
                  <c:v>0.27642105831047409</c:v>
                </c:pt>
                <c:pt idx="140">
                  <c:v>0.22191990310642248</c:v>
                </c:pt>
                <c:pt idx="141">
                  <c:v>5.8901023783628111E-2</c:v>
                </c:pt>
                <c:pt idx="142">
                  <c:v>0.17623386291707027</c:v>
                </c:pt>
                <c:pt idx="143">
                  <c:v>4.0024242222848783E-2</c:v>
                </c:pt>
                <c:pt idx="144">
                  <c:v>0.44921770839353642</c:v>
                </c:pt>
                <c:pt idx="145">
                  <c:v>0.25945917122213513</c:v>
                </c:pt>
                <c:pt idx="146">
                  <c:v>-8.1295521874709953E-3</c:v>
                </c:pt>
                <c:pt idx="147">
                  <c:v>0.24801904464201002</c:v>
                </c:pt>
                <c:pt idx="148">
                  <c:v>6.7552023899097285E-2</c:v>
                </c:pt>
                <c:pt idx="149">
                  <c:v>0.34005039247982111</c:v>
                </c:pt>
                <c:pt idx="150">
                  <c:v>-4.0801868958714974E-2</c:v>
                </c:pt>
                <c:pt idx="151">
                  <c:v>-3.6049948602238438E-2</c:v>
                </c:pt>
                <c:pt idx="152">
                  <c:v>0.287979220268401</c:v>
                </c:pt>
                <c:pt idx="153">
                  <c:v>0.17999315535649579</c:v>
                </c:pt>
                <c:pt idx="154">
                  <c:v>-0.22276456333486133</c:v>
                </c:pt>
                <c:pt idx="155">
                  <c:v>0.16217555256483146</c:v>
                </c:pt>
                <c:pt idx="156">
                  <c:v>0.1570657784746054</c:v>
                </c:pt>
                <c:pt idx="157">
                  <c:v>0.24085554059900049</c:v>
                </c:pt>
                <c:pt idx="158">
                  <c:v>0.22621566372363927</c:v>
                </c:pt>
                <c:pt idx="159">
                  <c:v>0.49668870439167795</c:v>
                </c:pt>
                <c:pt idx="160">
                  <c:v>0.18784504937015872</c:v>
                </c:pt>
                <c:pt idx="161">
                  <c:v>-0.40546475080802891</c:v>
                </c:pt>
                <c:pt idx="162">
                  <c:v>0.39050493412039639</c:v>
                </c:pt>
                <c:pt idx="163">
                  <c:v>0.28201478560081411</c:v>
                </c:pt>
                <c:pt idx="164">
                  <c:v>-2.7583459094695742E-2</c:v>
                </c:pt>
                <c:pt idx="165">
                  <c:v>0.18061721405521219</c:v>
                </c:pt>
                <c:pt idx="166">
                  <c:v>-0.21023177185907177</c:v>
                </c:pt>
                <c:pt idx="167">
                  <c:v>-0.25063337201717617</c:v>
                </c:pt>
                <c:pt idx="168">
                  <c:v>8.2717034187365923E-3</c:v>
                </c:pt>
                <c:pt idx="169">
                  <c:v>-0.20630667684464565</c:v>
                </c:pt>
                <c:pt idx="170">
                  <c:v>0.12354949923340419</c:v>
                </c:pt>
                <c:pt idx="171">
                  <c:v>0.18103668262680706</c:v>
                </c:pt>
                <c:pt idx="172">
                  <c:v>1.8636159194668586E-2</c:v>
                </c:pt>
                <c:pt idx="173">
                  <c:v>7.7174229430301292E-2</c:v>
                </c:pt>
                <c:pt idx="174">
                  <c:v>-0.12950619665086077</c:v>
                </c:pt>
                <c:pt idx="175">
                  <c:v>0.23217777225934388</c:v>
                </c:pt>
                <c:pt idx="176">
                  <c:v>-0.1037691536066797</c:v>
                </c:pt>
                <c:pt idx="177">
                  <c:v>0.31239728217181645</c:v>
                </c:pt>
                <c:pt idx="178">
                  <c:v>0.36671693436696423</c:v>
                </c:pt>
                <c:pt idx="179">
                  <c:v>-0.12942962220204063</c:v>
                </c:pt>
                <c:pt idx="180">
                  <c:v>0.2943301451087475</c:v>
                </c:pt>
                <c:pt idx="181">
                  <c:v>-0.1565041034023818</c:v>
                </c:pt>
                <c:pt idx="182">
                  <c:v>-0.16669860966009947</c:v>
                </c:pt>
                <c:pt idx="183">
                  <c:v>-0.18775074153204352</c:v>
                </c:pt>
                <c:pt idx="184">
                  <c:v>-4.3822146082250393E-2</c:v>
                </c:pt>
                <c:pt idx="185">
                  <c:v>0.21566793249199223</c:v>
                </c:pt>
                <c:pt idx="186">
                  <c:v>0.12436172479181005</c:v>
                </c:pt>
                <c:pt idx="187">
                  <c:v>0.10303219628469588</c:v>
                </c:pt>
                <c:pt idx="188">
                  <c:v>-1.7778239444098773E-2</c:v>
                </c:pt>
                <c:pt idx="189">
                  <c:v>0.42906139010386685</c:v>
                </c:pt>
                <c:pt idx="190">
                  <c:v>0.18862999549920828</c:v>
                </c:pt>
                <c:pt idx="191">
                  <c:v>0.57051659987532533</c:v>
                </c:pt>
                <c:pt idx="192">
                  <c:v>-0.29088583684720914</c:v>
                </c:pt>
                <c:pt idx="193">
                  <c:v>-7.6211392135608527E-2</c:v>
                </c:pt>
                <c:pt idx="194">
                  <c:v>9.822867725425731E-2</c:v>
                </c:pt>
                <c:pt idx="195">
                  <c:v>-2.837520622886551E-2</c:v>
                </c:pt>
                <c:pt idx="196">
                  <c:v>0.17937949611332721</c:v>
                </c:pt>
                <c:pt idx="197">
                  <c:v>0.39212992030733751</c:v>
                </c:pt>
                <c:pt idx="198">
                  <c:v>0.24819618506707053</c:v>
                </c:pt>
                <c:pt idx="199">
                  <c:v>-4.7015730260322366E-2</c:v>
                </c:pt>
                <c:pt idx="200">
                  <c:v>0.17050234277869997</c:v>
                </c:pt>
                <c:pt idx="201">
                  <c:v>0.14710240388007928</c:v>
                </c:pt>
                <c:pt idx="202">
                  <c:v>1.1531666806908342E-2</c:v>
                </c:pt>
                <c:pt idx="203">
                  <c:v>-0.31164729383244227</c:v>
                </c:pt>
                <c:pt idx="204">
                  <c:v>3.5761336749671468E-3</c:v>
                </c:pt>
                <c:pt idx="205">
                  <c:v>0.25878136115720168</c:v>
                </c:pt>
                <c:pt idx="206">
                  <c:v>0.11429813903066686</c:v>
                </c:pt>
                <c:pt idx="207">
                  <c:v>5.5412827079015618E-2</c:v>
                </c:pt>
                <c:pt idx="208">
                  <c:v>0.47729779715639514</c:v>
                </c:pt>
                <c:pt idx="209">
                  <c:v>4.7994340199148972E-2</c:v>
                </c:pt>
                <c:pt idx="210">
                  <c:v>0.15411732720968133</c:v>
                </c:pt>
                <c:pt idx="211">
                  <c:v>9.2196623155925916E-2</c:v>
                </c:pt>
                <c:pt idx="212">
                  <c:v>0.37272100381404794</c:v>
                </c:pt>
                <c:pt idx="213">
                  <c:v>-5.9733051033676779E-2</c:v>
                </c:pt>
                <c:pt idx="214">
                  <c:v>9.5093793618156036E-2</c:v>
                </c:pt>
                <c:pt idx="215">
                  <c:v>-0.11935025876291035</c:v>
                </c:pt>
                <c:pt idx="216">
                  <c:v>-0.12995276112735182</c:v>
                </c:pt>
                <c:pt idx="217">
                  <c:v>-1.0262300174845765E-2</c:v>
                </c:pt>
                <c:pt idx="218">
                  <c:v>0.29382989214038996</c:v>
                </c:pt>
                <c:pt idx="219">
                  <c:v>0.12548943026187315</c:v>
                </c:pt>
                <c:pt idx="220">
                  <c:v>-7.1433158687042031E-3</c:v>
                </c:pt>
                <c:pt idx="221">
                  <c:v>-9.3799731017334617E-2</c:v>
                </c:pt>
                <c:pt idx="222">
                  <c:v>0.18856389551959829</c:v>
                </c:pt>
                <c:pt idx="223">
                  <c:v>0.2826848686204203</c:v>
                </c:pt>
                <c:pt idx="224">
                  <c:v>0.23500525648317599</c:v>
                </c:pt>
                <c:pt idx="225">
                  <c:v>0.39295398596299691</c:v>
                </c:pt>
                <c:pt idx="226">
                  <c:v>0.21695646753442691</c:v>
                </c:pt>
                <c:pt idx="227">
                  <c:v>0.16610696613296352</c:v>
                </c:pt>
                <c:pt idx="228">
                  <c:v>0.11671360701459256</c:v>
                </c:pt>
                <c:pt idx="229">
                  <c:v>0.18254008091741625</c:v>
                </c:pt>
                <c:pt idx="230">
                  <c:v>0.32433146835562449</c:v>
                </c:pt>
                <c:pt idx="231">
                  <c:v>-4.9147379743162287E-2</c:v>
                </c:pt>
                <c:pt idx="232">
                  <c:v>-0.11939961189437766</c:v>
                </c:pt>
                <c:pt idx="233">
                  <c:v>-0.12884983921504556</c:v>
                </c:pt>
                <c:pt idx="234">
                  <c:v>6.615975565681817E-2</c:v>
                </c:pt>
                <c:pt idx="235">
                  <c:v>-9.8216328632232106E-2</c:v>
                </c:pt>
                <c:pt idx="236">
                  <c:v>0.26318999328532977</c:v>
                </c:pt>
                <c:pt idx="237">
                  <c:v>5.431998452420396E-2</c:v>
                </c:pt>
                <c:pt idx="238">
                  <c:v>0.20712077899545972</c:v>
                </c:pt>
                <c:pt idx="239">
                  <c:v>7.3444899741224492E-2</c:v>
                </c:pt>
                <c:pt idx="240">
                  <c:v>-0.14219438409890306</c:v>
                </c:pt>
                <c:pt idx="241">
                  <c:v>5.2991875851733095E-2</c:v>
                </c:pt>
                <c:pt idx="242">
                  <c:v>3.2352434223965096E-2</c:v>
                </c:pt>
                <c:pt idx="243">
                  <c:v>-0.28305081217543981</c:v>
                </c:pt>
                <c:pt idx="244">
                  <c:v>0.24069342735243704</c:v>
                </c:pt>
                <c:pt idx="245">
                  <c:v>-0.3576067878333099</c:v>
                </c:pt>
                <c:pt idx="246">
                  <c:v>8.4733916181623237E-2</c:v>
                </c:pt>
                <c:pt idx="247">
                  <c:v>-8.5638570473161577E-2</c:v>
                </c:pt>
                <c:pt idx="248">
                  <c:v>0.17390284580546739</c:v>
                </c:pt>
                <c:pt idx="249">
                  <c:v>5.8587512442658002E-2</c:v>
                </c:pt>
                <c:pt idx="250">
                  <c:v>0.30308504587750651</c:v>
                </c:pt>
                <c:pt idx="251">
                  <c:v>0.13878375729637438</c:v>
                </c:pt>
                <c:pt idx="252">
                  <c:v>-5.1274546562183471E-3</c:v>
                </c:pt>
                <c:pt idx="253">
                  <c:v>0.36093332814354284</c:v>
                </c:pt>
                <c:pt idx="254">
                  <c:v>0.40957693598000583</c:v>
                </c:pt>
                <c:pt idx="255">
                  <c:v>-0.11314641095895421</c:v>
                </c:pt>
                <c:pt idx="256">
                  <c:v>0.12390032507108009</c:v>
                </c:pt>
                <c:pt idx="257">
                  <c:v>6.8354018635960939E-2</c:v>
                </c:pt>
                <c:pt idx="258">
                  <c:v>-9.9964082185929018E-2</c:v>
                </c:pt>
                <c:pt idx="259">
                  <c:v>0.14815005219189559</c:v>
                </c:pt>
                <c:pt idx="260">
                  <c:v>0.15608519361513701</c:v>
                </c:pt>
                <c:pt idx="261">
                  <c:v>-6.0019219816861605E-2</c:v>
                </c:pt>
                <c:pt idx="262">
                  <c:v>-0.32101636062377931</c:v>
                </c:pt>
                <c:pt idx="263">
                  <c:v>-0.1759275414615511</c:v>
                </c:pt>
                <c:pt idx="264">
                  <c:v>-5.3528657111320502E-2</c:v>
                </c:pt>
                <c:pt idx="265">
                  <c:v>7.5838716617598056E-2</c:v>
                </c:pt>
                <c:pt idx="266">
                  <c:v>0.3717271405973257</c:v>
                </c:pt>
                <c:pt idx="267">
                  <c:v>-6.5276579358524919E-2</c:v>
                </c:pt>
                <c:pt idx="268">
                  <c:v>-1.2368058960479197E-2</c:v>
                </c:pt>
                <c:pt idx="269">
                  <c:v>0.11438171914617448</c:v>
                </c:pt>
                <c:pt idx="270">
                  <c:v>-1.1391626649463471E-2</c:v>
                </c:pt>
                <c:pt idx="271">
                  <c:v>-0.10316518191405681</c:v>
                </c:pt>
                <c:pt idx="272">
                  <c:v>0.29114316580348343</c:v>
                </c:pt>
                <c:pt idx="273">
                  <c:v>-0.35306828591987788</c:v>
                </c:pt>
                <c:pt idx="274">
                  <c:v>7.8720253233833262E-2</c:v>
                </c:pt>
                <c:pt idx="275">
                  <c:v>0.30972720979097834</c:v>
                </c:pt>
                <c:pt idx="276">
                  <c:v>-4.6700106875279493E-2</c:v>
                </c:pt>
                <c:pt idx="277">
                  <c:v>0.47214888631264945</c:v>
                </c:pt>
                <c:pt idx="278">
                  <c:v>3.5813811578323612E-2</c:v>
                </c:pt>
                <c:pt idx="279">
                  <c:v>-0.20521290370345469</c:v>
                </c:pt>
                <c:pt idx="280">
                  <c:v>-5.2805095849697184E-2</c:v>
                </c:pt>
                <c:pt idx="281">
                  <c:v>0.56172780320643367</c:v>
                </c:pt>
                <c:pt idx="282">
                  <c:v>-7.2422262343679225E-2</c:v>
                </c:pt>
                <c:pt idx="283">
                  <c:v>5.8567564141045671E-2</c:v>
                </c:pt>
                <c:pt idx="284">
                  <c:v>6.4100809941279147E-2</c:v>
                </c:pt>
                <c:pt idx="285">
                  <c:v>0.26074656141869762</c:v>
                </c:pt>
                <c:pt idx="286">
                  <c:v>0.28231247111322044</c:v>
                </c:pt>
                <c:pt idx="287">
                  <c:v>-1.6084326718010147E-2</c:v>
                </c:pt>
                <c:pt idx="288">
                  <c:v>0.37526709623183646</c:v>
                </c:pt>
                <c:pt idx="289">
                  <c:v>-0.15296187146256529</c:v>
                </c:pt>
                <c:pt idx="290">
                  <c:v>0.11575634106584426</c:v>
                </c:pt>
                <c:pt idx="291">
                  <c:v>0.30528205843923478</c:v>
                </c:pt>
                <c:pt idx="292">
                  <c:v>-1.6524173510048382E-2</c:v>
                </c:pt>
                <c:pt idx="293">
                  <c:v>0.20451136191354541</c:v>
                </c:pt>
                <c:pt idx="294">
                  <c:v>7.0267210877937275E-2</c:v>
                </c:pt>
                <c:pt idx="295">
                  <c:v>0.21200616683817364</c:v>
                </c:pt>
                <c:pt idx="296">
                  <c:v>0.11756496856130218</c:v>
                </c:pt>
                <c:pt idx="297">
                  <c:v>-7.9441838069448337E-2</c:v>
                </c:pt>
                <c:pt idx="298">
                  <c:v>-3.6760179416756786E-2</c:v>
                </c:pt>
                <c:pt idx="299">
                  <c:v>4.4564722841909515E-3</c:v>
                </c:pt>
                <c:pt idx="300">
                  <c:v>0.25856829892010191</c:v>
                </c:pt>
                <c:pt idx="301">
                  <c:v>0.3264087126168792</c:v>
                </c:pt>
                <c:pt idx="302">
                  <c:v>0.13902445264107588</c:v>
                </c:pt>
                <c:pt idx="303">
                  <c:v>0.18295913521669949</c:v>
                </c:pt>
                <c:pt idx="304">
                  <c:v>-2.1660691312649014E-2</c:v>
                </c:pt>
                <c:pt idx="305">
                  <c:v>-1.1279344250656742E-2</c:v>
                </c:pt>
                <c:pt idx="306">
                  <c:v>0.11101828815403622</c:v>
                </c:pt>
                <c:pt idx="307">
                  <c:v>5.428452992135846E-2</c:v>
                </c:pt>
                <c:pt idx="308">
                  <c:v>0.2021597794473553</c:v>
                </c:pt>
                <c:pt idx="309">
                  <c:v>9.2050675075962748E-2</c:v>
                </c:pt>
                <c:pt idx="310">
                  <c:v>-1.7878278615229434E-2</c:v>
                </c:pt>
                <c:pt idx="311">
                  <c:v>0.21533941028750064</c:v>
                </c:pt>
                <c:pt idx="312">
                  <c:v>0.35765087127363598</c:v>
                </c:pt>
                <c:pt idx="313">
                  <c:v>-0.23112611499841618</c:v>
                </c:pt>
                <c:pt idx="314">
                  <c:v>1.937676459062726E-2</c:v>
                </c:pt>
                <c:pt idx="315">
                  <c:v>5.717768422685407E-2</c:v>
                </c:pt>
                <c:pt idx="316">
                  <c:v>1.0576162902525277E-3</c:v>
                </c:pt>
                <c:pt idx="317">
                  <c:v>0.14775586129072138</c:v>
                </c:pt>
                <c:pt idx="318">
                  <c:v>8.4858272627763395E-2</c:v>
                </c:pt>
                <c:pt idx="319">
                  <c:v>-0.20748652172919785</c:v>
                </c:pt>
                <c:pt idx="320">
                  <c:v>0.39950582157731701</c:v>
                </c:pt>
                <c:pt idx="321">
                  <c:v>0.11649596685859506</c:v>
                </c:pt>
                <c:pt idx="322">
                  <c:v>0.36859926781928626</c:v>
                </c:pt>
                <c:pt idx="323">
                  <c:v>2.3416262388167602E-2</c:v>
                </c:pt>
                <c:pt idx="324">
                  <c:v>0.1609646528728389</c:v>
                </c:pt>
                <c:pt idx="325">
                  <c:v>-0.10345952550964503</c:v>
                </c:pt>
                <c:pt idx="326">
                  <c:v>-0.14130584502296845</c:v>
                </c:pt>
                <c:pt idx="327">
                  <c:v>-0.20581669143708614</c:v>
                </c:pt>
                <c:pt idx="328">
                  <c:v>-0.19229878475306988</c:v>
                </c:pt>
                <c:pt idx="329">
                  <c:v>0.19721081251084877</c:v>
                </c:pt>
                <c:pt idx="330">
                  <c:v>0.38489757750318671</c:v>
                </c:pt>
                <c:pt idx="331">
                  <c:v>0.29024817931940428</c:v>
                </c:pt>
                <c:pt idx="332">
                  <c:v>-0.11601110001292826</c:v>
                </c:pt>
                <c:pt idx="333">
                  <c:v>0.1933875507454953</c:v>
                </c:pt>
                <c:pt idx="334">
                  <c:v>0.31005303928147471</c:v>
                </c:pt>
                <c:pt idx="335">
                  <c:v>4.9148994879495686E-2</c:v>
                </c:pt>
                <c:pt idx="336">
                  <c:v>-4.7971691961550586E-2</c:v>
                </c:pt>
                <c:pt idx="337">
                  <c:v>0.18690941688568727</c:v>
                </c:pt>
                <c:pt idx="338">
                  <c:v>6.6980427484566729E-3</c:v>
                </c:pt>
                <c:pt idx="339">
                  <c:v>0.30178760344738537</c:v>
                </c:pt>
                <c:pt idx="340">
                  <c:v>0.34671497768695936</c:v>
                </c:pt>
                <c:pt idx="341">
                  <c:v>0.12005621145949427</c:v>
                </c:pt>
                <c:pt idx="342">
                  <c:v>0.27349400816885922</c:v>
                </c:pt>
                <c:pt idx="343">
                  <c:v>0.34978488601561808</c:v>
                </c:pt>
                <c:pt idx="344">
                  <c:v>0.57623560765042026</c:v>
                </c:pt>
                <c:pt idx="345">
                  <c:v>0.30013353255447467</c:v>
                </c:pt>
                <c:pt idx="346">
                  <c:v>0.35212480496005472</c:v>
                </c:pt>
                <c:pt idx="347">
                  <c:v>-4.7057453365433585E-2</c:v>
                </c:pt>
                <c:pt idx="348">
                  <c:v>0.3461707245471653</c:v>
                </c:pt>
                <c:pt idx="349">
                  <c:v>0.20050718724360511</c:v>
                </c:pt>
                <c:pt idx="350">
                  <c:v>3.3788590805414687E-2</c:v>
                </c:pt>
                <c:pt idx="351">
                  <c:v>0.21358614847165205</c:v>
                </c:pt>
                <c:pt idx="352">
                  <c:v>2.5210839954747072E-2</c:v>
                </c:pt>
                <c:pt idx="353">
                  <c:v>0.23387811134752828</c:v>
                </c:pt>
                <c:pt idx="354">
                  <c:v>7.2469283232959009E-2</c:v>
                </c:pt>
                <c:pt idx="355">
                  <c:v>-2.2514296456376079E-2</c:v>
                </c:pt>
                <c:pt idx="356">
                  <c:v>9.3055687994877026E-2</c:v>
                </c:pt>
                <c:pt idx="357">
                  <c:v>0.21679343181558108</c:v>
                </c:pt>
                <c:pt idx="358">
                  <c:v>2.9752397384052803E-2</c:v>
                </c:pt>
                <c:pt idx="359">
                  <c:v>8.4960673519211993E-2</c:v>
                </c:pt>
                <c:pt idx="360">
                  <c:v>0.3387373093982074</c:v>
                </c:pt>
                <c:pt idx="361">
                  <c:v>0.34206687403254671</c:v>
                </c:pt>
                <c:pt idx="362">
                  <c:v>-0.25169998914793296</c:v>
                </c:pt>
                <c:pt idx="363">
                  <c:v>0.32921833416865726</c:v>
                </c:pt>
                <c:pt idx="364">
                  <c:v>4.0483591930423973E-2</c:v>
                </c:pt>
                <c:pt idx="365">
                  <c:v>-0.21723171847868544</c:v>
                </c:pt>
                <c:pt idx="366">
                  <c:v>8.4689982772668621E-2</c:v>
                </c:pt>
                <c:pt idx="367">
                  <c:v>0.31597681828429502</c:v>
                </c:pt>
                <c:pt idx="368">
                  <c:v>-5.0368553356658838E-2</c:v>
                </c:pt>
                <c:pt idx="369">
                  <c:v>-0.13688908780061176</c:v>
                </c:pt>
                <c:pt idx="370">
                  <c:v>-8.7976623724020223E-2</c:v>
                </c:pt>
                <c:pt idx="371">
                  <c:v>0.28666893994685111</c:v>
                </c:pt>
                <c:pt idx="372">
                  <c:v>-0.17356454721746911</c:v>
                </c:pt>
                <c:pt idx="373">
                  <c:v>0.13793197479785069</c:v>
                </c:pt>
                <c:pt idx="374">
                  <c:v>6.2549070633745027E-2</c:v>
                </c:pt>
                <c:pt idx="375">
                  <c:v>0.32792394557185384</c:v>
                </c:pt>
                <c:pt idx="376">
                  <c:v>0.24982767384216853</c:v>
                </c:pt>
                <c:pt idx="377">
                  <c:v>0.36924309222377111</c:v>
                </c:pt>
                <c:pt idx="378">
                  <c:v>5.989625926709561E-2</c:v>
                </c:pt>
                <c:pt idx="379">
                  <c:v>-3.8257725832994069E-2</c:v>
                </c:pt>
                <c:pt idx="380">
                  <c:v>0.19219117947482328</c:v>
                </c:pt>
                <c:pt idx="381">
                  <c:v>0.41784474584824688</c:v>
                </c:pt>
                <c:pt idx="382">
                  <c:v>-9.2925962144690191E-2</c:v>
                </c:pt>
                <c:pt idx="383">
                  <c:v>0.1888367248696749</c:v>
                </c:pt>
                <c:pt idx="384">
                  <c:v>0.17164606630675244</c:v>
                </c:pt>
                <c:pt idx="385">
                  <c:v>0.20395517123656676</c:v>
                </c:pt>
                <c:pt idx="386">
                  <c:v>0.34224342537423058</c:v>
                </c:pt>
                <c:pt idx="387">
                  <c:v>0.35829613575643043</c:v>
                </c:pt>
                <c:pt idx="388">
                  <c:v>0.27277461909466327</c:v>
                </c:pt>
                <c:pt idx="389">
                  <c:v>0.37766941597953957</c:v>
                </c:pt>
                <c:pt idx="390">
                  <c:v>0.16984766958789937</c:v>
                </c:pt>
                <c:pt idx="391">
                  <c:v>-2.1732269845674043E-2</c:v>
                </c:pt>
                <c:pt idx="392">
                  <c:v>2.0514153259951803E-2</c:v>
                </c:pt>
                <c:pt idx="393">
                  <c:v>0.2526950291707713</c:v>
                </c:pt>
                <c:pt idx="394">
                  <c:v>0.20106342921534398</c:v>
                </c:pt>
                <c:pt idx="395">
                  <c:v>0.16580207425055263</c:v>
                </c:pt>
                <c:pt idx="396">
                  <c:v>0.24637990425358819</c:v>
                </c:pt>
                <c:pt idx="397">
                  <c:v>-0.10238229927621013</c:v>
                </c:pt>
                <c:pt idx="398">
                  <c:v>0.21047273783108644</c:v>
                </c:pt>
                <c:pt idx="399">
                  <c:v>4.5606135325378869E-2</c:v>
                </c:pt>
                <c:pt idx="400">
                  <c:v>-7.1049730043509188E-2</c:v>
                </c:pt>
                <c:pt idx="401">
                  <c:v>0.310396265029108</c:v>
                </c:pt>
                <c:pt idx="402">
                  <c:v>-8.6234244856549236E-3</c:v>
                </c:pt>
                <c:pt idx="403">
                  <c:v>-0.10128060773219318</c:v>
                </c:pt>
                <c:pt idx="404">
                  <c:v>0.16688675679520315</c:v>
                </c:pt>
                <c:pt idx="405">
                  <c:v>0.24758322025667734</c:v>
                </c:pt>
                <c:pt idx="406">
                  <c:v>7.4922438355373364E-2</c:v>
                </c:pt>
                <c:pt idx="407">
                  <c:v>0.24171945622576257</c:v>
                </c:pt>
                <c:pt idx="408">
                  <c:v>5.7627025124219675E-2</c:v>
                </c:pt>
                <c:pt idx="409">
                  <c:v>-7.4617224052530337E-2</c:v>
                </c:pt>
                <c:pt idx="410">
                  <c:v>0.1370395864157043</c:v>
                </c:pt>
                <c:pt idx="411">
                  <c:v>0.28751001693354172</c:v>
                </c:pt>
                <c:pt idx="412">
                  <c:v>0.24622112752475339</c:v>
                </c:pt>
                <c:pt idx="413">
                  <c:v>0.22226413750135932</c:v>
                </c:pt>
                <c:pt idx="414">
                  <c:v>3.5375632005683041E-2</c:v>
                </c:pt>
                <c:pt idx="415">
                  <c:v>0.39273123110310015</c:v>
                </c:pt>
                <c:pt idx="416">
                  <c:v>-8.1900852867038312E-2</c:v>
                </c:pt>
                <c:pt idx="417">
                  <c:v>0.20839227580854361</c:v>
                </c:pt>
                <c:pt idx="418">
                  <c:v>4.4510183489112107E-2</c:v>
                </c:pt>
                <c:pt idx="419">
                  <c:v>0.13938086986193685</c:v>
                </c:pt>
                <c:pt idx="420">
                  <c:v>0.30604025711584126</c:v>
                </c:pt>
                <c:pt idx="421">
                  <c:v>-7.0628153217384623E-2</c:v>
                </c:pt>
                <c:pt idx="422">
                  <c:v>0.13769467280307732</c:v>
                </c:pt>
                <c:pt idx="423">
                  <c:v>0.2051572772557812</c:v>
                </c:pt>
                <c:pt idx="424">
                  <c:v>-0.21500064197462537</c:v>
                </c:pt>
                <c:pt idx="425">
                  <c:v>-5.2810210950431216E-2</c:v>
                </c:pt>
                <c:pt idx="426">
                  <c:v>0.2283717084186658</c:v>
                </c:pt>
                <c:pt idx="427">
                  <c:v>0.30198783500064741</c:v>
                </c:pt>
                <c:pt idx="428">
                  <c:v>0.36048754649863191</c:v>
                </c:pt>
                <c:pt idx="429">
                  <c:v>-6.8501205049179142E-3</c:v>
                </c:pt>
                <c:pt idx="430">
                  <c:v>-9.0802296929727175E-2</c:v>
                </c:pt>
                <c:pt idx="431">
                  <c:v>-0.1327551323543148</c:v>
                </c:pt>
                <c:pt idx="432">
                  <c:v>-1.341396220799429E-3</c:v>
                </c:pt>
                <c:pt idx="433">
                  <c:v>0.14952623178463004</c:v>
                </c:pt>
                <c:pt idx="434">
                  <c:v>4.4667716315257913E-2</c:v>
                </c:pt>
                <c:pt idx="435">
                  <c:v>-1.2721336891239901E-2</c:v>
                </c:pt>
                <c:pt idx="436">
                  <c:v>0.2106214402695378</c:v>
                </c:pt>
                <c:pt idx="437">
                  <c:v>-0.15753128754150331</c:v>
                </c:pt>
                <c:pt idx="438">
                  <c:v>-9.5375114699655802E-2</c:v>
                </c:pt>
                <c:pt idx="439">
                  <c:v>-2.8479736488528015E-2</c:v>
                </c:pt>
                <c:pt idx="440">
                  <c:v>-8.551356877924636E-2</c:v>
                </c:pt>
                <c:pt idx="441">
                  <c:v>-0.12621721609725117</c:v>
                </c:pt>
                <c:pt idx="442">
                  <c:v>0.61826632450628083</c:v>
                </c:pt>
                <c:pt idx="443">
                  <c:v>0.27356434641575733</c:v>
                </c:pt>
                <c:pt idx="444">
                  <c:v>0.29727252451531833</c:v>
                </c:pt>
                <c:pt idx="445">
                  <c:v>4.6171205066265444E-2</c:v>
                </c:pt>
                <c:pt idx="446">
                  <c:v>-5.2738874740297245E-2</c:v>
                </c:pt>
                <c:pt idx="447">
                  <c:v>6.8445644294965635E-2</c:v>
                </c:pt>
                <c:pt idx="448">
                  <c:v>0.43019917485856429</c:v>
                </c:pt>
                <c:pt idx="449">
                  <c:v>0.10919302596516972</c:v>
                </c:pt>
                <c:pt idx="450">
                  <c:v>0.12518864094515278</c:v>
                </c:pt>
                <c:pt idx="451">
                  <c:v>0.23602025935621429</c:v>
                </c:pt>
                <c:pt idx="452">
                  <c:v>0.18957028864429148</c:v>
                </c:pt>
                <c:pt idx="453">
                  <c:v>-2.3692773587365643E-2</c:v>
                </c:pt>
                <c:pt idx="454">
                  <c:v>0.18106302321839371</c:v>
                </c:pt>
                <c:pt idx="455">
                  <c:v>8.4788819090409431E-2</c:v>
                </c:pt>
                <c:pt idx="456">
                  <c:v>7.7857912852795724E-2</c:v>
                </c:pt>
                <c:pt idx="457">
                  <c:v>-0.33663948965811463</c:v>
                </c:pt>
                <c:pt idx="458">
                  <c:v>-5.4051980323367679E-2</c:v>
                </c:pt>
                <c:pt idx="459">
                  <c:v>6.930142337439979E-2</c:v>
                </c:pt>
                <c:pt idx="460">
                  <c:v>-0.12959117788012431</c:v>
                </c:pt>
                <c:pt idx="461">
                  <c:v>-0.33368851308709335</c:v>
                </c:pt>
                <c:pt idx="462">
                  <c:v>0.38216804457176706</c:v>
                </c:pt>
                <c:pt idx="463">
                  <c:v>0.22776502521205386</c:v>
                </c:pt>
                <c:pt idx="464">
                  <c:v>0.27000472444682283</c:v>
                </c:pt>
                <c:pt idx="465">
                  <c:v>-0.33956739619054888</c:v>
                </c:pt>
                <c:pt idx="466">
                  <c:v>-0.16277991081239079</c:v>
                </c:pt>
                <c:pt idx="467">
                  <c:v>-7.0764127344391262E-2</c:v>
                </c:pt>
                <c:pt idx="468">
                  <c:v>0.13040858105193939</c:v>
                </c:pt>
                <c:pt idx="469">
                  <c:v>3.7618662949891163E-2</c:v>
                </c:pt>
                <c:pt idx="470">
                  <c:v>-0.10082350901745087</c:v>
                </c:pt>
                <c:pt idx="471">
                  <c:v>-0.10236565426007056</c:v>
                </c:pt>
                <c:pt idx="472">
                  <c:v>0.29842752382358784</c:v>
                </c:pt>
                <c:pt idx="473">
                  <c:v>0.13410453147220822</c:v>
                </c:pt>
                <c:pt idx="474">
                  <c:v>0.32776245442880814</c:v>
                </c:pt>
                <c:pt idx="475">
                  <c:v>0.25479583477271112</c:v>
                </c:pt>
                <c:pt idx="476">
                  <c:v>-0.11966788473357519</c:v>
                </c:pt>
                <c:pt idx="477">
                  <c:v>0.26810356562023924</c:v>
                </c:pt>
                <c:pt idx="478">
                  <c:v>0.43081209587853253</c:v>
                </c:pt>
                <c:pt idx="479">
                  <c:v>-0.18501418932902874</c:v>
                </c:pt>
                <c:pt idx="480">
                  <c:v>0.17894970548027991</c:v>
                </c:pt>
                <c:pt idx="481">
                  <c:v>2.374190893101942E-2</c:v>
                </c:pt>
                <c:pt idx="482">
                  <c:v>3.0971473327082263E-2</c:v>
                </c:pt>
                <c:pt idx="483">
                  <c:v>-0.2155497493008755</c:v>
                </c:pt>
                <c:pt idx="484">
                  <c:v>7.5660987903611851E-2</c:v>
                </c:pt>
                <c:pt idx="485">
                  <c:v>0.21428456188653766</c:v>
                </c:pt>
                <c:pt idx="486">
                  <c:v>-8.2287542994194204E-2</c:v>
                </c:pt>
                <c:pt idx="487">
                  <c:v>-2.0248174738625627E-2</c:v>
                </c:pt>
                <c:pt idx="488">
                  <c:v>0.23798920375474919</c:v>
                </c:pt>
                <c:pt idx="489">
                  <c:v>-1.8411192388919223E-3</c:v>
                </c:pt>
                <c:pt idx="490">
                  <c:v>0.17666950678397542</c:v>
                </c:pt>
                <c:pt idx="491">
                  <c:v>9.5973708395439533E-2</c:v>
                </c:pt>
                <c:pt idx="492">
                  <c:v>0.27397714558482794</c:v>
                </c:pt>
                <c:pt idx="493">
                  <c:v>0.2026730370138865</c:v>
                </c:pt>
                <c:pt idx="494">
                  <c:v>-1.4126263289323801E-2</c:v>
                </c:pt>
                <c:pt idx="495">
                  <c:v>-9.9648092194913149E-2</c:v>
                </c:pt>
                <c:pt idx="496">
                  <c:v>9.7107099226633492E-2</c:v>
                </c:pt>
                <c:pt idx="497">
                  <c:v>0.26558469221287184</c:v>
                </c:pt>
                <c:pt idx="498">
                  <c:v>-0.17668527259926581</c:v>
                </c:pt>
                <c:pt idx="499">
                  <c:v>0.27906353717515275</c:v>
                </c:pt>
                <c:pt idx="500">
                  <c:v>-4.985920341993845E-2</c:v>
                </c:pt>
                <c:pt idx="501">
                  <c:v>0.49404803660512586</c:v>
                </c:pt>
                <c:pt idx="502">
                  <c:v>0.10259441957273041</c:v>
                </c:pt>
                <c:pt idx="503">
                  <c:v>-3.0429427775683221E-3</c:v>
                </c:pt>
                <c:pt idx="504">
                  <c:v>0.15372748344967124</c:v>
                </c:pt>
                <c:pt idx="505">
                  <c:v>0.14482588731562532</c:v>
                </c:pt>
                <c:pt idx="506">
                  <c:v>0.16194466464342144</c:v>
                </c:pt>
                <c:pt idx="507">
                  <c:v>2.2008424756753311E-2</c:v>
                </c:pt>
                <c:pt idx="508">
                  <c:v>-3.2577050008976663E-2</c:v>
                </c:pt>
                <c:pt idx="509">
                  <c:v>-0.20254867020290446</c:v>
                </c:pt>
                <c:pt idx="510">
                  <c:v>0.21099507908886117</c:v>
                </c:pt>
                <c:pt idx="511">
                  <c:v>-1.3818398921469077E-3</c:v>
                </c:pt>
                <c:pt idx="512">
                  <c:v>0.13888403845449798</c:v>
                </c:pt>
                <c:pt idx="513">
                  <c:v>0.2676666503748783</c:v>
                </c:pt>
                <c:pt idx="514">
                  <c:v>8.8990580194574787E-2</c:v>
                </c:pt>
                <c:pt idx="515">
                  <c:v>0.20788449188495184</c:v>
                </c:pt>
                <c:pt idx="516">
                  <c:v>6.9654269204990266E-2</c:v>
                </c:pt>
                <c:pt idx="517">
                  <c:v>5.9978283096020629E-3</c:v>
                </c:pt>
                <c:pt idx="518">
                  <c:v>7.4614442285346388E-2</c:v>
                </c:pt>
                <c:pt idx="519">
                  <c:v>-1.4974984772698971E-2</c:v>
                </c:pt>
                <c:pt idx="520">
                  <c:v>2.7174632925535541E-2</c:v>
                </c:pt>
                <c:pt idx="521">
                  <c:v>5.448380263541526E-2</c:v>
                </c:pt>
                <c:pt idx="522">
                  <c:v>9.1085042019196705E-2</c:v>
                </c:pt>
                <c:pt idx="523">
                  <c:v>0.23830799511890469</c:v>
                </c:pt>
                <c:pt idx="524">
                  <c:v>0.30215452873607174</c:v>
                </c:pt>
                <c:pt idx="525">
                  <c:v>0.13969505873045732</c:v>
                </c:pt>
                <c:pt idx="526">
                  <c:v>5.3225454512611479E-2</c:v>
                </c:pt>
                <c:pt idx="527">
                  <c:v>0.15050061550945967</c:v>
                </c:pt>
                <c:pt idx="528">
                  <c:v>0.17887027512226639</c:v>
                </c:pt>
                <c:pt idx="529">
                  <c:v>0.27184119179358779</c:v>
                </c:pt>
                <c:pt idx="530">
                  <c:v>-0.17664405853672283</c:v>
                </c:pt>
                <c:pt idx="531">
                  <c:v>-4.7042827581607979E-2</c:v>
                </c:pt>
                <c:pt idx="532">
                  <c:v>0.10824323287520435</c:v>
                </c:pt>
                <c:pt idx="533">
                  <c:v>1.5258713993878611E-2</c:v>
                </c:pt>
                <c:pt idx="534">
                  <c:v>-4.1170342989524364E-2</c:v>
                </c:pt>
                <c:pt idx="535">
                  <c:v>0.114850778879311</c:v>
                </c:pt>
                <c:pt idx="536">
                  <c:v>0.16734853851289777</c:v>
                </c:pt>
                <c:pt idx="537">
                  <c:v>8.3275273317352072E-2</c:v>
                </c:pt>
                <c:pt idx="538">
                  <c:v>0.17284758260325803</c:v>
                </c:pt>
                <c:pt idx="539">
                  <c:v>-0.11980667243450745</c:v>
                </c:pt>
                <c:pt idx="540">
                  <c:v>0.12425954281227419</c:v>
                </c:pt>
                <c:pt idx="541">
                  <c:v>-0.16915957148728822</c:v>
                </c:pt>
                <c:pt idx="542">
                  <c:v>0.12491744137687248</c:v>
                </c:pt>
                <c:pt idx="543">
                  <c:v>0.36140370869204014</c:v>
                </c:pt>
                <c:pt idx="544">
                  <c:v>-7.4833338709014333E-2</c:v>
                </c:pt>
                <c:pt idx="545">
                  <c:v>-0.23951461716206224</c:v>
                </c:pt>
                <c:pt idx="546">
                  <c:v>-7.0285586235339093E-3</c:v>
                </c:pt>
                <c:pt idx="547">
                  <c:v>0.28535918919685832</c:v>
                </c:pt>
                <c:pt idx="548">
                  <c:v>-5.9702821861743749E-3</c:v>
                </c:pt>
                <c:pt idx="549">
                  <c:v>-8.8360681474832434E-2</c:v>
                </c:pt>
                <c:pt idx="550">
                  <c:v>0.18737373204692581</c:v>
                </c:pt>
                <c:pt idx="551">
                  <c:v>-5.2365899706444299E-2</c:v>
                </c:pt>
                <c:pt idx="552">
                  <c:v>0.21081300206689402</c:v>
                </c:pt>
                <c:pt idx="553">
                  <c:v>0.32892663693241625</c:v>
                </c:pt>
                <c:pt idx="554">
                  <c:v>3.7485195840728749E-2</c:v>
                </c:pt>
                <c:pt idx="555">
                  <c:v>5.0766009473319301E-2</c:v>
                </c:pt>
                <c:pt idx="556">
                  <c:v>0.20992496250791914</c:v>
                </c:pt>
                <c:pt idx="557">
                  <c:v>0.14721047892391437</c:v>
                </c:pt>
                <c:pt idx="558">
                  <c:v>-0.17768778746443625</c:v>
                </c:pt>
                <c:pt idx="559">
                  <c:v>0.35905466659439772</c:v>
                </c:pt>
                <c:pt idx="560">
                  <c:v>-0.1156918026974066</c:v>
                </c:pt>
                <c:pt idx="561">
                  <c:v>0.12024396130352397</c:v>
                </c:pt>
                <c:pt idx="562">
                  <c:v>7.2053876465274835E-2</c:v>
                </c:pt>
                <c:pt idx="563">
                  <c:v>0.12441099709305102</c:v>
                </c:pt>
                <c:pt idx="564">
                  <c:v>0.26248919683424599</c:v>
                </c:pt>
                <c:pt idx="565">
                  <c:v>-0.15556591010649651</c:v>
                </c:pt>
                <c:pt idx="566">
                  <c:v>-0.36864718748567715</c:v>
                </c:pt>
                <c:pt idx="567">
                  <c:v>-0.17212749224305862</c:v>
                </c:pt>
                <c:pt idx="568">
                  <c:v>0.14958799315949678</c:v>
                </c:pt>
                <c:pt idx="569">
                  <c:v>0.13178187379462991</c:v>
                </c:pt>
                <c:pt idx="570">
                  <c:v>0.16897217394226685</c:v>
                </c:pt>
                <c:pt idx="571">
                  <c:v>-0.1640812889284311</c:v>
                </c:pt>
                <c:pt idx="572">
                  <c:v>0.17444669334024032</c:v>
                </c:pt>
                <c:pt idx="573">
                  <c:v>0.1058636844192539</c:v>
                </c:pt>
                <c:pt idx="574">
                  <c:v>3.2427587841405828E-2</c:v>
                </c:pt>
                <c:pt idx="575">
                  <c:v>0.31355434070274263</c:v>
                </c:pt>
                <c:pt idx="576">
                  <c:v>-0.29488707540052783</c:v>
                </c:pt>
                <c:pt idx="577">
                  <c:v>4.7977991832822448E-2</c:v>
                </c:pt>
                <c:pt idx="578">
                  <c:v>8.8785026884079521E-3</c:v>
                </c:pt>
                <c:pt idx="579">
                  <c:v>-0.12262859589916507</c:v>
                </c:pt>
                <c:pt idx="580">
                  <c:v>0.15414363179367946</c:v>
                </c:pt>
                <c:pt idx="581">
                  <c:v>0.30384043621584422</c:v>
                </c:pt>
                <c:pt idx="582">
                  <c:v>-0.19773376792816461</c:v>
                </c:pt>
                <c:pt idx="583">
                  <c:v>0.17222127421406205</c:v>
                </c:pt>
                <c:pt idx="584">
                  <c:v>-0.1198364237479171</c:v>
                </c:pt>
                <c:pt idx="585">
                  <c:v>-3.3774981482431174E-2</c:v>
                </c:pt>
                <c:pt idx="586">
                  <c:v>-0.1061476863358931</c:v>
                </c:pt>
                <c:pt idx="587">
                  <c:v>-6.3564068203180127E-2</c:v>
                </c:pt>
                <c:pt idx="588">
                  <c:v>0.36136046619324041</c:v>
                </c:pt>
                <c:pt idx="589">
                  <c:v>0.10368564819333512</c:v>
                </c:pt>
                <c:pt idx="590">
                  <c:v>0.3778019586024518</c:v>
                </c:pt>
                <c:pt idx="591">
                  <c:v>0.19349713983332129</c:v>
                </c:pt>
                <c:pt idx="592">
                  <c:v>0.14738505360629092</c:v>
                </c:pt>
                <c:pt idx="593">
                  <c:v>-6.1186257574749839E-2</c:v>
                </c:pt>
                <c:pt idx="594">
                  <c:v>-1.1097266485611004E-2</c:v>
                </c:pt>
                <c:pt idx="595">
                  <c:v>9.3357079119020525E-2</c:v>
                </c:pt>
                <c:pt idx="596">
                  <c:v>-0.1192061089248355</c:v>
                </c:pt>
                <c:pt idx="597">
                  <c:v>-0.23734739876914024</c:v>
                </c:pt>
                <c:pt idx="598">
                  <c:v>-0.17247225216220213</c:v>
                </c:pt>
                <c:pt idx="599">
                  <c:v>-0.1781164134184885</c:v>
                </c:pt>
                <c:pt idx="600">
                  <c:v>0.20593318215351042</c:v>
                </c:pt>
                <c:pt idx="601">
                  <c:v>0.13937865040629677</c:v>
                </c:pt>
                <c:pt idx="602">
                  <c:v>-0.12445439029116227</c:v>
                </c:pt>
                <c:pt idx="603">
                  <c:v>8.8607599808670695E-2</c:v>
                </c:pt>
                <c:pt idx="604">
                  <c:v>0.48282249161208218</c:v>
                </c:pt>
                <c:pt idx="605">
                  <c:v>-4.6093314741574021E-3</c:v>
                </c:pt>
                <c:pt idx="606">
                  <c:v>0.23456338162164336</c:v>
                </c:pt>
                <c:pt idx="607">
                  <c:v>-0.19783547725058653</c:v>
                </c:pt>
                <c:pt idx="608">
                  <c:v>6.4904996463517078E-2</c:v>
                </c:pt>
                <c:pt idx="609">
                  <c:v>0.30392364215207385</c:v>
                </c:pt>
                <c:pt idx="610">
                  <c:v>-0.1715289341201745</c:v>
                </c:pt>
                <c:pt idx="611">
                  <c:v>0.19681200258905679</c:v>
                </c:pt>
                <c:pt idx="612">
                  <c:v>0.14692965389374085</c:v>
                </c:pt>
                <c:pt idx="613">
                  <c:v>0.23187892331223187</c:v>
                </c:pt>
                <c:pt idx="614">
                  <c:v>2.988428559340818E-2</c:v>
                </c:pt>
                <c:pt idx="615">
                  <c:v>0.339796353471715</c:v>
                </c:pt>
                <c:pt idx="616">
                  <c:v>-0.25721031399460903</c:v>
                </c:pt>
                <c:pt idx="617">
                  <c:v>0.39431170855854758</c:v>
                </c:pt>
                <c:pt idx="618">
                  <c:v>8.7898177169457442E-2</c:v>
                </c:pt>
                <c:pt idx="619">
                  <c:v>0.47453922315789582</c:v>
                </c:pt>
                <c:pt idx="620">
                  <c:v>0.18029161817519362</c:v>
                </c:pt>
                <c:pt idx="621">
                  <c:v>1.7434511545865783E-2</c:v>
                </c:pt>
                <c:pt idx="622">
                  <c:v>0.26498564926925083</c:v>
                </c:pt>
                <c:pt idx="623">
                  <c:v>0.11733240753817838</c:v>
                </c:pt>
                <c:pt idx="624">
                  <c:v>-2.4392001719887105E-2</c:v>
                </c:pt>
                <c:pt idx="625">
                  <c:v>0.19842544061358544</c:v>
                </c:pt>
                <c:pt idx="626">
                  <c:v>0.20784860780745096</c:v>
                </c:pt>
                <c:pt idx="627">
                  <c:v>3.8153868483580003E-2</c:v>
                </c:pt>
                <c:pt idx="628">
                  <c:v>0.17503533069575045</c:v>
                </c:pt>
                <c:pt idx="629">
                  <c:v>2.8140565023642636E-2</c:v>
                </c:pt>
                <c:pt idx="630">
                  <c:v>2.4825424334181251E-2</c:v>
                </c:pt>
                <c:pt idx="631">
                  <c:v>0.44586779852545683</c:v>
                </c:pt>
                <c:pt idx="632">
                  <c:v>0.3248605593386924</c:v>
                </c:pt>
                <c:pt idx="633">
                  <c:v>4.6141517738103585E-2</c:v>
                </c:pt>
                <c:pt idx="634">
                  <c:v>-1.5080344090083395E-2</c:v>
                </c:pt>
                <c:pt idx="635">
                  <c:v>0.41278532429610021</c:v>
                </c:pt>
                <c:pt idx="636">
                  <c:v>0.22011819894778856</c:v>
                </c:pt>
                <c:pt idx="637">
                  <c:v>9.2292345767972933E-2</c:v>
                </c:pt>
                <c:pt idx="638">
                  <c:v>-7.1791137541985253E-2</c:v>
                </c:pt>
                <c:pt idx="639">
                  <c:v>-0.13099714981317073</c:v>
                </c:pt>
                <c:pt idx="640">
                  <c:v>3.6827127811014507E-2</c:v>
                </c:pt>
                <c:pt idx="641">
                  <c:v>-9.4755327622026722E-2</c:v>
                </c:pt>
                <c:pt idx="642">
                  <c:v>0.13639935759010297</c:v>
                </c:pt>
                <c:pt idx="643">
                  <c:v>-0.24864806025472669</c:v>
                </c:pt>
                <c:pt idx="644">
                  <c:v>0.38128587442318113</c:v>
                </c:pt>
                <c:pt idx="645">
                  <c:v>0.18329971457999783</c:v>
                </c:pt>
                <c:pt idx="646">
                  <c:v>0.13947143840910273</c:v>
                </c:pt>
                <c:pt idx="647">
                  <c:v>8.1667496478893098E-2</c:v>
                </c:pt>
                <c:pt idx="648">
                  <c:v>3.7671349785081326E-2</c:v>
                </c:pt>
                <c:pt idx="649">
                  <c:v>-0.18376731109386107</c:v>
                </c:pt>
                <c:pt idx="650">
                  <c:v>-3.7304421905582322E-2</c:v>
                </c:pt>
                <c:pt idx="651">
                  <c:v>0.11910527354500046</c:v>
                </c:pt>
                <c:pt idx="652">
                  <c:v>0.23595612394527646</c:v>
                </c:pt>
                <c:pt idx="653">
                  <c:v>4.4708070407138117E-2</c:v>
                </c:pt>
                <c:pt idx="654">
                  <c:v>0.10859705515676929</c:v>
                </c:pt>
                <c:pt idx="655">
                  <c:v>0.21755915079627675</c:v>
                </c:pt>
                <c:pt idx="656">
                  <c:v>-2.8175703654244946E-2</c:v>
                </c:pt>
                <c:pt idx="657">
                  <c:v>0.1523185982647163</c:v>
                </c:pt>
                <c:pt idx="658">
                  <c:v>-8.1122230278840343E-2</c:v>
                </c:pt>
                <c:pt idx="659">
                  <c:v>0.15091265783654942</c:v>
                </c:pt>
                <c:pt idx="660">
                  <c:v>0.68199282560799179</c:v>
                </c:pt>
                <c:pt idx="661">
                  <c:v>-5.590615882616197E-2</c:v>
                </c:pt>
                <c:pt idx="662">
                  <c:v>5.2804010764448718E-2</c:v>
                </c:pt>
                <c:pt idx="663">
                  <c:v>-1.0993148957713958E-2</c:v>
                </c:pt>
                <c:pt idx="664">
                  <c:v>0.15456464606113707</c:v>
                </c:pt>
                <c:pt idx="665">
                  <c:v>0.16116248153332036</c:v>
                </c:pt>
                <c:pt idx="666">
                  <c:v>5.8066196241043325E-2</c:v>
                </c:pt>
                <c:pt idx="667">
                  <c:v>0.27861776125890608</c:v>
                </c:pt>
                <c:pt idx="668">
                  <c:v>0.30557626512602604</c:v>
                </c:pt>
                <c:pt idx="669">
                  <c:v>0.19408179251640012</c:v>
                </c:pt>
                <c:pt idx="670">
                  <c:v>4.4408761977422523E-2</c:v>
                </c:pt>
                <c:pt idx="671">
                  <c:v>0.48745289700076755</c:v>
                </c:pt>
                <c:pt idx="672">
                  <c:v>0.21754638453626279</c:v>
                </c:pt>
                <c:pt idx="673">
                  <c:v>-0.30746120272664629</c:v>
                </c:pt>
                <c:pt idx="674">
                  <c:v>-0.3770465681062552</c:v>
                </c:pt>
                <c:pt idx="675">
                  <c:v>-0.1338907929708017</c:v>
                </c:pt>
                <c:pt idx="676">
                  <c:v>0.13812258385878828</c:v>
                </c:pt>
                <c:pt idx="677">
                  <c:v>0.30852576609890758</c:v>
                </c:pt>
                <c:pt idx="678">
                  <c:v>-8.0003298528916786E-2</c:v>
                </c:pt>
                <c:pt idx="679">
                  <c:v>0.49869009002044468</c:v>
                </c:pt>
                <c:pt idx="680">
                  <c:v>0.58442672803772078</c:v>
                </c:pt>
                <c:pt idx="681">
                  <c:v>8.4285211041371169E-2</c:v>
                </c:pt>
                <c:pt idx="682">
                  <c:v>3.710236548645196E-2</c:v>
                </c:pt>
                <c:pt idx="683">
                  <c:v>4.0501742615421832E-2</c:v>
                </c:pt>
                <c:pt idx="684">
                  <c:v>-0.23060260421315726</c:v>
                </c:pt>
                <c:pt idx="685">
                  <c:v>-0.13345360607734053</c:v>
                </c:pt>
                <c:pt idx="686">
                  <c:v>0.17017796124509296</c:v>
                </c:pt>
                <c:pt idx="687">
                  <c:v>0.18202983740271006</c:v>
                </c:pt>
                <c:pt idx="688">
                  <c:v>1.1277637990842054E-3</c:v>
                </c:pt>
                <c:pt idx="689">
                  <c:v>0.19976081732905471</c:v>
                </c:pt>
                <c:pt idx="690">
                  <c:v>8.9106492584201558E-2</c:v>
                </c:pt>
                <c:pt idx="691">
                  <c:v>0.42850105345939138</c:v>
                </c:pt>
                <c:pt idx="692">
                  <c:v>0.23450563392223983</c:v>
                </c:pt>
                <c:pt idx="693">
                  <c:v>0.14731428863965532</c:v>
                </c:pt>
                <c:pt idx="694">
                  <c:v>9.7143801262585913E-2</c:v>
                </c:pt>
                <c:pt idx="695">
                  <c:v>-4.3294035528387162E-2</c:v>
                </c:pt>
                <c:pt idx="696">
                  <c:v>-4.571208379067028E-2</c:v>
                </c:pt>
                <c:pt idx="697">
                  <c:v>1.9692946887780297E-2</c:v>
                </c:pt>
                <c:pt idx="698">
                  <c:v>-0.34230422049350123</c:v>
                </c:pt>
                <c:pt idx="699">
                  <c:v>8.5412065977079538E-2</c:v>
                </c:pt>
                <c:pt idx="700">
                  <c:v>0.34772332757268992</c:v>
                </c:pt>
                <c:pt idx="701">
                  <c:v>0.20170128991347136</c:v>
                </c:pt>
                <c:pt idx="702">
                  <c:v>-7.7160848413296443E-2</c:v>
                </c:pt>
                <c:pt idx="703">
                  <c:v>0.35914745457075697</c:v>
                </c:pt>
                <c:pt idx="704">
                  <c:v>0.1485275275851779</c:v>
                </c:pt>
                <c:pt idx="705">
                  <c:v>3.5491060073109079E-2</c:v>
                </c:pt>
                <c:pt idx="706">
                  <c:v>9.6144457473354566E-2</c:v>
                </c:pt>
                <c:pt idx="707">
                  <c:v>0.24546418007177123</c:v>
                </c:pt>
                <c:pt idx="708">
                  <c:v>-0.3059233246474925</c:v>
                </c:pt>
                <c:pt idx="709">
                  <c:v>-0.11404125529607904</c:v>
                </c:pt>
                <c:pt idx="710">
                  <c:v>-1.1133345319260746E-2</c:v>
                </c:pt>
                <c:pt idx="711">
                  <c:v>0.15578988950584052</c:v>
                </c:pt>
                <c:pt idx="712">
                  <c:v>0.24338709977912149</c:v>
                </c:pt>
                <c:pt idx="713">
                  <c:v>0.31114854115436186</c:v>
                </c:pt>
                <c:pt idx="714">
                  <c:v>9.0099043651385394E-2</c:v>
                </c:pt>
                <c:pt idx="715">
                  <c:v>0.3116863870791638</c:v>
                </c:pt>
                <c:pt idx="716">
                  <c:v>2.7397153133624022E-2</c:v>
                </c:pt>
                <c:pt idx="717">
                  <c:v>0.15266345374361631</c:v>
                </c:pt>
                <c:pt idx="718">
                  <c:v>3.751106212466486E-2</c:v>
                </c:pt>
                <c:pt idx="719">
                  <c:v>0.31374673926546115</c:v>
                </c:pt>
                <c:pt idx="720">
                  <c:v>0.10932406322053785</c:v>
                </c:pt>
                <c:pt idx="721">
                  <c:v>-4.2502257861387269E-2</c:v>
                </c:pt>
                <c:pt idx="722">
                  <c:v>0.14051060774344654</c:v>
                </c:pt>
                <c:pt idx="723">
                  <c:v>-8.8957953273126333E-4</c:v>
                </c:pt>
                <c:pt idx="724">
                  <c:v>-0.12749999296655024</c:v>
                </c:pt>
                <c:pt idx="725">
                  <c:v>0.32719329384182516</c:v>
                </c:pt>
                <c:pt idx="726">
                  <c:v>0.17568025034093665</c:v>
                </c:pt>
                <c:pt idx="727">
                  <c:v>0.14613467914978451</c:v>
                </c:pt>
                <c:pt idx="728">
                  <c:v>0.21790332359122805</c:v>
                </c:pt>
                <c:pt idx="729">
                  <c:v>0.11543146438058266</c:v>
                </c:pt>
                <c:pt idx="730">
                  <c:v>0.10048277859500131</c:v>
                </c:pt>
                <c:pt idx="731">
                  <c:v>0.14092659701241333</c:v>
                </c:pt>
                <c:pt idx="732">
                  <c:v>0.11939884179664843</c:v>
                </c:pt>
                <c:pt idx="733">
                  <c:v>0.13516750501106248</c:v>
                </c:pt>
                <c:pt idx="734">
                  <c:v>0.39188611742482343</c:v>
                </c:pt>
                <c:pt idx="735">
                  <c:v>1.0603963711993555E-2</c:v>
                </c:pt>
                <c:pt idx="736">
                  <c:v>0.29777903433740133</c:v>
                </c:pt>
                <c:pt idx="737">
                  <c:v>0.23260853605893947</c:v>
                </c:pt>
                <c:pt idx="738">
                  <c:v>-0.17490989141276142</c:v>
                </c:pt>
                <c:pt idx="739">
                  <c:v>0.41223806885108411</c:v>
                </c:pt>
                <c:pt idx="740">
                  <c:v>0.25946033924028428</c:v>
                </c:pt>
                <c:pt idx="741">
                  <c:v>0.22215365166346437</c:v>
                </c:pt>
                <c:pt idx="742">
                  <c:v>0.39193404808893884</c:v>
                </c:pt>
                <c:pt idx="743">
                  <c:v>-6.1856779293519057E-2</c:v>
                </c:pt>
                <c:pt idx="744">
                  <c:v>0.11584207280504714</c:v>
                </c:pt>
                <c:pt idx="745">
                  <c:v>0.11716530816834744</c:v>
                </c:pt>
                <c:pt idx="746">
                  <c:v>0.22427684420885907</c:v>
                </c:pt>
                <c:pt idx="747">
                  <c:v>0.15577769871187533</c:v>
                </c:pt>
                <c:pt idx="748">
                  <c:v>0.24718356070935243</c:v>
                </c:pt>
                <c:pt idx="749">
                  <c:v>-0.16672075362111877</c:v>
                </c:pt>
                <c:pt idx="750">
                  <c:v>-0.10884775661895209</c:v>
                </c:pt>
                <c:pt idx="751">
                  <c:v>0.10142230722155095</c:v>
                </c:pt>
                <c:pt idx="752">
                  <c:v>0.28229560596060338</c:v>
                </c:pt>
                <c:pt idx="753">
                  <c:v>0.52680473321376076</c:v>
                </c:pt>
                <c:pt idx="754">
                  <c:v>0.12079572320949131</c:v>
                </c:pt>
                <c:pt idx="755">
                  <c:v>0.15500904117307376</c:v>
                </c:pt>
                <c:pt idx="756">
                  <c:v>0.11096274000773242</c:v>
                </c:pt>
                <c:pt idx="757">
                  <c:v>0.34351960677793808</c:v>
                </c:pt>
                <c:pt idx="758">
                  <c:v>0.27816723287473466</c:v>
                </c:pt>
                <c:pt idx="759">
                  <c:v>0.17537700166840869</c:v>
                </c:pt>
                <c:pt idx="760">
                  <c:v>5.4596998546011168E-2</c:v>
                </c:pt>
                <c:pt idx="761">
                  <c:v>0.14432847829524156</c:v>
                </c:pt>
                <c:pt idx="762">
                  <c:v>-0.18863249570004198</c:v>
                </c:pt>
                <c:pt idx="763">
                  <c:v>0.40405011392953494</c:v>
                </c:pt>
                <c:pt idx="764">
                  <c:v>0.13236320004960866</c:v>
                </c:pt>
                <c:pt idx="765">
                  <c:v>0.11122768137253305</c:v>
                </c:pt>
                <c:pt idx="766">
                  <c:v>0.39918647083583847</c:v>
                </c:pt>
                <c:pt idx="767">
                  <c:v>-0.14292077342841514</c:v>
                </c:pt>
                <c:pt idx="768">
                  <c:v>4.9026008703962523E-2</c:v>
                </c:pt>
                <c:pt idx="769">
                  <c:v>8.5210506290272658E-2</c:v>
                </c:pt>
                <c:pt idx="770">
                  <c:v>0.23028879811467529</c:v>
                </c:pt>
                <c:pt idx="771">
                  <c:v>0.29567086998086739</c:v>
                </c:pt>
                <c:pt idx="772">
                  <c:v>0.47359945010552046</c:v>
                </c:pt>
                <c:pt idx="773">
                  <c:v>0.23673148350878989</c:v>
                </c:pt>
                <c:pt idx="774">
                  <c:v>0.11735135395691972</c:v>
                </c:pt>
                <c:pt idx="775">
                  <c:v>0.21068702107575876</c:v>
                </c:pt>
                <c:pt idx="776">
                  <c:v>0.31481230909051183</c:v>
                </c:pt>
                <c:pt idx="777">
                  <c:v>0.2619859235682267</c:v>
                </c:pt>
                <c:pt idx="778">
                  <c:v>-2.4105056412689438E-2</c:v>
                </c:pt>
                <c:pt idx="779">
                  <c:v>-9.7859739397385057E-2</c:v>
                </c:pt>
                <c:pt idx="780">
                  <c:v>0.21553145395321471</c:v>
                </c:pt>
                <c:pt idx="781">
                  <c:v>0.21260051510091049</c:v>
                </c:pt>
                <c:pt idx="782">
                  <c:v>0.26799067882057204</c:v>
                </c:pt>
                <c:pt idx="783">
                  <c:v>0.14400837736355784</c:v>
                </c:pt>
                <c:pt idx="784">
                  <c:v>0.26232125731359962</c:v>
                </c:pt>
                <c:pt idx="785">
                  <c:v>0.32381877715010421</c:v>
                </c:pt>
                <c:pt idx="786">
                  <c:v>-3.0884783810737934E-2</c:v>
                </c:pt>
                <c:pt idx="787">
                  <c:v>0.3955950605346964</c:v>
                </c:pt>
                <c:pt idx="788">
                  <c:v>0.12815873267590475</c:v>
                </c:pt>
                <c:pt idx="789">
                  <c:v>-2.5446840829609033E-2</c:v>
                </c:pt>
                <c:pt idx="790">
                  <c:v>0.25687733890416148</c:v>
                </c:pt>
                <c:pt idx="791">
                  <c:v>-0.10754256135441355</c:v>
                </c:pt>
                <c:pt idx="792">
                  <c:v>3.2478051561721774E-2</c:v>
                </c:pt>
                <c:pt idx="793">
                  <c:v>-4.7327316829383057E-2</c:v>
                </c:pt>
                <c:pt idx="794">
                  <c:v>-5.8415557558654199E-2</c:v>
                </c:pt>
                <c:pt idx="795">
                  <c:v>0.28990172861333469</c:v>
                </c:pt>
                <c:pt idx="796">
                  <c:v>8.4493782531918971E-2</c:v>
                </c:pt>
                <c:pt idx="797">
                  <c:v>8.696923722525772E-2</c:v>
                </c:pt>
                <c:pt idx="798">
                  <c:v>0.16947621575110769</c:v>
                </c:pt>
                <c:pt idx="799">
                  <c:v>0.25089519204445787</c:v>
                </c:pt>
                <c:pt idx="800">
                  <c:v>-0.24153529110126293</c:v>
                </c:pt>
                <c:pt idx="801">
                  <c:v>0.1805494063578244</c:v>
                </c:pt>
                <c:pt idx="802">
                  <c:v>0.38363757634130546</c:v>
                </c:pt>
                <c:pt idx="803">
                  <c:v>0.29032000289850668</c:v>
                </c:pt>
                <c:pt idx="804">
                  <c:v>0.31627070623833192</c:v>
                </c:pt>
                <c:pt idx="805">
                  <c:v>0.11387797076624002</c:v>
                </c:pt>
                <c:pt idx="806">
                  <c:v>0.10837592205701203</c:v>
                </c:pt>
                <c:pt idx="807">
                  <c:v>7.9641324168638422E-2</c:v>
                </c:pt>
                <c:pt idx="808">
                  <c:v>-4.7505100336913811E-2</c:v>
                </c:pt>
                <c:pt idx="809">
                  <c:v>-6.0999849473638831E-2</c:v>
                </c:pt>
                <c:pt idx="810">
                  <c:v>0.25637691224343528</c:v>
                </c:pt>
                <c:pt idx="811">
                  <c:v>0.20542253782363618</c:v>
                </c:pt>
                <c:pt idx="812">
                  <c:v>0.26021497470317301</c:v>
                </c:pt>
                <c:pt idx="813">
                  <c:v>0.23651697814930897</c:v>
                </c:pt>
                <c:pt idx="814">
                  <c:v>0.13562070021865102</c:v>
                </c:pt>
                <c:pt idx="815">
                  <c:v>-5.7850275932623305E-2</c:v>
                </c:pt>
                <c:pt idx="816">
                  <c:v>0.19276848826201282</c:v>
                </c:pt>
                <c:pt idx="817">
                  <c:v>3.6507108102127442E-2</c:v>
                </c:pt>
                <c:pt idx="818">
                  <c:v>3.5031086210154078E-2</c:v>
                </c:pt>
                <c:pt idx="819">
                  <c:v>0.10762270641780715</c:v>
                </c:pt>
                <c:pt idx="820">
                  <c:v>0.30477443205220117</c:v>
                </c:pt>
                <c:pt idx="821">
                  <c:v>-0.31182752727641544</c:v>
                </c:pt>
                <c:pt idx="822">
                  <c:v>0.17916119765678273</c:v>
                </c:pt>
                <c:pt idx="823">
                  <c:v>-2.5724502413805514E-2</c:v>
                </c:pt>
                <c:pt idx="824">
                  <c:v>-0.20139966939276394</c:v>
                </c:pt>
                <c:pt idx="825">
                  <c:v>0.25996354862715204</c:v>
                </c:pt>
                <c:pt idx="826">
                  <c:v>0.10024324791623333</c:v>
                </c:pt>
                <c:pt idx="827">
                  <c:v>-2.7829551888043078E-2</c:v>
                </c:pt>
                <c:pt idx="828">
                  <c:v>-0.1119037122124822</c:v>
                </c:pt>
                <c:pt idx="829">
                  <c:v>3.4268604926382951E-2</c:v>
                </c:pt>
                <c:pt idx="830">
                  <c:v>4.2568720709816307E-2</c:v>
                </c:pt>
                <c:pt idx="831">
                  <c:v>0.17577926535266195</c:v>
                </c:pt>
                <c:pt idx="832">
                  <c:v>0.21342406555980081</c:v>
                </c:pt>
                <c:pt idx="833">
                  <c:v>0.12648697539812689</c:v>
                </c:pt>
                <c:pt idx="834">
                  <c:v>0.3081206694353279</c:v>
                </c:pt>
                <c:pt idx="835">
                  <c:v>0.42245259579713518</c:v>
                </c:pt>
                <c:pt idx="836">
                  <c:v>0.15952008727224543</c:v>
                </c:pt>
                <c:pt idx="837">
                  <c:v>7.9728331838678335E-2</c:v>
                </c:pt>
                <c:pt idx="838">
                  <c:v>0.11625101344565199</c:v>
                </c:pt>
                <c:pt idx="839">
                  <c:v>5.587626450406423E-2</c:v>
                </c:pt>
                <c:pt idx="840">
                  <c:v>-2.6603455854257066E-2</c:v>
                </c:pt>
                <c:pt idx="841">
                  <c:v>-3.8677338098516742E-2</c:v>
                </c:pt>
                <c:pt idx="842">
                  <c:v>0.15155628134844329</c:v>
                </c:pt>
                <c:pt idx="843">
                  <c:v>0.36284084242274733</c:v>
                </c:pt>
                <c:pt idx="844">
                  <c:v>3.393368549978544E-2</c:v>
                </c:pt>
                <c:pt idx="845">
                  <c:v>2.5877332522756438E-2</c:v>
                </c:pt>
                <c:pt idx="846">
                  <c:v>3.2216014884340186E-2</c:v>
                </c:pt>
                <c:pt idx="847">
                  <c:v>0.25050756849232397</c:v>
                </c:pt>
                <c:pt idx="848">
                  <c:v>0.3301234016880889</c:v>
                </c:pt>
                <c:pt idx="849">
                  <c:v>0.11640948084723762</c:v>
                </c:pt>
                <c:pt idx="850">
                  <c:v>-2.7309715736999959E-2</c:v>
                </c:pt>
                <c:pt idx="851">
                  <c:v>0.30181143354610057</c:v>
                </c:pt>
                <c:pt idx="852">
                  <c:v>0.26554010297332181</c:v>
                </c:pt>
                <c:pt idx="853">
                  <c:v>0.15458812617427165</c:v>
                </c:pt>
                <c:pt idx="854">
                  <c:v>0.37962855058550354</c:v>
                </c:pt>
                <c:pt idx="855">
                  <c:v>0.21367965590234395</c:v>
                </c:pt>
                <c:pt idx="856">
                  <c:v>-0.10039263916013953</c:v>
                </c:pt>
                <c:pt idx="857">
                  <c:v>-5.6307838521087131E-2</c:v>
                </c:pt>
                <c:pt idx="858">
                  <c:v>0.24830429654306296</c:v>
                </c:pt>
                <c:pt idx="859">
                  <c:v>0.20342440543203422</c:v>
                </c:pt>
                <c:pt idx="860">
                  <c:v>8.2642545795921091E-2</c:v>
                </c:pt>
                <c:pt idx="861">
                  <c:v>5.9139519021254652E-2</c:v>
                </c:pt>
                <c:pt idx="862">
                  <c:v>0.21162342852746241</c:v>
                </c:pt>
                <c:pt idx="863">
                  <c:v>9.5177151065306276E-2</c:v>
                </c:pt>
                <c:pt idx="864">
                  <c:v>3.38658835472197E-2</c:v>
                </c:pt>
                <c:pt idx="865">
                  <c:v>0.14062700868645064</c:v>
                </c:pt>
                <c:pt idx="866">
                  <c:v>0.18491563761512272</c:v>
                </c:pt>
                <c:pt idx="867">
                  <c:v>0.10180529573873269</c:v>
                </c:pt>
                <c:pt idx="868">
                  <c:v>0.45405635692898039</c:v>
                </c:pt>
                <c:pt idx="869">
                  <c:v>-1.2664164237607564E-2</c:v>
                </c:pt>
                <c:pt idx="870">
                  <c:v>-7.7459373270377538E-2</c:v>
                </c:pt>
                <c:pt idx="871">
                  <c:v>0.2829702108916457</c:v>
                </c:pt>
                <c:pt idx="872">
                  <c:v>-0.11178251166471599</c:v>
                </c:pt>
                <c:pt idx="873">
                  <c:v>0.22612709245227519</c:v>
                </c:pt>
                <c:pt idx="874">
                  <c:v>0.43291023975938553</c:v>
                </c:pt>
                <c:pt idx="875">
                  <c:v>-8.2016693808798738E-2</c:v>
                </c:pt>
                <c:pt idx="876">
                  <c:v>0.17675761381839145</c:v>
                </c:pt>
                <c:pt idx="877">
                  <c:v>0.20407570333674721</c:v>
                </c:pt>
                <c:pt idx="878">
                  <c:v>0.4147074335504452</c:v>
                </c:pt>
                <c:pt idx="879">
                  <c:v>0.28060748235084876</c:v>
                </c:pt>
                <c:pt idx="880">
                  <c:v>0.24367432056801869</c:v>
                </c:pt>
                <c:pt idx="881">
                  <c:v>-5.0501598258971547E-3</c:v>
                </c:pt>
                <c:pt idx="882">
                  <c:v>0.31280449028475465</c:v>
                </c:pt>
                <c:pt idx="883">
                  <c:v>0.13939412570751353</c:v>
                </c:pt>
                <c:pt idx="884">
                  <c:v>0.14862310846728641</c:v>
                </c:pt>
                <c:pt idx="885">
                  <c:v>0.16903846307537457</c:v>
                </c:pt>
                <c:pt idx="886">
                  <c:v>0.49817684954931912</c:v>
                </c:pt>
                <c:pt idx="887">
                  <c:v>-5.4351947163467709E-2</c:v>
                </c:pt>
                <c:pt idx="888">
                  <c:v>0.22687010171719563</c:v>
                </c:pt>
                <c:pt idx="889">
                  <c:v>0.20023743886814338</c:v>
                </c:pt>
                <c:pt idx="890">
                  <c:v>0.17944370331031073</c:v>
                </c:pt>
                <c:pt idx="891">
                  <c:v>9.9380693758152061E-3</c:v>
                </c:pt>
                <c:pt idx="892">
                  <c:v>-4.0759217207192541E-2</c:v>
                </c:pt>
                <c:pt idx="893">
                  <c:v>0.38114980274124177</c:v>
                </c:pt>
                <c:pt idx="894">
                  <c:v>0.33603595066202885</c:v>
                </c:pt>
                <c:pt idx="895">
                  <c:v>1.4474269190070471E-2</c:v>
                </c:pt>
                <c:pt idx="896">
                  <c:v>-3.1688902162284052E-2</c:v>
                </c:pt>
                <c:pt idx="897">
                  <c:v>-6.7402575761367212E-3</c:v>
                </c:pt>
                <c:pt idx="898">
                  <c:v>0.30183190114657948</c:v>
                </c:pt>
                <c:pt idx="899">
                  <c:v>-0.12446279664383382</c:v>
                </c:pt>
                <c:pt idx="900">
                  <c:v>0.34228575358158403</c:v>
                </c:pt>
                <c:pt idx="901">
                  <c:v>0.11462782513344609</c:v>
                </c:pt>
                <c:pt idx="902">
                  <c:v>-0.18365370766895212</c:v>
                </c:pt>
                <c:pt idx="903">
                  <c:v>0.40249179607683566</c:v>
                </c:pt>
                <c:pt idx="904">
                  <c:v>0.4486016001776042</c:v>
                </c:pt>
                <c:pt idx="905">
                  <c:v>1.9728526054883913E-2</c:v>
                </c:pt>
                <c:pt idx="906">
                  <c:v>0.46730931499821604</c:v>
                </c:pt>
                <c:pt idx="907">
                  <c:v>0.14777208626528607</c:v>
                </c:pt>
                <c:pt idx="908">
                  <c:v>0.26109412387603814</c:v>
                </c:pt>
                <c:pt idx="909">
                  <c:v>0.48845590579935932</c:v>
                </c:pt>
                <c:pt idx="910">
                  <c:v>5.7764725594469643E-2</c:v>
                </c:pt>
                <c:pt idx="911">
                  <c:v>0.10632446055182082</c:v>
                </c:pt>
                <c:pt idx="912">
                  <c:v>0.21597855607718985</c:v>
                </c:pt>
                <c:pt idx="913">
                  <c:v>0.28356920597309604</c:v>
                </c:pt>
                <c:pt idx="914">
                  <c:v>5.5394491444803427E-2</c:v>
                </c:pt>
                <c:pt idx="915">
                  <c:v>0.30723563202029036</c:v>
                </c:pt>
                <c:pt idx="916">
                  <c:v>9.675733987684941E-2</c:v>
                </c:pt>
                <c:pt idx="917">
                  <c:v>0.18641967454171163</c:v>
                </c:pt>
                <c:pt idx="918">
                  <c:v>-0.19980357635830753</c:v>
                </c:pt>
                <c:pt idx="919">
                  <c:v>-5.1552983247663317E-2</c:v>
                </c:pt>
                <c:pt idx="920">
                  <c:v>0.23598574076730172</c:v>
                </c:pt>
                <c:pt idx="921">
                  <c:v>0.15255791612713429</c:v>
                </c:pt>
                <c:pt idx="922">
                  <c:v>0.35324050075125535</c:v>
                </c:pt>
                <c:pt idx="923">
                  <c:v>0.29042519148881912</c:v>
                </c:pt>
                <c:pt idx="924">
                  <c:v>-3.6435151542817221E-2</c:v>
                </c:pt>
                <c:pt idx="925">
                  <c:v>0.21013516136731608</c:v>
                </c:pt>
                <c:pt idx="926">
                  <c:v>-0.17191691774166906</c:v>
                </c:pt>
                <c:pt idx="927">
                  <c:v>-2.9791589360802354E-2</c:v>
                </c:pt>
                <c:pt idx="928">
                  <c:v>-6.8116367442113676E-2</c:v>
                </c:pt>
                <c:pt idx="929">
                  <c:v>0.18159007063569799</c:v>
                </c:pt>
                <c:pt idx="930">
                  <c:v>0.23139154265878448</c:v>
                </c:pt>
                <c:pt idx="931">
                  <c:v>0.27997770804868849</c:v>
                </c:pt>
                <c:pt idx="932">
                  <c:v>-0.1321792873164564</c:v>
                </c:pt>
                <c:pt idx="933">
                  <c:v>8.3661483101974049E-2</c:v>
                </c:pt>
                <c:pt idx="934">
                  <c:v>0.27265637510810647</c:v>
                </c:pt>
                <c:pt idx="935">
                  <c:v>0.35423994326752156</c:v>
                </c:pt>
                <c:pt idx="936">
                  <c:v>0.18252083003553971</c:v>
                </c:pt>
                <c:pt idx="937">
                  <c:v>-0.24484264681102119</c:v>
                </c:pt>
                <c:pt idx="938">
                  <c:v>0.16242942294049406</c:v>
                </c:pt>
                <c:pt idx="939">
                  <c:v>6.8655609910758447E-2</c:v>
                </c:pt>
                <c:pt idx="940">
                  <c:v>0.19288331154001825</c:v>
                </c:pt>
                <c:pt idx="941">
                  <c:v>6.1475916754970508E-2</c:v>
                </c:pt>
                <c:pt idx="942">
                  <c:v>2.5623478500673508E-2</c:v>
                </c:pt>
                <c:pt idx="943">
                  <c:v>0.33609535469806229</c:v>
                </c:pt>
                <c:pt idx="944">
                  <c:v>3.7828469406443008E-2</c:v>
                </c:pt>
                <c:pt idx="945">
                  <c:v>3.2447253932253325E-2</c:v>
                </c:pt>
                <c:pt idx="946">
                  <c:v>0.20660240892750414</c:v>
                </c:pt>
                <c:pt idx="947">
                  <c:v>-1.5110181678443385E-3</c:v>
                </c:pt>
                <c:pt idx="948">
                  <c:v>0.39650722899489649</c:v>
                </c:pt>
                <c:pt idx="949">
                  <c:v>0.17327683196729671</c:v>
                </c:pt>
                <c:pt idx="950">
                  <c:v>-5.4900034586820023E-3</c:v>
                </c:pt>
                <c:pt idx="951">
                  <c:v>0.26304664987220799</c:v>
                </c:pt>
                <c:pt idx="952">
                  <c:v>9.7238860941579186E-3</c:v>
                </c:pt>
                <c:pt idx="953">
                  <c:v>-2.9478795960857548E-2</c:v>
                </c:pt>
                <c:pt idx="954">
                  <c:v>0.19977753815821575</c:v>
                </c:pt>
                <c:pt idx="955">
                  <c:v>-1.0551444344546621E-2</c:v>
                </c:pt>
                <c:pt idx="956">
                  <c:v>3.833209265946981E-2</c:v>
                </c:pt>
                <c:pt idx="957">
                  <c:v>8.5507527250421669E-2</c:v>
                </c:pt>
                <c:pt idx="958">
                  <c:v>0.18670219031505575</c:v>
                </c:pt>
                <c:pt idx="959">
                  <c:v>-4.3398764698634948E-2</c:v>
                </c:pt>
                <c:pt idx="960">
                  <c:v>0.19013977783558561</c:v>
                </c:pt>
                <c:pt idx="961">
                  <c:v>0.37655240855992561</c:v>
                </c:pt>
                <c:pt idx="962">
                  <c:v>-7.9304466008635624E-2</c:v>
                </c:pt>
                <c:pt idx="963">
                  <c:v>0.28677260333426607</c:v>
                </c:pt>
                <c:pt idx="964">
                  <c:v>0.2398406437207844</c:v>
                </c:pt>
                <c:pt idx="965">
                  <c:v>1.1675094316982507E-2</c:v>
                </c:pt>
                <c:pt idx="966">
                  <c:v>0.21491373445320375</c:v>
                </c:pt>
                <c:pt idx="967">
                  <c:v>-3.8023618784074134E-2</c:v>
                </c:pt>
                <c:pt idx="968">
                  <c:v>-7.1863107134942372E-4</c:v>
                </c:pt>
                <c:pt idx="969">
                  <c:v>-0.12865011974784868</c:v>
                </c:pt>
                <c:pt idx="970">
                  <c:v>-9.5693489923048672E-2</c:v>
                </c:pt>
                <c:pt idx="971">
                  <c:v>0.39104456449077452</c:v>
                </c:pt>
                <c:pt idx="972">
                  <c:v>8.5813887602194605E-2</c:v>
                </c:pt>
                <c:pt idx="973">
                  <c:v>-0.20448375605348412</c:v>
                </c:pt>
                <c:pt idx="974">
                  <c:v>0.16107079848308098</c:v>
                </c:pt>
                <c:pt idx="975">
                  <c:v>0.2730858495911907</c:v>
                </c:pt>
                <c:pt idx="976">
                  <c:v>0.29526718720499173</c:v>
                </c:pt>
                <c:pt idx="977">
                  <c:v>-4.80101558391062E-3</c:v>
                </c:pt>
                <c:pt idx="978">
                  <c:v>-1.0138850433623017E-2</c:v>
                </c:pt>
                <c:pt idx="979">
                  <c:v>0.13614036734439083</c:v>
                </c:pt>
                <c:pt idx="980">
                  <c:v>3.7122359894176199E-2</c:v>
                </c:pt>
                <c:pt idx="981">
                  <c:v>-5.1559082183939745E-2</c:v>
                </c:pt>
                <c:pt idx="982">
                  <c:v>5.2430391556527185E-2</c:v>
                </c:pt>
                <c:pt idx="983">
                  <c:v>-0.11856900949199996</c:v>
                </c:pt>
                <c:pt idx="984">
                  <c:v>3.3545189304960671E-2</c:v>
                </c:pt>
                <c:pt idx="985">
                  <c:v>0.25644193279397753</c:v>
                </c:pt>
                <c:pt idx="986">
                  <c:v>0.22714018486879461</c:v>
                </c:pt>
                <c:pt idx="987">
                  <c:v>1.0152748637881778E-2</c:v>
                </c:pt>
                <c:pt idx="988">
                  <c:v>2.0998680054301777E-2</c:v>
                </c:pt>
                <c:pt idx="989">
                  <c:v>0.25947689797385792</c:v>
                </c:pt>
                <c:pt idx="990">
                  <c:v>0.14230589715335601</c:v>
                </c:pt>
                <c:pt idx="991">
                  <c:v>0.13824613242501615</c:v>
                </c:pt>
                <c:pt idx="992">
                  <c:v>0.22297277693121886</c:v>
                </c:pt>
                <c:pt idx="993">
                  <c:v>0.2059158078454251</c:v>
                </c:pt>
                <c:pt idx="994">
                  <c:v>8.2932378040029828E-2</c:v>
                </c:pt>
                <c:pt idx="995">
                  <c:v>-1.9498141890583465E-3</c:v>
                </c:pt>
                <c:pt idx="996">
                  <c:v>0.18466377813955259</c:v>
                </c:pt>
                <c:pt idx="997">
                  <c:v>0.23385184689404642</c:v>
                </c:pt>
                <c:pt idx="998">
                  <c:v>2.149705645261811E-2</c:v>
                </c:pt>
                <c:pt idx="999">
                  <c:v>7.7812353591805855E-2</c:v>
                </c:pt>
                <c:pt idx="1000">
                  <c:v>-0.21728504632819484</c:v>
                </c:pt>
                <c:pt idx="1001">
                  <c:v>-6.1541536935140043E-2</c:v>
                </c:pt>
                <c:pt idx="1002">
                  <c:v>-8.4892508937218364E-3</c:v>
                </c:pt>
                <c:pt idx="1003">
                  <c:v>-0.2720020036630359</c:v>
                </c:pt>
                <c:pt idx="1004">
                  <c:v>0.21470549053642518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DC-4B23-AA51-4AB623CC6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545967"/>
        <c:axId val="1518539247"/>
      </c:scatterChart>
      <c:valAx>
        <c:axId val="151854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8539247"/>
        <c:crosses val="autoZero"/>
        <c:crossBetween val="midCat"/>
      </c:valAx>
      <c:valAx>
        <c:axId val="1518539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854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Historical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'S&amp;P'!$I$3:$I$100</c:f>
              <c:numCache>
                <c:formatCode>General</c:formatCode>
                <c:ptCount val="98"/>
                <c:pt idx="0">
                  <c:v>1928</c:v>
                </c:pt>
                <c:pt idx="1">
                  <c:v>1929</c:v>
                </c:pt>
                <c:pt idx="2">
                  <c:v>1930</c:v>
                </c:pt>
                <c:pt idx="3">
                  <c:v>1931</c:v>
                </c:pt>
                <c:pt idx="4">
                  <c:v>1932</c:v>
                </c:pt>
                <c:pt idx="5">
                  <c:v>1933</c:v>
                </c:pt>
                <c:pt idx="6">
                  <c:v>1934</c:v>
                </c:pt>
                <c:pt idx="7">
                  <c:v>1935</c:v>
                </c:pt>
                <c:pt idx="8">
                  <c:v>1936</c:v>
                </c:pt>
                <c:pt idx="9">
                  <c:v>1937</c:v>
                </c:pt>
                <c:pt idx="10">
                  <c:v>1938</c:v>
                </c:pt>
                <c:pt idx="11">
                  <c:v>1939</c:v>
                </c:pt>
                <c:pt idx="12">
                  <c:v>1940</c:v>
                </c:pt>
                <c:pt idx="13">
                  <c:v>1941</c:v>
                </c:pt>
                <c:pt idx="14">
                  <c:v>1942</c:v>
                </c:pt>
                <c:pt idx="15">
                  <c:v>1943</c:v>
                </c:pt>
                <c:pt idx="16">
                  <c:v>1944</c:v>
                </c:pt>
                <c:pt idx="17">
                  <c:v>1945</c:v>
                </c:pt>
                <c:pt idx="18">
                  <c:v>1946</c:v>
                </c:pt>
                <c:pt idx="19">
                  <c:v>1947</c:v>
                </c:pt>
                <c:pt idx="20">
                  <c:v>1948</c:v>
                </c:pt>
                <c:pt idx="21">
                  <c:v>1949</c:v>
                </c:pt>
                <c:pt idx="22">
                  <c:v>1950</c:v>
                </c:pt>
                <c:pt idx="23">
                  <c:v>1951</c:v>
                </c:pt>
                <c:pt idx="24">
                  <c:v>1952</c:v>
                </c:pt>
                <c:pt idx="25">
                  <c:v>1953</c:v>
                </c:pt>
                <c:pt idx="26">
                  <c:v>1954</c:v>
                </c:pt>
                <c:pt idx="27">
                  <c:v>1955</c:v>
                </c:pt>
                <c:pt idx="28">
                  <c:v>1956</c:v>
                </c:pt>
                <c:pt idx="29">
                  <c:v>1957</c:v>
                </c:pt>
                <c:pt idx="30">
                  <c:v>1958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1979</c:v>
                </c:pt>
                <c:pt idx="52">
                  <c:v>1980</c:v>
                </c:pt>
                <c:pt idx="53">
                  <c:v>1981</c:v>
                </c:pt>
                <c:pt idx="54">
                  <c:v>1982</c:v>
                </c:pt>
                <c:pt idx="55">
                  <c:v>1983</c:v>
                </c:pt>
                <c:pt idx="56">
                  <c:v>1984</c:v>
                </c:pt>
                <c:pt idx="57">
                  <c:v>1985</c:v>
                </c:pt>
                <c:pt idx="58">
                  <c:v>1986</c:v>
                </c:pt>
                <c:pt idx="59">
                  <c:v>1987</c:v>
                </c:pt>
                <c:pt idx="60">
                  <c:v>1988</c:v>
                </c:pt>
                <c:pt idx="61">
                  <c:v>1989</c:v>
                </c:pt>
                <c:pt idx="62">
                  <c:v>1990</c:v>
                </c:pt>
                <c:pt idx="63">
                  <c:v>1991</c:v>
                </c:pt>
                <c:pt idx="64">
                  <c:v>1992</c:v>
                </c:pt>
                <c:pt idx="65">
                  <c:v>1993</c:v>
                </c:pt>
                <c:pt idx="66">
                  <c:v>1994</c:v>
                </c:pt>
                <c:pt idx="67">
                  <c:v>1995</c:v>
                </c:pt>
                <c:pt idx="68">
                  <c:v>1996</c:v>
                </c:pt>
                <c:pt idx="69">
                  <c:v>1997</c:v>
                </c:pt>
                <c:pt idx="70">
                  <c:v>1998</c:v>
                </c:pt>
                <c:pt idx="71">
                  <c:v>1999</c:v>
                </c:pt>
                <c:pt idx="72">
                  <c:v>2000</c:v>
                </c:pt>
                <c:pt idx="73">
                  <c:v>2001</c:v>
                </c:pt>
                <c:pt idx="74">
                  <c:v>2002</c:v>
                </c:pt>
                <c:pt idx="75">
                  <c:v>2003</c:v>
                </c:pt>
                <c:pt idx="76">
                  <c:v>2004</c:v>
                </c:pt>
                <c:pt idx="77">
                  <c:v>2005</c:v>
                </c:pt>
                <c:pt idx="78">
                  <c:v>2006</c:v>
                </c:pt>
                <c:pt idx="79">
                  <c:v>2007</c:v>
                </c:pt>
                <c:pt idx="80">
                  <c:v>2008</c:v>
                </c:pt>
                <c:pt idx="81">
                  <c:v>2009</c:v>
                </c:pt>
                <c:pt idx="82">
                  <c:v>2010</c:v>
                </c:pt>
                <c:pt idx="83">
                  <c:v>2011</c:v>
                </c:pt>
                <c:pt idx="84">
                  <c:v>2012</c:v>
                </c:pt>
                <c:pt idx="85">
                  <c:v>2013</c:v>
                </c:pt>
                <c:pt idx="86">
                  <c:v>2014</c:v>
                </c:pt>
                <c:pt idx="87">
                  <c:v>2015</c:v>
                </c:pt>
                <c:pt idx="88">
                  <c:v>2016</c:v>
                </c:pt>
                <c:pt idx="89">
                  <c:v>2017</c:v>
                </c:pt>
                <c:pt idx="90">
                  <c:v>2018</c:v>
                </c:pt>
                <c:pt idx="91">
                  <c:v>2019</c:v>
                </c:pt>
                <c:pt idx="92">
                  <c:v>2020</c:v>
                </c:pt>
                <c:pt idx="93">
                  <c:v>2021</c:v>
                </c:pt>
                <c:pt idx="94">
                  <c:v>2022</c:v>
                </c:pt>
                <c:pt idx="95">
                  <c:v>2023</c:v>
                </c:pt>
                <c:pt idx="96">
                  <c:v>2024</c:v>
                </c:pt>
                <c:pt idx="97">
                  <c:v>2025</c:v>
                </c:pt>
              </c:numCache>
            </c:numRef>
          </c:cat>
          <c:val>
            <c:numRef>
              <c:f>'S&amp;P'!$J$3:$J$100</c:f>
              <c:numCache>
                <c:formatCode>0%</c:formatCode>
                <c:ptCount val="98"/>
                <c:pt idx="0">
                  <c:v>0.37880000000000003</c:v>
                </c:pt>
                <c:pt idx="1">
                  <c:v>-0.1191</c:v>
                </c:pt>
                <c:pt idx="2">
                  <c:v>-0.2848</c:v>
                </c:pt>
                <c:pt idx="3">
                  <c:v>-0.47070000000000001</c:v>
                </c:pt>
                <c:pt idx="4">
                  <c:v>-0.1515</c:v>
                </c:pt>
                <c:pt idx="5">
                  <c:v>0.46590000000000004</c:v>
                </c:pt>
                <c:pt idx="6">
                  <c:v>-5.9400000000000001E-2</c:v>
                </c:pt>
                <c:pt idx="7">
                  <c:v>0.41369999999999996</c:v>
                </c:pt>
                <c:pt idx="8">
                  <c:v>0.2792</c:v>
                </c:pt>
                <c:pt idx="9">
                  <c:v>-0.38590000000000002</c:v>
                </c:pt>
                <c:pt idx="10">
                  <c:v>0.25209999999999999</c:v>
                </c:pt>
                <c:pt idx="11">
                  <c:v>-5.45E-2</c:v>
                </c:pt>
                <c:pt idx="12">
                  <c:v>-0.15289999999999998</c:v>
                </c:pt>
                <c:pt idx="13">
                  <c:v>-0.17859999999999998</c:v>
                </c:pt>
                <c:pt idx="14">
                  <c:v>0.12429999999999999</c:v>
                </c:pt>
                <c:pt idx="15">
                  <c:v>0.19450000000000001</c:v>
                </c:pt>
                <c:pt idx="16">
                  <c:v>0.13800000000000001</c:v>
                </c:pt>
                <c:pt idx="17">
                  <c:v>0.30719999999999997</c:v>
                </c:pt>
                <c:pt idx="18">
                  <c:v>0.11869999999999999</c:v>
                </c:pt>
                <c:pt idx="19">
                  <c:v>-0.31</c:v>
                </c:pt>
                <c:pt idx="20">
                  <c:v>-6.5000000000000006E-3</c:v>
                </c:pt>
                <c:pt idx="21">
                  <c:v>0.1026</c:v>
                </c:pt>
                <c:pt idx="22">
                  <c:v>0.21780000000000002</c:v>
                </c:pt>
                <c:pt idx="23">
                  <c:v>0.1646</c:v>
                </c:pt>
                <c:pt idx="24">
                  <c:v>0.11779999999999999</c:v>
                </c:pt>
                <c:pt idx="25">
                  <c:v>-6.6199999999999995E-2</c:v>
                </c:pt>
                <c:pt idx="26">
                  <c:v>0.45020000000000004</c:v>
                </c:pt>
                <c:pt idx="27">
                  <c:v>0.26400000000000001</c:v>
                </c:pt>
                <c:pt idx="28">
                  <c:v>2.6200000000000001E-2</c:v>
                </c:pt>
                <c:pt idx="29">
                  <c:v>0.1431</c:v>
                </c:pt>
                <c:pt idx="30">
                  <c:v>0.38060000000000005</c:v>
                </c:pt>
                <c:pt idx="31">
                  <c:v>8.48E-2</c:v>
                </c:pt>
                <c:pt idx="32">
                  <c:v>-2.9700000000000001E-2</c:v>
                </c:pt>
                <c:pt idx="33">
                  <c:v>0.23129999999999998</c:v>
                </c:pt>
                <c:pt idx="34">
                  <c:v>0.11810000000000001</c:v>
                </c:pt>
                <c:pt idx="35">
                  <c:v>0.18890000000000001</c:v>
                </c:pt>
                <c:pt idx="36">
                  <c:v>0.12970000000000001</c:v>
                </c:pt>
                <c:pt idx="37">
                  <c:v>9.06E-2</c:v>
                </c:pt>
                <c:pt idx="38">
                  <c:v>0.13089999999999999</c:v>
                </c:pt>
                <c:pt idx="39">
                  <c:v>0.2009</c:v>
                </c:pt>
                <c:pt idx="40">
                  <c:v>7.6600000000000001E-2</c:v>
                </c:pt>
                <c:pt idx="41">
                  <c:v>0.11359999999999999</c:v>
                </c:pt>
                <c:pt idx="42">
                  <c:v>1E-3</c:v>
                </c:pt>
                <c:pt idx="43">
                  <c:v>0.1079</c:v>
                </c:pt>
                <c:pt idx="44">
                  <c:v>0.15629999999999999</c:v>
                </c:pt>
                <c:pt idx="45">
                  <c:v>0.17370000000000002</c:v>
                </c:pt>
                <c:pt idx="46">
                  <c:v>0.29719999999999996</c:v>
                </c:pt>
                <c:pt idx="47">
                  <c:v>0.3155</c:v>
                </c:pt>
                <c:pt idx="48">
                  <c:v>0.19149999999999998</c:v>
                </c:pt>
                <c:pt idx="49">
                  <c:v>-0.115</c:v>
                </c:pt>
                <c:pt idx="50">
                  <c:v>1.06E-2</c:v>
                </c:pt>
                <c:pt idx="51">
                  <c:v>0.1231</c:v>
                </c:pt>
                <c:pt idx="52">
                  <c:v>0.25769999999999998</c:v>
                </c:pt>
                <c:pt idx="53">
                  <c:v>-9.7299999999999998E-2</c:v>
                </c:pt>
                <c:pt idx="54">
                  <c:v>0.14760000000000001</c:v>
                </c:pt>
                <c:pt idx="55">
                  <c:v>0.17269999999999999</c:v>
                </c:pt>
                <c:pt idx="56">
                  <c:v>1.3999999999999999E-2</c:v>
                </c:pt>
                <c:pt idx="57">
                  <c:v>0.26329999999999998</c:v>
                </c:pt>
                <c:pt idx="58">
                  <c:v>0.1462</c:v>
                </c:pt>
                <c:pt idx="59">
                  <c:v>2.0299999999999999E-2</c:v>
                </c:pt>
                <c:pt idx="60">
                  <c:v>0.124</c:v>
                </c:pt>
                <c:pt idx="61">
                  <c:v>0.27250000000000002</c:v>
                </c:pt>
                <c:pt idx="62">
                  <c:v>-6.5599999999999992E-2</c:v>
                </c:pt>
                <c:pt idx="63">
                  <c:v>0.2631</c:v>
                </c:pt>
                <c:pt idx="64">
                  <c:v>4.4600000000000001E-2</c:v>
                </c:pt>
                <c:pt idx="65">
                  <c:v>7.0599999999999996E-2</c:v>
                </c:pt>
                <c:pt idx="66">
                  <c:v>-1.54E-2</c:v>
                </c:pt>
                <c:pt idx="67">
                  <c:v>0.34110000000000001</c:v>
                </c:pt>
                <c:pt idx="68">
                  <c:v>0.2026</c:v>
                </c:pt>
                <c:pt idx="69">
                  <c:v>0.31010000000000004</c:v>
                </c:pt>
                <c:pt idx="70">
                  <c:v>0.26669999999999999</c:v>
                </c:pt>
                <c:pt idx="71">
                  <c:v>0.1953</c:v>
                </c:pt>
                <c:pt idx="72">
                  <c:v>0.1014</c:v>
                </c:pt>
                <c:pt idx="73">
                  <c:v>0.13039999999999999</c:v>
                </c:pt>
                <c:pt idx="74">
                  <c:v>0.23370000000000002</c:v>
                </c:pt>
                <c:pt idx="75">
                  <c:v>0.26379999999999998</c:v>
                </c:pt>
                <c:pt idx="76">
                  <c:v>8.9900000000000008E-2</c:v>
                </c:pt>
                <c:pt idx="77">
                  <c:v>-0.30299999999999999</c:v>
                </c:pt>
                <c:pt idx="78">
                  <c:v>0.13619999999999999</c:v>
                </c:pt>
                <c:pt idx="79">
                  <c:v>3.5299999999999998E-2</c:v>
                </c:pt>
                <c:pt idx="80">
                  <c:v>0.38490000000000002</c:v>
                </c:pt>
                <c:pt idx="81">
                  <c:v>0.23449999999999999</c:v>
                </c:pt>
                <c:pt idx="82">
                  <c:v>0.1278</c:v>
                </c:pt>
                <c:pt idx="83">
                  <c:v>-0.3</c:v>
                </c:pt>
                <c:pt idx="84">
                  <c:v>0.1341</c:v>
                </c:pt>
                <c:pt idx="85">
                  <c:v>0.29600000000000004</c:v>
                </c:pt>
                <c:pt idx="86">
                  <c:v>0.1139</c:v>
                </c:pt>
                <c:pt idx="87">
                  <c:v>-7.3000000000000001E-3</c:v>
                </c:pt>
                <c:pt idx="88">
                  <c:v>9.5399999999999985E-2</c:v>
                </c:pt>
                <c:pt idx="89">
                  <c:v>0.19420000000000001</c:v>
                </c:pt>
                <c:pt idx="90">
                  <c:v>-6.2400000000000004E-2</c:v>
                </c:pt>
                <c:pt idx="91">
                  <c:v>0.2888</c:v>
                </c:pt>
                <c:pt idx="92">
                  <c:v>0.16260000000000002</c:v>
                </c:pt>
                <c:pt idx="93">
                  <c:v>0.26890000000000003</c:v>
                </c:pt>
                <c:pt idx="94">
                  <c:v>0.19440000000000002</c:v>
                </c:pt>
                <c:pt idx="95">
                  <c:v>0.24230000000000002</c:v>
                </c:pt>
                <c:pt idx="96">
                  <c:v>0.23309999999999997</c:v>
                </c:pt>
                <c:pt idx="97">
                  <c:v>-9.300000000000001E-3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C6-4F6C-8403-193F4F9A4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1021232"/>
        <c:axId val="581018352"/>
      </c:lineChart>
      <c:catAx>
        <c:axId val="58102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1018352"/>
        <c:crosses val="autoZero"/>
        <c:auto val="1"/>
        <c:lblAlgn val="ctr"/>
        <c:lblOffset val="100"/>
        <c:noMultiLvlLbl val="0"/>
      </c:catAx>
      <c:valAx>
        <c:axId val="58101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102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Distribution</a:t>
          </a:r>
        </a:p>
      </cx:txPr>
    </cx:title>
    <cx:plotArea>
      <cx:plotAreaRegion>
        <cx:series layoutId="clusteredColumn" uniqueId="{0DB86561-8B39-4755-B968-070F79FC119B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Historical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Historical Distribution</a:t>
          </a:r>
        </a:p>
      </cx:txPr>
    </cx:title>
    <cx:plotArea>
      <cx:plotAreaRegion>
        <cx:series layoutId="clusteredColumn" uniqueId="{4D8B95CD-1ECC-4D14-A83E-20215D3DE40A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252412</xdr:colOff>
      <xdr:row>4</xdr:row>
      <xdr:rowOff>186119</xdr:rowOff>
    </xdr:from>
    <xdr:to>
      <xdr:col>34</xdr:col>
      <xdr:colOff>525517</xdr:colOff>
      <xdr:row>24</xdr:row>
      <xdr:rowOff>120430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DE602E-65CE-4E4F-AA68-3912F6900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294290</xdr:colOff>
      <xdr:row>25</xdr:row>
      <xdr:rowOff>20062</xdr:rowOff>
    </xdr:from>
    <xdr:to>
      <xdr:col>34</xdr:col>
      <xdr:colOff>558362</xdr:colOff>
      <xdr:row>45</xdr:row>
      <xdr:rowOff>109483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A687053-1AAF-32D0-A458-7C16064621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43140" y="4782562"/>
              <a:ext cx="6969672" cy="3899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330638</xdr:colOff>
      <xdr:row>1</xdr:row>
      <xdr:rowOff>155684</xdr:rowOff>
    </xdr:from>
    <xdr:to>
      <xdr:col>17</xdr:col>
      <xdr:colOff>610914</xdr:colOff>
      <xdr:row>16</xdr:row>
      <xdr:rowOff>107074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9DF5D37-2D0F-B93A-3464-E2D8DB9D1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571500</xdr:colOff>
      <xdr:row>17</xdr:row>
      <xdr:rowOff>24304</xdr:rowOff>
    </xdr:from>
    <xdr:to>
      <xdr:col>18</xdr:col>
      <xdr:colOff>238672</xdr:colOff>
      <xdr:row>31</xdr:row>
      <xdr:rowOff>161815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B1469A09-F9C4-65D5-E063-6DF51C1ED1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0" y="3262804"/>
              <a:ext cx="4543972" cy="28045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2D50D-2B71-4AB6-853B-4212B0707310}">
  <dimension ref="A1:B23"/>
  <sheetViews>
    <sheetView tabSelected="1" workbookViewId="0">
      <selection activeCell="B24" sqref="B24"/>
    </sheetView>
  </sheetViews>
  <sheetFormatPr defaultRowHeight="15" x14ac:dyDescent="0.25"/>
  <sheetData>
    <row r="1" spans="1:2" x14ac:dyDescent="0.25">
      <c r="A1" s="3" t="s">
        <v>0</v>
      </c>
      <c r="B1" s="3"/>
    </row>
    <row r="2" spans="1:2" x14ac:dyDescent="0.25">
      <c r="A2" s="3"/>
      <c r="B2" s="3"/>
    </row>
    <row r="3" spans="1:2" x14ac:dyDescent="0.25">
      <c r="A3" s="3"/>
      <c r="B3" s="9" t="s">
        <v>13</v>
      </c>
    </row>
    <row r="4" spans="1:2" x14ac:dyDescent="0.25">
      <c r="A4" s="3"/>
      <c r="B4" s="3" t="s">
        <v>8</v>
      </c>
    </row>
    <row r="5" spans="1:2" x14ac:dyDescent="0.25">
      <c r="A5" s="3"/>
      <c r="B5" s="3" t="s">
        <v>9</v>
      </c>
    </row>
    <row r="6" spans="1:2" x14ac:dyDescent="0.25">
      <c r="A6" s="3"/>
      <c r="B6" s="3" t="s">
        <v>11</v>
      </c>
    </row>
    <row r="7" spans="1:2" x14ac:dyDescent="0.25">
      <c r="A7" s="3"/>
      <c r="B7" s="3" t="s">
        <v>12</v>
      </c>
    </row>
    <row r="8" spans="1:2" x14ac:dyDescent="0.25">
      <c r="A8" s="3"/>
      <c r="B8" s="9" t="s">
        <v>14</v>
      </c>
    </row>
    <row r="9" spans="1:2" x14ac:dyDescent="0.25">
      <c r="A9" s="3"/>
      <c r="B9" s="3" t="s">
        <v>10</v>
      </c>
    </row>
    <row r="10" spans="1:2" x14ac:dyDescent="0.25">
      <c r="A10" s="3"/>
      <c r="B10" s="3" t="s">
        <v>15</v>
      </c>
    </row>
    <row r="11" spans="1:2" x14ac:dyDescent="0.25">
      <c r="A11" s="3"/>
      <c r="B11" s="3" t="s">
        <v>16</v>
      </c>
    </row>
    <row r="12" spans="1:2" x14ac:dyDescent="0.25">
      <c r="A12" s="3"/>
      <c r="B12" s="3" t="s">
        <v>17</v>
      </c>
    </row>
    <row r="13" spans="1:2" x14ac:dyDescent="0.25">
      <c r="A13" s="3"/>
      <c r="B13" s="3" t="s">
        <v>18</v>
      </c>
    </row>
    <row r="14" spans="1:2" x14ac:dyDescent="0.25">
      <c r="A14" s="3"/>
      <c r="B14" s="3" t="s">
        <v>19</v>
      </c>
    </row>
    <row r="15" spans="1:2" x14ac:dyDescent="0.25">
      <c r="A15" s="3"/>
      <c r="B15" s="3" t="s">
        <v>20</v>
      </c>
    </row>
    <row r="16" spans="1:2" x14ac:dyDescent="0.25">
      <c r="A16" s="3"/>
      <c r="B16" s="3"/>
    </row>
    <row r="17" spans="1:2" x14ac:dyDescent="0.25">
      <c r="A17" s="3"/>
      <c r="B17" s="3"/>
    </row>
    <row r="18" spans="1:2" x14ac:dyDescent="0.25">
      <c r="A18" s="3"/>
      <c r="B18" s="3"/>
    </row>
    <row r="19" spans="1:2" x14ac:dyDescent="0.25">
      <c r="A19" s="3"/>
      <c r="B19" s="3"/>
    </row>
    <row r="20" spans="1:2" x14ac:dyDescent="0.25">
      <c r="A20" s="3"/>
      <c r="B20" s="3"/>
    </row>
    <row r="21" spans="1:2" x14ac:dyDescent="0.25">
      <c r="A21" s="3"/>
      <c r="B21" s="3"/>
    </row>
    <row r="22" spans="1:2" x14ac:dyDescent="0.25">
      <c r="A22" s="3"/>
      <c r="B22" s="3"/>
    </row>
    <row r="23" spans="1:2" x14ac:dyDescent="0.25">
      <c r="A23" s="3"/>
      <c r="B2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0C68-D9A0-42B3-9DF8-7A5FD6AC853C}">
  <dimension ref="A1"/>
  <sheetViews>
    <sheetView workbookViewId="0"/>
  </sheetViews>
  <sheetFormatPr defaultRowHeight="15" x14ac:dyDescent="0.25"/>
  <sheetData>
    <row r="1" spans="1:1" x14ac:dyDescent="0.25">
      <c r="A1" s="5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2AB5-D5F9-489A-965F-DE8701D7E8F8}">
  <dimension ref="A1:AX1624"/>
  <sheetViews>
    <sheetView topLeftCell="H1" zoomScale="87" zoomScaleNormal="87" workbookViewId="0">
      <selection activeCell="H1" sqref="H1"/>
    </sheetView>
  </sheetViews>
  <sheetFormatPr defaultRowHeight="15" x14ac:dyDescent="0.25"/>
  <cols>
    <col min="1" max="1" width="4.7109375" hidden="1" customWidth="1"/>
    <col min="2" max="7" width="0" hidden="1" customWidth="1"/>
    <col min="8" max="8" width="4" style="5" customWidth="1"/>
    <col min="9" max="19" width="9.140625" style="5"/>
    <col min="20" max="20" width="15.7109375" style="5" bestFit="1" customWidth="1"/>
    <col min="21" max="16384" width="9.140625" style="5"/>
  </cols>
  <sheetData>
    <row r="1" spans="1:50" x14ac:dyDescent="0.25">
      <c r="A1" s="1" t="s">
        <v>6</v>
      </c>
      <c r="H1" s="3"/>
      <c r="I1" s="4" t="s">
        <v>29</v>
      </c>
      <c r="J1" s="3"/>
      <c r="K1" s="3"/>
      <c r="L1" s="3"/>
      <c r="M1" s="3"/>
      <c r="N1" s="3"/>
      <c r="O1" s="3"/>
      <c r="P1" s="3"/>
      <c r="Q1" s="3"/>
      <c r="R1" s="3"/>
      <c r="S1" s="3"/>
      <c r="T1" s="4" t="s">
        <v>4</v>
      </c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 spans="1:50" x14ac:dyDescent="0.25"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 t="s">
        <v>1</v>
      </c>
      <c r="U2" s="6">
        <f>+AVERAGE(J3:J100)</f>
        <v>0.11337142857142855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</row>
    <row r="3" spans="1:50" x14ac:dyDescent="0.25">
      <c r="B3">
        <v>1928</v>
      </c>
      <c r="C3" s="2">
        <v>0.37880000000000003</v>
      </c>
      <c r="H3" s="3"/>
      <c r="I3" s="3">
        <v>1928</v>
      </c>
      <c r="J3" s="7">
        <v>0.37880000000000003</v>
      </c>
      <c r="K3" s="3"/>
      <c r="L3" s="3"/>
      <c r="M3" s="3"/>
      <c r="N3" s="3"/>
      <c r="O3" s="3"/>
      <c r="P3" s="3"/>
      <c r="Q3" s="3"/>
      <c r="R3" s="3"/>
      <c r="S3" s="3"/>
      <c r="T3" s="3" t="s">
        <v>3</v>
      </c>
      <c r="U3" s="3">
        <f>+_xlfn.STDEV.P(J3:J100)</f>
        <v>0.17927227098147991</v>
      </c>
      <c r="V3" s="3"/>
      <c r="W3" s="3"/>
      <c r="X3" s="3" t="s">
        <v>1</v>
      </c>
      <c r="Y3" s="6">
        <f ca="1">+AVERAGE(W6:W1516)</f>
        <v>0.11304231027980451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 spans="1:50" x14ac:dyDescent="0.25">
      <c r="B4">
        <v>1929</v>
      </c>
      <c r="C4" s="2">
        <v>-0.1191</v>
      </c>
      <c r="H4" s="3"/>
      <c r="I4" s="3">
        <v>1929</v>
      </c>
      <c r="J4" s="7">
        <v>-0.1191</v>
      </c>
      <c r="K4" s="7"/>
      <c r="L4" s="7"/>
      <c r="M4" s="7"/>
      <c r="N4" s="7"/>
      <c r="O4" s="7"/>
      <c r="P4" s="7"/>
      <c r="Q4" s="7"/>
      <c r="R4" s="7"/>
      <c r="S4" s="3"/>
      <c r="T4" s="3" t="s">
        <v>2</v>
      </c>
      <c r="U4" s="3">
        <f>+_xlfn.STDEV.S(J3:J100)</f>
        <v>0.18019398539111686</v>
      </c>
      <c r="V4" s="3"/>
      <c r="W4" s="3"/>
      <c r="X4" s="3" t="s">
        <v>5</v>
      </c>
      <c r="Y4" s="6">
        <f ca="1">+MEDIAN(W6:W1516)</f>
        <v>0.11733240753817838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</row>
    <row r="5" spans="1:50" x14ac:dyDescent="0.25">
      <c r="B5">
        <v>1930</v>
      </c>
      <c r="C5" s="2">
        <v>-0.2848</v>
      </c>
      <c r="H5" s="3"/>
      <c r="I5" s="3">
        <v>1930</v>
      </c>
      <c r="J5" s="7">
        <v>-0.2848</v>
      </c>
      <c r="K5" s="7"/>
      <c r="L5" s="7"/>
      <c r="M5" s="7"/>
      <c r="N5" s="7"/>
      <c r="O5" s="7"/>
      <c r="P5" s="7"/>
      <c r="Q5" s="7"/>
      <c r="R5" s="7"/>
      <c r="S5" s="3"/>
      <c r="T5" s="3" t="s">
        <v>23</v>
      </c>
      <c r="U5" s="8">
        <f>+U2-U3</f>
        <v>-6.5900842410051355E-2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</row>
    <row r="6" spans="1:50" x14ac:dyDescent="0.25">
      <c r="B6">
        <v>1931</v>
      </c>
      <c r="C6" s="2">
        <v>-0.47070000000000001</v>
      </c>
      <c r="H6" s="3"/>
      <c r="I6" s="3">
        <v>1931</v>
      </c>
      <c r="J6" s="7">
        <v>-0.47070000000000001</v>
      </c>
      <c r="K6" s="7"/>
      <c r="L6" s="7"/>
      <c r="M6" s="7"/>
      <c r="N6" s="7"/>
      <c r="O6" s="7"/>
      <c r="P6" s="7"/>
      <c r="Q6" s="7"/>
      <c r="R6" s="7"/>
      <c r="S6" s="3"/>
      <c r="T6" s="3" t="s">
        <v>24</v>
      </c>
      <c r="U6" s="8">
        <f>+U2+U3</f>
        <v>0.29264369955290848</v>
      </c>
      <c r="V6" s="3"/>
      <c r="W6" s="7">
        <f t="shared" ref="W6:W69" ca="1" si="0">+NORMINV(RAND(),$U$2,$U$3)</f>
        <v>0.38483230564126292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</row>
    <row r="7" spans="1:50" x14ac:dyDescent="0.25">
      <c r="B7">
        <v>1932</v>
      </c>
      <c r="C7" s="2">
        <v>-0.1515</v>
      </c>
      <c r="H7" s="3"/>
      <c r="I7" s="3">
        <v>1932</v>
      </c>
      <c r="J7" s="7">
        <v>-0.1515</v>
      </c>
      <c r="K7" s="7"/>
      <c r="L7" s="7"/>
      <c r="M7" s="7"/>
      <c r="N7" s="7"/>
      <c r="O7" s="7"/>
      <c r="P7" s="7"/>
      <c r="Q7" s="7"/>
      <c r="R7" s="7"/>
      <c r="S7" s="3"/>
      <c r="T7" s="3" t="s">
        <v>25</v>
      </c>
      <c r="U7" s="8">
        <f>+U2-2*U3</f>
        <v>-0.24517311339153125</v>
      </c>
      <c r="V7" s="3"/>
      <c r="W7" s="7">
        <f t="shared" ca="1" si="0"/>
        <v>-0.1058466838932743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</row>
    <row r="8" spans="1:50" x14ac:dyDescent="0.25">
      <c r="B8">
        <v>1933</v>
      </c>
      <c r="C8" s="2">
        <v>0.46590000000000004</v>
      </c>
      <c r="H8" s="3"/>
      <c r="I8" s="3">
        <v>1933</v>
      </c>
      <c r="J8" s="7">
        <v>0.46590000000000004</v>
      </c>
      <c r="K8" s="7"/>
      <c r="L8" s="7"/>
      <c r="M8" s="7"/>
      <c r="N8" s="7"/>
      <c r="O8" s="7"/>
      <c r="P8" s="7"/>
      <c r="Q8" s="7"/>
      <c r="R8" s="7"/>
      <c r="S8" s="3"/>
      <c r="T8" s="3" t="s">
        <v>26</v>
      </c>
      <c r="U8" s="8">
        <f>+U2+2*U3</f>
        <v>0.47191597053438838</v>
      </c>
      <c r="V8" s="3"/>
      <c r="W8" s="7">
        <f t="shared" ca="1" si="0"/>
        <v>8.661676326102162E-2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 spans="1:50" x14ac:dyDescent="0.25">
      <c r="B9">
        <v>1934</v>
      </c>
      <c r="C9" s="2">
        <v>-5.9400000000000001E-2</v>
      </c>
      <c r="H9" s="3"/>
      <c r="I9" s="3">
        <v>1934</v>
      </c>
      <c r="J9" s="7">
        <v>-5.9400000000000001E-2</v>
      </c>
      <c r="K9" s="7"/>
      <c r="L9" s="7"/>
      <c r="M9" s="7"/>
      <c r="N9" s="7"/>
      <c r="O9" s="7"/>
      <c r="P9" s="7"/>
      <c r="Q9" s="7"/>
      <c r="R9" s="7"/>
      <c r="S9" s="3"/>
      <c r="T9" s="3" t="s">
        <v>27</v>
      </c>
      <c r="U9" s="8">
        <f>+U2-3*U3</f>
        <v>-0.42444538437301116</v>
      </c>
      <c r="V9" s="3"/>
      <c r="W9" s="7">
        <f t="shared" ca="1" si="0"/>
        <v>8.6069709526153115E-3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</row>
    <row r="10" spans="1:50" x14ac:dyDescent="0.25">
      <c r="B10">
        <v>1935</v>
      </c>
      <c r="C10" s="2">
        <v>0.41369999999999996</v>
      </c>
      <c r="H10" s="3"/>
      <c r="I10" s="3">
        <v>1935</v>
      </c>
      <c r="J10" s="7">
        <v>0.41369999999999996</v>
      </c>
      <c r="K10" s="7"/>
      <c r="L10" s="7"/>
      <c r="M10" s="7"/>
      <c r="N10" s="7"/>
      <c r="O10" s="7"/>
      <c r="P10" s="7"/>
      <c r="Q10" s="7"/>
      <c r="R10" s="7"/>
      <c r="S10" s="3"/>
      <c r="T10" s="3" t="s">
        <v>28</v>
      </c>
      <c r="U10" s="8">
        <f>+U2+3*U3</f>
        <v>0.65118824151586829</v>
      </c>
      <c r="V10" s="3"/>
      <c r="W10" s="7">
        <f t="shared" ca="1" si="0"/>
        <v>-9.5969114052168458E-3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 spans="1:50" x14ac:dyDescent="0.25">
      <c r="B11">
        <v>1936</v>
      </c>
      <c r="C11" s="2">
        <v>0.2792</v>
      </c>
      <c r="H11" s="3"/>
      <c r="I11" s="3">
        <v>1936</v>
      </c>
      <c r="J11" s="7">
        <v>0.2792</v>
      </c>
      <c r="K11" s="7"/>
      <c r="L11" s="7"/>
      <c r="M11" s="7"/>
      <c r="N11" s="7"/>
      <c r="O11" s="7"/>
      <c r="P11" s="7"/>
      <c r="Q11" s="7"/>
      <c r="R11" s="7"/>
      <c r="S11" s="3"/>
      <c r="T11" s="3" t="s">
        <v>21</v>
      </c>
      <c r="U11" s="6">
        <f ca="1">+MAX(W6:W1516)</f>
        <v>0.81241995070281015</v>
      </c>
      <c r="V11" s="3"/>
      <c r="W11" s="7">
        <f t="shared" ca="1" si="0"/>
        <v>0.22449851473093818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 spans="1:50" x14ac:dyDescent="0.25">
      <c r="B12">
        <v>1937</v>
      </c>
      <c r="C12" s="2">
        <v>-0.38590000000000002</v>
      </c>
      <c r="H12" s="3"/>
      <c r="I12" s="3">
        <v>1937</v>
      </c>
      <c r="J12" s="7">
        <v>-0.38590000000000002</v>
      </c>
      <c r="K12" s="7"/>
      <c r="L12" s="7"/>
      <c r="M12" s="7"/>
      <c r="N12" s="7"/>
      <c r="O12" s="7"/>
      <c r="P12" s="7"/>
      <c r="Q12" s="7"/>
      <c r="R12" s="7"/>
      <c r="S12" s="3"/>
      <c r="T12" s="3" t="s">
        <v>22</v>
      </c>
      <c r="U12" s="6">
        <f ca="1">+MIN(W6:W1516)</f>
        <v>-0.40546475080802891</v>
      </c>
      <c r="V12" s="3"/>
      <c r="W12" s="7">
        <f t="shared" ca="1" si="0"/>
        <v>7.8192297576944347E-2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 spans="1:50" x14ac:dyDescent="0.25">
      <c r="B13">
        <v>1938</v>
      </c>
      <c r="C13" s="2">
        <v>0.25209999999999999</v>
      </c>
      <c r="H13" s="3"/>
      <c r="I13" s="3">
        <v>1938</v>
      </c>
      <c r="J13" s="7">
        <v>0.25209999999999999</v>
      </c>
      <c r="K13" s="7"/>
      <c r="L13" s="7"/>
      <c r="M13" s="7"/>
      <c r="N13" s="7"/>
      <c r="O13" s="7"/>
      <c r="P13" s="7"/>
      <c r="Q13" s="7"/>
      <c r="R13" s="7"/>
      <c r="S13" s="3"/>
      <c r="T13" s="3"/>
      <c r="U13" s="3"/>
      <c r="V13" s="3"/>
      <c r="W13" s="7">
        <f t="shared" ca="1" si="0"/>
        <v>8.5203594162365365E-3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 spans="1:50" x14ac:dyDescent="0.25">
      <c r="B14">
        <v>1939</v>
      </c>
      <c r="C14" s="2">
        <v>-5.45E-2</v>
      </c>
      <c r="H14" s="3"/>
      <c r="I14" s="3">
        <v>1939</v>
      </c>
      <c r="J14" s="7">
        <v>-5.45E-2</v>
      </c>
      <c r="K14" s="7"/>
      <c r="L14" s="7"/>
      <c r="M14" s="7"/>
      <c r="N14" s="7"/>
      <c r="O14" s="7"/>
      <c r="P14" s="7"/>
      <c r="Q14" s="7"/>
      <c r="R14" s="7"/>
      <c r="S14" s="3"/>
      <c r="T14" s="3"/>
      <c r="U14" s="3"/>
      <c r="V14" s="3"/>
      <c r="W14" s="7">
        <f t="shared" ca="1" si="0"/>
        <v>-4.3528810921797431E-2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 spans="1:50" x14ac:dyDescent="0.25">
      <c r="B15">
        <v>1940</v>
      </c>
      <c r="C15" s="2">
        <v>-0.15289999999999998</v>
      </c>
      <c r="H15" s="3"/>
      <c r="I15" s="3">
        <v>1940</v>
      </c>
      <c r="J15" s="7">
        <v>-0.15289999999999998</v>
      </c>
      <c r="K15" s="7"/>
      <c r="L15" s="7"/>
      <c r="M15" s="7"/>
      <c r="N15" s="7"/>
      <c r="O15" s="7"/>
      <c r="P15" s="7"/>
      <c r="Q15" s="7"/>
      <c r="R15" s="7"/>
      <c r="S15" s="3"/>
      <c r="T15" s="3"/>
      <c r="U15" s="3"/>
      <c r="V15" s="3"/>
      <c r="W15" s="7">
        <f t="shared" ca="1" si="0"/>
        <v>6.8370380199325009E-2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 spans="1:50" x14ac:dyDescent="0.25">
      <c r="B16">
        <v>1941</v>
      </c>
      <c r="C16" s="2">
        <v>-0.17859999999999998</v>
      </c>
      <c r="H16" s="3"/>
      <c r="I16" s="3">
        <v>1941</v>
      </c>
      <c r="J16" s="7">
        <v>-0.17859999999999998</v>
      </c>
      <c r="K16" s="7"/>
      <c r="L16" s="7"/>
      <c r="M16" s="7"/>
      <c r="N16" s="7"/>
      <c r="O16" s="7"/>
      <c r="P16" s="7"/>
      <c r="Q16" s="7"/>
      <c r="R16" s="7"/>
      <c r="S16" s="3"/>
      <c r="T16" s="3"/>
      <c r="U16" s="3"/>
      <c r="V16" s="3"/>
      <c r="W16" s="7">
        <f t="shared" ca="1" si="0"/>
        <v>-0.22177599524555736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 spans="2:50" x14ac:dyDescent="0.25">
      <c r="B17">
        <v>1942</v>
      </c>
      <c r="C17" s="2">
        <v>0.12429999999999999</v>
      </c>
      <c r="H17" s="3"/>
      <c r="I17" s="3">
        <v>1942</v>
      </c>
      <c r="J17" s="7">
        <v>0.12429999999999999</v>
      </c>
      <c r="K17" s="7"/>
      <c r="L17" s="7"/>
      <c r="M17" s="7"/>
      <c r="N17" s="7"/>
      <c r="O17" s="7"/>
      <c r="P17" s="7"/>
      <c r="Q17" s="7"/>
      <c r="R17" s="7"/>
      <c r="S17" s="3"/>
      <c r="T17" s="3"/>
      <c r="U17" s="3"/>
      <c r="V17" s="3"/>
      <c r="W17" s="7">
        <f t="shared" ca="1" si="0"/>
        <v>-3.0690504114027337E-2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 spans="2:50" x14ac:dyDescent="0.25">
      <c r="B18">
        <v>1943</v>
      </c>
      <c r="C18" s="2">
        <v>0.19450000000000001</v>
      </c>
      <c r="H18" s="3"/>
      <c r="I18" s="3">
        <v>1943</v>
      </c>
      <c r="J18" s="7">
        <v>0.19450000000000001</v>
      </c>
      <c r="K18" s="7"/>
      <c r="L18" s="7"/>
      <c r="M18" s="7"/>
      <c r="N18" s="7"/>
      <c r="O18" s="7"/>
      <c r="P18" s="7"/>
      <c r="Q18" s="7"/>
      <c r="R18" s="7"/>
      <c r="S18" s="3"/>
      <c r="T18" s="3"/>
      <c r="U18" s="3"/>
      <c r="V18" s="3"/>
      <c r="W18" s="7">
        <f t="shared" ca="1" si="0"/>
        <v>0.31890054834924209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 spans="2:50" x14ac:dyDescent="0.25">
      <c r="B19">
        <v>1944</v>
      </c>
      <c r="C19" s="2">
        <v>0.13800000000000001</v>
      </c>
      <c r="H19" s="3"/>
      <c r="I19" s="3">
        <v>1944</v>
      </c>
      <c r="J19" s="7">
        <v>0.13800000000000001</v>
      </c>
      <c r="K19" s="7"/>
      <c r="L19" s="7"/>
      <c r="M19" s="7"/>
      <c r="N19" s="7"/>
      <c r="O19" s="7"/>
      <c r="P19" s="7"/>
      <c r="Q19" s="7"/>
      <c r="R19" s="7"/>
      <c r="S19" s="3"/>
      <c r="T19" s="3"/>
      <c r="U19" s="3"/>
      <c r="V19" s="3"/>
      <c r="W19" s="7">
        <f t="shared" ca="1" si="0"/>
        <v>-0.14377133055656982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 spans="2:50" x14ac:dyDescent="0.25">
      <c r="B20">
        <v>1945</v>
      </c>
      <c r="C20" s="2">
        <v>0.30719999999999997</v>
      </c>
      <c r="H20" s="3"/>
      <c r="I20" s="3">
        <v>1945</v>
      </c>
      <c r="J20" s="7">
        <v>0.30719999999999997</v>
      </c>
      <c r="K20" s="7"/>
      <c r="L20" s="7"/>
      <c r="M20" s="7"/>
      <c r="N20" s="7"/>
      <c r="O20" s="7"/>
      <c r="P20" s="7"/>
      <c r="Q20" s="7"/>
      <c r="R20" s="7"/>
      <c r="S20" s="3"/>
      <c r="T20" s="3"/>
      <c r="U20" s="3"/>
      <c r="V20" s="3"/>
      <c r="W20" s="7">
        <f t="shared" ca="1" si="0"/>
        <v>-4.5793064962994748E-2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 spans="2:50" x14ac:dyDescent="0.25">
      <c r="B21">
        <v>1946</v>
      </c>
      <c r="C21" s="2">
        <v>0.11869999999999999</v>
      </c>
      <c r="H21" s="3"/>
      <c r="I21" s="3">
        <v>1946</v>
      </c>
      <c r="J21" s="7">
        <v>0.11869999999999999</v>
      </c>
      <c r="K21" s="7"/>
      <c r="L21" s="7"/>
      <c r="M21" s="7"/>
      <c r="N21" s="7"/>
      <c r="O21" s="7"/>
      <c r="P21" s="7"/>
      <c r="Q21" s="7"/>
      <c r="R21" s="7"/>
      <c r="S21" s="3"/>
      <c r="T21" s="3"/>
      <c r="U21" s="3"/>
      <c r="V21" s="3"/>
      <c r="W21" s="7">
        <f t="shared" ca="1" si="0"/>
        <v>0.22044703484358144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 spans="2:50" x14ac:dyDescent="0.25">
      <c r="B22">
        <v>1947</v>
      </c>
      <c r="C22" s="2">
        <v>-0.31</v>
      </c>
      <c r="H22" s="3"/>
      <c r="I22" s="3">
        <v>1947</v>
      </c>
      <c r="J22" s="7">
        <v>-0.31</v>
      </c>
      <c r="K22" s="7"/>
      <c r="L22" s="7"/>
      <c r="M22" s="7"/>
      <c r="N22" s="7"/>
      <c r="O22" s="7"/>
      <c r="P22" s="7"/>
      <c r="Q22" s="7"/>
      <c r="R22" s="7"/>
      <c r="S22" s="3"/>
      <c r="T22" s="3"/>
      <c r="U22" s="3"/>
      <c r="V22" s="3"/>
      <c r="W22" s="7">
        <f t="shared" ca="1" si="0"/>
        <v>0.22144698853305025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  <row r="23" spans="2:50" x14ac:dyDescent="0.25">
      <c r="B23">
        <v>1948</v>
      </c>
      <c r="C23" s="2">
        <v>-6.5000000000000006E-3</v>
      </c>
      <c r="H23" s="3"/>
      <c r="I23" s="3">
        <v>1948</v>
      </c>
      <c r="J23" s="7">
        <v>-6.5000000000000006E-3</v>
      </c>
      <c r="K23" s="7"/>
      <c r="L23" s="7"/>
      <c r="M23" s="7"/>
      <c r="N23" s="7"/>
      <c r="O23" s="7"/>
      <c r="P23" s="7"/>
      <c r="Q23" s="7"/>
      <c r="R23" s="7"/>
      <c r="S23" s="3"/>
      <c r="T23" s="3"/>
      <c r="U23" s="3"/>
      <c r="V23" s="3"/>
      <c r="W23" s="7">
        <f t="shared" ca="1" si="0"/>
        <v>0.12673664041935398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</row>
    <row r="24" spans="2:50" x14ac:dyDescent="0.25">
      <c r="B24">
        <v>1949</v>
      </c>
      <c r="C24" s="2">
        <v>0.1026</v>
      </c>
      <c r="H24" s="3"/>
      <c r="I24" s="3">
        <v>1949</v>
      </c>
      <c r="J24" s="7">
        <v>0.1026</v>
      </c>
      <c r="K24" s="7"/>
      <c r="L24" s="7"/>
      <c r="M24" s="7"/>
      <c r="N24" s="7"/>
      <c r="O24" s="7"/>
      <c r="P24" s="7"/>
      <c r="Q24" s="7"/>
      <c r="R24" s="7"/>
      <c r="S24" s="3"/>
      <c r="T24" s="3"/>
      <c r="U24" s="3"/>
      <c r="V24" s="3"/>
      <c r="W24" s="7">
        <f t="shared" ca="1" si="0"/>
        <v>0.21341652316953741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 spans="2:50" x14ac:dyDescent="0.25">
      <c r="B25">
        <v>1950</v>
      </c>
      <c r="C25" s="2">
        <v>0.21780000000000002</v>
      </c>
      <c r="H25" s="3"/>
      <c r="I25" s="3">
        <v>1950</v>
      </c>
      <c r="J25" s="7">
        <v>0.21780000000000002</v>
      </c>
      <c r="K25" s="7"/>
      <c r="L25" s="7"/>
      <c r="M25" s="7"/>
      <c r="N25" s="7"/>
      <c r="O25" s="7"/>
      <c r="P25" s="7"/>
      <c r="Q25" s="7"/>
      <c r="R25" s="7"/>
      <c r="S25" s="3"/>
      <c r="T25" s="3"/>
      <c r="U25" s="3"/>
      <c r="V25" s="3"/>
      <c r="W25" s="7">
        <f t="shared" ca="1" si="0"/>
        <v>0.13073648912788147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 spans="2:50" x14ac:dyDescent="0.25">
      <c r="B26">
        <v>1951</v>
      </c>
      <c r="C26" s="2">
        <v>0.1646</v>
      </c>
      <c r="H26" s="3"/>
      <c r="I26" s="3">
        <v>1951</v>
      </c>
      <c r="J26" s="7">
        <v>0.1646</v>
      </c>
      <c r="K26" s="7"/>
      <c r="L26" s="7"/>
      <c r="M26" s="7"/>
      <c r="N26" s="7"/>
      <c r="O26" s="7"/>
      <c r="P26" s="7"/>
      <c r="Q26" s="7"/>
      <c r="R26" s="7"/>
      <c r="S26" s="3"/>
      <c r="T26" s="3"/>
      <c r="U26" s="3"/>
      <c r="V26" s="3"/>
      <c r="W26" s="7">
        <f t="shared" ca="1" si="0"/>
        <v>-8.2071499141637264E-2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 spans="2:50" x14ac:dyDescent="0.25">
      <c r="B27">
        <v>1952</v>
      </c>
      <c r="C27" s="2">
        <v>0.11779999999999999</v>
      </c>
      <c r="H27" s="3"/>
      <c r="I27" s="3">
        <v>1952</v>
      </c>
      <c r="J27" s="7">
        <v>0.11779999999999999</v>
      </c>
      <c r="K27" s="7"/>
      <c r="L27" s="7"/>
      <c r="M27" s="7"/>
      <c r="N27" s="7"/>
      <c r="O27" s="7"/>
      <c r="P27" s="7"/>
      <c r="Q27" s="7"/>
      <c r="R27" s="7"/>
      <c r="S27" s="3"/>
      <c r="T27" s="3"/>
      <c r="U27" s="3"/>
      <c r="V27" s="3"/>
      <c r="W27" s="7">
        <f t="shared" ca="1" si="0"/>
        <v>0.30305470079356794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 spans="2:50" x14ac:dyDescent="0.25">
      <c r="B28">
        <v>1953</v>
      </c>
      <c r="C28" s="2">
        <v>-6.6199999999999995E-2</v>
      </c>
      <c r="H28" s="3"/>
      <c r="I28" s="3">
        <v>1953</v>
      </c>
      <c r="J28" s="7">
        <v>-6.6199999999999995E-2</v>
      </c>
      <c r="K28" s="7"/>
      <c r="L28" s="7"/>
      <c r="M28" s="7"/>
      <c r="N28" s="7"/>
      <c r="O28" s="7"/>
      <c r="P28" s="7"/>
      <c r="Q28" s="7"/>
      <c r="R28" s="7"/>
      <c r="S28" s="3"/>
      <c r="T28" s="3"/>
      <c r="U28" s="3"/>
      <c r="V28" s="3"/>
      <c r="W28" s="7">
        <f t="shared" ca="1" si="0"/>
        <v>0.36876160316795131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 spans="2:50" x14ac:dyDescent="0.25">
      <c r="B29">
        <v>1954</v>
      </c>
      <c r="C29" s="2">
        <v>0.45020000000000004</v>
      </c>
      <c r="H29" s="3"/>
      <c r="I29" s="3">
        <v>1954</v>
      </c>
      <c r="J29" s="7">
        <v>0.45020000000000004</v>
      </c>
      <c r="K29" s="7"/>
      <c r="L29" s="7"/>
      <c r="M29" s="7"/>
      <c r="N29" s="7"/>
      <c r="O29" s="7"/>
      <c r="P29" s="7"/>
      <c r="Q29" s="7"/>
      <c r="R29" s="7"/>
      <c r="S29" s="3"/>
      <c r="T29" s="3"/>
      <c r="U29" s="3"/>
      <c r="V29" s="3"/>
      <c r="W29" s="7">
        <f t="shared" ca="1" si="0"/>
        <v>0.17797401570006638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 spans="2:50" x14ac:dyDescent="0.25">
      <c r="B30">
        <v>1955</v>
      </c>
      <c r="C30" s="2">
        <v>0.26400000000000001</v>
      </c>
      <c r="H30" s="3"/>
      <c r="I30" s="3">
        <v>1955</v>
      </c>
      <c r="J30" s="7">
        <v>0.26400000000000001</v>
      </c>
      <c r="K30" s="7"/>
      <c r="L30" s="7"/>
      <c r="M30" s="7"/>
      <c r="N30" s="7"/>
      <c r="O30" s="7"/>
      <c r="P30" s="7"/>
      <c r="Q30" s="7"/>
      <c r="R30" s="7"/>
      <c r="S30" s="3"/>
      <c r="T30" s="3"/>
      <c r="U30" s="3"/>
      <c r="V30" s="3"/>
      <c r="W30" s="7">
        <f t="shared" ca="1" si="0"/>
        <v>0.3144904919212555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 spans="2:50" x14ac:dyDescent="0.25">
      <c r="B31">
        <v>1956</v>
      </c>
      <c r="C31" s="2">
        <v>2.6200000000000001E-2</v>
      </c>
      <c r="H31" s="3"/>
      <c r="I31" s="3">
        <v>1956</v>
      </c>
      <c r="J31" s="7">
        <v>2.6200000000000001E-2</v>
      </c>
      <c r="K31" s="7"/>
      <c r="L31" s="7"/>
      <c r="M31" s="7"/>
      <c r="N31" s="7"/>
      <c r="O31" s="7"/>
      <c r="P31" s="7"/>
      <c r="Q31" s="7"/>
      <c r="R31" s="7"/>
      <c r="S31" s="3"/>
      <c r="T31" s="3"/>
      <c r="U31" s="3"/>
      <c r="V31" s="3"/>
      <c r="W31" s="7">
        <f t="shared" ca="1" si="0"/>
        <v>0.20813473849195196</v>
      </c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 spans="2:50" x14ac:dyDescent="0.25">
      <c r="B32">
        <v>1957</v>
      </c>
      <c r="C32" s="2">
        <v>0.1431</v>
      </c>
      <c r="H32" s="3"/>
      <c r="I32" s="3">
        <v>1957</v>
      </c>
      <c r="J32" s="7">
        <v>0.1431</v>
      </c>
      <c r="K32" s="7"/>
      <c r="L32" s="7"/>
      <c r="M32" s="7"/>
      <c r="N32" s="7"/>
      <c r="O32" s="7"/>
      <c r="P32" s="7"/>
      <c r="Q32" s="7"/>
      <c r="R32" s="7"/>
      <c r="S32" s="3"/>
      <c r="T32" s="3"/>
      <c r="U32" s="3"/>
      <c r="V32" s="3"/>
      <c r="W32" s="7">
        <f t="shared" ca="1" si="0"/>
        <v>0.23607545386501438</v>
      </c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 spans="2:50" x14ac:dyDescent="0.25">
      <c r="B33">
        <v>1958</v>
      </c>
      <c r="C33" s="2">
        <v>0.38060000000000005</v>
      </c>
      <c r="H33" s="3"/>
      <c r="I33" s="3">
        <v>1958</v>
      </c>
      <c r="J33" s="7">
        <v>0.38060000000000005</v>
      </c>
      <c r="K33" s="7"/>
      <c r="L33" s="7"/>
      <c r="M33" s="7"/>
      <c r="N33" s="7"/>
      <c r="O33" s="7"/>
      <c r="P33" s="7"/>
      <c r="Q33" s="7"/>
      <c r="R33" s="7"/>
      <c r="S33" s="3"/>
      <c r="T33" s="3"/>
      <c r="U33" s="3"/>
      <c r="V33" s="3"/>
      <c r="W33" s="7">
        <f t="shared" ca="1" si="0"/>
        <v>-0.24416832054030585</v>
      </c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 spans="2:50" x14ac:dyDescent="0.25">
      <c r="B34">
        <v>1959</v>
      </c>
      <c r="C34" s="2">
        <v>8.48E-2</v>
      </c>
      <c r="H34" s="3"/>
      <c r="I34" s="3">
        <v>1959</v>
      </c>
      <c r="J34" s="7">
        <v>8.48E-2</v>
      </c>
      <c r="K34" s="7"/>
      <c r="L34" s="7"/>
      <c r="M34" s="7"/>
      <c r="N34" s="7"/>
      <c r="O34" s="7"/>
      <c r="P34" s="7"/>
      <c r="Q34" s="7"/>
      <c r="R34" s="7"/>
      <c r="S34" s="3"/>
      <c r="T34" s="3"/>
      <c r="U34" s="3"/>
      <c r="V34" s="3"/>
      <c r="W34" s="7">
        <f t="shared" ca="1" si="0"/>
        <v>0.11241746249468509</v>
      </c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 spans="2:50" x14ac:dyDescent="0.25">
      <c r="B35">
        <v>1960</v>
      </c>
      <c r="C35" s="2">
        <v>-2.9700000000000001E-2</v>
      </c>
      <c r="H35" s="3"/>
      <c r="I35" s="3">
        <v>1960</v>
      </c>
      <c r="J35" s="7">
        <v>-2.9700000000000001E-2</v>
      </c>
      <c r="K35" s="7"/>
      <c r="L35" s="7"/>
      <c r="M35" s="7"/>
      <c r="N35" s="7"/>
      <c r="O35" s="7"/>
      <c r="P35" s="7"/>
      <c r="Q35" s="7"/>
      <c r="R35" s="7"/>
      <c r="S35" s="3"/>
      <c r="T35" s="3"/>
      <c r="U35" s="3"/>
      <c r="V35" s="3"/>
      <c r="W35" s="7">
        <f t="shared" ca="1" si="0"/>
        <v>0.21018859910308441</v>
      </c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 spans="2:50" x14ac:dyDescent="0.25">
      <c r="B36">
        <v>1961</v>
      </c>
      <c r="C36" s="2">
        <v>0.23129999999999998</v>
      </c>
      <c r="H36" s="3"/>
      <c r="I36" s="3">
        <v>1961</v>
      </c>
      <c r="J36" s="7">
        <v>0.23129999999999998</v>
      </c>
      <c r="K36" s="7"/>
      <c r="L36" s="7"/>
      <c r="M36" s="7"/>
      <c r="N36" s="7"/>
      <c r="O36" s="7"/>
      <c r="P36" s="7"/>
      <c r="Q36" s="7"/>
      <c r="R36" s="7"/>
      <c r="S36" s="3"/>
      <c r="T36" s="3"/>
      <c r="U36" s="3"/>
      <c r="V36" s="3"/>
      <c r="W36" s="7">
        <f t="shared" ca="1" si="0"/>
        <v>0.13428411422107014</v>
      </c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 spans="2:50" x14ac:dyDescent="0.25">
      <c r="B37">
        <v>1962</v>
      </c>
      <c r="C37" s="2">
        <v>0.11810000000000001</v>
      </c>
      <c r="H37" s="3"/>
      <c r="I37" s="3">
        <v>1962</v>
      </c>
      <c r="J37" s="7">
        <v>0.11810000000000001</v>
      </c>
      <c r="K37" s="7"/>
      <c r="L37" s="7"/>
      <c r="M37" s="7"/>
      <c r="N37" s="7"/>
      <c r="O37" s="7"/>
      <c r="P37" s="7"/>
      <c r="Q37" s="7"/>
      <c r="R37" s="7"/>
      <c r="S37" s="3"/>
      <c r="T37" s="3"/>
      <c r="U37" s="3"/>
      <c r="V37" s="3"/>
      <c r="W37" s="7">
        <f t="shared" ca="1" si="0"/>
        <v>0.51645243194582735</v>
      </c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 spans="2:50" x14ac:dyDescent="0.25">
      <c r="B38">
        <v>1963</v>
      </c>
      <c r="C38" s="2">
        <v>0.18890000000000001</v>
      </c>
      <c r="H38" s="3"/>
      <c r="I38" s="3">
        <v>1963</v>
      </c>
      <c r="J38" s="7">
        <v>0.18890000000000001</v>
      </c>
      <c r="K38" s="7"/>
      <c r="L38" s="7"/>
      <c r="M38" s="7"/>
      <c r="N38" s="7"/>
      <c r="O38" s="7"/>
      <c r="P38" s="7"/>
      <c r="Q38" s="7"/>
      <c r="R38" s="7"/>
      <c r="S38" s="3"/>
      <c r="T38" s="3"/>
      <c r="U38" s="3"/>
      <c r="V38" s="3"/>
      <c r="W38" s="7">
        <f t="shared" ca="1" si="0"/>
        <v>0.41388664808102688</v>
      </c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 spans="2:50" x14ac:dyDescent="0.25">
      <c r="B39">
        <v>1964</v>
      </c>
      <c r="C39" s="2">
        <v>0.12970000000000001</v>
      </c>
      <c r="H39" s="3"/>
      <c r="I39" s="3">
        <v>1964</v>
      </c>
      <c r="J39" s="7">
        <v>0.12970000000000001</v>
      </c>
      <c r="K39" s="7"/>
      <c r="L39" s="7"/>
      <c r="M39" s="7"/>
      <c r="N39" s="7"/>
      <c r="O39" s="7"/>
      <c r="P39" s="7"/>
      <c r="Q39" s="7"/>
      <c r="R39" s="7"/>
      <c r="S39" s="3"/>
      <c r="T39" s="3"/>
      <c r="U39" s="3"/>
      <c r="V39" s="3"/>
      <c r="W39" s="7">
        <f t="shared" ca="1" si="0"/>
        <v>-2.9622602067002415E-2</v>
      </c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 spans="2:50" x14ac:dyDescent="0.25">
      <c r="B40">
        <v>1965</v>
      </c>
      <c r="C40" s="2">
        <v>9.06E-2</v>
      </c>
      <c r="H40" s="3"/>
      <c r="I40" s="3">
        <v>1965</v>
      </c>
      <c r="J40" s="7">
        <v>9.06E-2</v>
      </c>
      <c r="K40" s="7"/>
      <c r="L40" s="7"/>
      <c r="M40" s="7"/>
      <c r="N40" s="7"/>
      <c r="O40" s="7"/>
      <c r="P40" s="7"/>
      <c r="Q40" s="7"/>
      <c r="R40" s="7"/>
      <c r="S40" s="3"/>
      <c r="T40" s="3"/>
      <c r="U40" s="3"/>
      <c r="V40" s="3"/>
      <c r="W40" s="7">
        <f t="shared" ca="1" si="0"/>
        <v>-0.15271973025305818</v>
      </c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 spans="2:50" x14ac:dyDescent="0.25">
      <c r="B41">
        <v>1966</v>
      </c>
      <c r="C41" s="2">
        <v>0.13089999999999999</v>
      </c>
      <c r="H41" s="3"/>
      <c r="I41" s="3">
        <v>1966</v>
      </c>
      <c r="J41" s="7">
        <v>0.13089999999999999</v>
      </c>
      <c r="K41" s="7"/>
      <c r="L41" s="7"/>
      <c r="M41" s="7"/>
      <c r="N41" s="7"/>
      <c r="O41" s="7"/>
      <c r="P41" s="7"/>
      <c r="Q41" s="7"/>
      <c r="R41" s="7"/>
      <c r="S41" s="3"/>
      <c r="T41" s="3"/>
      <c r="U41" s="3"/>
      <c r="V41" s="3"/>
      <c r="W41" s="7">
        <f t="shared" ca="1" si="0"/>
        <v>0.35215768706645939</v>
      </c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 spans="2:50" x14ac:dyDescent="0.25">
      <c r="B42">
        <v>1967</v>
      </c>
      <c r="C42" s="2">
        <v>0.2009</v>
      </c>
      <c r="H42" s="3"/>
      <c r="I42" s="3">
        <v>1967</v>
      </c>
      <c r="J42" s="7">
        <v>0.2009</v>
      </c>
      <c r="K42" s="7"/>
      <c r="L42" s="7"/>
      <c r="M42" s="7"/>
      <c r="N42" s="7"/>
      <c r="O42" s="7"/>
      <c r="P42" s="7"/>
      <c r="Q42" s="7"/>
      <c r="R42" s="7"/>
      <c r="S42" s="3"/>
      <c r="T42" s="3"/>
      <c r="U42" s="3"/>
      <c r="V42" s="3"/>
      <c r="W42" s="7">
        <f t="shared" ca="1" si="0"/>
        <v>0.35536410181775807</v>
      </c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 spans="2:50" x14ac:dyDescent="0.25">
      <c r="B43">
        <v>1968</v>
      </c>
      <c r="C43" s="2">
        <v>7.6600000000000001E-2</v>
      </c>
      <c r="H43" s="3"/>
      <c r="I43" s="3">
        <v>1968</v>
      </c>
      <c r="J43" s="7">
        <v>7.6600000000000001E-2</v>
      </c>
      <c r="K43" s="7"/>
      <c r="L43" s="7"/>
      <c r="M43" s="7"/>
      <c r="N43" s="7"/>
      <c r="O43" s="7"/>
      <c r="P43" s="7"/>
      <c r="Q43" s="7"/>
      <c r="R43" s="7"/>
      <c r="S43" s="3"/>
      <c r="T43" s="3"/>
      <c r="U43" s="3"/>
      <c r="V43" s="3"/>
      <c r="W43" s="7">
        <f t="shared" ca="1" si="0"/>
        <v>0.1519101515298589</v>
      </c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 spans="2:50" x14ac:dyDescent="0.25">
      <c r="B44">
        <v>1969</v>
      </c>
      <c r="C44" s="2">
        <v>0.11359999999999999</v>
      </c>
      <c r="H44" s="3"/>
      <c r="I44" s="3">
        <v>1969</v>
      </c>
      <c r="J44" s="7">
        <v>0.11359999999999999</v>
      </c>
      <c r="K44" s="7"/>
      <c r="L44" s="7"/>
      <c r="M44" s="7"/>
      <c r="N44" s="7"/>
      <c r="O44" s="7"/>
      <c r="P44" s="7"/>
      <c r="Q44" s="7"/>
      <c r="R44" s="7"/>
      <c r="S44" s="3"/>
      <c r="T44" s="3"/>
      <c r="U44" s="3"/>
      <c r="V44" s="3"/>
      <c r="W44" s="7">
        <f t="shared" ca="1" si="0"/>
        <v>0.21572535890135167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 spans="2:50" x14ac:dyDescent="0.25">
      <c r="B45">
        <v>1970</v>
      </c>
      <c r="C45" s="2">
        <v>1E-3</v>
      </c>
      <c r="H45" s="3"/>
      <c r="I45" s="3">
        <v>1970</v>
      </c>
      <c r="J45" s="7">
        <v>1E-3</v>
      </c>
      <c r="K45" s="7"/>
      <c r="L45" s="7"/>
      <c r="M45" s="7"/>
      <c r="N45" s="7"/>
      <c r="O45" s="7"/>
      <c r="P45" s="7"/>
      <c r="Q45" s="7"/>
      <c r="R45" s="7"/>
      <c r="S45" s="3"/>
      <c r="T45" s="3"/>
      <c r="U45" s="3"/>
      <c r="V45" s="3"/>
      <c r="W45" s="7">
        <f t="shared" ca="1" si="0"/>
        <v>-3.740280298158162E-2</v>
      </c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 spans="2:50" x14ac:dyDescent="0.25">
      <c r="B46">
        <v>1971</v>
      </c>
      <c r="C46" s="2">
        <v>0.1079</v>
      </c>
      <c r="H46" s="3"/>
      <c r="I46" s="3">
        <v>1971</v>
      </c>
      <c r="J46" s="7">
        <v>0.1079</v>
      </c>
      <c r="K46" s="7"/>
      <c r="L46" s="7"/>
      <c r="M46" s="7"/>
      <c r="N46" s="7"/>
      <c r="O46" s="7"/>
      <c r="P46" s="7"/>
      <c r="Q46" s="7"/>
      <c r="R46" s="7"/>
      <c r="S46" s="3"/>
      <c r="T46" s="3"/>
      <c r="U46" s="3"/>
      <c r="V46" s="3"/>
      <c r="W46" s="7">
        <f t="shared" ca="1" si="0"/>
        <v>9.5966651297849342E-2</v>
      </c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 spans="2:50" x14ac:dyDescent="0.25">
      <c r="B47">
        <v>1972</v>
      </c>
      <c r="C47" s="2">
        <v>0.15629999999999999</v>
      </c>
      <c r="H47" s="3"/>
      <c r="I47" s="3">
        <v>1972</v>
      </c>
      <c r="J47" s="7">
        <v>0.15629999999999999</v>
      </c>
      <c r="K47" s="7"/>
      <c r="L47" s="7"/>
      <c r="M47" s="7"/>
      <c r="N47" s="7"/>
      <c r="O47" s="7"/>
      <c r="P47" s="7"/>
      <c r="Q47" s="7"/>
      <c r="R47" s="7"/>
      <c r="S47" s="3"/>
      <c r="T47" s="3"/>
      <c r="U47" s="3"/>
      <c r="V47" s="3"/>
      <c r="W47" s="7">
        <f t="shared" ca="1" si="0"/>
        <v>-0.33672926820903071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 spans="2:50" x14ac:dyDescent="0.25">
      <c r="B48">
        <v>1973</v>
      </c>
      <c r="C48" s="2">
        <v>0.17370000000000002</v>
      </c>
      <c r="H48" s="3"/>
      <c r="I48" s="3">
        <v>1973</v>
      </c>
      <c r="J48" s="7">
        <v>0.17370000000000002</v>
      </c>
      <c r="K48" s="7"/>
      <c r="L48" s="7"/>
      <c r="M48" s="7"/>
      <c r="N48" s="7"/>
      <c r="O48" s="7"/>
      <c r="P48" s="7"/>
      <c r="Q48" s="7"/>
      <c r="R48" s="7"/>
      <c r="S48" s="3"/>
      <c r="T48" s="3"/>
      <c r="U48" s="3"/>
      <c r="V48" s="3"/>
      <c r="W48" s="7">
        <f t="shared" ca="1" si="0"/>
        <v>0.18564377109761587</v>
      </c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 spans="2:50" x14ac:dyDescent="0.25">
      <c r="B49">
        <v>1974</v>
      </c>
      <c r="C49" s="2">
        <v>0.29719999999999996</v>
      </c>
      <c r="H49" s="3"/>
      <c r="I49" s="3">
        <v>1974</v>
      </c>
      <c r="J49" s="7">
        <v>0.29719999999999996</v>
      </c>
      <c r="K49" s="7"/>
      <c r="L49" s="7"/>
      <c r="M49" s="7"/>
      <c r="N49" s="7"/>
      <c r="O49" s="7"/>
      <c r="P49" s="7"/>
      <c r="Q49" s="7"/>
      <c r="R49" s="7"/>
      <c r="S49" s="3"/>
      <c r="T49" s="3"/>
      <c r="U49" s="3"/>
      <c r="V49" s="3"/>
      <c r="W49" s="7">
        <f t="shared" ca="1" si="0"/>
        <v>-0.10548917434010076</v>
      </c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 spans="2:50" x14ac:dyDescent="0.25">
      <c r="B50">
        <v>1975</v>
      </c>
      <c r="C50" s="2">
        <v>0.3155</v>
      </c>
      <c r="H50" s="3"/>
      <c r="I50" s="3">
        <v>1975</v>
      </c>
      <c r="J50" s="7">
        <v>0.3155</v>
      </c>
      <c r="K50" s="7"/>
      <c r="L50" s="7"/>
      <c r="M50" s="7"/>
      <c r="N50" s="7"/>
      <c r="O50" s="7"/>
      <c r="P50" s="7"/>
      <c r="Q50" s="7"/>
      <c r="R50" s="7"/>
      <c r="S50" s="3"/>
      <c r="T50" s="3"/>
      <c r="U50" s="3"/>
      <c r="V50" s="3"/>
      <c r="W50" s="7">
        <f t="shared" ca="1" si="0"/>
        <v>0.28634723433555709</v>
      </c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 spans="2:50" x14ac:dyDescent="0.25">
      <c r="B51">
        <v>1976</v>
      </c>
      <c r="C51" s="2">
        <v>0.19149999999999998</v>
      </c>
      <c r="H51" s="3"/>
      <c r="I51" s="3">
        <v>1976</v>
      </c>
      <c r="J51" s="7">
        <v>0.19149999999999998</v>
      </c>
      <c r="K51" s="7"/>
      <c r="L51" s="7"/>
      <c r="M51" s="7"/>
      <c r="N51" s="7"/>
      <c r="O51" s="7"/>
      <c r="P51" s="7"/>
      <c r="Q51" s="7"/>
      <c r="R51" s="7"/>
      <c r="S51" s="3"/>
      <c r="T51" s="3"/>
      <c r="U51" s="3"/>
      <c r="V51" s="3"/>
      <c r="W51" s="7">
        <f t="shared" ca="1" si="0"/>
        <v>-3.4252565444402028E-3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 spans="2:50" x14ac:dyDescent="0.25">
      <c r="B52">
        <v>1977</v>
      </c>
      <c r="C52" s="2">
        <v>-0.115</v>
      </c>
      <c r="H52" s="3"/>
      <c r="I52" s="3">
        <v>1977</v>
      </c>
      <c r="J52" s="7">
        <v>-0.115</v>
      </c>
      <c r="K52" s="7"/>
      <c r="L52" s="7"/>
      <c r="M52" s="7"/>
      <c r="N52" s="7"/>
      <c r="O52" s="7"/>
      <c r="P52" s="7"/>
      <c r="Q52" s="7"/>
      <c r="R52" s="7"/>
      <c r="S52" s="3"/>
      <c r="T52" s="3"/>
      <c r="U52" s="3"/>
      <c r="V52" s="3"/>
      <c r="W52" s="7">
        <f t="shared" ca="1" si="0"/>
        <v>0.32665467760204364</v>
      </c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 spans="2:50" x14ac:dyDescent="0.25">
      <c r="B53">
        <v>1978</v>
      </c>
      <c r="C53" s="2">
        <v>1.06E-2</v>
      </c>
      <c r="H53" s="3"/>
      <c r="I53" s="3">
        <v>1978</v>
      </c>
      <c r="J53" s="7">
        <v>1.06E-2</v>
      </c>
      <c r="K53" s="7"/>
      <c r="L53" s="7"/>
      <c r="M53" s="7"/>
      <c r="N53" s="7"/>
      <c r="O53" s="7"/>
      <c r="P53" s="7"/>
      <c r="Q53" s="7"/>
      <c r="R53" s="7"/>
      <c r="S53" s="3"/>
      <c r="T53" s="3"/>
      <c r="U53" s="3"/>
      <c r="V53" s="3"/>
      <c r="W53" s="7">
        <f t="shared" ca="1" si="0"/>
        <v>0.20143325312887161</v>
      </c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 spans="2:50" x14ac:dyDescent="0.25">
      <c r="B54">
        <v>1979</v>
      </c>
      <c r="C54" s="2">
        <v>0.1231</v>
      </c>
      <c r="H54" s="3"/>
      <c r="I54" s="3">
        <v>1979</v>
      </c>
      <c r="J54" s="7">
        <v>0.1231</v>
      </c>
      <c r="K54" s="7"/>
      <c r="L54" s="7"/>
      <c r="M54" s="7"/>
      <c r="N54" s="7"/>
      <c r="O54" s="7"/>
      <c r="P54" s="7"/>
      <c r="Q54" s="7"/>
      <c r="R54" s="7"/>
      <c r="S54" s="3"/>
      <c r="T54" s="3"/>
      <c r="U54" s="3"/>
      <c r="V54" s="3"/>
      <c r="W54" s="7">
        <f t="shared" ca="1" si="0"/>
        <v>0.18940415328750376</v>
      </c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 spans="2:50" x14ac:dyDescent="0.25">
      <c r="B55">
        <v>1980</v>
      </c>
      <c r="C55" s="2">
        <v>0.25769999999999998</v>
      </c>
      <c r="H55" s="3"/>
      <c r="I55" s="3">
        <v>1980</v>
      </c>
      <c r="J55" s="7">
        <v>0.25769999999999998</v>
      </c>
      <c r="K55" s="7"/>
      <c r="L55" s="7"/>
      <c r="M55" s="7"/>
      <c r="N55" s="7"/>
      <c r="O55" s="7"/>
      <c r="P55" s="7"/>
      <c r="Q55" s="7"/>
      <c r="R55" s="7"/>
      <c r="S55" s="3"/>
      <c r="T55" s="3"/>
      <c r="U55" s="3"/>
      <c r="V55" s="3"/>
      <c r="W55" s="7">
        <f t="shared" ca="1" si="0"/>
        <v>0.21850364782066589</v>
      </c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 spans="2:50" x14ac:dyDescent="0.25">
      <c r="B56">
        <v>1981</v>
      </c>
      <c r="C56" s="2">
        <v>-9.7299999999999998E-2</v>
      </c>
      <c r="H56" s="3"/>
      <c r="I56" s="3">
        <v>1981</v>
      </c>
      <c r="J56" s="7">
        <v>-9.7299999999999998E-2</v>
      </c>
      <c r="K56" s="7"/>
      <c r="L56" s="7"/>
      <c r="M56" s="7"/>
      <c r="N56" s="7"/>
      <c r="O56" s="7"/>
      <c r="P56" s="7"/>
      <c r="Q56" s="7"/>
      <c r="R56" s="7"/>
      <c r="S56" s="3"/>
      <c r="T56" s="3"/>
      <c r="U56" s="3"/>
      <c r="V56" s="3"/>
      <c r="W56" s="7">
        <f t="shared" ca="1" si="0"/>
        <v>0.32868589240996132</v>
      </c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 spans="2:50" x14ac:dyDescent="0.25">
      <c r="B57">
        <v>1982</v>
      </c>
      <c r="C57" s="2">
        <v>0.14760000000000001</v>
      </c>
      <c r="H57" s="3"/>
      <c r="I57" s="3">
        <v>1982</v>
      </c>
      <c r="J57" s="7">
        <v>0.14760000000000001</v>
      </c>
      <c r="K57" s="7"/>
      <c r="L57" s="7"/>
      <c r="M57" s="7"/>
      <c r="N57" s="7"/>
      <c r="O57" s="7"/>
      <c r="P57" s="7"/>
      <c r="Q57" s="7"/>
      <c r="R57" s="7"/>
      <c r="S57" s="3"/>
      <c r="T57" s="3"/>
      <c r="U57" s="3"/>
      <c r="V57" s="3"/>
      <c r="W57" s="7">
        <f t="shared" ca="1" si="0"/>
        <v>-5.5647509989108515E-2</v>
      </c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 spans="2:50" x14ac:dyDescent="0.25">
      <c r="B58">
        <v>1983</v>
      </c>
      <c r="C58" s="2">
        <v>0.17269999999999999</v>
      </c>
      <c r="H58" s="3"/>
      <c r="I58" s="3">
        <v>1983</v>
      </c>
      <c r="J58" s="7">
        <v>0.17269999999999999</v>
      </c>
      <c r="K58" s="7"/>
      <c r="L58" s="7"/>
      <c r="M58" s="7"/>
      <c r="N58" s="7"/>
      <c r="O58" s="7"/>
      <c r="P58" s="7"/>
      <c r="Q58" s="7"/>
      <c r="R58" s="7"/>
      <c r="S58" s="3"/>
      <c r="T58" s="3"/>
      <c r="U58" s="3"/>
      <c r="V58" s="3"/>
      <c r="W58" s="7">
        <f t="shared" ca="1" si="0"/>
        <v>0.12274973168413612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 spans="2:50" x14ac:dyDescent="0.25">
      <c r="B59">
        <v>1984</v>
      </c>
      <c r="C59" s="2">
        <v>1.3999999999999999E-2</v>
      </c>
      <c r="H59" s="3"/>
      <c r="I59" s="3">
        <v>1984</v>
      </c>
      <c r="J59" s="7">
        <v>1.3999999999999999E-2</v>
      </c>
      <c r="K59" s="7"/>
      <c r="L59" s="7"/>
      <c r="M59" s="7"/>
      <c r="N59" s="7"/>
      <c r="O59" s="7"/>
      <c r="P59" s="7"/>
      <c r="Q59" s="7"/>
      <c r="R59" s="7"/>
      <c r="S59" s="3"/>
      <c r="T59" s="3"/>
      <c r="U59" s="3"/>
      <c r="V59" s="3"/>
      <c r="W59" s="7">
        <f t="shared" ca="1" si="0"/>
        <v>6.948900176055442E-2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spans="2:50" x14ac:dyDescent="0.25">
      <c r="B60">
        <v>1985</v>
      </c>
      <c r="C60" s="2">
        <v>0.26329999999999998</v>
      </c>
      <c r="H60" s="3"/>
      <c r="I60" s="3">
        <v>1985</v>
      </c>
      <c r="J60" s="7">
        <v>0.26329999999999998</v>
      </c>
      <c r="K60" s="7"/>
      <c r="L60" s="7"/>
      <c r="M60" s="7"/>
      <c r="N60" s="7"/>
      <c r="O60" s="7"/>
      <c r="P60" s="7"/>
      <c r="Q60" s="7"/>
      <c r="R60" s="7"/>
      <c r="S60" s="3"/>
      <c r="T60" s="3"/>
      <c r="U60" s="3"/>
      <c r="V60" s="3"/>
      <c r="W60" s="7">
        <f t="shared" ca="1" si="0"/>
        <v>-9.9476323938591418E-2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 spans="2:50" x14ac:dyDescent="0.25">
      <c r="B61">
        <v>1986</v>
      </c>
      <c r="C61" s="2">
        <v>0.1462</v>
      </c>
      <c r="H61" s="3"/>
      <c r="I61" s="3">
        <v>1986</v>
      </c>
      <c r="J61" s="7">
        <v>0.1462</v>
      </c>
      <c r="K61" s="7"/>
      <c r="L61" s="7"/>
      <c r="M61" s="7"/>
      <c r="N61" s="7"/>
      <c r="O61" s="7"/>
      <c r="P61" s="7"/>
      <c r="Q61" s="7"/>
      <c r="R61" s="7"/>
      <c r="S61" s="3"/>
      <c r="T61" s="3"/>
      <c r="U61" s="3"/>
      <c r="V61" s="3"/>
      <c r="W61" s="7">
        <f t="shared" ca="1" si="0"/>
        <v>-0.12563857849598609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 spans="2:50" x14ac:dyDescent="0.25">
      <c r="B62">
        <v>1987</v>
      </c>
      <c r="C62" s="2">
        <v>2.0299999999999999E-2</v>
      </c>
      <c r="H62" s="3"/>
      <c r="I62" s="3">
        <v>1987</v>
      </c>
      <c r="J62" s="7">
        <v>2.0299999999999999E-2</v>
      </c>
      <c r="K62" s="7"/>
      <c r="L62" s="7"/>
      <c r="M62" s="7"/>
      <c r="N62" s="7"/>
      <c r="O62" s="7"/>
      <c r="P62" s="7"/>
      <c r="Q62" s="7"/>
      <c r="R62" s="7"/>
      <c r="S62" s="3"/>
      <c r="T62" s="3"/>
      <c r="U62" s="3"/>
      <c r="V62" s="3"/>
      <c r="W62" s="7">
        <f t="shared" ca="1" si="0"/>
        <v>-4.8342679740055877E-3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 spans="2:50" x14ac:dyDescent="0.25">
      <c r="B63">
        <v>1988</v>
      </c>
      <c r="C63" s="2">
        <v>0.124</v>
      </c>
      <c r="H63" s="3"/>
      <c r="I63" s="3">
        <v>1988</v>
      </c>
      <c r="J63" s="7">
        <v>0.124</v>
      </c>
      <c r="K63" s="7"/>
      <c r="L63" s="7"/>
      <c r="M63" s="7"/>
      <c r="N63" s="7"/>
      <c r="O63" s="7"/>
      <c r="P63" s="7"/>
      <c r="Q63" s="7"/>
      <c r="R63" s="7"/>
      <c r="S63" s="3"/>
      <c r="T63" s="3"/>
      <c r="U63" s="3"/>
      <c r="V63" s="3"/>
      <c r="W63" s="7">
        <f t="shared" ca="1" si="0"/>
        <v>0.12900757875120805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 spans="2:50" x14ac:dyDescent="0.25">
      <c r="B64">
        <v>1989</v>
      </c>
      <c r="C64" s="2">
        <v>0.27250000000000002</v>
      </c>
      <c r="H64" s="3"/>
      <c r="I64" s="3">
        <v>1989</v>
      </c>
      <c r="J64" s="7">
        <v>0.27250000000000002</v>
      </c>
      <c r="K64" s="7"/>
      <c r="L64" s="7"/>
      <c r="M64" s="7"/>
      <c r="N64" s="7"/>
      <c r="O64" s="7"/>
      <c r="P64" s="7"/>
      <c r="Q64" s="7"/>
      <c r="R64" s="7"/>
      <c r="S64" s="3"/>
      <c r="T64" s="3"/>
      <c r="U64" s="3"/>
      <c r="V64" s="3"/>
      <c r="W64" s="7">
        <f t="shared" ca="1" si="0"/>
        <v>-0.22982095261721225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 spans="2:50" x14ac:dyDescent="0.25">
      <c r="B65">
        <v>1990</v>
      </c>
      <c r="C65" s="2">
        <v>-6.5599999999999992E-2</v>
      </c>
      <c r="H65" s="3"/>
      <c r="I65" s="3">
        <v>1990</v>
      </c>
      <c r="J65" s="7">
        <v>-6.5599999999999992E-2</v>
      </c>
      <c r="K65" s="7"/>
      <c r="L65" s="7"/>
      <c r="M65" s="7"/>
      <c r="N65" s="7"/>
      <c r="O65" s="7"/>
      <c r="P65" s="7"/>
      <c r="Q65" s="7"/>
      <c r="R65" s="7"/>
      <c r="S65" s="3"/>
      <c r="T65" s="3"/>
      <c r="U65" s="3"/>
      <c r="V65" s="3"/>
      <c r="W65" s="7">
        <f t="shared" ca="1" si="0"/>
        <v>-5.7142597168277007E-2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 spans="2:50" x14ac:dyDescent="0.25">
      <c r="B66">
        <v>1991</v>
      </c>
      <c r="C66" s="2">
        <v>0.2631</v>
      </c>
      <c r="H66" s="3"/>
      <c r="I66" s="3">
        <v>1991</v>
      </c>
      <c r="J66" s="7">
        <v>0.2631</v>
      </c>
      <c r="K66" s="7"/>
      <c r="L66" s="7"/>
      <c r="M66" s="7"/>
      <c r="N66" s="7"/>
      <c r="O66" s="7"/>
      <c r="P66" s="7"/>
      <c r="Q66" s="7"/>
      <c r="R66" s="7"/>
      <c r="S66" s="3"/>
      <c r="T66" s="3"/>
      <c r="U66" s="3"/>
      <c r="V66" s="3"/>
      <c r="W66" s="7">
        <f t="shared" ca="1" si="0"/>
        <v>0.2818147830577637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 spans="2:50" x14ac:dyDescent="0.25">
      <c r="B67">
        <v>1992</v>
      </c>
      <c r="C67" s="2">
        <v>4.4600000000000001E-2</v>
      </c>
      <c r="H67" s="3"/>
      <c r="I67" s="3">
        <v>1992</v>
      </c>
      <c r="J67" s="7">
        <v>4.4600000000000001E-2</v>
      </c>
      <c r="K67" s="7"/>
      <c r="L67" s="7"/>
      <c r="M67" s="7"/>
      <c r="N67" s="7"/>
      <c r="O67" s="7"/>
      <c r="P67" s="7"/>
      <c r="Q67" s="7"/>
      <c r="R67" s="7"/>
      <c r="S67" s="3"/>
      <c r="T67" s="3"/>
      <c r="U67" s="3"/>
      <c r="V67" s="3"/>
      <c r="W67" s="7">
        <f t="shared" ca="1" si="0"/>
        <v>0.36407256107503555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 spans="2:50" x14ac:dyDescent="0.25">
      <c r="B68">
        <v>1993</v>
      </c>
      <c r="C68" s="2">
        <v>7.0599999999999996E-2</v>
      </c>
      <c r="H68" s="3"/>
      <c r="I68" s="3">
        <v>1993</v>
      </c>
      <c r="J68" s="7">
        <v>7.0599999999999996E-2</v>
      </c>
      <c r="K68" s="7"/>
      <c r="L68" s="7"/>
      <c r="M68" s="7"/>
      <c r="N68" s="7"/>
      <c r="O68" s="7"/>
      <c r="P68" s="7"/>
      <c r="Q68" s="7"/>
      <c r="R68" s="7"/>
      <c r="S68" s="3"/>
      <c r="T68" s="3"/>
      <c r="U68" s="3"/>
      <c r="V68" s="3"/>
      <c r="W68" s="7">
        <f t="shared" ca="1" si="0"/>
        <v>-2.3086959011830846E-2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 spans="2:50" x14ac:dyDescent="0.25">
      <c r="B69">
        <v>1994</v>
      </c>
      <c r="C69" s="2">
        <v>-1.54E-2</v>
      </c>
      <c r="H69" s="3"/>
      <c r="I69" s="3">
        <v>1994</v>
      </c>
      <c r="J69" s="7">
        <v>-1.54E-2</v>
      </c>
      <c r="K69" s="7"/>
      <c r="L69" s="7"/>
      <c r="M69" s="7"/>
      <c r="N69" s="7"/>
      <c r="O69" s="7"/>
      <c r="P69" s="7"/>
      <c r="Q69" s="7"/>
      <c r="R69" s="7"/>
      <c r="S69" s="3"/>
      <c r="T69" s="3"/>
      <c r="U69" s="3"/>
      <c r="V69" s="3"/>
      <c r="W69" s="7">
        <f t="shared" ca="1" si="0"/>
        <v>4.202387695212792E-2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 spans="2:50" x14ac:dyDescent="0.25">
      <c r="B70">
        <v>1995</v>
      </c>
      <c r="C70" s="2">
        <v>0.34110000000000001</v>
      </c>
      <c r="H70" s="3"/>
      <c r="I70" s="3">
        <v>1995</v>
      </c>
      <c r="J70" s="7">
        <v>0.34110000000000001</v>
      </c>
      <c r="K70" s="7"/>
      <c r="L70" s="7"/>
      <c r="M70" s="7"/>
      <c r="N70" s="7"/>
      <c r="O70" s="7"/>
      <c r="P70" s="7"/>
      <c r="Q70" s="7"/>
      <c r="R70" s="7"/>
      <c r="S70" s="3"/>
      <c r="T70" s="3"/>
      <c r="U70" s="3"/>
      <c r="V70" s="3"/>
      <c r="W70" s="7">
        <f t="shared" ref="W70:W133" ca="1" si="1">+NORMINV(RAND(),$U$2,$U$3)</f>
        <v>-3.2298847177277254E-2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 spans="2:50" x14ac:dyDescent="0.25">
      <c r="B71">
        <v>1996</v>
      </c>
      <c r="C71" s="2">
        <v>0.2026</v>
      </c>
      <c r="H71" s="3"/>
      <c r="I71" s="3">
        <v>1996</v>
      </c>
      <c r="J71" s="7">
        <v>0.2026</v>
      </c>
      <c r="K71" s="7"/>
      <c r="L71" s="7"/>
      <c r="M71" s="7"/>
      <c r="N71" s="7"/>
      <c r="O71" s="7"/>
      <c r="P71" s="7"/>
      <c r="Q71" s="7"/>
      <c r="R71" s="7"/>
      <c r="S71" s="3"/>
      <c r="T71" s="3"/>
      <c r="U71" s="3"/>
      <c r="V71" s="3"/>
      <c r="W71" s="7">
        <f t="shared" ca="1" si="1"/>
        <v>1.1801440310805877E-2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 spans="2:50" x14ac:dyDescent="0.25">
      <c r="B72">
        <v>1997</v>
      </c>
      <c r="C72" s="2">
        <v>0.31010000000000004</v>
      </c>
      <c r="H72" s="3"/>
      <c r="I72" s="3">
        <v>1997</v>
      </c>
      <c r="J72" s="7">
        <v>0.31010000000000004</v>
      </c>
      <c r="K72" s="7"/>
      <c r="L72" s="7"/>
      <c r="M72" s="7"/>
      <c r="N72" s="7"/>
      <c r="O72" s="7"/>
      <c r="P72" s="7"/>
      <c r="Q72" s="7"/>
      <c r="R72" s="7"/>
      <c r="S72" s="3"/>
      <c r="T72" s="3"/>
      <c r="U72" s="3"/>
      <c r="V72" s="3"/>
      <c r="W72" s="7">
        <f t="shared" ca="1" si="1"/>
        <v>0.13308311429001779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 spans="2:50" x14ac:dyDescent="0.25">
      <c r="B73">
        <v>1998</v>
      </c>
      <c r="C73" s="2">
        <v>0.26669999999999999</v>
      </c>
      <c r="H73" s="3"/>
      <c r="I73" s="3">
        <v>1998</v>
      </c>
      <c r="J73" s="7">
        <v>0.26669999999999999</v>
      </c>
      <c r="K73" s="7"/>
      <c r="L73" s="7"/>
      <c r="M73" s="7"/>
      <c r="N73" s="7"/>
      <c r="O73" s="7"/>
      <c r="P73" s="7"/>
      <c r="Q73" s="7"/>
      <c r="R73" s="7"/>
      <c r="S73" s="3"/>
      <c r="T73" s="3"/>
      <c r="U73" s="3"/>
      <c r="V73" s="3"/>
      <c r="W73" s="7">
        <f t="shared" ca="1" si="1"/>
        <v>0.21847947604330059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 spans="2:50" x14ac:dyDescent="0.25">
      <c r="B74">
        <v>1999</v>
      </c>
      <c r="C74" s="2">
        <v>0.1953</v>
      </c>
      <c r="H74" s="3"/>
      <c r="I74" s="3">
        <v>1999</v>
      </c>
      <c r="J74" s="7">
        <v>0.1953</v>
      </c>
      <c r="K74" s="7"/>
      <c r="L74" s="7"/>
      <c r="M74" s="7"/>
      <c r="N74" s="7"/>
      <c r="O74" s="7"/>
      <c r="P74" s="7"/>
      <c r="Q74" s="7"/>
      <c r="R74" s="7"/>
      <c r="S74" s="3"/>
      <c r="T74" s="3"/>
      <c r="U74" s="3"/>
      <c r="V74" s="3"/>
      <c r="W74" s="7">
        <f t="shared" ca="1" si="1"/>
        <v>0.56718249936784004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 spans="2:50" x14ac:dyDescent="0.25">
      <c r="B75">
        <v>2000</v>
      </c>
      <c r="C75" s="2">
        <v>0.1014</v>
      </c>
      <c r="H75" s="3"/>
      <c r="I75" s="3">
        <v>2000</v>
      </c>
      <c r="J75" s="7">
        <v>0.1014</v>
      </c>
      <c r="K75" s="7"/>
      <c r="L75" s="7"/>
      <c r="M75" s="7"/>
      <c r="N75" s="7"/>
      <c r="O75" s="7"/>
      <c r="P75" s="7"/>
      <c r="Q75" s="7"/>
      <c r="R75" s="7"/>
      <c r="S75" s="3"/>
      <c r="T75" s="3"/>
      <c r="U75" s="3"/>
      <c r="V75" s="3"/>
      <c r="W75" s="7">
        <f t="shared" ca="1" si="1"/>
        <v>0.36108107753116553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 spans="2:50" x14ac:dyDescent="0.25">
      <c r="B76">
        <v>2001</v>
      </c>
      <c r="C76" s="2">
        <v>0.13039999999999999</v>
      </c>
      <c r="H76" s="3"/>
      <c r="I76" s="3">
        <v>2001</v>
      </c>
      <c r="J76" s="7">
        <v>0.13039999999999999</v>
      </c>
      <c r="K76" s="7"/>
      <c r="L76" s="7"/>
      <c r="M76" s="7"/>
      <c r="N76" s="7"/>
      <c r="O76" s="7"/>
      <c r="P76" s="7"/>
      <c r="Q76" s="7"/>
      <c r="R76" s="7"/>
      <c r="S76" s="3"/>
      <c r="T76" s="3"/>
      <c r="U76" s="3"/>
      <c r="V76" s="3"/>
      <c r="W76" s="7">
        <f t="shared" ca="1" si="1"/>
        <v>0.37714697913356998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 spans="2:50" x14ac:dyDescent="0.25">
      <c r="B77">
        <v>2002</v>
      </c>
      <c r="C77" s="2">
        <v>0.23370000000000002</v>
      </c>
      <c r="H77" s="3"/>
      <c r="I77" s="3">
        <v>2002</v>
      </c>
      <c r="J77" s="7">
        <v>0.23370000000000002</v>
      </c>
      <c r="K77" s="7"/>
      <c r="L77" s="7"/>
      <c r="M77" s="7"/>
      <c r="N77" s="7"/>
      <c r="O77" s="7"/>
      <c r="P77" s="7"/>
      <c r="Q77" s="7"/>
      <c r="R77" s="7"/>
      <c r="S77" s="3"/>
      <c r="T77" s="3"/>
      <c r="U77" s="3"/>
      <c r="V77" s="3"/>
      <c r="W77" s="7">
        <f t="shared" ca="1" si="1"/>
        <v>0.12754196298338846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 spans="2:50" x14ac:dyDescent="0.25">
      <c r="B78">
        <v>2003</v>
      </c>
      <c r="C78" s="2">
        <v>0.26379999999999998</v>
      </c>
      <c r="H78" s="3"/>
      <c r="I78" s="3">
        <v>2003</v>
      </c>
      <c r="J78" s="7">
        <v>0.26379999999999998</v>
      </c>
      <c r="K78" s="7"/>
      <c r="L78" s="7"/>
      <c r="M78" s="7"/>
      <c r="N78" s="7"/>
      <c r="O78" s="7"/>
      <c r="P78" s="7"/>
      <c r="Q78" s="7"/>
      <c r="R78" s="7"/>
      <c r="S78" s="3"/>
      <c r="T78" s="3"/>
      <c r="U78" s="3"/>
      <c r="V78" s="3"/>
      <c r="W78" s="7">
        <f t="shared" ca="1" si="1"/>
        <v>0.27437076000547089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 spans="2:50" x14ac:dyDescent="0.25">
      <c r="B79">
        <v>2004</v>
      </c>
      <c r="C79" s="2">
        <v>8.9900000000000008E-2</v>
      </c>
      <c r="H79" s="3"/>
      <c r="I79" s="3">
        <v>2004</v>
      </c>
      <c r="J79" s="7">
        <v>8.9900000000000008E-2</v>
      </c>
      <c r="K79" s="7"/>
      <c r="L79" s="7"/>
      <c r="M79" s="7"/>
      <c r="N79" s="7"/>
      <c r="O79" s="7"/>
      <c r="P79" s="7"/>
      <c r="Q79" s="7"/>
      <c r="R79" s="7"/>
      <c r="S79" s="3"/>
      <c r="T79" s="3"/>
      <c r="U79" s="3"/>
      <c r="V79" s="3"/>
      <c r="W79" s="7">
        <f t="shared" ca="1" si="1"/>
        <v>0.35990100228361771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 spans="2:50" x14ac:dyDescent="0.25">
      <c r="B80">
        <v>2005</v>
      </c>
      <c r="C80" s="2">
        <v>-0.30299999999999999</v>
      </c>
      <c r="H80" s="3"/>
      <c r="I80" s="3">
        <v>2005</v>
      </c>
      <c r="J80" s="7">
        <v>-0.30299999999999999</v>
      </c>
      <c r="K80" s="7"/>
      <c r="L80" s="7"/>
      <c r="M80" s="7"/>
      <c r="N80" s="7"/>
      <c r="O80" s="7"/>
      <c r="P80" s="7"/>
      <c r="Q80" s="7"/>
      <c r="R80" s="7"/>
      <c r="S80" s="3"/>
      <c r="T80" s="3"/>
      <c r="U80" s="3"/>
      <c r="V80" s="3"/>
      <c r="W80" s="7">
        <f t="shared" ca="1" si="1"/>
        <v>0.41096135423456309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 spans="2:50" x14ac:dyDescent="0.25">
      <c r="B81">
        <v>2006</v>
      </c>
      <c r="C81" s="2">
        <v>0.13619999999999999</v>
      </c>
      <c r="H81" s="3"/>
      <c r="I81" s="3">
        <v>2006</v>
      </c>
      <c r="J81" s="7">
        <v>0.13619999999999999</v>
      </c>
      <c r="K81" s="7"/>
      <c r="L81" s="7"/>
      <c r="M81" s="7"/>
      <c r="N81" s="7"/>
      <c r="O81" s="7"/>
      <c r="P81" s="7"/>
      <c r="Q81" s="7"/>
      <c r="R81" s="7"/>
      <c r="S81" s="3"/>
      <c r="T81" s="3"/>
      <c r="U81" s="3"/>
      <c r="V81" s="3"/>
      <c r="W81" s="7">
        <f t="shared" ca="1" si="1"/>
        <v>-2.2666640545480246E-2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 spans="2:50" x14ac:dyDescent="0.25">
      <c r="B82">
        <v>2007</v>
      </c>
      <c r="C82" s="2">
        <v>3.5299999999999998E-2</v>
      </c>
      <c r="H82" s="3"/>
      <c r="I82" s="3">
        <v>2007</v>
      </c>
      <c r="J82" s="7">
        <v>3.5299999999999998E-2</v>
      </c>
      <c r="K82" s="7"/>
      <c r="L82" s="7"/>
      <c r="M82" s="7"/>
      <c r="N82" s="7"/>
      <c r="O82" s="7"/>
      <c r="P82" s="7"/>
      <c r="Q82" s="7"/>
      <c r="R82" s="7"/>
      <c r="S82" s="3"/>
      <c r="T82" s="3"/>
      <c r="U82" s="3"/>
      <c r="V82" s="3"/>
      <c r="W82" s="7">
        <f t="shared" ca="1" si="1"/>
        <v>5.7563627241461732E-2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 spans="2:50" x14ac:dyDescent="0.25">
      <c r="B83">
        <v>2008</v>
      </c>
      <c r="C83" s="2">
        <v>0.38490000000000002</v>
      </c>
      <c r="H83" s="3"/>
      <c r="I83" s="3">
        <v>2008</v>
      </c>
      <c r="J83" s="7">
        <v>0.38490000000000002</v>
      </c>
      <c r="K83" s="7"/>
      <c r="L83" s="7"/>
      <c r="M83" s="7"/>
      <c r="N83" s="7"/>
      <c r="O83" s="7"/>
      <c r="P83" s="7"/>
      <c r="Q83" s="7"/>
      <c r="R83" s="7"/>
      <c r="S83" s="3"/>
      <c r="T83" s="3"/>
      <c r="U83" s="3"/>
      <c r="V83" s="3"/>
      <c r="W83" s="7">
        <f t="shared" ca="1" si="1"/>
        <v>-2.5680431190143418E-2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 spans="2:50" x14ac:dyDescent="0.25">
      <c r="B84">
        <v>2009</v>
      </c>
      <c r="C84" s="2">
        <v>0.23449999999999999</v>
      </c>
      <c r="H84" s="3"/>
      <c r="I84" s="3">
        <v>2009</v>
      </c>
      <c r="J84" s="7">
        <v>0.23449999999999999</v>
      </c>
      <c r="K84" s="7"/>
      <c r="L84" s="7"/>
      <c r="M84" s="7"/>
      <c r="N84" s="7"/>
      <c r="O84" s="7"/>
      <c r="P84" s="7"/>
      <c r="Q84" s="7"/>
      <c r="R84" s="7"/>
      <c r="S84" s="3"/>
      <c r="T84" s="3"/>
      <c r="U84" s="3"/>
      <c r="V84" s="3"/>
      <c r="W84" s="7">
        <f t="shared" ca="1" si="1"/>
        <v>9.7147391791873566E-2</v>
      </c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 spans="2:50" x14ac:dyDescent="0.25">
      <c r="B85">
        <v>2010</v>
      </c>
      <c r="C85" s="2">
        <v>0.1278</v>
      </c>
      <c r="H85" s="3"/>
      <c r="I85" s="3">
        <v>2010</v>
      </c>
      <c r="J85" s="7">
        <v>0.1278</v>
      </c>
      <c r="K85" s="7"/>
      <c r="L85" s="7"/>
      <c r="M85" s="7"/>
      <c r="N85" s="7"/>
      <c r="O85" s="7"/>
      <c r="P85" s="7"/>
      <c r="Q85" s="7"/>
      <c r="R85" s="7"/>
      <c r="S85" s="3"/>
      <c r="T85" s="3"/>
      <c r="U85" s="3"/>
      <c r="V85" s="3"/>
      <c r="W85" s="7">
        <f t="shared" ca="1" si="1"/>
        <v>0.36038821386479264</v>
      </c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 spans="2:50" x14ac:dyDescent="0.25">
      <c r="B86">
        <v>2011</v>
      </c>
      <c r="C86" s="2">
        <v>-0.3</v>
      </c>
      <c r="H86" s="3"/>
      <c r="I86" s="3">
        <v>2011</v>
      </c>
      <c r="J86" s="7">
        <v>-0.3</v>
      </c>
      <c r="K86" s="7"/>
      <c r="L86" s="7"/>
      <c r="M86" s="7"/>
      <c r="N86" s="7"/>
      <c r="O86" s="7"/>
      <c r="P86" s="7"/>
      <c r="Q86" s="7"/>
      <c r="R86" s="7"/>
      <c r="S86" s="3"/>
      <c r="T86" s="3"/>
      <c r="U86" s="3"/>
      <c r="V86" s="3"/>
      <c r="W86" s="7">
        <f t="shared" ca="1" si="1"/>
        <v>0.29435840023616167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 spans="2:50" x14ac:dyDescent="0.25">
      <c r="B87">
        <v>2012</v>
      </c>
      <c r="C87" s="2">
        <v>0.1341</v>
      </c>
      <c r="H87" s="3"/>
      <c r="I87" s="3">
        <v>2012</v>
      </c>
      <c r="J87" s="7">
        <v>0.1341</v>
      </c>
      <c r="K87" s="7"/>
      <c r="L87" s="7"/>
      <c r="M87" s="7"/>
      <c r="N87" s="7"/>
      <c r="O87" s="7"/>
      <c r="P87" s="7"/>
      <c r="Q87" s="7"/>
      <c r="R87" s="7"/>
      <c r="S87" s="3"/>
      <c r="T87" s="3"/>
      <c r="U87" s="3"/>
      <c r="V87" s="3"/>
      <c r="W87" s="7">
        <f t="shared" ca="1" si="1"/>
        <v>0.11826508211571223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 spans="2:50" x14ac:dyDescent="0.25">
      <c r="B88">
        <v>2013</v>
      </c>
      <c r="C88" s="2">
        <v>0.29600000000000004</v>
      </c>
      <c r="H88" s="3"/>
      <c r="I88" s="3">
        <v>2013</v>
      </c>
      <c r="J88" s="7">
        <v>0.29600000000000004</v>
      </c>
      <c r="K88" s="7"/>
      <c r="L88" s="7"/>
      <c r="M88" s="7"/>
      <c r="N88" s="7"/>
      <c r="O88" s="7"/>
      <c r="P88" s="7"/>
      <c r="Q88" s="7"/>
      <c r="R88" s="7"/>
      <c r="S88" s="3"/>
      <c r="T88" s="3"/>
      <c r="U88" s="3"/>
      <c r="V88" s="3"/>
      <c r="W88" s="7">
        <f t="shared" ca="1" si="1"/>
        <v>0.4517063431921931</v>
      </c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 spans="2:50" x14ac:dyDescent="0.25">
      <c r="B89">
        <v>2014</v>
      </c>
      <c r="C89" s="2">
        <v>0.1139</v>
      </c>
      <c r="H89" s="3"/>
      <c r="I89" s="3">
        <v>2014</v>
      </c>
      <c r="J89" s="7">
        <v>0.1139</v>
      </c>
      <c r="K89" s="7"/>
      <c r="L89" s="7"/>
      <c r="M89" s="7"/>
      <c r="N89" s="7"/>
      <c r="O89" s="7"/>
      <c r="P89" s="7"/>
      <c r="Q89" s="7"/>
      <c r="R89" s="7"/>
      <c r="S89" s="3"/>
      <c r="T89" s="3"/>
      <c r="U89" s="3"/>
      <c r="V89" s="3"/>
      <c r="W89" s="7">
        <f t="shared" ca="1" si="1"/>
        <v>0.10325857645204307</v>
      </c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 spans="2:50" x14ac:dyDescent="0.25">
      <c r="B90">
        <v>2015</v>
      </c>
      <c r="C90" s="2">
        <v>-7.3000000000000001E-3</v>
      </c>
      <c r="H90" s="3"/>
      <c r="I90" s="3">
        <v>2015</v>
      </c>
      <c r="J90" s="7">
        <v>-7.3000000000000001E-3</v>
      </c>
      <c r="K90" s="7"/>
      <c r="L90" s="7"/>
      <c r="M90" s="7"/>
      <c r="N90" s="7"/>
      <c r="O90" s="7"/>
      <c r="P90" s="7"/>
      <c r="Q90" s="7"/>
      <c r="R90" s="7"/>
      <c r="S90" s="3"/>
      <c r="T90" s="3"/>
      <c r="U90" s="3"/>
      <c r="V90" s="3"/>
      <c r="W90" s="7">
        <f t="shared" ca="1" si="1"/>
        <v>1.7264743147391154E-2</v>
      </c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 spans="2:50" x14ac:dyDescent="0.25">
      <c r="B91">
        <v>2016</v>
      </c>
      <c r="C91" s="2">
        <v>9.5399999999999985E-2</v>
      </c>
      <c r="H91" s="3"/>
      <c r="I91" s="3">
        <v>2016</v>
      </c>
      <c r="J91" s="7">
        <v>9.5399999999999985E-2</v>
      </c>
      <c r="K91" s="7"/>
      <c r="L91" s="7"/>
      <c r="M91" s="7"/>
      <c r="N91" s="7"/>
      <c r="O91" s="7"/>
      <c r="P91" s="7"/>
      <c r="Q91" s="7"/>
      <c r="R91" s="7"/>
      <c r="S91" s="3"/>
      <c r="T91" s="3"/>
      <c r="U91" s="3"/>
      <c r="V91" s="3"/>
      <c r="W91" s="7">
        <f t="shared" ca="1" si="1"/>
        <v>-1.3656667117481133E-2</v>
      </c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 spans="2:50" x14ac:dyDescent="0.25">
      <c r="B92">
        <v>2017</v>
      </c>
      <c r="C92" s="2">
        <v>0.19420000000000001</v>
      </c>
      <c r="H92" s="3"/>
      <c r="I92" s="3">
        <v>2017</v>
      </c>
      <c r="J92" s="7">
        <v>0.19420000000000001</v>
      </c>
      <c r="K92" s="7"/>
      <c r="L92" s="7"/>
      <c r="M92" s="7"/>
      <c r="N92" s="7"/>
      <c r="O92" s="7"/>
      <c r="P92" s="7"/>
      <c r="Q92" s="7"/>
      <c r="R92" s="7"/>
      <c r="S92" s="3"/>
      <c r="T92" s="3"/>
      <c r="U92" s="3"/>
      <c r="V92" s="3"/>
      <c r="W92" s="7">
        <f t="shared" ca="1" si="1"/>
        <v>-1.7112370652398387E-2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 spans="2:50" x14ac:dyDescent="0.25">
      <c r="B93">
        <v>2018</v>
      </c>
      <c r="C93" s="2">
        <v>-6.2400000000000004E-2</v>
      </c>
      <c r="H93" s="3"/>
      <c r="I93" s="3">
        <v>2018</v>
      </c>
      <c r="J93" s="7">
        <v>-6.2400000000000004E-2</v>
      </c>
      <c r="K93" s="7"/>
      <c r="L93" s="7"/>
      <c r="M93" s="7"/>
      <c r="N93" s="7"/>
      <c r="O93" s="7"/>
      <c r="P93" s="7"/>
      <c r="Q93" s="7"/>
      <c r="R93" s="7"/>
      <c r="S93" s="3"/>
      <c r="T93" s="3"/>
      <c r="U93" s="3"/>
      <c r="V93" s="3"/>
      <c r="W93" s="7">
        <f t="shared" ca="1" si="1"/>
        <v>0.30039164238214083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 spans="2:50" x14ac:dyDescent="0.25">
      <c r="B94">
        <v>2019</v>
      </c>
      <c r="C94" s="2">
        <v>0.2888</v>
      </c>
      <c r="H94" s="3"/>
      <c r="I94" s="3">
        <v>2019</v>
      </c>
      <c r="J94" s="7">
        <v>0.2888</v>
      </c>
      <c r="K94" s="7"/>
      <c r="L94" s="7"/>
      <c r="M94" s="7"/>
      <c r="N94" s="7"/>
      <c r="O94" s="7"/>
      <c r="P94" s="7"/>
      <c r="Q94" s="7"/>
      <c r="R94" s="7"/>
      <c r="S94" s="3"/>
      <c r="T94" s="3"/>
      <c r="U94" s="3"/>
      <c r="V94" s="3"/>
      <c r="W94" s="7">
        <f t="shared" ca="1" si="1"/>
        <v>0.16071276420601599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 spans="2:50" x14ac:dyDescent="0.25">
      <c r="B95">
        <v>2020</v>
      </c>
      <c r="C95" s="2">
        <v>0.16260000000000002</v>
      </c>
      <c r="H95" s="3"/>
      <c r="I95" s="3">
        <v>2020</v>
      </c>
      <c r="J95" s="7">
        <v>0.16260000000000002</v>
      </c>
      <c r="K95" s="7"/>
      <c r="L95" s="7"/>
      <c r="M95" s="7"/>
      <c r="N95" s="7"/>
      <c r="O95" s="7"/>
      <c r="P95" s="7"/>
      <c r="Q95" s="7"/>
      <c r="R95" s="7"/>
      <c r="S95" s="3"/>
      <c r="T95" s="3"/>
      <c r="U95" s="3"/>
      <c r="V95" s="3"/>
      <c r="W95" s="7">
        <f t="shared" ca="1" si="1"/>
        <v>-2.5962962363804673E-2</v>
      </c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 spans="2:50" x14ac:dyDescent="0.25">
      <c r="B96">
        <v>2021</v>
      </c>
      <c r="C96" s="2">
        <v>0.26890000000000003</v>
      </c>
      <c r="H96" s="3"/>
      <c r="I96" s="3">
        <v>2021</v>
      </c>
      <c r="J96" s="7">
        <v>0.26890000000000003</v>
      </c>
      <c r="K96" s="7"/>
      <c r="L96" s="7"/>
      <c r="M96" s="7"/>
      <c r="N96" s="7"/>
      <c r="O96" s="7"/>
      <c r="P96" s="7"/>
      <c r="Q96" s="7"/>
      <c r="R96" s="7"/>
      <c r="S96" s="3"/>
      <c r="T96" s="3"/>
      <c r="U96" s="3"/>
      <c r="V96" s="3"/>
      <c r="W96" s="7">
        <f t="shared" ca="1" si="1"/>
        <v>3.5438153309655523E-2</v>
      </c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 spans="2:50" x14ac:dyDescent="0.25">
      <c r="B97">
        <v>2022</v>
      </c>
      <c r="C97" s="2">
        <v>0.19440000000000002</v>
      </c>
      <c r="H97" s="3"/>
      <c r="I97" s="3">
        <v>2022</v>
      </c>
      <c r="J97" s="7">
        <v>0.19440000000000002</v>
      </c>
      <c r="K97" s="7"/>
      <c r="L97" s="7"/>
      <c r="M97" s="7"/>
      <c r="N97" s="7"/>
      <c r="O97" s="7"/>
      <c r="P97" s="7"/>
      <c r="Q97" s="7"/>
      <c r="R97" s="7"/>
      <c r="S97" s="3"/>
      <c r="T97" s="3"/>
      <c r="U97" s="3"/>
      <c r="V97" s="3"/>
      <c r="W97" s="7">
        <f t="shared" ca="1" si="1"/>
        <v>-5.9846741320530042E-2</v>
      </c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 spans="2:50" x14ac:dyDescent="0.25">
      <c r="B98">
        <v>2023</v>
      </c>
      <c r="C98" s="2">
        <v>0.24230000000000002</v>
      </c>
      <c r="H98" s="3"/>
      <c r="I98" s="3">
        <v>2023</v>
      </c>
      <c r="J98" s="7">
        <v>0.24230000000000002</v>
      </c>
      <c r="K98" s="7"/>
      <c r="L98" s="7"/>
      <c r="M98" s="7"/>
      <c r="N98" s="7"/>
      <c r="O98" s="7"/>
      <c r="P98" s="7"/>
      <c r="Q98" s="7"/>
      <c r="R98" s="7"/>
      <c r="S98" s="3"/>
      <c r="T98" s="3"/>
      <c r="U98" s="3"/>
      <c r="V98" s="3"/>
      <c r="W98" s="7">
        <f t="shared" ca="1" si="1"/>
        <v>0.37742397485178963</v>
      </c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 spans="2:50" x14ac:dyDescent="0.25">
      <c r="B99">
        <v>2024</v>
      </c>
      <c r="C99" s="2">
        <v>0.23309999999999997</v>
      </c>
      <c r="H99" s="3"/>
      <c r="I99" s="3">
        <v>2024</v>
      </c>
      <c r="J99" s="7">
        <v>0.23309999999999997</v>
      </c>
      <c r="K99" s="7"/>
      <c r="L99" s="7"/>
      <c r="M99" s="7"/>
      <c r="N99" s="7"/>
      <c r="O99" s="7"/>
      <c r="P99" s="7"/>
      <c r="Q99" s="7"/>
      <c r="R99" s="7"/>
      <c r="S99" s="3"/>
      <c r="T99" s="3"/>
      <c r="U99" s="3"/>
      <c r="V99" s="3"/>
      <c r="W99" s="7">
        <f t="shared" ca="1" si="1"/>
        <v>0.29641403332620864</v>
      </c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 spans="2:50" x14ac:dyDescent="0.25">
      <c r="B100">
        <v>2025</v>
      </c>
      <c r="C100" s="2">
        <v>-9.300000000000001E-3</v>
      </c>
      <c r="H100" s="3"/>
      <c r="I100" s="3">
        <v>2025</v>
      </c>
      <c r="J100" s="7">
        <v>-9.300000000000001E-3</v>
      </c>
      <c r="K100" s="7"/>
      <c r="L100" s="7"/>
      <c r="M100" s="7"/>
      <c r="N100" s="7"/>
      <c r="O100" s="7"/>
      <c r="P100" s="7"/>
      <c r="Q100" s="7"/>
      <c r="R100" s="7"/>
      <c r="S100" s="3"/>
      <c r="T100" s="3"/>
      <c r="U100" s="3"/>
      <c r="V100" s="3"/>
      <c r="W100" s="7">
        <f t="shared" ca="1" si="1"/>
        <v>0.21223169471004241</v>
      </c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 spans="2:50" x14ac:dyDescent="0.25">
      <c r="H101" s="3"/>
      <c r="I101" s="3"/>
      <c r="J101" s="3"/>
      <c r="K101" s="7"/>
      <c r="L101" s="7"/>
      <c r="M101" s="7"/>
      <c r="N101" s="7"/>
      <c r="O101" s="7"/>
      <c r="P101" s="7"/>
      <c r="Q101" s="7"/>
      <c r="R101" s="7"/>
      <c r="S101" s="3"/>
      <c r="T101" s="3"/>
      <c r="U101" s="3"/>
      <c r="V101" s="3"/>
      <c r="W101" s="7">
        <f t="shared" ca="1" si="1"/>
        <v>6.2198529654689243E-2</v>
      </c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 spans="2:50" x14ac:dyDescent="0.25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7">
        <f t="shared" ca="1" si="1"/>
        <v>0.21689701333148831</v>
      </c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 spans="2:50" x14ac:dyDescent="0.25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7">
        <f t="shared" ca="1" si="1"/>
        <v>0.37296793837223136</v>
      </c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 spans="2:50" x14ac:dyDescent="0.25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7">
        <f t="shared" ca="1" si="1"/>
        <v>0.36857443059691064</v>
      </c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 spans="2:50" x14ac:dyDescent="0.25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7">
        <f t="shared" ca="1" si="1"/>
        <v>0.28303603580800762</v>
      </c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 spans="2:50" x14ac:dyDescent="0.25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7">
        <f t="shared" ca="1" si="1"/>
        <v>0.51250751442902198</v>
      </c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 spans="2:50" x14ac:dyDescent="0.25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7">
        <f t="shared" ca="1" si="1"/>
        <v>0.1222104265986652</v>
      </c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 spans="2:50" x14ac:dyDescent="0.25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7">
        <f t="shared" ca="1" si="1"/>
        <v>-4.8314499937793007E-2</v>
      </c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 spans="2:50" x14ac:dyDescent="0.25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7">
        <f t="shared" ca="1" si="1"/>
        <v>7.5863831630625295E-2</v>
      </c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 spans="2:50" x14ac:dyDescent="0.25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7">
        <f t="shared" ca="1" si="1"/>
        <v>-3.0415926258984302E-2</v>
      </c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 spans="2:50" x14ac:dyDescent="0.25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7">
        <f t="shared" ca="1" si="1"/>
        <v>0.45258093585072584</v>
      </c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 spans="2:50" x14ac:dyDescent="0.25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7">
        <f t="shared" ca="1" si="1"/>
        <v>9.9373054217472709E-2</v>
      </c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 spans="8:50" x14ac:dyDescent="0.25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7">
        <f t="shared" ca="1" si="1"/>
        <v>-0.10336653644764064</v>
      </c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 spans="8:50" x14ac:dyDescent="0.25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7">
        <f t="shared" ca="1" si="1"/>
        <v>6.6130151975670737E-2</v>
      </c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 spans="8:50" x14ac:dyDescent="0.25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7">
        <f t="shared" ca="1" si="1"/>
        <v>-9.829391190053495E-2</v>
      </c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 spans="8:50" x14ac:dyDescent="0.25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7">
        <f t="shared" ca="1" si="1"/>
        <v>0.15023362802900758</v>
      </c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 spans="8:50" x14ac:dyDescent="0.25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7">
        <f t="shared" ca="1" si="1"/>
        <v>-0.27196091728351712</v>
      </c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 spans="8:50" x14ac:dyDescent="0.25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7">
        <f t="shared" ca="1" si="1"/>
        <v>9.7061405485306507E-2</v>
      </c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 spans="8:50" x14ac:dyDescent="0.25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7">
        <f t="shared" ca="1" si="1"/>
        <v>0.15232568152621412</v>
      </c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 spans="8:50" x14ac:dyDescent="0.25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7">
        <f t="shared" ca="1" si="1"/>
        <v>-5.5978392796540613E-2</v>
      </c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 spans="8:50" x14ac:dyDescent="0.25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7">
        <f t="shared" ca="1" si="1"/>
        <v>-0.12697598787427034</v>
      </c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 spans="8:50" x14ac:dyDescent="0.25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7">
        <f t="shared" ca="1" si="1"/>
        <v>0.55006460117916234</v>
      </c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 spans="8:50" x14ac:dyDescent="0.25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7">
        <f t="shared" ca="1" si="1"/>
        <v>-0.14759939482491669</v>
      </c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 spans="8:50" x14ac:dyDescent="0.25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7">
        <f t="shared" ca="1" si="1"/>
        <v>0.25806797978687479</v>
      </c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 spans="8:50" x14ac:dyDescent="0.25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7">
        <f t="shared" ca="1" si="1"/>
        <v>0.26393306998864702</v>
      </c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 spans="8:50" x14ac:dyDescent="0.25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7">
        <f t="shared" ca="1" si="1"/>
        <v>0.20354848381605853</v>
      </c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 spans="8:50" x14ac:dyDescent="0.25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7">
        <f t="shared" ca="1" si="1"/>
        <v>-4.4417697796073977E-2</v>
      </c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 spans="8:50" x14ac:dyDescent="0.25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7">
        <f t="shared" ca="1" si="1"/>
        <v>7.5608307739392838E-2</v>
      </c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 spans="8:50" x14ac:dyDescent="0.25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7">
        <f t="shared" ca="1" si="1"/>
        <v>-3.2059496094825321E-2</v>
      </c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 spans="8:50" x14ac:dyDescent="0.25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7">
        <f t="shared" ca="1" si="1"/>
        <v>0.45661204743277128</v>
      </c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 spans="8:50" x14ac:dyDescent="0.25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7">
        <f t="shared" ca="1" si="1"/>
        <v>0.14336485333764384</v>
      </c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 spans="8:50" x14ac:dyDescent="0.25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7">
        <f t="shared" ca="1" si="1"/>
        <v>0.18902549812161556</v>
      </c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 spans="8:50" x14ac:dyDescent="0.25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7">
        <f t="shared" ca="1" si="1"/>
        <v>8.2800809094941197E-2</v>
      </c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 spans="8:50" x14ac:dyDescent="0.25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7">
        <f t="shared" ref="W134:W197" ca="1" si="2">+NORMINV(RAND(),$U$2,$U$3)</f>
        <v>3.2204436588990554E-2</v>
      </c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 spans="8:50" x14ac:dyDescent="0.25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7">
        <f t="shared" ca="1" si="2"/>
        <v>-0.12755490328772096</v>
      </c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 spans="8:50" x14ac:dyDescent="0.25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7">
        <f t="shared" ca="1" si="2"/>
        <v>3.6236595936714328E-2</v>
      </c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 spans="8:50" x14ac:dyDescent="0.25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7">
        <f t="shared" ca="1" si="2"/>
        <v>0.20759309529418793</v>
      </c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 spans="8:50" x14ac:dyDescent="0.25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7">
        <f t="shared" ca="1" si="2"/>
        <v>-0.23314803045566973</v>
      </c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 spans="8:50" x14ac:dyDescent="0.25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7">
        <f t="shared" ca="1" si="2"/>
        <v>0.37765137381077601</v>
      </c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 spans="8:50" x14ac:dyDescent="0.25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7">
        <f t="shared" ca="1" si="2"/>
        <v>-0.20348967485014424</v>
      </c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 spans="8:50" x14ac:dyDescent="0.25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7">
        <f t="shared" ca="1" si="2"/>
        <v>-0.27713335942807116</v>
      </c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 spans="8:50" x14ac:dyDescent="0.25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7">
        <f t="shared" ca="1" si="2"/>
        <v>0.21005401449937194</v>
      </c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 spans="8:50" x14ac:dyDescent="0.25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7">
        <f t="shared" ca="1" si="2"/>
        <v>7.3121422572132333E-2</v>
      </c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 spans="8:50" x14ac:dyDescent="0.25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7">
        <f t="shared" ca="1" si="2"/>
        <v>0.30416173280618025</v>
      </c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 spans="8:50" x14ac:dyDescent="0.25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7">
        <f t="shared" ca="1" si="2"/>
        <v>0.23832952916404126</v>
      </c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 spans="8:50" x14ac:dyDescent="0.25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7">
        <f t="shared" ca="1" si="2"/>
        <v>4.6251707288831684E-2</v>
      </c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 spans="8:50" x14ac:dyDescent="0.25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7">
        <f t="shared" ca="1" si="2"/>
        <v>0.81241995070281015</v>
      </c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 spans="8:50" x14ac:dyDescent="0.25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7">
        <f t="shared" ca="1" si="2"/>
        <v>0.3236213202764342</v>
      </c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 spans="8:50" x14ac:dyDescent="0.25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7">
        <f t="shared" ca="1" si="2"/>
        <v>0.10777209450990248</v>
      </c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 spans="8:50" x14ac:dyDescent="0.25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7">
        <f t="shared" ca="1" si="2"/>
        <v>0.38078654013046992</v>
      </c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 spans="8:50" x14ac:dyDescent="0.25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7">
        <f t="shared" ca="1" si="2"/>
        <v>0.14791585898750531</v>
      </c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 spans="8:50" x14ac:dyDescent="0.25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7">
        <f t="shared" ca="1" si="2"/>
        <v>6.5622642733447784E-2</v>
      </c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 spans="8:50" x14ac:dyDescent="0.25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7">
        <f t="shared" ca="1" si="2"/>
        <v>-9.8071153442007217E-2</v>
      </c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 spans="8:50" x14ac:dyDescent="0.25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7">
        <f t="shared" ca="1" si="2"/>
        <v>-0.12934455459086208</v>
      </c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 spans="8:50" x14ac:dyDescent="0.25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7">
        <f t="shared" ca="1" si="2"/>
        <v>0.19273110208511965</v>
      </c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 spans="8:50" x14ac:dyDescent="0.25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7">
        <f t="shared" ca="1" si="2"/>
        <v>0.10670074890219218</v>
      </c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 spans="8:50" x14ac:dyDescent="0.25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7">
        <f t="shared" ca="1" si="2"/>
        <v>-4.1312758483527959E-2</v>
      </c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 spans="8:50" x14ac:dyDescent="0.25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7">
        <f t="shared" ca="1" si="2"/>
        <v>-1.2443114428130356E-2</v>
      </c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 spans="8:50" x14ac:dyDescent="0.25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7">
        <f t="shared" ca="1" si="2"/>
        <v>0.21400169438291555</v>
      </c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 spans="8:50" x14ac:dyDescent="0.25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7">
        <f t="shared" ca="1" si="2"/>
        <v>0.18735747714670115</v>
      </c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 spans="8:50" x14ac:dyDescent="0.25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7">
        <f t="shared" ca="1" si="2"/>
        <v>8.5880400816279526E-2</v>
      </c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 spans="8:50" x14ac:dyDescent="0.25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7">
        <f t="shared" ca="1" si="2"/>
        <v>0.11020937610863318</v>
      </c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 spans="8:50" x14ac:dyDescent="0.25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7">
        <f t="shared" ca="1" si="2"/>
        <v>0.12041070886250442</v>
      </c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 spans="8:50" x14ac:dyDescent="0.25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7">
        <f t="shared" ca="1" si="2"/>
        <v>-6.9071163612225289E-3</v>
      </c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 spans="8:50" x14ac:dyDescent="0.25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7">
        <f t="shared" ca="1" si="2"/>
        <v>3.7039488739945919E-2</v>
      </c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 spans="8:50" x14ac:dyDescent="0.25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7">
        <f t="shared" ca="1" si="2"/>
        <v>6.8283063322221893E-2</v>
      </c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 spans="8:50" x14ac:dyDescent="0.25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7">
        <f t="shared" ca="1" si="2"/>
        <v>0.11776043451455101</v>
      </c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 spans="8:50" x14ac:dyDescent="0.25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7">
        <f t="shared" ca="1" si="2"/>
        <v>4.0652960117248949E-2</v>
      </c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 spans="8:50" x14ac:dyDescent="0.25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7">
        <f t="shared" ca="1" si="2"/>
        <v>-3.2588579596753278E-2</v>
      </c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 spans="8:50" x14ac:dyDescent="0.25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7">
        <f t="shared" ca="1" si="2"/>
        <v>0.23043189633335087</v>
      </c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 spans="8:50" x14ac:dyDescent="0.25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7">
        <f t="shared" ca="1" si="2"/>
        <v>0.4220994309140087</v>
      </c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 spans="8:50" x14ac:dyDescent="0.25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7">
        <f t="shared" ca="1" si="2"/>
        <v>0.23287832964273544</v>
      </c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 spans="8:50" x14ac:dyDescent="0.25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7">
        <f t="shared" ca="1" si="2"/>
        <v>0.37734982105191228</v>
      </c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 spans="8:50" x14ac:dyDescent="0.25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7">
        <f t="shared" ca="1" si="2"/>
        <v>0.23785308248610576</v>
      </c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 spans="8:50" x14ac:dyDescent="0.25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7">
        <f t="shared" ca="1" si="2"/>
        <v>0.19795496569975676</v>
      </c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 spans="8:50" x14ac:dyDescent="0.25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7">
        <f t="shared" ca="1" si="2"/>
        <v>0.34301145664151561</v>
      </c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 spans="8:50" x14ac:dyDescent="0.25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7">
        <f t="shared" ca="1" si="2"/>
        <v>0.32232871558861897</v>
      </c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 spans="8:50" x14ac:dyDescent="0.25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7">
        <f t="shared" ca="1" si="2"/>
        <v>0.19841832548669086</v>
      </c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 spans="8:50" x14ac:dyDescent="0.25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7">
        <f t="shared" ca="1" si="2"/>
        <v>0.13020458199625137</v>
      </c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 spans="8:50" x14ac:dyDescent="0.25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7">
        <f t="shared" ca="1" si="2"/>
        <v>2.8683737321310576E-2</v>
      </c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 spans="8:50" x14ac:dyDescent="0.25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7">
        <f t="shared" ca="1" si="2"/>
        <v>8.7914123375549449E-2</v>
      </c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 spans="8:50" x14ac:dyDescent="0.25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7">
        <f t="shared" ca="1" si="2"/>
        <v>0.34841117352096185</v>
      </c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 spans="8:50" x14ac:dyDescent="0.25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7">
        <f t="shared" ca="1" si="2"/>
        <v>7.9519670956316138E-2</v>
      </c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 spans="8:50" x14ac:dyDescent="0.25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7">
        <f t="shared" ca="1" si="2"/>
        <v>7.0766129601841643E-4</v>
      </c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 spans="8:50" x14ac:dyDescent="0.25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7">
        <f t="shared" ca="1" si="2"/>
        <v>0.39839012449412864</v>
      </c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 spans="8:50" x14ac:dyDescent="0.25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7">
        <f t="shared" ca="1" si="2"/>
        <v>0.20512879898748371</v>
      </c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 spans="8:50" x14ac:dyDescent="0.25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7">
        <f t="shared" ca="1" si="2"/>
        <v>-1.6249055183298708E-2</v>
      </c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 spans="8:50" x14ac:dyDescent="0.25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7">
        <f t="shared" ca="1" si="2"/>
        <v>0.20782349609071066</v>
      </c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 spans="8:50" x14ac:dyDescent="0.25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7">
        <f t="shared" ca="1" si="2"/>
        <v>0.2296680585259705</v>
      </c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 spans="8:50" x14ac:dyDescent="0.25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7">
        <f t="shared" ca="1" si="2"/>
        <v>0.36529822149888003</v>
      </c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 spans="8:50" x14ac:dyDescent="0.25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7">
        <f t="shared" ca="1" si="2"/>
        <v>0.14217216432859001</v>
      </c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 spans="8:50" x14ac:dyDescent="0.25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7">
        <f t="shared" ca="1" si="2"/>
        <v>-0.15801406549447522</v>
      </c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 spans="8:50" x14ac:dyDescent="0.25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7">
        <f t="shared" ca="1" si="2"/>
        <v>9.794220887904781E-2</v>
      </c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 spans="8:50" x14ac:dyDescent="0.25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7">
        <f t="shared" ca="1" si="2"/>
        <v>-2.5744408867957799E-2</v>
      </c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 spans="8:50" x14ac:dyDescent="0.25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7">
        <f t="shared" ca="1" si="2"/>
        <v>0.2490679412444935</v>
      </c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 spans="8:50" x14ac:dyDescent="0.25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7">
        <f t="shared" ca="1" si="2"/>
        <v>8.3324278950471856E-2</v>
      </c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 spans="8:50" x14ac:dyDescent="0.25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7">
        <f t="shared" ca="1" si="2"/>
        <v>0.39469097457659291</v>
      </c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 spans="8:50" x14ac:dyDescent="0.25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7">
        <f t="shared" ref="W198:W261" ca="1" si="3">+NORMINV(RAND(),$U$2,$U$3)</f>
        <v>5.5742714864381544E-2</v>
      </c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 spans="8:50" x14ac:dyDescent="0.25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7">
        <f t="shared" ca="1" si="3"/>
        <v>-8.6313419887921461E-3</v>
      </c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 spans="8:50" x14ac:dyDescent="0.25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7">
        <f t="shared" ca="1" si="3"/>
        <v>6.1236646270538417E-2</v>
      </c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 spans="8:50" x14ac:dyDescent="0.25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7">
        <f t="shared" ca="1" si="3"/>
        <v>0.47548224703187159</v>
      </c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 spans="8:50" x14ac:dyDescent="0.25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7">
        <f t="shared" ca="1" si="3"/>
        <v>0.12393599463819958</v>
      </c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 spans="8:50" x14ac:dyDescent="0.25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7">
        <f t="shared" ca="1" si="3"/>
        <v>0.18376429211829415</v>
      </c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 spans="8:50" x14ac:dyDescent="0.25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7">
        <f t="shared" ca="1" si="3"/>
        <v>8.8117701096901244E-2</v>
      </c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 spans="8:50" x14ac:dyDescent="0.25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7">
        <f t="shared" ca="1" si="3"/>
        <v>0.14814979725633001</v>
      </c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 spans="8:50" x14ac:dyDescent="0.25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7">
        <f t="shared" ca="1" si="3"/>
        <v>2.9737168683477685E-2</v>
      </c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 spans="8:50" x14ac:dyDescent="0.25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7">
        <f t="shared" ca="1" si="3"/>
        <v>-2.3619197398493677E-2</v>
      </c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 spans="8:50" x14ac:dyDescent="0.25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7">
        <f t="shared" ca="1" si="3"/>
        <v>0.14118823815734083</v>
      </c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 spans="8:50" x14ac:dyDescent="0.25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7">
        <f t="shared" ca="1" si="3"/>
        <v>7.4469822095724086E-2</v>
      </c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 spans="8:50" x14ac:dyDescent="0.25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7">
        <f t="shared" ca="1" si="3"/>
        <v>4.8373938872755887E-2</v>
      </c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 spans="8:50" x14ac:dyDescent="0.25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7">
        <f t="shared" ca="1" si="3"/>
        <v>0.14927418822753569</v>
      </c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 spans="8:50" x14ac:dyDescent="0.25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7">
        <f t="shared" ca="1" si="3"/>
        <v>0.41885771293246982</v>
      </c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 spans="8:50" x14ac:dyDescent="0.25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7">
        <f t="shared" ca="1" si="3"/>
        <v>-1.8112192276764263E-2</v>
      </c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 spans="8:50" x14ac:dyDescent="0.25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7">
        <f t="shared" ca="1" si="3"/>
        <v>0.40056899512237198</v>
      </c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 spans="8:50" x14ac:dyDescent="0.25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7">
        <f t="shared" ca="1" si="3"/>
        <v>0.57255076330279719</v>
      </c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 spans="8:50" x14ac:dyDescent="0.25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7">
        <f t="shared" ca="1" si="3"/>
        <v>0.15851521920150261</v>
      </c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 spans="8:50" x14ac:dyDescent="0.25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7">
        <f t="shared" ca="1" si="3"/>
        <v>0.24643492581776072</v>
      </c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 spans="8:50" x14ac:dyDescent="0.25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7">
        <f t="shared" ca="1" si="3"/>
        <v>0.27686796997150431</v>
      </c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 spans="8:50" x14ac:dyDescent="0.25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7">
        <f t="shared" ca="1" si="3"/>
        <v>0.38906701591890386</v>
      </c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 spans="8:50" x14ac:dyDescent="0.25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7">
        <f t="shared" ca="1" si="3"/>
        <v>0.18103188055201497</v>
      </c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 spans="8:50" x14ac:dyDescent="0.25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7">
        <f t="shared" ca="1" si="3"/>
        <v>0.14117394159867269</v>
      </c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 spans="8:50" x14ac:dyDescent="0.25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7">
        <f t="shared" ca="1" si="3"/>
        <v>0.2868690195594833</v>
      </c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 spans="8:50" x14ac:dyDescent="0.25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7">
        <f t="shared" ca="1" si="3"/>
        <v>0.20103259289173997</v>
      </c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 spans="8:50" x14ac:dyDescent="0.25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7">
        <f t="shared" ca="1" si="3"/>
        <v>0.18126600116022781</v>
      </c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 spans="8:50" x14ac:dyDescent="0.25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7">
        <f t="shared" ca="1" si="3"/>
        <v>0.27563018608682155</v>
      </c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 spans="8:50" x14ac:dyDescent="0.25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7">
        <f t="shared" ca="1" si="3"/>
        <v>0.12386013957022821</v>
      </c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 spans="8:50" x14ac:dyDescent="0.25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7">
        <f t="shared" ca="1" si="3"/>
        <v>-5.696548909856243E-2</v>
      </c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 spans="8:50" x14ac:dyDescent="0.25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7">
        <f t="shared" ca="1" si="3"/>
        <v>0.55402337142021807</v>
      </c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 spans="8:50" x14ac:dyDescent="0.25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7">
        <f t="shared" ca="1" si="3"/>
        <v>0.302572418686745</v>
      </c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 spans="8:50" x14ac:dyDescent="0.25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7">
        <f t="shared" ca="1" si="3"/>
        <v>6.5455264834139257E-2</v>
      </c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 spans="8:50" x14ac:dyDescent="0.25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7">
        <f t="shared" ca="1" si="3"/>
        <v>0.21498438766875172</v>
      </c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 spans="8:50" x14ac:dyDescent="0.25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7">
        <f t="shared" ca="1" si="3"/>
        <v>0.1088243144170284</v>
      </c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 spans="8:50" x14ac:dyDescent="0.25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7">
        <f t="shared" ca="1" si="3"/>
        <v>0.2401553919357215</v>
      </c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 spans="8:50" x14ac:dyDescent="0.25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7">
        <f t="shared" ca="1" si="3"/>
        <v>5.5456546605537484E-2</v>
      </c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 spans="8:50" x14ac:dyDescent="0.25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7">
        <f t="shared" ca="1" si="3"/>
        <v>0.26133683240270511</v>
      </c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 spans="8:50" x14ac:dyDescent="0.25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7">
        <f t="shared" ca="1" si="3"/>
        <v>6.5346256587771656E-2</v>
      </c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 spans="8:50" x14ac:dyDescent="0.25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7">
        <f t="shared" ca="1" si="3"/>
        <v>0.26578239200535048</v>
      </c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 spans="8:50" x14ac:dyDescent="0.25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7">
        <f t="shared" ca="1" si="3"/>
        <v>0.32494865588002031</v>
      </c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 spans="8:50" x14ac:dyDescent="0.25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7">
        <f t="shared" ca="1" si="3"/>
        <v>3.9071767985269346E-2</v>
      </c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 spans="8:50" x14ac:dyDescent="0.25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7">
        <f t="shared" ca="1" si="3"/>
        <v>-6.2795154752801161E-2</v>
      </c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 spans="8:50" x14ac:dyDescent="0.25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7">
        <f t="shared" ca="1" si="3"/>
        <v>0.20585095997043118</v>
      </c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 spans="8:50" x14ac:dyDescent="0.25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7">
        <f t="shared" ca="1" si="3"/>
        <v>-1.6466537229251635E-2</v>
      </c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 spans="8:50" x14ac:dyDescent="0.25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7">
        <f t="shared" ca="1" si="3"/>
        <v>-0.11119553314737178</v>
      </c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 spans="8:50" x14ac:dyDescent="0.25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7">
        <f t="shared" ca="1" si="3"/>
        <v>0.27660033818393853</v>
      </c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 spans="8:50" x14ac:dyDescent="0.25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7">
        <f t="shared" ca="1" si="3"/>
        <v>0.28664874319772615</v>
      </c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 spans="8:50" x14ac:dyDescent="0.25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7">
        <f t="shared" ca="1" si="3"/>
        <v>0.3373906325775376</v>
      </c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 spans="8:50" x14ac:dyDescent="0.25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7">
        <f t="shared" ca="1" si="3"/>
        <v>-0.19982229807271201</v>
      </c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 spans="8:50" x14ac:dyDescent="0.25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7">
        <f t="shared" ca="1" si="3"/>
        <v>-0.17766328077344923</v>
      </c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 spans="8:50" x14ac:dyDescent="0.25"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7">
        <f t="shared" ca="1" si="3"/>
        <v>0.28607557870207767</v>
      </c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 spans="8:50" x14ac:dyDescent="0.25"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7">
        <f t="shared" ca="1" si="3"/>
        <v>7.9915233719634993E-2</v>
      </c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 spans="8:50" x14ac:dyDescent="0.25"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7">
        <f t="shared" ca="1" si="3"/>
        <v>0.31509604101101346</v>
      </c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 spans="8:50" x14ac:dyDescent="0.25"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7">
        <f t="shared" ca="1" si="3"/>
        <v>0.15881474644071072</v>
      </c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 spans="8:50" x14ac:dyDescent="0.25"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7">
        <f t="shared" ca="1" si="3"/>
        <v>0.17017174555787384</v>
      </c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 spans="8:50" x14ac:dyDescent="0.25"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7">
        <f t="shared" ca="1" si="3"/>
        <v>0.17280675650612662</v>
      </c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 spans="8:50" x14ac:dyDescent="0.25"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7">
        <f t="shared" ca="1" si="3"/>
        <v>3.4414644858605931E-2</v>
      </c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 spans="8:50" x14ac:dyDescent="0.25"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7">
        <f t="shared" ca="1" si="3"/>
        <v>0.1221262377229155</v>
      </c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 spans="8:50" x14ac:dyDescent="0.25"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7">
        <f t="shared" ca="1" si="3"/>
        <v>0.36556030209034485</v>
      </c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 spans="8:50" x14ac:dyDescent="0.25"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7">
        <f t="shared" ca="1" si="3"/>
        <v>4.4134923611337584E-2</v>
      </c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 spans="8:50" x14ac:dyDescent="0.25"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7">
        <f t="shared" ca="1" si="3"/>
        <v>0.15445381459144417</v>
      </c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 spans="8:50" x14ac:dyDescent="0.25"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7">
        <f t="shared" ca="1" si="3"/>
        <v>0.22356303923655207</v>
      </c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 spans="8:50" x14ac:dyDescent="0.25"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7">
        <f t="shared" ca="1" si="3"/>
        <v>0.13420381830366923</v>
      </c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 spans="8:50" x14ac:dyDescent="0.25"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7">
        <f t="shared" ref="W262:W325" ca="1" si="4">+NORMINV(RAND(),$U$2,$U$3)</f>
        <v>0.13129142872921148</v>
      </c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 spans="8:50" x14ac:dyDescent="0.25"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7">
        <f t="shared" ca="1" si="4"/>
        <v>8.2760325217358599E-2</v>
      </c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 spans="8:50" x14ac:dyDescent="0.25"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7">
        <f t="shared" ca="1" si="4"/>
        <v>0.16546042511639736</v>
      </c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 spans="8:50" x14ac:dyDescent="0.25"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7">
        <f t="shared" ca="1" si="4"/>
        <v>0.12274271129800068</v>
      </c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 spans="8:50" x14ac:dyDescent="0.25"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7">
        <f t="shared" ca="1" si="4"/>
        <v>0.37509956812789641</v>
      </c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 spans="8:50" x14ac:dyDescent="0.25"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7">
        <f t="shared" ca="1" si="4"/>
        <v>0.13231133664330216</v>
      </c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 spans="8:50" x14ac:dyDescent="0.25"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7">
        <f t="shared" ca="1" si="4"/>
        <v>-0.29991624117401311</v>
      </c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 spans="8:50" x14ac:dyDescent="0.25"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7">
        <f t="shared" ca="1" si="4"/>
        <v>0.38637096303858948</v>
      </c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 spans="8:50" x14ac:dyDescent="0.25"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7">
        <f t="shared" ca="1" si="4"/>
        <v>0.28174767307538279</v>
      </c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 spans="8:50" x14ac:dyDescent="0.25"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7">
        <f t="shared" ca="1" si="4"/>
        <v>0.38202244903815646</v>
      </c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 spans="8:50" x14ac:dyDescent="0.25"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7">
        <f t="shared" ca="1" si="4"/>
        <v>-7.8412031994676834E-3</v>
      </c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 spans="8:50" x14ac:dyDescent="0.25"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7">
        <f t="shared" ca="1" si="4"/>
        <v>-4.8899616224034784E-2</v>
      </c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 spans="8:50" x14ac:dyDescent="0.25"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7">
        <f t="shared" ca="1" si="4"/>
        <v>-7.5347397688652298E-2</v>
      </c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 spans="8:50" x14ac:dyDescent="0.25"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7">
        <f t="shared" ca="1" si="4"/>
        <v>0.16971930019638298</v>
      </c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 spans="8:50" x14ac:dyDescent="0.25"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7">
        <f t="shared" ca="1" si="4"/>
        <v>1.2896027950960287E-2</v>
      </c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 spans="8:50" x14ac:dyDescent="0.25"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7">
        <f t="shared" ca="1" si="4"/>
        <v>1.3903733550560557E-2</v>
      </c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 spans="8:50" x14ac:dyDescent="0.25"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7">
        <f t="shared" ca="1" si="4"/>
        <v>-0.18386282739316634</v>
      </c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 spans="8:50" x14ac:dyDescent="0.25"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7">
        <f t="shared" ca="1" si="4"/>
        <v>0.14930628682781905</v>
      </c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 spans="8:50" x14ac:dyDescent="0.25"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7">
        <f t="shared" ca="1" si="4"/>
        <v>-0.10565751501108574</v>
      </c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 spans="8:50" x14ac:dyDescent="0.25"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7">
        <f t="shared" ca="1" si="4"/>
        <v>7.910170737965605E-2</v>
      </c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 spans="8:50" x14ac:dyDescent="0.25"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7">
        <f t="shared" ca="1" si="4"/>
        <v>0.29878392839138712</v>
      </c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 spans="8:50" x14ac:dyDescent="0.25"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7">
        <f t="shared" ca="1" si="4"/>
        <v>0.28395806312080329</v>
      </c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 spans="8:50" x14ac:dyDescent="0.25"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7">
        <f t="shared" ca="1" si="4"/>
        <v>0.25694237916377527</v>
      </c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 spans="8:50" x14ac:dyDescent="0.25"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7">
        <f t="shared" ca="1" si="4"/>
        <v>0.30012730545730054</v>
      </c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 spans="8:50" x14ac:dyDescent="0.25"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7">
        <f t="shared" ca="1" si="4"/>
        <v>0.42418793157995871</v>
      </c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 spans="8:50" x14ac:dyDescent="0.25"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7">
        <f t="shared" ca="1" si="4"/>
        <v>-5.4145904885892618E-2</v>
      </c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 spans="8:50" x14ac:dyDescent="0.25"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7">
        <f t="shared" ca="1" si="4"/>
        <v>0.13891459468345568</v>
      </c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 spans="8:50" x14ac:dyDescent="0.25"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7">
        <f t="shared" ca="1" si="4"/>
        <v>-5.2980422311658129E-2</v>
      </c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 spans="8:50" x14ac:dyDescent="0.25"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7">
        <f t="shared" ca="1" si="4"/>
        <v>-0.13785677243163252</v>
      </c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 spans="8:50" x14ac:dyDescent="0.25"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7">
        <f t="shared" ca="1" si="4"/>
        <v>0.13469838448037699</v>
      </c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 spans="8:50" x14ac:dyDescent="0.25"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7">
        <f t="shared" ca="1" si="4"/>
        <v>-0.12285489754761851</v>
      </c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 spans="8:50" x14ac:dyDescent="0.25"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7">
        <f t="shared" ca="1" si="4"/>
        <v>6.547920756552017E-2</v>
      </c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 spans="8:50" x14ac:dyDescent="0.25"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7">
        <f t="shared" ca="1" si="4"/>
        <v>0.22134336149025774</v>
      </c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 spans="8:50" x14ac:dyDescent="0.25"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7">
        <f t="shared" ca="1" si="4"/>
        <v>0.23717387453325561</v>
      </c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 spans="8:50" x14ac:dyDescent="0.25"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7">
        <f t="shared" ca="1" si="4"/>
        <v>-7.7233610585286203E-2</v>
      </c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 spans="8:50" x14ac:dyDescent="0.25"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7">
        <f t="shared" ca="1" si="4"/>
        <v>0.28395634411635884</v>
      </c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 spans="8:50" x14ac:dyDescent="0.25"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7">
        <f t="shared" ca="1" si="4"/>
        <v>0.11238454417794135</v>
      </c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 spans="8:50" x14ac:dyDescent="0.25"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7">
        <f t="shared" ca="1" si="4"/>
        <v>-7.1518660069668602E-2</v>
      </c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 spans="8:50" x14ac:dyDescent="0.25"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7">
        <f t="shared" ca="1" si="4"/>
        <v>2.9315563089101798E-2</v>
      </c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 spans="8:50" x14ac:dyDescent="0.25"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7">
        <f t="shared" ca="1" si="4"/>
        <v>0.52290069284800544</v>
      </c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 spans="8:50" x14ac:dyDescent="0.25"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7">
        <f t="shared" ca="1" si="4"/>
        <v>0.18626868581618511</v>
      </c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 spans="8:50" x14ac:dyDescent="0.25"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7">
        <f t="shared" ca="1" si="4"/>
        <v>0.11746199079912387</v>
      </c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 spans="8:50" x14ac:dyDescent="0.25"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7">
        <f t="shared" ca="1" si="4"/>
        <v>0.16991052977887131</v>
      </c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 spans="8:50" x14ac:dyDescent="0.25"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7">
        <f t="shared" ca="1" si="4"/>
        <v>0.20981088580637638</v>
      </c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 spans="8:50" x14ac:dyDescent="0.25"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7">
        <f t="shared" ca="1" si="4"/>
        <v>-0.33656100009094958</v>
      </c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 spans="8:50" x14ac:dyDescent="0.25"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7">
        <f t="shared" ca="1" si="4"/>
        <v>0.18853367561718137</v>
      </c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 spans="8:50" x14ac:dyDescent="0.25"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7">
        <f t="shared" ca="1" si="4"/>
        <v>0.10507805572816002</v>
      </c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 spans="8:50" x14ac:dyDescent="0.25"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7">
        <f t="shared" ca="1" si="4"/>
        <v>-0.11095360203320344</v>
      </c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 spans="8:50" x14ac:dyDescent="0.25"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7">
        <f t="shared" ca="1" si="4"/>
        <v>0.40730722973866185</v>
      </c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 spans="8:50" x14ac:dyDescent="0.25"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7">
        <f t="shared" ca="1" si="4"/>
        <v>0.13149482943172053</v>
      </c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 spans="8:50" x14ac:dyDescent="0.25"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7">
        <f t="shared" ca="1" si="4"/>
        <v>0.31711156345527819</v>
      </c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 spans="8:50" x14ac:dyDescent="0.25"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7">
        <f t="shared" ca="1" si="4"/>
        <v>0.30354979770387952</v>
      </c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 spans="8:50" x14ac:dyDescent="0.25"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7">
        <f t="shared" ca="1" si="4"/>
        <v>0.29147944206495408</v>
      </c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 spans="8:50" x14ac:dyDescent="0.25"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7">
        <f t="shared" ca="1" si="4"/>
        <v>2.8559933626733452E-2</v>
      </c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 spans="8:50" x14ac:dyDescent="0.25"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7">
        <f t="shared" ca="1" si="4"/>
        <v>0.21018362331561338</v>
      </c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 spans="8:50" x14ac:dyDescent="0.25"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7">
        <f t="shared" ca="1" si="4"/>
        <v>-1.2594150028308312E-2</v>
      </c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 spans="8:50" x14ac:dyDescent="0.25"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7">
        <f t="shared" ca="1" si="4"/>
        <v>-5.6555870785839249E-2</v>
      </c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 spans="8:50" x14ac:dyDescent="0.25"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7">
        <f t="shared" ca="1" si="4"/>
        <v>0.12081859896043662</v>
      </c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 spans="8:50" x14ac:dyDescent="0.25"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7">
        <f t="shared" ca="1" si="4"/>
        <v>-0.17535909060066723</v>
      </c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 spans="8:50" x14ac:dyDescent="0.25"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7">
        <f t="shared" ca="1" si="4"/>
        <v>0.2032953420294345</v>
      </c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 spans="8:50" x14ac:dyDescent="0.25"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7">
        <f t="shared" ca="1" si="4"/>
        <v>0.3152399390793279</v>
      </c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 spans="8:50" x14ac:dyDescent="0.25"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7">
        <f t="shared" ca="1" si="4"/>
        <v>4.4599661217487097E-2</v>
      </c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 spans="8:50" x14ac:dyDescent="0.25"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7">
        <f t="shared" ca="1" si="4"/>
        <v>0.12026828477615385</v>
      </c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 spans="8:50" x14ac:dyDescent="0.25"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7">
        <f t="shared" ca="1" si="4"/>
        <v>0.33361608412854238</v>
      </c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 spans="8:50" x14ac:dyDescent="0.25"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7">
        <f t="shared" ref="W326:W389" ca="1" si="5">+NORMINV(RAND(),$U$2,$U$3)</f>
        <v>-6.2504985617249056E-2</v>
      </c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 spans="8:50" x14ac:dyDescent="0.25"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7">
        <f t="shared" ca="1" si="5"/>
        <v>5.8840817722262802E-2</v>
      </c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 spans="8:50" x14ac:dyDescent="0.25"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7">
        <f t="shared" ca="1" si="5"/>
        <v>0.20550123552005356</v>
      </c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 spans="8:50" x14ac:dyDescent="0.25"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7">
        <f t="shared" ca="1" si="5"/>
        <v>0.27283998990065633</v>
      </c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 spans="8:50" x14ac:dyDescent="0.25"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7">
        <f t="shared" ca="1" si="5"/>
        <v>6.5355745572462542E-2</v>
      </c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 spans="8:50" x14ac:dyDescent="0.25"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7">
        <f t="shared" ca="1" si="5"/>
        <v>0.11522681929351571</v>
      </c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 spans="8:50" x14ac:dyDescent="0.25"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7">
        <f t="shared" ca="1" si="5"/>
        <v>-0.11521497000837992</v>
      </c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 spans="8:50" x14ac:dyDescent="0.25"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7">
        <f t="shared" ca="1" si="5"/>
        <v>-0.15815090610584154</v>
      </c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 spans="8:50" x14ac:dyDescent="0.25"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7">
        <f t="shared" ca="1" si="5"/>
        <v>0.35450547358698653</v>
      </c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 spans="8:50" x14ac:dyDescent="0.25"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7">
        <f t="shared" ca="1" si="5"/>
        <v>0.35701880398549085</v>
      </c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 spans="8:50" x14ac:dyDescent="0.25"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7">
        <f t="shared" ca="1" si="5"/>
        <v>-9.0004807119429917E-2</v>
      </c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 spans="8:50" x14ac:dyDescent="0.25"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7">
        <f t="shared" ca="1" si="5"/>
        <v>0.39179685198562048</v>
      </c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 spans="8:50" x14ac:dyDescent="0.25"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7">
        <f t="shared" ca="1" si="5"/>
        <v>0.24820384812302271</v>
      </c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 spans="8:50" x14ac:dyDescent="0.25"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7">
        <f t="shared" ca="1" si="5"/>
        <v>-0.10373065588531742</v>
      </c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 spans="8:50" x14ac:dyDescent="0.25"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7">
        <f t="shared" ca="1" si="5"/>
        <v>0.31182575180673272</v>
      </c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 spans="8:50" x14ac:dyDescent="0.25"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7">
        <f t="shared" ca="1" si="5"/>
        <v>-0.12509618824160823</v>
      </c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 spans="8:50" x14ac:dyDescent="0.25"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7">
        <f t="shared" ca="1" si="5"/>
        <v>0.3024724077978943</v>
      </c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 spans="8:50" x14ac:dyDescent="0.25"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7">
        <f t="shared" ca="1" si="5"/>
        <v>5.8655144192208894E-2</v>
      </c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  <row r="344" spans="8:50" x14ac:dyDescent="0.25"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7">
        <f t="shared" ca="1" si="5"/>
        <v>-5.6718985671840097E-2</v>
      </c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</row>
    <row r="345" spans="8:50" x14ac:dyDescent="0.25"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7">
        <f t="shared" ca="1" si="5"/>
        <v>0.10037983800717298</v>
      </c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</row>
    <row r="346" spans="8:50" x14ac:dyDescent="0.25"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7">
        <f t="shared" ca="1" si="5"/>
        <v>0.27373459787048354</v>
      </c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</row>
    <row r="347" spans="8:50" x14ac:dyDescent="0.25"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7">
        <f t="shared" ca="1" si="5"/>
        <v>7.3911092406642481E-2</v>
      </c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</row>
    <row r="348" spans="8:50" x14ac:dyDescent="0.25"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7">
        <f t="shared" ca="1" si="5"/>
        <v>-0.23183272177240538</v>
      </c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</row>
    <row r="349" spans="8:50" x14ac:dyDescent="0.25"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7">
        <f t="shared" ca="1" si="5"/>
        <v>0.13941928077368473</v>
      </c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</row>
    <row r="350" spans="8:50" x14ac:dyDescent="0.25"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7">
        <f t="shared" ca="1" si="5"/>
        <v>1.1668350704737929E-2</v>
      </c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</row>
    <row r="351" spans="8:50" x14ac:dyDescent="0.25"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7">
        <f t="shared" ca="1" si="5"/>
        <v>9.5642224963658831E-2</v>
      </c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</row>
    <row r="352" spans="8:50" x14ac:dyDescent="0.25"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7">
        <f t="shared" ca="1" si="5"/>
        <v>0.22624085581118009</v>
      </c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</row>
    <row r="353" spans="8:50" x14ac:dyDescent="0.25"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7">
        <f t="shared" ca="1" si="5"/>
        <v>0.24024689089811802</v>
      </c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</row>
    <row r="354" spans="8:50" x14ac:dyDescent="0.25"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7">
        <f t="shared" ca="1" si="5"/>
        <v>-0.28002432471170363</v>
      </c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</row>
    <row r="355" spans="8:50" x14ac:dyDescent="0.25"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7">
        <f t="shared" ca="1" si="5"/>
        <v>8.0458312325327269E-2</v>
      </c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</row>
    <row r="356" spans="8:50" x14ac:dyDescent="0.25"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7">
        <f t="shared" ca="1" si="5"/>
        <v>0.34638877419470315</v>
      </c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</row>
    <row r="357" spans="8:50" x14ac:dyDescent="0.25"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7">
        <f t="shared" ca="1" si="5"/>
        <v>0.40150043950185338</v>
      </c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</row>
    <row r="358" spans="8:50" x14ac:dyDescent="0.25"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7">
        <f t="shared" ca="1" si="5"/>
        <v>0.29924826256907017</v>
      </c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</row>
    <row r="359" spans="8:50" x14ac:dyDescent="0.25"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7">
        <f t="shared" ca="1" si="5"/>
        <v>0.25981709205852538</v>
      </c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</row>
    <row r="360" spans="8:50" x14ac:dyDescent="0.25"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7">
        <f t="shared" ca="1" si="5"/>
        <v>6.9987964882948367E-2</v>
      </c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</row>
    <row r="361" spans="8:50" x14ac:dyDescent="0.25"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7">
        <f t="shared" ca="1" si="5"/>
        <v>-5.9636721603549117E-2</v>
      </c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</row>
    <row r="362" spans="8:50" x14ac:dyDescent="0.25"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7">
        <f t="shared" ca="1" si="5"/>
        <v>3.8311197566412297E-2</v>
      </c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</row>
    <row r="363" spans="8:50" x14ac:dyDescent="0.25"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7">
        <f t="shared" ca="1" si="5"/>
        <v>2.8748940945044391E-2</v>
      </c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</row>
    <row r="364" spans="8:50" x14ac:dyDescent="0.25"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7">
        <f t="shared" ca="1" si="5"/>
        <v>7.2424033813944008E-2</v>
      </c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</row>
    <row r="365" spans="8:50" x14ac:dyDescent="0.25"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7">
        <f t="shared" ca="1" si="5"/>
        <v>-0.24775692395905369</v>
      </c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</row>
    <row r="366" spans="8:50" x14ac:dyDescent="0.25"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7">
        <f t="shared" ca="1" si="5"/>
        <v>-0.11265438567115425</v>
      </c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</row>
    <row r="367" spans="8:50" x14ac:dyDescent="0.25"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7">
        <f t="shared" ca="1" si="5"/>
        <v>8.0166891308894081E-2</v>
      </c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</row>
    <row r="368" spans="8:50" x14ac:dyDescent="0.25"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7">
        <f t="shared" ca="1" si="5"/>
        <v>-7.1236830554054512E-2</v>
      </c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</row>
    <row r="369" spans="8:50" x14ac:dyDescent="0.25"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7">
        <f t="shared" ca="1" si="5"/>
        <v>-0.15650765235530234</v>
      </c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</row>
    <row r="370" spans="8:50" x14ac:dyDescent="0.25"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7">
        <f t="shared" ca="1" si="5"/>
        <v>0.10877633540913285</v>
      </c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</row>
    <row r="371" spans="8:50" x14ac:dyDescent="0.25"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7">
        <f t="shared" ca="1" si="5"/>
        <v>0.22052018997666539</v>
      </c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</row>
    <row r="372" spans="8:50" x14ac:dyDescent="0.25"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7">
        <f t="shared" ca="1" si="5"/>
        <v>-0.16207224376863211</v>
      </c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</row>
    <row r="373" spans="8:50" x14ac:dyDescent="0.25"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7">
        <f t="shared" ca="1" si="5"/>
        <v>9.5847262805749123E-2</v>
      </c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</row>
    <row r="374" spans="8:50" x14ac:dyDescent="0.25"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7">
        <f t="shared" ca="1" si="5"/>
        <v>0.17688954526517922</v>
      </c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</row>
    <row r="375" spans="8:50" x14ac:dyDescent="0.25"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7">
        <f t="shared" ca="1" si="5"/>
        <v>-0.14605368775992361</v>
      </c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</row>
    <row r="376" spans="8:50" x14ac:dyDescent="0.25"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7">
        <f t="shared" ca="1" si="5"/>
        <v>0.14250427156538759</v>
      </c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</row>
    <row r="377" spans="8:50" x14ac:dyDescent="0.25"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7">
        <f t="shared" ca="1" si="5"/>
        <v>0.37789433092456221</v>
      </c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</row>
    <row r="378" spans="8:50" x14ac:dyDescent="0.25"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7">
        <f t="shared" ca="1" si="5"/>
        <v>0.3727444030073363</v>
      </c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</row>
    <row r="379" spans="8:50" x14ac:dyDescent="0.25"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7">
        <f t="shared" ca="1" si="5"/>
        <v>0.3669127626826667</v>
      </c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</row>
    <row r="380" spans="8:50" x14ac:dyDescent="0.25"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7">
        <f t="shared" ca="1" si="5"/>
        <v>8.7454699242018E-2</v>
      </c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</row>
    <row r="381" spans="8:50" x14ac:dyDescent="0.25"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7">
        <f t="shared" ca="1" si="5"/>
        <v>0.19907921450768132</v>
      </c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</row>
    <row r="382" spans="8:50" x14ac:dyDescent="0.25"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7">
        <f t="shared" ca="1" si="5"/>
        <v>-0.13971999277327685</v>
      </c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</row>
    <row r="383" spans="8:50" x14ac:dyDescent="0.25"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7">
        <f t="shared" ca="1" si="5"/>
        <v>0.20964294297649255</v>
      </c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</row>
    <row r="384" spans="8:50" x14ac:dyDescent="0.25"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7">
        <f t="shared" ca="1" si="5"/>
        <v>3.1927176157700285E-2</v>
      </c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</row>
    <row r="385" spans="8:50" x14ac:dyDescent="0.25"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7">
        <f t="shared" ca="1" si="5"/>
        <v>-0.35175355129154895</v>
      </c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</row>
    <row r="386" spans="8:50" x14ac:dyDescent="0.25"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7">
        <f t="shared" ca="1" si="5"/>
        <v>-6.3717566733723266E-2</v>
      </c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</row>
    <row r="387" spans="8:50" x14ac:dyDescent="0.25"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7">
        <f t="shared" ca="1" si="5"/>
        <v>8.4263680227629215E-2</v>
      </c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</row>
    <row r="388" spans="8:50" x14ac:dyDescent="0.25"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7">
        <f t="shared" ca="1" si="5"/>
        <v>0.52624974440262007</v>
      </c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</row>
    <row r="389" spans="8:50" x14ac:dyDescent="0.25"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7">
        <f t="shared" ca="1" si="5"/>
        <v>4.8545030413340545E-2</v>
      </c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</row>
    <row r="390" spans="8:50" x14ac:dyDescent="0.25"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7">
        <f t="shared" ref="W390:W453" ca="1" si="6">+NORMINV(RAND(),$U$2,$U$3)</f>
        <v>0.43395948442648646</v>
      </c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</row>
    <row r="391" spans="8:50" x14ac:dyDescent="0.25"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7">
        <f t="shared" ca="1" si="6"/>
        <v>0.23194256815330749</v>
      </c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</row>
    <row r="392" spans="8:50" x14ac:dyDescent="0.25"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7">
        <f t="shared" ca="1" si="6"/>
        <v>-0.31705722008548032</v>
      </c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</row>
    <row r="393" spans="8:50" x14ac:dyDescent="0.25"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7">
        <f t="shared" ca="1" si="6"/>
        <v>0.43959855173352375</v>
      </c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</row>
    <row r="394" spans="8:50" x14ac:dyDescent="0.25"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7">
        <f t="shared" ca="1" si="6"/>
        <v>-0.2332381719183112</v>
      </c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</row>
    <row r="395" spans="8:50" x14ac:dyDescent="0.25"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7">
        <f t="shared" ca="1" si="6"/>
        <v>0.15221269797606221</v>
      </c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</row>
    <row r="396" spans="8:50" x14ac:dyDescent="0.25"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7">
        <f t="shared" ca="1" si="6"/>
        <v>0.18459368608539523</v>
      </c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</row>
    <row r="397" spans="8:50" x14ac:dyDescent="0.25"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7">
        <f t="shared" ca="1" si="6"/>
        <v>1.1004027861036145E-2</v>
      </c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</row>
    <row r="398" spans="8:50" x14ac:dyDescent="0.25"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7">
        <f t="shared" ca="1" si="6"/>
        <v>0.35077629770636726</v>
      </c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</row>
    <row r="399" spans="8:50" x14ac:dyDescent="0.25"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7">
        <f t="shared" ca="1" si="6"/>
        <v>5.2718527833245335E-2</v>
      </c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</row>
    <row r="400" spans="8:50" x14ac:dyDescent="0.25"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7">
        <f t="shared" ca="1" si="6"/>
        <v>-0.19587288837823502</v>
      </c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</row>
    <row r="401" spans="8:50" x14ac:dyDescent="0.25"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7">
        <f t="shared" ca="1" si="6"/>
        <v>-1.9401318915430732E-3</v>
      </c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</row>
    <row r="402" spans="8:50" x14ac:dyDescent="0.25"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7">
        <f t="shared" ca="1" si="6"/>
        <v>0.12446355309178136</v>
      </c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</row>
    <row r="403" spans="8:50" x14ac:dyDescent="0.25"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7">
        <f t="shared" ca="1" si="6"/>
        <v>-2.5935846917943775E-2</v>
      </c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</row>
    <row r="404" spans="8:50" x14ac:dyDescent="0.25"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7">
        <f t="shared" ca="1" si="6"/>
        <v>0.22157221433089958</v>
      </c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</row>
    <row r="405" spans="8:50" x14ac:dyDescent="0.25"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7">
        <f t="shared" ca="1" si="6"/>
        <v>0.11476250735129265</v>
      </c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</row>
    <row r="406" spans="8:50" x14ac:dyDescent="0.25"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7">
        <f t="shared" ca="1" si="6"/>
        <v>0.22230207421565251</v>
      </c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</row>
    <row r="407" spans="8:50" x14ac:dyDescent="0.25"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7">
        <f t="shared" ca="1" si="6"/>
        <v>0.23285203822563089</v>
      </c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</row>
    <row r="408" spans="8:50" x14ac:dyDescent="0.25"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7">
        <f t="shared" ca="1" si="6"/>
        <v>2.5208084499346348E-2</v>
      </c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</row>
    <row r="409" spans="8:50" x14ac:dyDescent="0.25"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7">
        <f t="shared" ca="1" si="6"/>
        <v>-4.2197165054156563E-2</v>
      </c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</row>
    <row r="410" spans="8:50" x14ac:dyDescent="0.25"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7">
        <f t="shared" ca="1" si="6"/>
        <v>0.37778740895361762</v>
      </c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</row>
    <row r="411" spans="8:50" x14ac:dyDescent="0.25"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7">
        <f t="shared" ca="1" si="6"/>
        <v>0.16853806455199211</v>
      </c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</row>
    <row r="412" spans="8:50" x14ac:dyDescent="0.25"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7">
        <f t="shared" ca="1" si="6"/>
        <v>0.15608646759135178</v>
      </c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</row>
    <row r="413" spans="8:50" x14ac:dyDescent="0.25"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7">
        <f t="shared" ca="1" si="6"/>
        <v>0.13490835681648944</v>
      </c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</row>
    <row r="414" spans="8:50" x14ac:dyDescent="0.25"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7">
        <f t="shared" ca="1" si="6"/>
        <v>4.2008300030508872E-2</v>
      </c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</row>
    <row r="415" spans="8:50" x14ac:dyDescent="0.25"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7">
        <f t="shared" ca="1" si="6"/>
        <v>0.20018654365140676</v>
      </c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</row>
    <row r="416" spans="8:50" x14ac:dyDescent="0.25"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7">
        <f t="shared" ca="1" si="6"/>
        <v>0.24070839221704571</v>
      </c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</row>
    <row r="417" spans="8:50" x14ac:dyDescent="0.25"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7">
        <f t="shared" ca="1" si="6"/>
        <v>-0.26117568395715157</v>
      </c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</row>
    <row r="418" spans="8:50" x14ac:dyDescent="0.25"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7">
        <f t="shared" ca="1" si="6"/>
        <v>8.0800201883511863E-2</v>
      </c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</row>
    <row r="419" spans="8:50" x14ac:dyDescent="0.25"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7">
        <f t="shared" ca="1" si="6"/>
        <v>-0.16871381864534507</v>
      </c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</row>
    <row r="420" spans="8:50" x14ac:dyDescent="0.25"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7">
        <f t="shared" ca="1" si="6"/>
        <v>-2.0863134361591248E-2</v>
      </c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</row>
    <row r="421" spans="8:50" x14ac:dyDescent="0.25"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7">
        <f t="shared" ca="1" si="6"/>
        <v>-0.11469730380843894</v>
      </c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</row>
    <row r="422" spans="8:50" x14ac:dyDescent="0.25"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7">
        <f t="shared" ca="1" si="6"/>
        <v>0.29337498198403389</v>
      </c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</row>
    <row r="423" spans="8:50" x14ac:dyDescent="0.25"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7">
        <f t="shared" ca="1" si="6"/>
        <v>0.42077940862956853</v>
      </c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</row>
    <row r="424" spans="8:50" x14ac:dyDescent="0.25"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7">
        <f t="shared" ca="1" si="6"/>
        <v>-3.2122238461201089E-2</v>
      </c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</row>
    <row r="425" spans="8:50" x14ac:dyDescent="0.25"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7">
        <f t="shared" ca="1" si="6"/>
        <v>0.1294486112222413</v>
      </c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</row>
    <row r="426" spans="8:50" x14ac:dyDescent="0.25"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7">
        <f t="shared" ca="1" si="6"/>
        <v>0.19180282735285306</v>
      </c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</row>
    <row r="427" spans="8:50" x14ac:dyDescent="0.25"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7">
        <f t="shared" ca="1" si="6"/>
        <v>7.4167655777633026E-2</v>
      </c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</row>
    <row r="428" spans="8:50" x14ac:dyDescent="0.25"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7">
        <f t="shared" ca="1" si="6"/>
        <v>2.9428693534485711E-2</v>
      </c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</row>
    <row r="429" spans="8:50" x14ac:dyDescent="0.25"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7">
        <f t="shared" ca="1" si="6"/>
        <v>-0.16956134096814396</v>
      </c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</row>
    <row r="430" spans="8:50" x14ac:dyDescent="0.25"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7">
        <f t="shared" ca="1" si="6"/>
        <v>0.10944271091407343</v>
      </c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</row>
    <row r="431" spans="8:50" x14ac:dyDescent="0.25"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7">
        <f t="shared" ca="1" si="6"/>
        <v>-3.6183001439070481E-2</v>
      </c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</row>
    <row r="432" spans="8:50" x14ac:dyDescent="0.25"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7">
        <f t="shared" ca="1" si="6"/>
        <v>9.6452873102272685E-2</v>
      </c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</row>
    <row r="433" spans="8:50" x14ac:dyDescent="0.25"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7">
        <f t="shared" ca="1" si="6"/>
        <v>0.43299862511940235</v>
      </c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</row>
    <row r="434" spans="8:50" x14ac:dyDescent="0.25"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7">
        <f t="shared" ca="1" si="6"/>
        <v>0.35979684031133796</v>
      </c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</row>
    <row r="435" spans="8:50" x14ac:dyDescent="0.25"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7">
        <f t="shared" ca="1" si="6"/>
        <v>0.14358358172661415</v>
      </c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</row>
    <row r="436" spans="8:50" x14ac:dyDescent="0.25"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7">
        <f t="shared" ca="1" si="6"/>
        <v>0.25751050762436767</v>
      </c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</row>
    <row r="437" spans="8:50" x14ac:dyDescent="0.25"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7">
        <f t="shared" ca="1" si="6"/>
        <v>0.17804995458498607</v>
      </c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</row>
    <row r="438" spans="8:50" x14ac:dyDescent="0.25"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7">
        <f t="shared" ca="1" si="6"/>
        <v>0.15125326719419055</v>
      </c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</row>
    <row r="439" spans="8:50" x14ac:dyDescent="0.25"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7">
        <f t="shared" ca="1" si="6"/>
        <v>-7.3594627176357522E-2</v>
      </c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</row>
    <row r="440" spans="8:50" x14ac:dyDescent="0.25"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7">
        <f t="shared" ca="1" si="6"/>
        <v>4.1491260991920881E-3</v>
      </c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</row>
    <row r="441" spans="8:50" x14ac:dyDescent="0.25"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7">
        <f t="shared" ca="1" si="6"/>
        <v>7.2198360300120543E-2</v>
      </c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</row>
    <row r="442" spans="8:50" x14ac:dyDescent="0.25"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7">
        <f t="shared" ca="1" si="6"/>
        <v>-0.13790851870137244</v>
      </c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</row>
    <row r="443" spans="8:50" x14ac:dyDescent="0.25"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7">
        <f t="shared" ca="1" si="6"/>
        <v>2.8762242356512785E-2</v>
      </c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</row>
    <row r="444" spans="8:50" x14ac:dyDescent="0.25"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7">
        <f t="shared" ca="1" si="6"/>
        <v>0.38291559744097231</v>
      </c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</row>
    <row r="445" spans="8:50" x14ac:dyDescent="0.25"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7">
        <f t="shared" ca="1" si="6"/>
        <v>0.10673136019885059</v>
      </c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</row>
    <row r="446" spans="8:50" x14ac:dyDescent="0.25"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7">
        <f t="shared" ca="1" si="6"/>
        <v>0.29519157577775812</v>
      </c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</row>
    <row r="447" spans="8:50" x14ac:dyDescent="0.25"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7">
        <f t="shared" ca="1" si="6"/>
        <v>-9.4441329455942455E-2</v>
      </c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</row>
    <row r="448" spans="8:50" x14ac:dyDescent="0.25"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7">
        <f t="shared" ca="1" si="6"/>
        <v>5.5659701449343832E-2</v>
      </c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</row>
    <row r="449" spans="8:50" x14ac:dyDescent="0.25"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7">
        <f t="shared" ca="1" si="6"/>
        <v>-4.2488636010764622E-2</v>
      </c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</row>
    <row r="450" spans="8:50" x14ac:dyDescent="0.25"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7">
        <f t="shared" ca="1" si="6"/>
        <v>3.8237684929541341E-2</v>
      </c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</row>
    <row r="451" spans="8:50" x14ac:dyDescent="0.25"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7">
        <f t="shared" ca="1" si="6"/>
        <v>-1.7898873789422662E-2</v>
      </c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</row>
    <row r="452" spans="8:50" x14ac:dyDescent="0.25"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7">
        <f t="shared" ca="1" si="6"/>
        <v>-5.7575550149710497E-4</v>
      </c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</row>
    <row r="453" spans="8:50" x14ac:dyDescent="0.25"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7">
        <f t="shared" ca="1" si="6"/>
        <v>-0.12819031730436437</v>
      </c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</row>
    <row r="454" spans="8:50" x14ac:dyDescent="0.25"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7">
        <f t="shared" ref="W454:W517" ca="1" si="7">+NORMINV(RAND(),$U$2,$U$3)</f>
        <v>-7.3553925372402726E-2</v>
      </c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</row>
    <row r="455" spans="8:50" x14ac:dyDescent="0.25"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7">
        <f t="shared" ca="1" si="7"/>
        <v>0.11759559777813332</v>
      </c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</row>
    <row r="456" spans="8:50" x14ac:dyDescent="0.25"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7">
        <f t="shared" ca="1" si="7"/>
        <v>5.2677475776447401E-2</v>
      </c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</row>
    <row r="457" spans="8:50" x14ac:dyDescent="0.25"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7">
        <f t="shared" ca="1" si="7"/>
        <v>0.15076658033317353</v>
      </c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</row>
    <row r="458" spans="8:50" x14ac:dyDescent="0.25"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7">
        <f t="shared" ca="1" si="7"/>
        <v>0.3079187582614103</v>
      </c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</row>
    <row r="459" spans="8:50" x14ac:dyDescent="0.25"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7">
        <f t="shared" ca="1" si="7"/>
        <v>-9.3599188057833252E-2</v>
      </c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</row>
    <row r="460" spans="8:50" x14ac:dyDescent="0.25"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7">
        <f t="shared" ca="1" si="7"/>
        <v>-0.10163770241361243</v>
      </c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</row>
    <row r="461" spans="8:50" x14ac:dyDescent="0.25"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7">
        <f t="shared" ca="1" si="7"/>
        <v>-4.8553366608038315E-2</v>
      </c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</row>
    <row r="462" spans="8:50" x14ac:dyDescent="0.25"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7">
        <f t="shared" ca="1" si="7"/>
        <v>0.17248369418965451</v>
      </c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</row>
    <row r="463" spans="8:50" x14ac:dyDescent="0.25"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7">
        <f t="shared" ca="1" si="7"/>
        <v>0.44987388406509154</v>
      </c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</row>
    <row r="464" spans="8:50" x14ac:dyDescent="0.25"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7">
        <f t="shared" ca="1" si="7"/>
        <v>0.47992903791108654</v>
      </c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</row>
    <row r="465" spans="8:50" x14ac:dyDescent="0.25"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7">
        <f t="shared" ca="1" si="7"/>
        <v>0.23095627455317458</v>
      </c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</row>
    <row r="466" spans="8:50" x14ac:dyDescent="0.25"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7">
        <f t="shared" ca="1" si="7"/>
        <v>0.14942521835935826</v>
      </c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</row>
    <row r="467" spans="8:50" x14ac:dyDescent="0.25"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7">
        <f t="shared" ca="1" si="7"/>
        <v>0.11567399885932154</v>
      </c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</row>
    <row r="468" spans="8:50" x14ac:dyDescent="0.25"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7">
        <f t="shared" ca="1" si="7"/>
        <v>0.5948047293875085</v>
      </c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</row>
    <row r="469" spans="8:50" x14ac:dyDescent="0.25"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7">
        <f t="shared" ca="1" si="7"/>
        <v>-5.4641119874840396E-2</v>
      </c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</row>
    <row r="470" spans="8:50" x14ac:dyDescent="0.25"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7">
        <f t="shared" ca="1" si="7"/>
        <v>8.2559343627058898E-2</v>
      </c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</row>
    <row r="471" spans="8:50" x14ac:dyDescent="0.25"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7">
        <f t="shared" ca="1" si="7"/>
        <v>-1.0634361423420058E-2</v>
      </c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</row>
    <row r="472" spans="8:50" x14ac:dyDescent="0.25"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7">
        <f t="shared" ca="1" si="7"/>
        <v>0.21840844908854731</v>
      </c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</row>
    <row r="473" spans="8:50" x14ac:dyDescent="0.25"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7">
        <f t="shared" ca="1" si="7"/>
        <v>0.30216085306416945</v>
      </c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</row>
    <row r="474" spans="8:50" x14ac:dyDescent="0.25"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7">
        <f t="shared" ca="1" si="7"/>
        <v>0.26118518544614899</v>
      </c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</row>
    <row r="475" spans="8:50" x14ac:dyDescent="0.25"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7">
        <f t="shared" ca="1" si="7"/>
        <v>0.1876397079598115</v>
      </c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</row>
    <row r="476" spans="8:50" x14ac:dyDescent="0.25"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7">
        <f t="shared" ca="1" si="7"/>
        <v>0.18661623902449392</v>
      </c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</row>
    <row r="477" spans="8:50" x14ac:dyDescent="0.25"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7">
        <f t="shared" ca="1" si="7"/>
        <v>0.22032571142676113</v>
      </c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</row>
    <row r="478" spans="8:50" x14ac:dyDescent="0.25"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7">
        <f t="shared" ca="1" si="7"/>
        <v>-0.15733651800240611</v>
      </c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</row>
    <row r="479" spans="8:50" x14ac:dyDescent="0.25"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7">
        <f t="shared" ca="1" si="7"/>
        <v>0.22147715929066361</v>
      </c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</row>
    <row r="480" spans="8:50" x14ac:dyDescent="0.25"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7">
        <f t="shared" ca="1" si="7"/>
        <v>0.10453141444552531</v>
      </c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</row>
    <row r="481" spans="8:50" x14ac:dyDescent="0.25"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7">
        <f t="shared" ca="1" si="7"/>
        <v>0.22730988755648665</v>
      </c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</row>
    <row r="482" spans="8:50" x14ac:dyDescent="0.25"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7">
        <f t="shared" ca="1" si="7"/>
        <v>2.867632416872537E-2</v>
      </c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</row>
    <row r="483" spans="8:50" x14ac:dyDescent="0.25"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7">
        <f t="shared" ca="1" si="7"/>
        <v>0.32277947655311268</v>
      </c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</row>
    <row r="484" spans="8:50" x14ac:dyDescent="0.25"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7">
        <f t="shared" ca="1" si="7"/>
        <v>0.14007510559716133</v>
      </c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</row>
    <row r="485" spans="8:50" x14ac:dyDescent="0.25"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7">
        <f t="shared" ca="1" si="7"/>
        <v>0.36316969032331592</v>
      </c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</row>
    <row r="486" spans="8:50" x14ac:dyDescent="0.25"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7">
        <f t="shared" ca="1" si="7"/>
        <v>-2.6958576328840675E-2</v>
      </c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</row>
    <row r="487" spans="8:50" x14ac:dyDescent="0.25"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7">
        <f t="shared" ca="1" si="7"/>
        <v>-5.5775592470002924E-2</v>
      </c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</row>
    <row r="488" spans="8:50" x14ac:dyDescent="0.25"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7">
        <f t="shared" ca="1" si="7"/>
        <v>-8.1051431091234735E-2</v>
      </c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</row>
    <row r="489" spans="8:50" x14ac:dyDescent="0.25"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7">
        <f t="shared" ca="1" si="7"/>
        <v>7.8699974849617105E-2</v>
      </c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</row>
    <row r="490" spans="8:50" x14ac:dyDescent="0.25"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7">
        <f t="shared" ca="1" si="7"/>
        <v>0.15363083010824857</v>
      </c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</row>
    <row r="491" spans="8:50" x14ac:dyDescent="0.25"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7">
        <f t="shared" ca="1" si="7"/>
        <v>-5.5126167118835931E-2</v>
      </c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</row>
    <row r="492" spans="8:50" x14ac:dyDescent="0.25"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7">
        <f t="shared" ca="1" si="7"/>
        <v>6.4168194540294488E-2</v>
      </c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</row>
    <row r="493" spans="8:50" x14ac:dyDescent="0.25"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7">
        <f t="shared" ca="1" si="7"/>
        <v>-2.0533221926140113E-2</v>
      </c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</row>
    <row r="494" spans="8:50" x14ac:dyDescent="0.25"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7">
        <f t="shared" ca="1" si="7"/>
        <v>0.34872039666213378</v>
      </c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</row>
    <row r="495" spans="8:50" x14ac:dyDescent="0.25"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7">
        <f t="shared" ca="1" si="7"/>
        <v>0.34727595358031493</v>
      </c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</row>
    <row r="496" spans="8:50" x14ac:dyDescent="0.25"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7">
        <f t="shared" ca="1" si="7"/>
        <v>0.27645931530678353</v>
      </c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</row>
    <row r="497" spans="8:50" x14ac:dyDescent="0.25"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7">
        <f t="shared" ca="1" si="7"/>
        <v>0.54979604273457905</v>
      </c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</row>
    <row r="498" spans="8:50" x14ac:dyDescent="0.25"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7">
        <f t="shared" ca="1" si="7"/>
        <v>0.15723771669291414</v>
      </c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</row>
    <row r="499" spans="8:50" x14ac:dyDescent="0.25"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7">
        <f t="shared" ca="1" si="7"/>
        <v>0.15354288291847276</v>
      </c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</row>
    <row r="500" spans="8:50" x14ac:dyDescent="0.25"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7">
        <f t="shared" ca="1" si="7"/>
        <v>0.22562752694961524</v>
      </c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</row>
    <row r="501" spans="8:50" x14ac:dyDescent="0.25"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7">
        <f t="shared" ca="1" si="7"/>
        <v>-3.8865252892616095E-2</v>
      </c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</row>
    <row r="502" spans="8:50" x14ac:dyDescent="0.25"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7">
        <f t="shared" ca="1" si="7"/>
        <v>-0.19897775763003173</v>
      </c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</row>
    <row r="503" spans="8:50" x14ac:dyDescent="0.25"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7">
        <f t="shared" ca="1" si="7"/>
        <v>0.11023187804142781</v>
      </c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</row>
    <row r="504" spans="8:50" x14ac:dyDescent="0.25"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7">
        <f t="shared" ca="1" si="7"/>
        <v>-6.7751491974156475E-3</v>
      </c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</row>
    <row r="505" spans="8:50" x14ac:dyDescent="0.25"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7">
        <f t="shared" ca="1" si="7"/>
        <v>0.19215058081450648</v>
      </c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</row>
    <row r="506" spans="8:50" x14ac:dyDescent="0.25"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7">
        <f t="shared" ca="1" si="7"/>
        <v>-7.7140205207640172E-3</v>
      </c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</row>
    <row r="507" spans="8:50" x14ac:dyDescent="0.25"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7">
        <f t="shared" ca="1" si="7"/>
        <v>0.15383677233693377</v>
      </c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</row>
    <row r="508" spans="8:50" x14ac:dyDescent="0.25"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7">
        <f t="shared" ca="1" si="7"/>
        <v>-5.1733185200731488E-2</v>
      </c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</row>
    <row r="509" spans="8:50" x14ac:dyDescent="0.25"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7">
        <f t="shared" ca="1" si="7"/>
        <v>-0.11242627478029334</v>
      </c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</row>
    <row r="510" spans="8:50" x14ac:dyDescent="0.25"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7">
        <f t="shared" ca="1" si="7"/>
        <v>0.32598895201051165</v>
      </c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</row>
    <row r="511" spans="8:50" x14ac:dyDescent="0.25"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7">
        <f t="shared" ca="1" si="7"/>
        <v>1.7360085972047246E-2</v>
      </c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</row>
    <row r="512" spans="8:50" x14ac:dyDescent="0.25"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7">
        <f t="shared" ca="1" si="7"/>
        <v>-0.21014035105429041</v>
      </c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</row>
    <row r="513" spans="8:50" x14ac:dyDescent="0.25"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7">
        <f t="shared" ca="1" si="7"/>
        <v>8.4915757808879777E-2</v>
      </c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</row>
    <row r="514" spans="8:50" x14ac:dyDescent="0.25"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7">
        <f t="shared" ca="1" si="7"/>
        <v>0.12544383531917425</v>
      </c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</row>
    <row r="515" spans="8:50" x14ac:dyDescent="0.25"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7">
        <f t="shared" ca="1" si="7"/>
        <v>0.31294291110588995</v>
      </c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</row>
    <row r="516" spans="8:50" x14ac:dyDescent="0.25"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7">
        <f t="shared" ca="1" si="7"/>
        <v>-0.33903832641966597</v>
      </c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</row>
    <row r="517" spans="8:50" x14ac:dyDescent="0.25"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7">
        <f t="shared" ca="1" si="7"/>
        <v>0.22964974124169696</v>
      </c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</row>
    <row r="518" spans="8:50" x14ac:dyDescent="0.25"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7">
        <f t="shared" ref="W518:W581" ca="1" si="8">+NORMINV(RAND(),$U$2,$U$3)</f>
        <v>-8.2331810676749675E-2</v>
      </c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</row>
    <row r="519" spans="8:50" x14ac:dyDescent="0.25"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7">
        <f t="shared" ca="1" si="8"/>
        <v>0.25561836121644371</v>
      </c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</row>
    <row r="520" spans="8:50" x14ac:dyDescent="0.25"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7">
        <f t="shared" ca="1" si="8"/>
        <v>0.12517478208808766</v>
      </c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</row>
    <row r="521" spans="8:50" x14ac:dyDescent="0.25"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7">
        <f t="shared" ca="1" si="8"/>
        <v>-5.2621362898671045E-2</v>
      </c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</row>
    <row r="522" spans="8:50" x14ac:dyDescent="0.25"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7">
        <f t="shared" ca="1" si="8"/>
        <v>0.36212290887807691</v>
      </c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</row>
    <row r="523" spans="8:50" x14ac:dyDescent="0.25"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7">
        <f t="shared" ca="1" si="8"/>
        <v>0.435397754502304</v>
      </c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</row>
    <row r="524" spans="8:50" x14ac:dyDescent="0.25"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7">
        <f t="shared" ca="1" si="8"/>
        <v>0.29400659480871888</v>
      </c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</row>
    <row r="525" spans="8:50" x14ac:dyDescent="0.25"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7">
        <f t="shared" ca="1" si="8"/>
        <v>0.10115504180972561</v>
      </c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</row>
    <row r="526" spans="8:50" x14ac:dyDescent="0.25"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7">
        <f t="shared" ca="1" si="8"/>
        <v>1.2684109199226606E-2</v>
      </c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</row>
    <row r="527" spans="8:50" x14ac:dyDescent="0.25"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7">
        <f t="shared" ca="1" si="8"/>
        <v>5.2362550214656509E-2</v>
      </c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</row>
    <row r="528" spans="8:50" x14ac:dyDescent="0.25"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7">
        <f t="shared" ca="1" si="8"/>
        <v>0.37910233687365474</v>
      </c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</row>
    <row r="529" spans="8:50" x14ac:dyDescent="0.25"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7">
        <f t="shared" ca="1" si="8"/>
        <v>8.2260428927079243E-3</v>
      </c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</row>
    <row r="530" spans="8:50" x14ac:dyDescent="0.25"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7">
        <f t="shared" ca="1" si="8"/>
        <v>0.32799630392633639</v>
      </c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</row>
    <row r="531" spans="8:50" x14ac:dyDescent="0.25"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7">
        <f t="shared" ca="1" si="8"/>
        <v>7.0853271980325649E-4</v>
      </c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</row>
    <row r="532" spans="8:50" x14ac:dyDescent="0.25"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7">
        <f t="shared" ca="1" si="8"/>
        <v>0.40617588487138306</v>
      </c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</row>
    <row r="533" spans="8:50" x14ac:dyDescent="0.25"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7">
        <f t="shared" ca="1" si="8"/>
        <v>0.19607067388712338</v>
      </c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</row>
    <row r="534" spans="8:50" x14ac:dyDescent="0.25"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7">
        <f t="shared" ca="1" si="8"/>
        <v>0.35283594976100879</v>
      </c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</row>
    <row r="535" spans="8:50" x14ac:dyDescent="0.25"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7">
        <f t="shared" ca="1" si="8"/>
        <v>8.6034793104768192E-2</v>
      </c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</row>
    <row r="536" spans="8:50" x14ac:dyDescent="0.25"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7">
        <f t="shared" ca="1" si="8"/>
        <v>0.16370416557136214</v>
      </c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</row>
    <row r="537" spans="8:50" x14ac:dyDescent="0.25"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7">
        <f t="shared" ca="1" si="8"/>
        <v>0.34695251161569873</v>
      </c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</row>
    <row r="538" spans="8:50" x14ac:dyDescent="0.25"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7">
        <f t="shared" ca="1" si="8"/>
        <v>0.20997683324246591</v>
      </c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</row>
    <row r="539" spans="8:50" x14ac:dyDescent="0.25"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7">
        <f t="shared" ca="1" si="8"/>
        <v>0.30312735268878277</v>
      </c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</row>
    <row r="540" spans="8:50" x14ac:dyDescent="0.25"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7">
        <f t="shared" ca="1" si="8"/>
        <v>-0.32732484456821859</v>
      </c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</row>
    <row r="541" spans="8:50" x14ac:dyDescent="0.25"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7">
        <f t="shared" ca="1" si="8"/>
        <v>0.37465349348732269</v>
      </c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</row>
    <row r="542" spans="8:50" x14ac:dyDescent="0.25"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7">
        <f t="shared" ca="1" si="8"/>
        <v>-4.272742870410727E-2</v>
      </c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</row>
    <row r="543" spans="8:50" x14ac:dyDescent="0.25"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7">
        <f t="shared" ca="1" si="8"/>
        <v>8.9956347801524922E-2</v>
      </c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</row>
    <row r="544" spans="8:50" x14ac:dyDescent="0.25"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7">
        <f t="shared" ca="1" si="8"/>
        <v>0.11184585920071356</v>
      </c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</row>
    <row r="545" spans="8:50" x14ac:dyDescent="0.25"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7">
        <f t="shared" ca="1" si="8"/>
        <v>0.12208585195874518</v>
      </c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</row>
    <row r="546" spans="8:50" x14ac:dyDescent="0.25"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7">
        <f t="shared" ca="1" si="8"/>
        <v>6.0460595994172167E-3</v>
      </c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</row>
    <row r="547" spans="8:50" x14ac:dyDescent="0.25"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7">
        <f t="shared" ca="1" si="8"/>
        <v>0.27508481983553407</v>
      </c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</row>
    <row r="548" spans="8:50" x14ac:dyDescent="0.25"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7">
        <f t="shared" ca="1" si="8"/>
        <v>-2.2002910106802512E-2</v>
      </c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</row>
    <row r="549" spans="8:50" x14ac:dyDescent="0.25"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7">
        <f t="shared" ca="1" si="8"/>
        <v>0.22900226318708017</v>
      </c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</row>
    <row r="550" spans="8:50" x14ac:dyDescent="0.25"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7">
        <f t="shared" ca="1" si="8"/>
        <v>-0.12228148216169195</v>
      </c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</row>
    <row r="551" spans="8:50" x14ac:dyDescent="0.25"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7">
        <f t="shared" ca="1" si="8"/>
        <v>-0.281999456673375</v>
      </c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</row>
    <row r="552" spans="8:50" x14ac:dyDescent="0.25"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7">
        <f t="shared" ca="1" si="8"/>
        <v>0.13964969645677258</v>
      </c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</row>
    <row r="553" spans="8:50" x14ac:dyDescent="0.25"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7">
        <f t="shared" ca="1" si="8"/>
        <v>1.9368847354868976E-2</v>
      </c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</row>
    <row r="554" spans="8:50" x14ac:dyDescent="0.25"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7">
        <f t="shared" ca="1" si="8"/>
        <v>0.30186751668122425</v>
      </c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</row>
    <row r="555" spans="8:50" x14ac:dyDescent="0.25"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7">
        <f t="shared" ca="1" si="8"/>
        <v>0.17904308779543746</v>
      </c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</row>
    <row r="556" spans="8:50" x14ac:dyDescent="0.25"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7">
        <f t="shared" ca="1" si="8"/>
        <v>0.14307076175887554</v>
      </c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</row>
    <row r="557" spans="8:50" x14ac:dyDescent="0.25"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7">
        <f t="shared" ca="1" si="8"/>
        <v>0.23212317883215217</v>
      </c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</row>
    <row r="558" spans="8:50" x14ac:dyDescent="0.25"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7">
        <f t="shared" ca="1" si="8"/>
        <v>0.10088768103533823</v>
      </c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</row>
    <row r="559" spans="8:50" x14ac:dyDescent="0.25"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7">
        <f t="shared" ca="1" si="8"/>
        <v>1.5576579016300551E-2</v>
      </c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</row>
    <row r="560" spans="8:50" x14ac:dyDescent="0.25"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7">
        <f t="shared" ca="1" si="8"/>
        <v>0.22701150778937862</v>
      </c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</row>
    <row r="561" spans="8:50" x14ac:dyDescent="0.25"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7">
        <f t="shared" ca="1" si="8"/>
        <v>-0.21137688964785956</v>
      </c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</row>
    <row r="562" spans="8:50" x14ac:dyDescent="0.25"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7">
        <f t="shared" ca="1" si="8"/>
        <v>7.1952260684665786E-2</v>
      </c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</row>
    <row r="563" spans="8:50" x14ac:dyDescent="0.25"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7">
        <f t="shared" ca="1" si="8"/>
        <v>-4.0552339331658763E-2</v>
      </c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</row>
    <row r="564" spans="8:50" x14ac:dyDescent="0.25"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7">
        <f t="shared" ca="1" si="8"/>
        <v>-8.8279489094424443E-2</v>
      </c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</row>
    <row r="565" spans="8:50" x14ac:dyDescent="0.25"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7">
        <f t="shared" ca="1" si="8"/>
        <v>0.25166515480086377</v>
      </c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</row>
    <row r="566" spans="8:50" x14ac:dyDescent="0.25"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7">
        <f t="shared" ca="1" si="8"/>
        <v>0.41610605794398092</v>
      </c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</row>
    <row r="567" spans="8:50" x14ac:dyDescent="0.25"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7">
        <f t="shared" ca="1" si="8"/>
        <v>0.10358592166049223</v>
      </c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</row>
    <row r="568" spans="8:50" x14ac:dyDescent="0.25"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7">
        <f t="shared" ca="1" si="8"/>
        <v>-7.8543000662609622E-2</v>
      </c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</row>
    <row r="569" spans="8:50" x14ac:dyDescent="0.25"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7">
        <f t="shared" ca="1" si="8"/>
        <v>-0.16500828943110668</v>
      </c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</row>
    <row r="570" spans="8:50" x14ac:dyDescent="0.25"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7">
        <f t="shared" ca="1" si="8"/>
        <v>0.1963402675027362</v>
      </c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</row>
    <row r="571" spans="8:50" x14ac:dyDescent="0.25"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7">
        <f t="shared" ca="1" si="8"/>
        <v>0.16114158805339332</v>
      </c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</row>
    <row r="572" spans="8:50" x14ac:dyDescent="0.25"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7">
        <f t="shared" ca="1" si="8"/>
        <v>3.6115327437368602E-2</v>
      </c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</row>
    <row r="573" spans="8:50" x14ac:dyDescent="0.25"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7">
        <f t="shared" ca="1" si="8"/>
        <v>-0.38665718397338289</v>
      </c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</row>
    <row r="574" spans="8:50" x14ac:dyDescent="0.25"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7">
        <f t="shared" ca="1" si="8"/>
        <v>0.183635950071242</v>
      </c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</row>
    <row r="575" spans="8:50" x14ac:dyDescent="0.25"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7">
        <f t="shared" ca="1" si="8"/>
        <v>-4.9862618259445268E-3</v>
      </c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</row>
    <row r="576" spans="8:50" x14ac:dyDescent="0.25"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7">
        <f t="shared" ca="1" si="8"/>
        <v>-0.15804368962078896</v>
      </c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</row>
    <row r="577" spans="8:50" x14ac:dyDescent="0.25"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7">
        <f t="shared" ca="1" si="8"/>
        <v>0.18722683550748004</v>
      </c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</row>
    <row r="578" spans="8:50" x14ac:dyDescent="0.25"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7">
        <f t="shared" ca="1" si="8"/>
        <v>-1.2651238747897336E-3</v>
      </c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</row>
    <row r="579" spans="8:50" x14ac:dyDescent="0.25"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7">
        <f t="shared" ca="1" si="8"/>
        <v>0.22284929010159787</v>
      </c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</row>
    <row r="580" spans="8:50" x14ac:dyDescent="0.25"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7">
        <f t="shared" ca="1" si="8"/>
        <v>4.7802511763291061E-2</v>
      </c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</row>
    <row r="581" spans="8:50" x14ac:dyDescent="0.25"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7">
        <f t="shared" ca="1" si="8"/>
        <v>-0.17560578651759784</v>
      </c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</row>
    <row r="582" spans="8:50" x14ac:dyDescent="0.25"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7">
        <f t="shared" ref="W582:W645" ca="1" si="9">+NORMINV(RAND(),$U$2,$U$3)</f>
        <v>0.14357539556409044</v>
      </c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</row>
    <row r="583" spans="8:50" x14ac:dyDescent="0.25"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7">
        <f t="shared" ca="1" si="9"/>
        <v>0.14824176148810353</v>
      </c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</row>
    <row r="584" spans="8:50" x14ac:dyDescent="0.25"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7">
        <f t="shared" ca="1" si="9"/>
        <v>0.36704071944355432</v>
      </c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</row>
    <row r="585" spans="8:50" x14ac:dyDescent="0.25"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7">
        <f t="shared" ca="1" si="9"/>
        <v>-0.18802973756888541</v>
      </c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</row>
    <row r="586" spans="8:50" x14ac:dyDescent="0.25"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7">
        <f t="shared" ca="1" si="9"/>
        <v>0.1921052489104923</v>
      </c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</row>
    <row r="587" spans="8:50" x14ac:dyDescent="0.25"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7">
        <f t="shared" ca="1" si="9"/>
        <v>0.24385522029582007</v>
      </c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</row>
    <row r="588" spans="8:50" x14ac:dyDescent="0.25"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7">
        <f t="shared" ca="1" si="9"/>
        <v>2.5164536340507582E-2</v>
      </c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</row>
    <row r="589" spans="8:50" x14ac:dyDescent="0.25"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7">
        <f t="shared" ca="1" si="9"/>
        <v>1.3082546089164857E-2</v>
      </c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</row>
    <row r="590" spans="8:50" x14ac:dyDescent="0.25"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7">
        <f t="shared" ca="1" si="9"/>
        <v>2.6434430528651381E-3</v>
      </c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</row>
    <row r="591" spans="8:50" x14ac:dyDescent="0.25"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7">
        <f t="shared" ca="1" si="9"/>
        <v>0.23506644925154838</v>
      </c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</row>
    <row r="592" spans="8:50" x14ac:dyDescent="0.25"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7">
        <f t="shared" ca="1" si="9"/>
        <v>0.13280644342161441</v>
      </c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</row>
    <row r="593" spans="8:50" x14ac:dyDescent="0.25"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7">
        <f t="shared" ca="1" si="9"/>
        <v>0.37401303636762873</v>
      </c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</row>
    <row r="594" spans="8:50" x14ac:dyDescent="0.25"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7">
        <f t="shared" ca="1" si="9"/>
        <v>-0.14231094308630116</v>
      </c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</row>
    <row r="595" spans="8:50" x14ac:dyDescent="0.25"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7">
        <f t="shared" ca="1" si="9"/>
        <v>-6.0365549613750749E-2</v>
      </c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</row>
    <row r="596" spans="8:50" x14ac:dyDescent="0.25"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7">
        <f t="shared" ca="1" si="9"/>
        <v>0.14456103166668977</v>
      </c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</row>
    <row r="597" spans="8:50" x14ac:dyDescent="0.25"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7">
        <f t="shared" ca="1" si="9"/>
        <v>0.22069515662119898</v>
      </c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</row>
    <row r="598" spans="8:50" x14ac:dyDescent="0.25"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7">
        <f t="shared" ca="1" si="9"/>
        <v>0.10881552993857704</v>
      </c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</row>
    <row r="599" spans="8:50" x14ac:dyDescent="0.25"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7">
        <f t="shared" ca="1" si="9"/>
        <v>0.1874559584690117</v>
      </c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</row>
    <row r="600" spans="8:50" x14ac:dyDescent="0.25"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7">
        <f t="shared" ca="1" si="9"/>
        <v>4.0411159983777312E-2</v>
      </c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</row>
    <row r="601" spans="8:50" x14ac:dyDescent="0.25"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7">
        <f t="shared" ca="1" si="9"/>
        <v>6.045889767483556E-2</v>
      </c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</row>
    <row r="602" spans="8:50" x14ac:dyDescent="0.25"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7">
        <f t="shared" ca="1" si="9"/>
        <v>7.0369093169551589E-2</v>
      </c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</row>
    <row r="603" spans="8:50" x14ac:dyDescent="0.25"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7">
        <f t="shared" ca="1" si="9"/>
        <v>0.26231228404719081</v>
      </c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</row>
    <row r="604" spans="8:50" x14ac:dyDescent="0.25"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7">
        <f t="shared" ca="1" si="9"/>
        <v>8.350537409190617E-3</v>
      </c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</row>
    <row r="605" spans="8:50" x14ac:dyDescent="0.25"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7">
        <f t="shared" ca="1" si="9"/>
        <v>-9.2655746163132338E-2</v>
      </c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</row>
    <row r="606" spans="8:50" x14ac:dyDescent="0.25"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7">
        <f t="shared" ca="1" si="9"/>
        <v>0.16076816821496237</v>
      </c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</row>
    <row r="607" spans="8:50" x14ac:dyDescent="0.25"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7">
        <f t="shared" ca="1" si="9"/>
        <v>0.29473918307858538</v>
      </c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</row>
    <row r="608" spans="8:50" x14ac:dyDescent="0.25"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7">
        <f t="shared" ca="1" si="9"/>
        <v>5.5096367013291007E-2</v>
      </c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</row>
    <row r="609" spans="8:50" x14ac:dyDescent="0.25"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7">
        <f t="shared" ca="1" si="9"/>
        <v>0.1348706295580932</v>
      </c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</row>
    <row r="610" spans="8:50" x14ac:dyDescent="0.25"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7">
        <f t="shared" ca="1" si="9"/>
        <v>-7.3480631908352648E-2</v>
      </c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</row>
    <row r="611" spans="8:50" x14ac:dyDescent="0.25"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7">
        <f t="shared" ca="1" si="9"/>
        <v>-8.8746908476224559E-2</v>
      </c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</row>
    <row r="612" spans="8:50" x14ac:dyDescent="0.25"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7">
        <f t="shared" ca="1" si="9"/>
        <v>0.23967324987094846</v>
      </c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</row>
    <row r="613" spans="8:50" x14ac:dyDescent="0.25"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7">
        <f t="shared" ca="1" si="9"/>
        <v>0.28134951480968867</v>
      </c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</row>
    <row r="614" spans="8:50" x14ac:dyDescent="0.25"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7">
        <f t="shared" ca="1" si="9"/>
        <v>-0.28738360903524218</v>
      </c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</row>
    <row r="615" spans="8:50" x14ac:dyDescent="0.25"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7">
        <f t="shared" ca="1" si="9"/>
        <v>4.6927348055240709E-2</v>
      </c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</row>
    <row r="616" spans="8:50" x14ac:dyDescent="0.25"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7">
        <f t="shared" ca="1" si="9"/>
        <v>0.17419720629505941</v>
      </c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</row>
    <row r="617" spans="8:50" x14ac:dyDescent="0.25"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7">
        <f t="shared" ca="1" si="9"/>
        <v>0.13159227377661362</v>
      </c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</row>
    <row r="618" spans="8:50" x14ac:dyDescent="0.25"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7">
        <f t="shared" ca="1" si="9"/>
        <v>0.20185276217826964</v>
      </c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</row>
    <row r="619" spans="8:50" x14ac:dyDescent="0.25"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7">
        <f t="shared" ca="1" si="9"/>
        <v>0.15810440576647863</v>
      </c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</row>
    <row r="620" spans="8:50" x14ac:dyDescent="0.25"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7">
        <f t="shared" ca="1" si="9"/>
        <v>0.31431863099526086</v>
      </c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</row>
    <row r="621" spans="8:50" x14ac:dyDescent="0.25"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7">
        <f t="shared" ca="1" si="9"/>
        <v>2.8532391463962054E-2</v>
      </c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</row>
    <row r="622" spans="8:50" x14ac:dyDescent="0.25"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7">
        <f t="shared" ca="1" si="9"/>
        <v>-4.5117082393968791E-2</v>
      </c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</row>
    <row r="623" spans="8:50" x14ac:dyDescent="0.25"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7">
        <f t="shared" ca="1" si="9"/>
        <v>-5.8240640490819784E-3</v>
      </c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</row>
    <row r="624" spans="8:50" x14ac:dyDescent="0.25"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7">
        <f t="shared" ca="1" si="9"/>
        <v>0.13825779846834413</v>
      </c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</row>
    <row r="625" spans="8:50" x14ac:dyDescent="0.25"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7">
        <f t="shared" ca="1" si="9"/>
        <v>-0.11436881458761423</v>
      </c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</row>
    <row r="626" spans="8:50" x14ac:dyDescent="0.25"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7">
        <f t="shared" ca="1" si="9"/>
        <v>-9.3118292387450716E-2</v>
      </c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</row>
    <row r="627" spans="8:50" x14ac:dyDescent="0.25"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7">
        <f t="shared" ca="1" si="9"/>
        <v>0.20341250310753861</v>
      </c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</row>
    <row r="628" spans="8:50" x14ac:dyDescent="0.25"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7">
        <f t="shared" ca="1" si="9"/>
        <v>0.13831230348654239</v>
      </c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</row>
    <row r="629" spans="8:50" x14ac:dyDescent="0.25"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7">
        <f t="shared" ca="1" si="9"/>
        <v>0.32549404686813749</v>
      </c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</row>
    <row r="630" spans="8:50" x14ac:dyDescent="0.25"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7">
        <f t="shared" ca="1" si="9"/>
        <v>6.91578972634391E-2</v>
      </c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</row>
    <row r="631" spans="8:50" x14ac:dyDescent="0.25"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7">
        <f t="shared" ca="1" si="9"/>
        <v>6.2696385661332871E-2</v>
      </c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</row>
    <row r="632" spans="8:50" x14ac:dyDescent="0.25"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7">
        <f t="shared" ca="1" si="9"/>
        <v>8.5357007773606774E-2</v>
      </c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</row>
    <row r="633" spans="8:50" x14ac:dyDescent="0.25"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7">
        <f t="shared" ca="1" si="9"/>
        <v>2.271199058891045E-2</v>
      </c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</row>
    <row r="634" spans="8:50" x14ac:dyDescent="0.25"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7">
        <f t="shared" ca="1" si="9"/>
        <v>5.4258033183570822E-2</v>
      </c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</row>
    <row r="635" spans="8:50" x14ac:dyDescent="0.25"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7">
        <f t="shared" ca="1" si="9"/>
        <v>1.7088782197365787E-2</v>
      </c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</row>
    <row r="636" spans="8:50" x14ac:dyDescent="0.25"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7">
        <f t="shared" ca="1" si="9"/>
        <v>0.21492672944811103</v>
      </c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</row>
    <row r="637" spans="8:50" x14ac:dyDescent="0.25"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7">
        <f t="shared" ca="1" si="9"/>
        <v>0.2760180752702906</v>
      </c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</row>
    <row r="638" spans="8:50" x14ac:dyDescent="0.25"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7">
        <f t="shared" ca="1" si="9"/>
        <v>0.30673633748076479</v>
      </c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</row>
    <row r="639" spans="8:50" x14ac:dyDescent="0.25"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7">
        <f t="shared" ca="1" si="9"/>
        <v>0.23325879592399865</v>
      </c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</row>
    <row r="640" spans="8:50" x14ac:dyDescent="0.25"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7">
        <f t="shared" ca="1" si="9"/>
        <v>0.14488918763508918</v>
      </c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</row>
    <row r="641" spans="8:50" x14ac:dyDescent="0.25"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7">
        <f t="shared" ca="1" si="9"/>
        <v>-0.11397339529661706</v>
      </c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</row>
    <row r="642" spans="8:50" x14ac:dyDescent="0.25"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7">
        <f t="shared" ca="1" si="9"/>
        <v>0.15702862463194303</v>
      </c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</row>
    <row r="643" spans="8:50" x14ac:dyDescent="0.25"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7">
        <f t="shared" ca="1" si="9"/>
        <v>0.38787866149505423</v>
      </c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</row>
    <row r="644" spans="8:50" x14ac:dyDescent="0.25"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7">
        <f t="shared" ca="1" si="9"/>
        <v>0.2758161451746593</v>
      </c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</row>
    <row r="645" spans="8:50" x14ac:dyDescent="0.25"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7">
        <f t="shared" ca="1" si="9"/>
        <v>0.11293947142517649</v>
      </c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</row>
    <row r="646" spans="8:50" x14ac:dyDescent="0.25"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7">
        <f t="shared" ref="W646:W709" ca="1" si="10">+NORMINV(RAND(),$U$2,$U$3)</f>
        <v>-0.10035646351759882</v>
      </c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</row>
    <row r="647" spans="8:50" x14ac:dyDescent="0.25"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7">
        <f t="shared" ca="1" si="10"/>
        <v>0.1994306241643771</v>
      </c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</row>
    <row r="648" spans="8:50" x14ac:dyDescent="0.25"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7">
        <f t="shared" ca="1" si="10"/>
        <v>0.32298724276650365</v>
      </c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</row>
    <row r="649" spans="8:50" x14ac:dyDescent="0.25"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7">
        <f t="shared" ca="1" si="10"/>
        <v>0.11330009772972541</v>
      </c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</row>
    <row r="650" spans="8:50" x14ac:dyDescent="0.25"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7">
        <f t="shared" ca="1" si="10"/>
        <v>0.23710937057348275</v>
      </c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</row>
    <row r="651" spans="8:50" x14ac:dyDescent="0.25"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7">
        <f t="shared" ca="1" si="10"/>
        <v>0.27642105831047409</v>
      </c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</row>
    <row r="652" spans="8:50" x14ac:dyDescent="0.25"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7">
        <f t="shared" ca="1" si="10"/>
        <v>0.22191990310642248</v>
      </c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</row>
    <row r="653" spans="8:50" x14ac:dyDescent="0.25"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7">
        <f t="shared" ca="1" si="10"/>
        <v>5.8901023783628111E-2</v>
      </c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</row>
    <row r="654" spans="8:50" x14ac:dyDescent="0.25"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7">
        <f t="shared" ca="1" si="10"/>
        <v>0.17623386291707027</v>
      </c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</row>
    <row r="655" spans="8:50" x14ac:dyDescent="0.25"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7">
        <f t="shared" ca="1" si="10"/>
        <v>4.0024242222848783E-2</v>
      </c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</row>
    <row r="656" spans="8:50" x14ac:dyDescent="0.25"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7">
        <f t="shared" ca="1" si="10"/>
        <v>0.44921770839353642</v>
      </c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</row>
    <row r="657" spans="8:50" x14ac:dyDescent="0.25"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7">
        <f t="shared" ca="1" si="10"/>
        <v>0.25945917122213513</v>
      </c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</row>
    <row r="658" spans="8:50" x14ac:dyDescent="0.25"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7">
        <f t="shared" ca="1" si="10"/>
        <v>-8.1295521874709953E-3</v>
      </c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</row>
    <row r="659" spans="8:50" x14ac:dyDescent="0.25"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7">
        <f t="shared" ca="1" si="10"/>
        <v>0.24801904464201002</v>
      </c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</row>
    <row r="660" spans="8:50" x14ac:dyDescent="0.25"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7">
        <f t="shared" ca="1" si="10"/>
        <v>6.7552023899097285E-2</v>
      </c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</row>
    <row r="661" spans="8:50" x14ac:dyDescent="0.25"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7">
        <f t="shared" ca="1" si="10"/>
        <v>0.34005039247982111</v>
      </c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</row>
    <row r="662" spans="8:50" x14ac:dyDescent="0.25"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7">
        <f t="shared" ca="1" si="10"/>
        <v>-4.0801868958714974E-2</v>
      </c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</row>
    <row r="663" spans="8:50" x14ac:dyDescent="0.25"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7">
        <f t="shared" ca="1" si="10"/>
        <v>-3.6049948602238438E-2</v>
      </c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</row>
    <row r="664" spans="8:50" x14ac:dyDescent="0.25"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7">
        <f t="shared" ca="1" si="10"/>
        <v>0.287979220268401</v>
      </c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</row>
    <row r="665" spans="8:50" x14ac:dyDescent="0.25"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7">
        <f t="shared" ca="1" si="10"/>
        <v>0.17999315535649579</v>
      </c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</row>
    <row r="666" spans="8:50" x14ac:dyDescent="0.25"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7">
        <f t="shared" ca="1" si="10"/>
        <v>-0.22276456333486133</v>
      </c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</row>
    <row r="667" spans="8:50" x14ac:dyDescent="0.25"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7">
        <f t="shared" ca="1" si="10"/>
        <v>0.16217555256483146</v>
      </c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</row>
    <row r="668" spans="8:50" x14ac:dyDescent="0.25"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7">
        <f t="shared" ca="1" si="10"/>
        <v>0.1570657784746054</v>
      </c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</row>
    <row r="669" spans="8:50" x14ac:dyDescent="0.25"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7">
        <f t="shared" ca="1" si="10"/>
        <v>0.24085554059900049</v>
      </c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</row>
    <row r="670" spans="8:50" x14ac:dyDescent="0.25"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7">
        <f t="shared" ca="1" si="10"/>
        <v>0.22621566372363927</v>
      </c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</row>
    <row r="671" spans="8:50" x14ac:dyDescent="0.25"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7">
        <f t="shared" ca="1" si="10"/>
        <v>0.49668870439167795</v>
      </c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</row>
    <row r="672" spans="8:50" x14ac:dyDescent="0.25"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7">
        <f t="shared" ca="1" si="10"/>
        <v>0.18784504937015872</v>
      </c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</row>
    <row r="673" spans="8:50" x14ac:dyDescent="0.25"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7">
        <f t="shared" ca="1" si="10"/>
        <v>-0.40546475080802891</v>
      </c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</row>
    <row r="674" spans="8:50" x14ac:dyDescent="0.25"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7">
        <f t="shared" ca="1" si="10"/>
        <v>0.39050493412039639</v>
      </c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</row>
    <row r="675" spans="8:50" x14ac:dyDescent="0.25"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7">
        <f t="shared" ca="1" si="10"/>
        <v>0.28201478560081411</v>
      </c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</row>
    <row r="676" spans="8:50" x14ac:dyDescent="0.25"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7">
        <f t="shared" ca="1" si="10"/>
        <v>-2.7583459094695742E-2</v>
      </c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</row>
    <row r="677" spans="8:50" x14ac:dyDescent="0.25"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7">
        <f t="shared" ca="1" si="10"/>
        <v>0.18061721405521219</v>
      </c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</row>
    <row r="678" spans="8:50" x14ac:dyDescent="0.25"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7">
        <f t="shared" ca="1" si="10"/>
        <v>-0.21023177185907177</v>
      </c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</row>
    <row r="679" spans="8:50" x14ac:dyDescent="0.25"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7">
        <f t="shared" ca="1" si="10"/>
        <v>-0.25063337201717617</v>
      </c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</row>
    <row r="680" spans="8:50" x14ac:dyDescent="0.25"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7">
        <f t="shared" ca="1" si="10"/>
        <v>8.2717034187365923E-3</v>
      </c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</row>
    <row r="681" spans="8:50" x14ac:dyDescent="0.25"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7">
        <f t="shared" ca="1" si="10"/>
        <v>-0.20630667684464565</v>
      </c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</row>
    <row r="682" spans="8:50" x14ac:dyDescent="0.25"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7">
        <f t="shared" ca="1" si="10"/>
        <v>0.12354949923340419</v>
      </c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</row>
    <row r="683" spans="8:50" x14ac:dyDescent="0.25"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7">
        <f t="shared" ca="1" si="10"/>
        <v>0.18103668262680706</v>
      </c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</row>
    <row r="684" spans="8:50" x14ac:dyDescent="0.25"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7">
        <f t="shared" ca="1" si="10"/>
        <v>1.8636159194668586E-2</v>
      </c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</row>
    <row r="685" spans="8:50" x14ac:dyDescent="0.25"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7">
        <f t="shared" ca="1" si="10"/>
        <v>7.7174229430301292E-2</v>
      </c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</row>
    <row r="686" spans="8:50" x14ac:dyDescent="0.25"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7">
        <f t="shared" ca="1" si="10"/>
        <v>-0.12950619665086077</v>
      </c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</row>
    <row r="687" spans="8:50" x14ac:dyDescent="0.25"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7">
        <f t="shared" ca="1" si="10"/>
        <v>0.23217777225934388</v>
      </c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</row>
    <row r="688" spans="8:50" x14ac:dyDescent="0.25"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7">
        <f t="shared" ca="1" si="10"/>
        <v>-0.1037691536066797</v>
      </c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</row>
    <row r="689" spans="8:50" x14ac:dyDescent="0.25"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7">
        <f t="shared" ca="1" si="10"/>
        <v>0.31239728217181645</v>
      </c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</row>
    <row r="690" spans="8:50" x14ac:dyDescent="0.25"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7">
        <f t="shared" ca="1" si="10"/>
        <v>0.36671693436696423</v>
      </c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</row>
    <row r="691" spans="8:50" x14ac:dyDescent="0.25"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7">
        <f t="shared" ca="1" si="10"/>
        <v>-0.12942962220204063</v>
      </c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</row>
    <row r="692" spans="8:50" x14ac:dyDescent="0.25"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7">
        <f t="shared" ca="1" si="10"/>
        <v>0.2943301451087475</v>
      </c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</row>
    <row r="693" spans="8:50" x14ac:dyDescent="0.25"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7">
        <f t="shared" ca="1" si="10"/>
        <v>-0.1565041034023818</v>
      </c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</row>
    <row r="694" spans="8:50" x14ac:dyDescent="0.25"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7">
        <f t="shared" ca="1" si="10"/>
        <v>-0.16669860966009947</v>
      </c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</row>
    <row r="695" spans="8:50" x14ac:dyDescent="0.25"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7">
        <f t="shared" ca="1" si="10"/>
        <v>-0.18775074153204352</v>
      </c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</row>
    <row r="696" spans="8:50" x14ac:dyDescent="0.25"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7">
        <f t="shared" ca="1" si="10"/>
        <v>-4.3822146082250393E-2</v>
      </c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</row>
    <row r="697" spans="8:50" x14ac:dyDescent="0.25"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7">
        <f t="shared" ca="1" si="10"/>
        <v>0.21566793249199223</v>
      </c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</row>
    <row r="698" spans="8:50" x14ac:dyDescent="0.25"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7">
        <f t="shared" ca="1" si="10"/>
        <v>0.12436172479181005</v>
      </c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</row>
    <row r="699" spans="8:50" x14ac:dyDescent="0.25"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7">
        <f t="shared" ca="1" si="10"/>
        <v>0.10303219628469588</v>
      </c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</row>
    <row r="700" spans="8:50" x14ac:dyDescent="0.25"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7">
        <f t="shared" ca="1" si="10"/>
        <v>-1.7778239444098773E-2</v>
      </c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</row>
    <row r="701" spans="8:50" x14ac:dyDescent="0.25"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7">
        <f t="shared" ca="1" si="10"/>
        <v>0.42906139010386685</v>
      </c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</row>
    <row r="702" spans="8:50" x14ac:dyDescent="0.25"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7">
        <f t="shared" ca="1" si="10"/>
        <v>0.18862999549920828</v>
      </c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</row>
    <row r="703" spans="8:50" x14ac:dyDescent="0.25"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7">
        <f t="shared" ca="1" si="10"/>
        <v>0.57051659987532533</v>
      </c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</row>
    <row r="704" spans="8:50" x14ac:dyDescent="0.25"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7">
        <f t="shared" ca="1" si="10"/>
        <v>-0.29088583684720914</v>
      </c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</row>
    <row r="705" spans="8:50" x14ac:dyDescent="0.25"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7">
        <f t="shared" ca="1" si="10"/>
        <v>-7.6211392135608527E-2</v>
      </c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</row>
    <row r="706" spans="8:50" x14ac:dyDescent="0.25"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7">
        <f t="shared" ca="1" si="10"/>
        <v>9.822867725425731E-2</v>
      </c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</row>
    <row r="707" spans="8:50" x14ac:dyDescent="0.25"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7">
        <f t="shared" ca="1" si="10"/>
        <v>-2.837520622886551E-2</v>
      </c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</row>
    <row r="708" spans="8:50" x14ac:dyDescent="0.25"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7">
        <f t="shared" ca="1" si="10"/>
        <v>0.17937949611332721</v>
      </c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</row>
    <row r="709" spans="8:50" x14ac:dyDescent="0.25"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7">
        <f t="shared" ca="1" si="10"/>
        <v>0.39212992030733751</v>
      </c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</row>
    <row r="710" spans="8:50" x14ac:dyDescent="0.25"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7">
        <f t="shared" ref="W710:W773" ca="1" si="11">+NORMINV(RAND(),$U$2,$U$3)</f>
        <v>0.24819618506707053</v>
      </c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</row>
    <row r="711" spans="8:50" x14ac:dyDescent="0.25"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7">
        <f t="shared" ca="1" si="11"/>
        <v>-4.7015730260322366E-2</v>
      </c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</row>
    <row r="712" spans="8:50" x14ac:dyDescent="0.25"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7">
        <f t="shared" ca="1" si="11"/>
        <v>0.17050234277869997</v>
      </c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</row>
    <row r="713" spans="8:50" x14ac:dyDescent="0.25"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7">
        <f t="shared" ca="1" si="11"/>
        <v>0.14710240388007928</v>
      </c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</row>
    <row r="714" spans="8:50" x14ac:dyDescent="0.25"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7">
        <f t="shared" ca="1" si="11"/>
        <v>1.1531666806908342E-2</v>
      </c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</row>
    <row r="715" spans="8:50" x14ac:dyDescent="0.25"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7">
        <f t="shared" ca="1" si="11"/>
        <v>-0.31164729383244227</v>
      </c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</row>
    <row r="716" spans="8:50" x14ac:dyDescent="0.25"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7">
        <f t="shared" ca="1" si="11"/>
        <v>3.5761336749671468E-3</v>
      </c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</row>
    <row r="717" spans="8:50" x14ac:dyDescent="0.25"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7">
        <f t="shared" ca="1" si="11"/>
        <v>0.25878136115720168</v>
      </c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</row>
    <row r="718" spans="8:50" x14ac:dyDescent="0.25"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7">
        <f t="shared" ca="1" si="11"/>
        <v>0.11429813903066686</v>
      </c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</row>
    <row r="719" spans="8:50" x14ac:dyDescent="0.25"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7">
        <f t="shared" ca="1" si="11"/>
        <v>5.5412827079015618E-2</v>
      </c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</row>
    <row r="720" spans="8:50" x14ac:dyDescent="0.25"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7">
        <f t="shared" ca="1" si="11"/>
        <v>0.47729779715639514</v>
      </c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</row>
    <row r="721" spans="8:50" x14ac:dyDescent="0.25"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7">
        <f t="shared" ca="1" si="11"/>
        <v>4.7994340199148972E-2</v>
      </c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</row>
    <row r="722" spans="8:50" x14ac:dyDescent="0.25"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7">
        <f t="shared" ca="1" si="11"/>
        <v>0.15411732720968133</v>
      </c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</row>
    <row r="723" spans="8:50" x14ac:dyDescent="0.25"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7">
        <f t="shared" ca="1" si="11"/>
        <v>9.2196623155925916E-2</v>
      </c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</row>
    <row r="724" spans="8:50" x14ac:dyDescent="0.25"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7">
        <f t="shared" ca="1" si="11"/>
        <v>0.37272100381404794</v>
      </c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</row>
    <row r="725" spans="8:50" x14ac:dyDescent="0.25"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7">
        <f t="shared" ca="1" si="11"/>
        <v>-5.9733051033676779E-2</v>
      </c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</row>
    <row r="726" spans="8:50" x14ac:dyDescent="0.25"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7">
        <f t="shared" ca="1" si="11"/>
        <v>9.5093793618156036E-2</v>
      </c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</row>
    <row r="727" spans="8:50" x14ac:dyDescent="0.25"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7">
        <f t="shared" ca="1" si="11"/>
        <v>-0.11935025876291035</v>
      </c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</row>
    <row r="728" spans="8:50" x14ac:dyDescent="0.25"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7">
        <f t="shared" ca="1" si="11"/>
        <v>-0.12995276112735182</v>
      </c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</row>
    <row r="729" spans="8:50" x14ac:dyDescent="0.25"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7">
        <f t="shared" ca="1" si="11"/>
        <v>-1.0262300174845765E-2</v>
      </c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</row>
    <row r="730" spans="8:50" x14ac:dyDescent="0.25"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7">
        <f t="shared" ca="1" si="11"/>
        <v>0.29382989214038996</v>
      </c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</row>
    <row r="731" spans="8:50" x14ac:dyDescent="0.25"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7">
        <f t="shared" ca="1" si="11"/>
        <v>0.12548943026187315</v>
      </c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</row>
    <row r="732" spans="8:50" x14ac:dyDescent="0.25"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7">
        <f t="shared" ca="1" si="11"/>
        <v>-7.1433158687042031E-3</v>
      </c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</row>
    <row r="733" spans="8:50" x14ac:dyDescent="0.25"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7">
        <f t="shared" ca="1" si="11"/>
        <v>-9.3799731017334617E-2</v>
      </c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</row>
    <row r="734" spans="8:50" x14ac:dyDescent="0.25"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7">
        <f t="shared" ca="1" si="11"/>
        <v>0.18856389551959829</v>
      </c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</row>
    <row r="735" spans="8:50" x14ac:dyDescent="0.25"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7">
        <f t="shared" ca="1" si="11"/>
        <v>0.2826848686204203</v>
      </c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</row>
    <row r="736" spans="8:50" x14ac:dyDescent="0.25"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7">
        <f t="shared" ca="1" si="11"/>
        <v>0.23500525648317599</v>
      </c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</row>
    <row r="737" spans="8:50" x14ac:dyDescent="0.25"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7">
        <f t="shared" ca="1" si="11"/>
        <v>0.39295398596299691</v>
      </c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</row>
    <row r="738" spans="8:50" x14ac:dyDescent="0.25"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7">
        <f t="shared" ca="1" si="11"/>
        <v>0.21695646753442691</v>
      </c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</row>
    <row r="739" spans="8:50" x14ac:dyDescent="0.25"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7">
        <f t="shared" ca="1" si="11"/>
        <v>0.16610696613296352</v>
      </c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</row>
    <row r="740" spans="8:50" x14ac:dyDescent="0.25"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7">
        <f t="shared" ca="1" si="11"/>
        <v>0.11671360701459256</v>
      </c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</row>
    <row r="741" spans="8:50" x14ac:dyDescent="0.25"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7">
        <f t="shared" ca="1" si="11"/>
        <v>0.18254008091741625</v>
      </c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</row>
    <row r="742" spans="8:50" x14ac:dyDescent="0.25"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7">
        <f t="shared" ca="1" si="11"/>
        <v>0.32433146835562449</v>
      </c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</row>
    <row r="743" spans="8:50" x14ac:dyDescent="0.25"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7">
        <f t="shared" ca="1" si="11"/>
        <v>-4.9147379743162287E-2</v>
      </c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</row>
    <row r="744" spans="8:50" x14ac:dyDescent="0.25"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7">
        <f t="shared" ca="1" si="11"/>
        <v>-0.11939961189437766</v>
      </c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</row>
    <row r="745" spans="8:50" x14ac:dyDescent="0.25"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7">
        <f t="shared" ca="1" si="11"/>
        <v>-0.12884983921504556</v>
      </c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</row>
    <row r="746" spans="8:50" x14ac:dyDescent="0.25"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7">
        <f t="shared" ca="1" si="11"/>
        <v>6.615975565681817E-2</v>
      </c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</row>
    <row r="747" spans="8:50" x14ac:dyDescent="0.25"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7">
        <f t="shared" ca="1" si="11"/>
        <v>-9.8216328632232106E-2</v>
      </c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</row>
    <row r="748" spans="8:50" x14ac:dyDescent="0.25"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7">
        <f t="shared" ca="1" si="11"/>
        <v>0.26318999328532977</v>
      </c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</row>
    <row r="749" spans="8:50" x14ac:dyDescent="0.25"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7">
        <f t="shared" ca="1" si="11"/>
        <v>5.431998452420396E-2</v>
      </c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</row>
    <row r="750" spans="8:50" x14ac:dyDescent="0.25"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7">
        <f t="shared" ca="1" si="11"/>
        <v>0.20712077899545972</v>
      </c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</row>
    <row r="751" spans="8:50" x14ac:dyDescent="0.25"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7">
        <f t="shared" ca="1" si="11"/>
        <v>7.3444899741224492E-2</v>
      </c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</row>
    <row r="752" spans="8:50" x14ac:dyDescent="0.25"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7">
        <f t="shared" ca="1" si="11"/>
        <v>-0.14219438409890306</v>
      </c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</row>
    <row r="753" spans="8:50" x14ac:dyDescent="0.25"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7">
        <f t="shared" ca="1" si="11"/>
        <v>5.2991875851733095E-2</v>
      </c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</row>
    <row r="754" spans="8:50" x14ac:dyDescent="0.25"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7">
        <f t="shared" ca="1" si="11"/>
        <v>3.2352434223965096E-2</v>
      </c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</row>
    <row r="755" spans="8:50" x14ac:dyDescent="0.25"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7">
        <f t="shared" ca="1" si="11"/>
        <v>-0.28305081217543981</v>
      </c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</row>
    <row r="756" spans="8:50" x14ac:dyDescent="0.25"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7">
        <f t="shared" ca="1" si="11"/>
        <v>0.24069342735243704</v>
      </c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</row>
    <row r="757" spans="8:50" x14ac:dyDescent="0.25"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7">
        <f t="shared" ca="1" si="11"/>
        <v>-0.3576067878333099</v>
      </c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</row>
    <row r="758" spans="8:50" x14ac:dyDescent="0.25"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7">
        <f t="shared" ca="1" si="11"/>
        <v>8.4733916181623237E-2</v>
      </c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</row>
    <row r="759" spans="8:50" x14ac:dyDescent="0.25"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7">
        <f t="shared" ca="1" si="11"/>
        <v>-8.5638570473161577E-2</v>
      </c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</row>
    <row r="760" spans="8:50" x14ac:dyDescent="0.25"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7">
        <f t="shared" ca="1" si="11"/>
        <v>0.17390284580546739</v>
      </c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</row>
    <row r="761" spans="8:50" x14ac:dyDescent="0.25"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7">
        <f t="shared" ca="1" si="11"/>
        <v>5.8587512442658002E-2</v>
      </c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</row>
    <row r="762" spans="8:50" x14ac:dyDescent="0.25"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7">
        <f t="shared" ca="1" si="11"/>
        <v>0.30308504587750651</v>
      </c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</row>
    <row r="763" spans="8:50" x14ac:dyDescent="0.25"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7">
        <f t="shared" ca="1" si="11"/>
        <v>0.13878375729637438</v>
      </c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</row>
    <row r="764" spans="8:50" x14ac:dyDescent="0.25"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7">
        <f t="shared" ca="1" si="11"/>
        <v>-5.1274546562183471E-3</v>
      </c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</row>
    <row r="765" spans="8:50" x14ac:dyDescent="0.25"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7">
        <f t="shared" ca="1" si="11"/>
        <v>0.36093332814354284</v>
      </c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</row>
    <row r="766" spans="8:50" x14ac:dyDescent="0.25"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7">
        <f t="shared" ca="1" si="11"/>
        <v>0.40957693598000583</v>
      </c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</row>
    <row r="767" spans="8:50" x14ac:dyDescent="0.25"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7">
        <f t="shared" ca="1" si="11"/>
        <v>-0.11314641095895421</v>
      </c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</row>
    <row r="768" spans="8:50" x14ac:dyDescent="0.25"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7">
        <f t="shared" ca="1" si="11"/>
        <v>0.12390032507108009</v>
      </c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</row>
    <row r="769" spans="8:50" x14ac:dyDescent="0.25"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7">
        <f t="shared" ca="1" si="11"/>
        <v>6.8354018635960939E-2</v>
      </c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</row>
    <row r="770" spans="8:50" x14ac:dyDescent="0.25"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7">
        <f t="shared" ca="1" si="11"/>
        <v>-9.9964082185929018E-2</v>
      </c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</row>
    <row r="771" spans="8:50" x14ac:dyDescent="0.25"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7">
        <f t="shared" ca="1" si="11"/>
        <v>0.14815005219189559</v>
      </c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</row>
    <row r="772" spans="8:50" x14ac:dyDescent="0.25"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7">
        <f t="shared" ca="1" si="11"/>
        <v>0.15608519361513701</v>
      </c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</row>
    <row r="773" spans="8:50" x14ac:dyDescent="0.25"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7">
        <f t="shared" ca="1" si="11"/>
        <v>-6.0019219816861605E-2</v>
      </c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</row>
    <row r="774" spans="8:50" x14ac:dyDescent="0.25"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7">
        <f t="shared" ref="W774:W837" ca="1" si="12">+NORMINV(RAND(),$U$2,$U$3)</f>
        <v>-0.32101636062377931</v>
      </c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</row>
    <row r="775" spans="8:50" x14ac:dyDescent="0.25"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7">
        <f t="shared" ca="1" si="12"/>
        <v>-0.1759275414615511</v>
      </c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</row>
    <row r="776" spans="8:50" x14ac:dyDescent="0.25"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7">
        <f t="shared" ca="1" si="12"/>
        <v>-5.3528657111320502E-2</v>
      </c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</row>
    <row r="777" spans="8:50" x14ac:dyDescent="0.25"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7">
        <f t="shared" ca="1" si="12"/>
        <v>7.5838716617598056E-2</v>
      </c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</row>
    <row r="778" spans="8:50" x14ac:dyDescent="0.25"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7">
        <f t="shared" ca="1" si="12"/>
        <v>0.3717271405973257</v>
      </c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</row>
    <row r="779" spans="8:50" x14ac:dyDescent="0.25"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7">
        <f t="shared" ca="1" si="12"/>
        <v>-6.5276579358524919E-2</v>
      </c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</row>
    <row r="780" spans="8:50" x14ac:dyDescent="0.25"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7">
        <f t="shared" ca="1" si="12"/>
        <v>-1.2368058960479197E-2</v>
      </c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</row>
    <row r="781" spans="8:50" x14ac:dyDescent="0.25"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7">
        <f t="shared" ca="1" si="12"/>
        <v>0.11438171914617448</v>
      </c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</row>
    <row r="782" spans="8:50" x14ac:dyDescent="0.25"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7">
        <f t="shared" ca="1" si="12"/>
        <v>-1.1391626649463471E-2</v>
      </c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</row>
    <row r="783" spans="8:50" x14ac:dyDescent="0.25"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7">
        <f t="shared" ca="1" si="12"/>
        <v>-0.10316518191405681</v>
      </c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</row>
    <row r="784" spans="8:50" x14ac:dyDescent="0.25"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7">
        <f t="shared" ca="1" si="12"/>
        <v>0.29114316580348343</v>
      </c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</row>
    <row r="785" spans="8:50" x14ac:dyDescent="0.25"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7">
        <f t="shared" ca="1" si="12"/>
        <v>-0.35306828591987788</v>
      </c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</row>
    <row r="786" spans="8:50" x14ac:dyDescent="0.25"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7">
        <f t="shared" ca="1" si="12"/>
        <v>7.8720253233833262E-2</v>
      </c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</row>
    <row r="787" spans="8:50" x14ac:dyDescent="0.25"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7">
        <f t="shared" ca="1" si="12"/>
        <v>0.30972720979097834</v>
      </c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</row>
    <row r="788" spans="8:50" x14ac:dyDescent="0.25"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7">
        <f t="shared" ca="1" si="12"/>
        <v>-4.6700106875279493E-2</v>
      </c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</row>
    <row r="789" spans="8:50" x14ac:dyDescent="0.25"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7">
        <f t="shared" ca="1" si="12"/>
        <v>0.47214888631264945</v>
      </c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</row>
    <row r="790" spans="8:50" x14ac:dyDescent="0.25"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7">
        <f t="shared" ca="1" si="12"/>
        <v>3.5813811578323612E-2</v>
      </c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</row>
    <row r="791" spans="8:50" x14ac:dyDescent="0.25"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7">
        <f t="shared" ca="1" si="12"/>
        <v>-0.20521290370345469</v>
      </c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</row>
    <row r="792" spans="8:50" x14ac:dyDescent="0.25"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7">
        <f t="shared" ca="1" si="12"/>
        <v>-5.2805095849697184E-2</v>
      </c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</row>
    <row r="793" spans="8:50" x14ac:dyDescent="0.25"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7">
        <f t="shared" ca="1" si="12"/>
        <v>0.56172780320643367</v>
      </c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</row>
    <row r="794" spans="8:50" x14ac:dyDescent="0.25"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7">
        <f t="shared" ca="1" si="12"/>
        <v>-7.2422262343679225E-2</v>
      </c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</row>
    <row r="795" spans="8:50" x14ac:dyDescent="0.25"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7">
        <f t="shared" ca="1" si="12"/>
        <v>5.8567564141045671E-2</v>
      </c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</row>
    <row r="796" spans="8:50" x14ac:dyDescent="0.25"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7">
        <f t="shared" ca="1" si="12"/>
        <v>6.4100809941279147E-2</v>
      </c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</row>
    <row r="797" spans="8:50" x14ac:dyDescent="0.25"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7">
        <f t="shared" ca="1" si="12"/>
        <v>0.26074656141869762</v>
      </c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</row>
    <row r="798" spans="8:50" x14ac:dyDescent="0.25"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7">
        <f t="shared" ca="1" si="12"/>
        <v>0.28231247111322044</v>
      </c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</row>
    <row r="799" spans="8:50" x14ac:dyDescent="0.25"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7">
        <f t="shared" ca="1" si="12"/>
        <v>-1.6084326718010147E-2</v>
      </c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</row>
    <row r="800" spans="8:50" x14ac:dyDescent="0.25"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7">
        <f t="shared" ca="1" si="12"/>
        <v>0.37526709623183646</v>
      </c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</row>
    <row r="801" spans="8:50" x14ac:dyDescent="0.25"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7">
        <f t="shared" ca="1" si="12"/>
        <v>-0.15296187146256529</v>
      </c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</row>
    <row r="802" spans="8:50" x14ac:dyDescent="0.25"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7">
        <f t="shared" ca="1" si="12"/>
        <v>0.11575634106584426</v>
      </c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</row>
    <row r="803" spans="8:50" x14ac:dyDescent="0.25"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7">
        <f t="shared" ca="1" si="12"/>
        <v>0.30528205843923478</v>
      </c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</row>
    <row r="804" spans="8:50" x14ac:dyDescent="0.25"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7">
        <f t="shared" ca="1" si="12"/>
        <v>-1.6524173510048382E-2</v>
      </c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</row>
    <row r="805" spans="8:50" x14ac:dyDescent="0.25"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7">
        <f t="shared" ca="1" si="12"/>
        <v>0.20451136191354541</v>
      </c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</row>
    <row r="806" spans="8:50" x14ac:dyDescent="0.25"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7">
        <f t="shared" ca="1" si="12"/>
        <v>7.0267210877937275E-2</v>
      </c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</row>
    <row r="807" spans="8:50" x14ac:dyDescent="0.25"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7">
        <f t="shared" ca="1" si="12"/>
        <v>0.21200616683817364</v>
      </c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</row>
    <row r="808" spans="8:50" x14ac:dyDescent="0.25"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7">
        <f t="shared" ca="1" si="12"/>
        <v>0.11756496856130218</v>
      </c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</row>
    <row r="809" spans="8:50" x14ac:dyDescent="0.25"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7">
        <f t="shared" ca="1" si="12"/>
        <v>-7.9441838069448337E-2</v>
      </c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</row>
    <row r="810" spans="8:50" x14ac:dyDescent="0.25"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7">
        <f t="shared" ca="1" si="12"/>
        <v>-3.6760179416756786E-2</v>
      </c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</row>
    <row r="811" spans="8:50" x14ac:dyDescent="0.25"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7">
        <f t="shared" ca="1" si="12"/>
        <v>4.4564722841909515E-3</v>
      </c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</row>
    <row r="812" spans="8:50" x14ac:dyDescent="0.25"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7">
        <f t="shared" ca="1" si="12"/>
        <v>0.25856829892010191</v>
      </c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</row>
    <row r="813" spans="8:50" x14ac:dyDescent="0.25"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7">
        <f t="shared" ca="1" si="12"/>
        <v>0.3264087126168792</v>
      </c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</row>
    <row r="814" spans="8:50" x14ac:dyDescent="0.25"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7">
        <f t="shared" ca="1" si="12"/>
        <v>0.13902445264107588</v>
      </c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</row>
    <row r="815" spans="8:50" x14ac:dyDescent="0.25"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7">
        <f t="shared" ca="1" si="12"/>
        <v>0.18295913521669949</v>
      </c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</row>
    <row r="816" spans="8:50" x14ac:dyDescent="0.25"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7">
        <f t="shared" ca="1" si="12"/>
        <v>-2.1660691312649014E-2</v>
      </c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</row>
    <row r="817" spans="8:50" x14ac:dyDescent="0.25"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7">
        <f t="shared" ca="1" si="12"/>
        <v>-1.1279344250656742E-2</v>
      </c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</row>
    <row r="818" spans="8:50" x14ac:dyDescent="0.25"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7">
        <f t="shared" ca="1" si="12"/>
        <v>0.11101828815403622</v>
      </c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</row>
    <row r="819" spans="8:50" x14ac:dyDescent="0.25"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7">
        <f t="shared" ca="1" si="12"/>
        <v>5.428452992135846E-2</v>
      </c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</row>
    <row r="820" spans="8:50" x14ac:dyDescent="0.25"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7">
        <f t="shared" ca="1" si="12"/>
        <v>0.2021597794473553</v>
      </c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</row>
    <row r="821" spans="8:50" x14ac:dyDescent="0.25"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7">
        <f t="shared" ca="1" si="12"/>
        <v>9.2050675075962748E-2</v>
      </c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</row>
    <row r="822" spans="8:50" x14ac:dyDescent="0.25"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7">
        <f t="shared" ca="1" si="12"/>
        <v>-1.7878278615229434E-2</v>
      </c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</row>
    <row r="823" spans="8:50" x14ac:dyDescent="0.25"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7">
        <f t="shared" ca="1" si="12"/>
        <v>0.21533941028750064</v>
      </c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</row>
    <row r="824" spans="8:50" x14ac:dyDescent="0.25"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7">
        <f t="shared" ca="1" si="12"/>
        <v>0.35765087127363598</v>
      </c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</row>
    <row r="825" spans="8:50" x14ac:dyDescent="0.25"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7">
        <f t="shared" ca="1" si="12"/>
        <v>-0.23112611499841618</v>
      </c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</row>
    <row r="826" spans="8:50" x14ac:dyDescent="0.25"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7">
        <f t="shared" ca="1" si="12"/>
        <v>1.937676459062726E-2</v>
      </c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</row>
    <row r="827" spans="8:50" x14ac:dyDescent="0.25"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7">
        <f t="shared" ca="1" si="12"/>
        <v>5.717768422685407E-2</v>
      </c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</row>
    <row r="828" spans="8:50" x14ac:dyDescent="0.25"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7">
        <f t="shared" ca="1" si="12"/>
        <v>1.0576162902525277E-3</v>
      </c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</row>
    <row r="829" spans="8:50" x14ac:dyDescent="0.25"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7">
        <f t="shared" ca="1" si="12"/>
        <v>0.14775586129072138</v>
      </c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</row>
    <row r="830" spans="8:50" x14ac:dyDescent="0.25"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7">
        <f t="shared" ca="1" si="12"/>
        <v>8.4858272627763395E-2</v>
      </c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</row>
    <row r="831" spans="8:50" x14ac:dyDescent="0.25"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7">
        <f t="shared" ca="1" si="12"/>
        <v>-0.20748652172919785</v>
      </c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</row>
    <row r="832" spans="8:50" x14ac:dyDescent="0.25"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7">
        <f t="shared" ca="1" si="12"/>
        <v>0.39950582157731701</v>
      </c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</row>
    <row r="833" spans="8:50" x14ac:dyDescent="0.25"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7">
        <f t="shared" ca="1" si="12"/>
        <v>0.11649596685859506</v>
      </c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</row>
    <row r="834" spans="8:50" x14ac:dyDescent="0.25"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7">
        <f t="shared" ca="1" si="12"/>
        <v>0.36859926781928626</v>
      </c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</row>
    <row r="835" spans="8:50" x14ac:dyDescent="0.25"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7">
        <f t="shared" ca="1" si="12"/>
        <v>2.3416262388167602E-2</v>
      </c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</row>
    <row r="836" spans="8:50" x14ac:dyDescent="0.25"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7">
        <f t="shared" ca="1" si="12"/>
        <v>0.1609646528728389</v>
      </c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</row>
    <row r="837" spans="8:50" x14ac:dyDescent="0.25"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7">
        <f t="shared" ca="1" si="12"/>
        <v>-0.10345952550964503</v>
      </c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</row>
    <row r="838" spans="8:50" x14ac:dyDescent="0.25"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7">
        <f t="shared" ref="W838:W901" ca="1" si="13">+NORMINV(RAND(),$U$2,$U$3)</f>
        <v>-0.14130584502296845</v>
      </c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</row>
    <row r="839" spans="8:50" x14ac:dyDescent="0.25"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7">
        <f t="shared" ca="1" si="13"/>
        <v>-0.20581669143708614</v>
      </c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</row>
    <row r="840" spans="8:50" x14ac:dyDescent="0.25"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7">
        <f t="shared" ca="1" si="13"/>
        <v>-0.19229878475306988</v>
      </c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</row>
    <row r="841" spans="8:50" x14ac:dyDescent="0.25"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7">
        <f t="shared" ca="1" si="13"/>
        <v>0.19721081251084877</v>
      </c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</row>
    <row r="842" spans="8:50" x14ac:dyDescent="0.25"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7">
        <f t="shared" ca="1" si="13"/>
        <v>0.38489757750318671</v>
      </c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</row>
    <row r="843" spans="8:50" x14ac:dyDescent="0.25"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7">
        <f t="shared" ca="1" si="13"/>
        <v>0.29024817931940428</v>
      </c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</row>
    <row r="844" spans="8:50" x14ac:dyDescent="0.25"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7">
        <f t="shared" ca="1" si="13"/>
        <v>-0.11601110001292826</v>
      </c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</row>
    <row r="845" spans="8:50" x14ac:dyDescent="0.25"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7">
        <f t="shared" ca="1" si="13"/>
        <v>0.1933875507454953</v>
      </c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</row>
    <row r="846" spans="8:50" x14ac:dyDescent="0.25"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7">
        <f t="shared" ca="1" si="13"/>
        <v>0.31005303928147471</v>
      </c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</row>
    <row r="847" spans="8:50" x14ac:dyDescent="0.25"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7">
        <f t="shared" ca="1" si="13"/>
        <v>4.9148994879495686E-2</v>
      </c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</row>
    <row r="848" spans="8:50" x14ac:dyDescent="0.25"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7">
        <f t="shared" ca="1" si="13"/>
        <v>-4.7971691961550586E-2</v>
      </c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</row>
    <row r="849" spans="8:50" x14ac:dyDescent="0.25"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7">
        <f t="shared" ca="1" si="13"/>
        <v>0.18690941688568727</v>
      </c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</row>
    <row r="850" spans="8:50" x14ac:dyDescent="0.25"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7">
        <f t="shared" ca="1" si="13"/>
        <v>6.6980427484566729E-3</v>
      </c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</row>
    <row r="851" spans="8:50" x14ac:dyDescent="0.25"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7">
        <f t="shared" ca="1" si="13"/>
        <v>0.30178760344738537</v>
      </c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</row>
    <row r="852" spans="8:50" x14ac:dyDescent="0.25"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7">
        <f t="shared" ca="1" si="13"/>
        <v>0.34671497768695936</v>
      </c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</row>
    <row r="853" spans="8:50" x14ac:dyDescent="0.25"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7">
        <f t="shared" ca="1" si="13"/>
        <v>0.12005621145949427</v>
      </c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</row>
    <row r="854" spans="8:50" x14ac:dyDescent="0.25"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7">
        <f t="shared" ca="1" si="13"/>
        <v>0.27349400816885922</v>
      </c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</row>
    <row r="855" spans="8:50" x14ac:dyDescent="0.25"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7">
        <f t="shared" ca="1" si="13"/>
        <v>0.34978488601561808</v>
      </c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</row>
    <row r="856" spans="8:50" x14ac:dyDescent="0.25"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7">
        <f t="shared" ca="1" si="13"/>
        <v>0.57623560765042026</v>
      </c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</row>
    <row r="857" spans="8:50" x14ac:dyDescent="0.25"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7">
        <f t="shared" ca="1" si="13"/>
        <v>0.30013353255447467</v>
      </c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</row>
    <row r="858" spans="8:50" x14ac:dyDescent="0.25"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7">
        <f t="shared" ca="1" si="13"/>
        <v>0.35212480496005472</v>
      </c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</row>
    <row r="859" spans="8:50" x14ac:dyDescent="0.25"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7">
        <f t="shared" ca="1" si="13"/>
        <v>-4.7057453365433585E-2</v>
      </c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</row>
    <row r="860" spans="8:50" x14ac:dyDescent="0.25"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7">
        <f t="shared" ca="1" si="13"/>
        <v>0.3461707245471653</v>
      </c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</row>
    <row r="861" spans="8:50" x14ac:dyDescent="0.25"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7">
        <f t="shared" ca="1" si="13"/>
        <v>0.20050718724360511</v>
      </c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</row>
    <row r="862" spans="8:50" x14ac:dyDescent="0.25"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7">
        <f t="shared" ca="1" si="13"/>
        <v>3.3788590805414687E-2</v>
      </c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</row>
    <row r="863" spans="8:50" x14ac:dyDescent="0.25"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7">
        <f t="shared" ca="1" si="13"/>
        <v>0.21358614847165205</v>
      </c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</row>
    <row r="864" spans="8:50" x14ac:dyDescent="0.25"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7">
        <f t="shared" ca="1" si="13"/>
        <v>2.5210839954747072E-2</v>
      </c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</row>
    <row r="865" spans="8:50" x14ac:dyDescent="0.25"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7">
        <f t="shared" ca="1" si="13"/>
        <v>0.23387811134752828</v>
      </c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</row>
    <row r="866" spans="8:50" x14ac:dyDescent="0.25"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7">
        <f t="shared" ca="1" si="13"/>
        <v>7.2469283232959009E-2</v>
      </c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</row>
    <row r="867" spans="8:50" x14ac:dyDescent="0.25"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7">
        <f t="shared" ca="1" si="13"/>
        <v>-2.2514296456376079E-2</v>
      </c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</row>
    <row r="868" spans="8:50" x14ac:dyDescent="0.25"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7">
        <f t="shared" ca="1" si="13"/>
        <v>9.3055687994877026E-2</v>
      </c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</row>
    <row r="869" spans="8:50" x14ac:dyDescent="0.25"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7">
        <f t="shared" ca="1" si="13"/>
        <v>0.21679343181558108</v>
      </c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</row>
    <row r="870" spans="8:50" x14ac:dyDescent="0.25"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7">
        <f t="shared" ca="1" si="13"/>
        <v>2.9752397384052803E-2</v>
      </c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</row>
    <row r="871" spans="8:50" x14ac:dyDescent="0.25"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7">
        <f t="shared" ca="1" si="13"/>
        <v>8.4960673519211993E-2</v>
      </c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</row>
    <row r="872" spans="8:50" x14ac:dyDescent="0.25"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7">
        <f t="shared" ca="1" si="13"/>
        <v>0.3387373093982074</v>
      </c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</row>
    <row r="873" spans="8:50" x14ac:dyDescent="0.25"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7">
        <f t="shared" ca="1" si="13"/>
        <v>0.34206687403254671</v>
      </c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</row>
    <row r="874" spans="8:50" x14ac:dyDescent="0.25"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7">
        <f t="shared" ca="1" si="13"/>
        <v>-0.25169998914793296</v>
      </c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</row>
    <row r="875" spans="8:50" x14ac:dyDescent="0.25"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7">
        <f t="shared" ca="1" si="13"/>
        <v>0.32921833416865726</v>
      </c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</row>
    <row r="876" spans="8:50" x14ac:dyDescent="0.25"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7">
        <f t="shared" ca="1" si="13"/>
        <v>4.0483591930423973E-2</v>
      </c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</row>
    <row r="877" spans="8:50" x14ac:dyDescent="0.25"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7">
        <f t="shared" ca="1" si="13"/>
        <v>-0.21723171847868544</v>
      </c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</row>
    <row r="878" spans="8:50" x14ac:dyDescent="0.25"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7">
        <f t="shared" ca="1" si="13"/>
        <v>8.4689982772668621E-2</v>
      </c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</row>
    <row r="879" spans="8:50" x14ac:dyDescent="0.25"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7">
        <f t="shared" ca="1" si="13"/>
        <v>0.31597681828429502</v>
      </c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</row>
    <row r="880" spans="8:50" x14ac:dyDescent="0.25"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7">
        <f t="shared" ca="1" si="13"/>
        <v>-5.0368553356658838E-2</v>
      </c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</row>
    <row r="881" spans="8:50" x14ac:dyDescent="0.25"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7">
        <f t="shared" ca="1" si="13"/>
        <v>-0.13688908780061176</v>
      </c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</row>
    <row r="882" spans="8:50" x14ac:dyDescent="0.25"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7">
        <f t="shared" ca="1" si="13"/>
        <v>-8.7976623724020223E-2</v>
      </c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</row>
    <row r="883" spans="8:50" x14ac:dyDescent="0.25"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7">
        <f t="shared" ca="1" si="13"/>
        <v>0.28666893994685111</v>
      </c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</row>
    <row r="884" spans="8:50" x14ac:dyDescent="0.25"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7">
        <f t="shared" ca="1" si="13"/>
        <v>-0.17356454721746911</v>
      </c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</row>
    <row r="885" spans="8:50" x14ac:dyDescent="0.25"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7">
        <f t="shared" ca="1" si="13"/>
        <v>0.13793197479785069</v>
      </c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</row>
    <row r="886" spans="8:50" x14ac:dyDescent="0.25"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7">
        <f t="shared" ca="1" si="13"/>
        <v>6.2549070633745027E-2</v>
      </c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</row>
    <row r="887" spans="8:50" x14ac:dyDescent="0.25"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7">
        <f t="shared" ca="1" si="13"/>
        <v>0.32792394557185384</v>
      </c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</row>
    <row r="888" spans="8:50" x14ac:dyDescent="0.25"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7">
        <f t="shared" ca="1" si="13"/>
        <v>0.24982767384216853</v>
      </c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</row>
    <row r="889" spans="8:50" x14ac:dyDescent="0.25"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7">
        <f t="shared" ca="1" si="13"/>
        <v>0.36924309222377111</v>
      </c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</row>
    <row r="890" spans="8:50" x14ac:dyDescent="0.25"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7">
        <f t="shared" ca="1" si="13"/>
        <v>5.989625926709561E-2</v>
      </c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</row>
    <row r="891" spans="8:50" x14ac:dyDescent="0.25"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7">
        <f t="shared" ca="1" si="13"/>
        <v>-3.8257725832994069E-2</v>
      </c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</row>
    <row r="892" spans="8:50" x14ac:dyDescent="0.25"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7">
        <f t="shared" ca="1" si="13"/>
        <v>0.19219117947482328</v>
      </c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</row>
    <row r="893" spans="8:50" x14ac:dyDescent="0.25"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7">
        <f t="shared" ca="1" si="13"/>
        <v>0.41784474584824688</v>
      </c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</row>
    <row r="894" spans="8:50" x14ac:dyDescent="0.25"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7">
        <f t="shared" ca="1" si="13"/>
        <v>-9.2925962144690191E-2</v>
      </c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</row>
    <row r="895" spans="8:50" x14ac:dyDescent="0.25"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7">
        <f t="shared" ca="1" si="13"/>
        <v>0.1888367248696749</v>
      </c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</row>
    <row r="896" spans="8:50" x14ac:dyDescent="0.25"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7">
        <f t="shared" ca="1" si="13"/>
        <v>0.17164606630675244</v>
      </c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</row>
    <row r="897" spans="8:50" x14ac:dyDescent="0.25"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7">
        <f t="shared" ca="1" si="13"/>
        <v>0.20395517123656676</v>
      </c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</row>
    <row r="898" spans="8:50" x14ac:dyDescent="0.25"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7">
        <f t="shared" ca="1" si="13"/>
        <v>0.34224342537423058</v>
      </c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</row>
    <row r="899" spans="8:50" x14ac:dyDescent="0.25"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7">
        <f t="shared" ca="1" si="13"/>
        <v>0.35829613575643043</v>
      </c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</row>
    <row r="900" spans="8:50" x14ac:dyDescent="0.25"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7">
        <f t="shared" ca="1" si="13"/>
        <v>0.27277461909466327</v>
      </c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</row>
    <row r="901" spans="8:50" x14ac:dyDescent="0.25"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7">
        <f t="shared" ca="1" si="13"/>
        <v>0.37766941597953957</v>
      </c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</row>
    <row r="902" spans="8:50" x14ac:dyDescent="0.25"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7">
        <f t="shared" ref="W902:W965" ca="1" si="14">+NORMINV(RAND(),$U$2,$U$3)</f>
        <v>0.16984766958789937</v>
      </c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</row>
    <row r="903" spans="8:50" x14ac:dyDescent="0.25"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7">
        <f t="shared" ca="1" si="14"/>
        <v>-2.1732269845674043E-2</v>
      </c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</row>
    <row r="904" spans="8:50" x14ac:dyDescent="0.25"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7">
        <f t="shared" ca="1" si="14"/>
        <v>2.0514153259951803E-2</v>
      </c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</row>
    <row r="905" spans="8:50" x14ac:dyDescent="0.25"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7">
        <f t="shared" ca="1" si="14"/>
        <v>0.2526950291707713</v>
      </c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</row>
    <row r="906" spans="8:50" x14ac:dyDescent="0.25"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7">
        <f t="shared" ca="1" si="14"/>
        <v>0.20106342921534398</v>
      </c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</row>
    <row r="907" spans="8:50" x14ac:dyDescent="0.25"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7">
        <f t="shared" ca="1" si="14"/>
        <v>0.16580207425055263</v>
      </c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</row>
    <row r="908" spans="8:50" x14ac:dyDescent="0.25"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7">
        <f t="shared" ca="1" si="14"/>
        <v>0.24637990425358819</v>
      </c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</row>
    <row r="909" spans="8:50" x14ac:dyDescent="0.25"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7">
        <f t="shared" ca="1" si="14"/>
        <v>-0.10238229927621013</v>
      </c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</row>
    <row r="910" spans="8:50" x14ac:dyDescent="0.25"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7">
        <f t="shared" ca="1" si="14"/>
        <v>0.21047273783108644</v>
      </c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</row>
    <row r="911" spans="8:50" x14ac:dyDescent="0.25"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7">
        <f t="shared" ca="1" si="14"/>
        <v>4.5606135325378869E-2</v>
      </c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</row>
    <row r="912" spans="8:50" x14ac:dyDescent="0.25"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7">
        <f t="shared" ca="1" si="14"/>
        <v>-7.1049730043509188E-2</v>
      </c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</row>
    <row r="913" spans="8:50" x14ac:dyDescent="0.25"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7">
        <f t="shared" ca="1" si="14"/>
        <v>0.310396265029108</v>
      </c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</row>
    <row r="914" spans="8:50" x14ac:dyDescent="0.25"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7">
        <f t="shared" ca="1" si="14"/>
        <v>-8.6234244856549236E-3</v>
      </c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</row>
    <row r="915" spans="8:50" x14ac:dyDescent="0.25"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7">
        <f t="shared" ca="1" si="14"/>
        <v>-0.10128060773219318</v>
      </c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</row>
    <row r="916" spans="8:50" x14ac:dyDescent="0.25"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7">
        <f t="shared" ca="1" si="14"/>
        <v>0.16688675679520315</v>
      </c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</row>
    <row r="917" spans="8:50" x14ac:dyDescent="0.25"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7">
        <f t="shared" ca="1" si="14"/>
        <v>0.24758322025667734</v>
      </c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</row>
    <row r="918" spans="8:50" x14ac:dyDescent="0.25"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7">
        <f t="shared" ca="1" si="14"/>
        <v>7.4922438355373364E-2</v>
      </c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</row>
    <row r="919" spans="8:50" x14ac:dyDescent="0.25"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7">
        <f t="shared" ca="1" si="14"/>
        <v>0.24171945622576257</v>
      </c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</row>
    <row r="920" spans="8:50" x14ac:dyDescent="0.25"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7">
        <f t="shared" ca="1" si="14"/>
        <v>5.7627025124219675E-2</v>
      </c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</row>
    <row r="921" spans="8:50" x14ac:dyDescent="0.25"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7">
        <f t="shared" ca="1" si="14"/>
        <v>-7.4617224052530337E-2</v>
      </c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</row>
    <row r="922" spans="8:50" x14ac:dyDescent="0.25"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7">
        <f t="shared" ca="1" si="14"/>
        <v>0.1370395864157043</v>
      </c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</row>
    <row r="923" spans="8:50" x14ac:dyDescent="0.25"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7">
        <f t="shared" ca="1" si="14"/>
        <v>0.28751001693354172</v>
      </c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</row>
    <row r="924" spans="8:50" x14ac:dyDescent="0.25"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7">
        <f t="shared" ca="1" si="14"/>
        <v>0.24622112752475339</v>
      </c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</row>
    <row r="925" spans="8:50" x14ac:dyDescent="0.25"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7">
        <f t="shared" ca="1" si="14"/>
        <v>0.22226413750135932</v>
      </c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</row>
    <row r="926" spans="8:50" x14ac:dyDescent="0.25"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7">
        <f t="shared" ca="1" si="14"/>
        <v>3.5375632005683041E-2</v>
      </c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</row>
    <row r="927" spans="8:50" x14ac:dyDescent="0.25"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7">
        <f t="shared" ca="1" si="14"/>
        <v>0.39273123110310015</v>
      </c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</row>
    <row r="928" spans="8:50" x14ac:dyDescent="0.25"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7">
        <f t="shared" ca="1" si="14"/>
        <v>-8.1900852867038312E-2</v>
      </c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</row>
    <row r="929" spans="8:50" x14ac:dyDescent="0.25"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7">
        <f t="shared" ca="1" si="14"/>
        <v>0.20839227580854361</v>
      </c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</row>
    <row r="930" spans="8:50" x14ac:dyDescent="0.25"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7">
        <f t="shared" ca="1" si="14"/>
        <v>4.4510183489112107E-2</v>
      </c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</row>
    <row r="931" spans="8:50" x14ac:dyDescent="0.25"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7">
        <f t="shared" ca="1" si="14"/>
        <v>0.13938086986193685</v>
      </c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</row>
    <row r="932" spans="8:50" x14ac:dyDescent="0.25"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7">
        <f t="shared" ca="1" si="14"/>
        <v>0.30604025711584126</v>
      </c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</row>
    <row r="933" spans="8:50" x14ac:dyDescent="0.25"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7">
        <f t="shared" ca="1" si="14"/>
        <v>-7.0628153217384623E-2</v>
      </c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</row>
    <row r="934" spans="8:50" x14ac:dyDescent="0.25"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7">
        <f t="shared" ca="1" si="14"/>
        <v>0.13769467280307732</v>
      </c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</row>
    <row r="935" spans="8:50" x14ac:dyDescent="0.25"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7">
        <f t="shared" ca="1" si="14"/>
        <v>0.2051572772557812</v>
      </c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</row>
    <row r="936" spans="8:50" x14ac:dyDescent="0.25"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7">
        <f t="shared" ca="1" si="14"/>
        <v>-0.21500064197462537</v>
      </c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</row>
    <row r="937" spans="8:50" x14ac:dyDescent="0.25"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7">
        <f t="shared" ca="1" si="14"/>
        <v>-5.2810210950431216E-2</v>
      </c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</row>
    <row r="938" spans="8:50" x14ac:dyDescent="0.25"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7">
        <f t="shared" ca="1" si="14"/>
        <v>0.2283717084186658</v>
      </c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</row>
    <row r="939" spans="8:50" x14ac:dyDescent="0.25"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7">
        <f t="shared" ca="1" si="14"/>
        <v>0.30198783500064741</v>
      </c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</row>
    <row r="940" spans="8:50" x14ac:dyDescent="0.25"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7">
        <f t="shared" ca="1" si="14"/>
        <v>0.36048754649863191</v>
      </c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</row>
    <row r="941" spans="8:50" x14ac:dyDescent="0.25"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7">
        <f t="shared" ca="1" si="14"/>
        <v>-6.8501205049179142E-3</v>
      </c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</row>
    <row r="942" spans="8:50" x14ac:dyDescent="0.25"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7">
        <f t="shared" ca="1" si="14"/>
        <v>-9.0802296929727175E-2</v>
      </c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</row>
    <row r="943" spans="8:50" x14ac:dyDescent="0.25"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7">
        <f t="shared" ca="1" si="14"/>
        <v>-0.1327551323543148</v>
      </c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</row>
    <row r="944" spans="8:50" x14ac:dyDescent="0.25"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7">
        <f t="shared" ca="1" si="14"/>
        <v>-1.341396220799429E-3</v>
      </c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</row>
    <row r="945" spans="8:50" x14ac:dyDescent="0.25"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7">
        <f t="shared" ca="1" si="14"/>
        <v>0.14952623178463004</v>
      </c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</row>
    <row r="946" spans="8:50" x14ac:dyDescent="0.25"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7">
        <f t="shared" ca="1" si="14"/>
        <v>4.4667716315257913E-2</v>
      </c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</row>
    <row r="947" spans="8:50" x14ac:dyDescent="0.25"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7">
        <f t="shared" ca="1" si="14"/>
        <v>-1.2721336891239901E-2</v>
      </c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</row>
    <row r="948" spans="8:50" x14ac:dyDescent="0.25"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7">
        <f t="shared" ca="1" si="14"/>
        <v>0.2106214402695378</v>
      </c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</row>
    <row r="949" spans="8:50" x14ac:dyDescent="0.25"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7">
        <f t="shared" ca="1" si="14"/>
        <v>-0.15753128754150331</v>
      </c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</row>
    <row r="950" spans="8:50" x14ac:dyDescent="0.25"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7">
        <f t="shared" ca="1" si="14"/>
        <v>-9.5375114699655802E-2</v>
      </c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</row>
    <row r="951" spans="8:50" x14ac:dyDescent="0.25"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7">
        <f t="shared" ca="1" si="14"/>
        <v>-2.8479736488528015E-2</v>
      </c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</row>
    <row r="952" spans="8:50" x14ac:dyDescent="0.25"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7">
        <f t="shared" ca="1" si="14"/>
        <v>-8.551356877924636E-2</v>
      </c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</row>
    <row r="953" spans="8:50" x14ac:dyDescent="0.25"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7">
        <f t="shared" ca="1" si="14"/>
        <v>-0.12621721609725117</v>
      </c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</row>
    <row r="954" spans="8:50" x14ac:dyDescent="0.25"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7">
        <f t="shared" ca="1" si="14"/>
        <v>0.61826632450628083</v>
      </c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</row>
    <row r="955" spans="8:50" x14ac:dyDescent="0.25"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7">
        <f t="shared" ca="1" si="14"/>
        <v>0.27356434641575733</v>
      </c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</row>
    <row r="956" spans="8:50" x14ac:dyDescent="0.25"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7">
        <f t="shared" ca="1" si="14"/>
        <v>0.29727252451531833</v>
      </c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</row>
    <row r="957" spans="8:50" x14ac:dyDescent="0.25"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7">
        <f t="shared" ca="1" si="14"/>
        <v>4.6171205066265444E-2</v>
      </c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</row>
    <row r="958" spans="8:50" x14ac:dyDescent="0.25"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7">
        <f t="shared" ca="1" si="14"/>
        <v>-5.2738874740297245E-2</v>
      </c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</row>
    <row r="959" spans="8:50" x14ac:dyDescent="0.25"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7">
        <f t="shared" ca="1" si="14"/>
        <v>6.8445644294965635E-2</v>
      </c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</row>
    <row r="960" spans="8:50" x14ac:dyDescent="0.25"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7">
        <f t="shared" ca="1" si="14"/>
        <v>0.43019917485856429</v>
      </c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</row>
    <row r="961" spans="8:50" x14ac:dyDescent="0.25"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7">
        <f t="shared" ca="1" si="14"/>
        <v>0.10919302596516972</v>
      </c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</row>
    <row r="962" spans="8:50" x14ac:dyDescent="0.25"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7">
        <f t="shared" ca="1" si="14"/>
        <v>0.12518864094515278</v>
      </c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</row>
    <row r="963" spans="8:50" x14ac:dyDescent="0.25"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7">
        <f t="shared" ca="1" si="14"/>
        <v>0.23602025935621429</v>
      </c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</row>
    <row r="964" spans="8:50" x14ac:dyDescent="0.25"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7">
        <f t="shared" ca="1" si="14"/>
        <v>0.18957028864429148</v>
      </c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</row>
    <row r="965" spans="8:50" x14ac:dyDescent="0.25"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7">
        <f t="shared" ca="1" si="14"/>
        <v>-2.3692773587365643E-2</v>
      </c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</row>
    <row r="966" spans="8:50" x14ac:dyDescent="0.25"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7">
        <f t="shared" ref="W966:W1029" ca="1" si="15">+NORMINV(RAND(),$U$2,$U$3)</f>
        <v>0.18106302321839371</v>
      </c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</row>
    <row r="967" spans="8:50" x14ac:dyDescent="0.25"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7">
        <f t="shared" ca="1" si="15"/>
        <v>8.4788819090409431E-2</v>
      </c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</row>
    <row r="968" spans="8:50" x14ac:dyDescent="0.25"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7">
        <f t="shared" ca="1" si="15"/>
        <v>7.7857912852795724E-2</v>
      </c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</row>
    <row r="969" spans="8:50" x14ac:dyDescent="0.25"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7">
        <f t="shared" ca="1" si="15"/>
        <v>-0.33663948965811463</v>
      </c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</row>
    <row r="970" spans="8:50" x14ac:dyDescent="0.25"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7">
        <f t="shared" ca="1" si="15"/>
        <v>-5.4051980323367679E-2</v>
      </c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</row>
    <row r="971" spans="8:50" x14ac:dyDescent="0.25"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7">
        <f t="shared" ca="1" si="15"/>
        <v>6.930142337439979E-2</v>
      </c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</row>
    <row r="972" spans="8:50" x14ac:dyDescent="0.25"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7">
        <f t="shared" ca="1" si="15"/>
        <v>-0.12959117788012431</v>
      </c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</row>
    <row r="973" spans="8:50" x14ac:dyDescent="0.25"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7">
        <f t="shared" ca="1" si="15"/>
        <v>-0.33368851308709335</v>
      </c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</row>
    <row r="974" spans="8:50" x14ac:dyDescent="0.25"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7">
        <f t="shared" ca="1" si="15"/>
        <v>0.38216804457176706</v>
      </c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</row>
    <row r="975" spans="8:50" x14ac:dyDescent="0.25"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7">
        <f t="shared" ca="1" si="15"/>
        <v>0.22776502521205386</v>
      </c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</row>
    <row r="976" spans="8:50" x14ac:dyDescent="0.25"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7">
        <f t="shared" ca="1" si="15"/>
        <v>0.27000472444682283</v>
      </c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</row>
    <row r="977" spans="8:50" x14ac:dyDescent="0.25"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7">
        <f t="shared" ca="1" si="15"/>
        <v>-0.33956739619054888</v>
      </c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</row>
    <row r="978" spans="8:50" x14ac:dyDescent="0.25"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7">
        <f t="shared" ca="1" si="15"/>
        <v>-0.16277991081239079</v>
      </c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</row>
    <row r="979" spans="8:50" x14ac:dyDescent="0.25"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7">
        <f t="shared" ca="1" si="15"/>
        <v>-7.0764127344391262E-2</v>
      </c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</row>
    <row r="980" spans="8:50" x14ac:dyDescent="0.25"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7">
        <f t="shared" ca="1" si="15"/>
        <v>0.13040858105193939</v>
      </c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</row>
    <row r="981" spans="8:50" x14ac:dyDescent="0.25"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7">
        <f t="shared" ca="1" si="15"/>
        <v>3.7618662949891163E-2</v>
      </c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</row>
    <row r="982" spans="8:50" x14ac:dyDescent="0.25"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7">
        <f t="shared" ca="1" si="15"/>
        <v>-0.10082350901745087</v>
      </c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</row>
    <row r="983" spans="8:50" x14ac:dyDescent="0.25"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7">
        <f t="shared" ca="1" si="15"/>
        <v>-0.10236565426007056</v>
      </c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</row>
    <row r="984" spans="8:50" x14ac:dyDescent="0.25"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7">
        <f t="shared" ca="1" si="15"/>
        <v>0.29842752382358784</v>
      </c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</row>
    <row r="985" spans="8:50" x14ac:dyDescent="0.25"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7">
        <f t="shared" ca="1" si="15"/>
        <v>0.13410453147220822</v>
      </c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</row>
    <row r="986" spans="8:50" x14ac:dyDescent="0.25"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7">
        <f t="shared" ca="1" si="15"/>
        <v>0.32776245442880814</v>
      </c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</row>
    <row r="987" spans="8:50" x14ac:dyDescent="0.25"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7">
        <f t="shared" ca="1" si="15"/>
        <v>0.25479583477271112</v>
      </c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</row>
    <row r="988" spans="8:50" x14ac:dyDescent="0.25"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7">
        <f t="shared" ca="1" si="15"/>
        <v>-0.11966788473357519</v>
      </c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</row>
    <row r="989" spans="8:50" x14ac:dyDescent="0.25"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7">
        <f t="shared" ca="1" si="15"/>
        <v>0.26810356562023924</v>
      </c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</row>
    <row r="990" spans="8:50" x14ac:dyDescent="0.25"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7">
        <f t="shared" ca="1" si="15"/>
        <v>0.43081209587853253</v>
      </c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</row>
    <row r="991" spans="8:50" x14ac:dyDescent="0.25"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7">
        <f t="shared" ca="1" si="15"/>
        <v>-0.18501418932902874</v>
      </c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</row>
    <row r="992" spans="8:50" x14ac:dyDescent="0.25"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7">
        <f t="shared" ca="1" si="15"/>
        <v>0.17894970548027991</v>
      </c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</row>
    <row r="993" spans="8:50" x14ac:dyDescent="0.25"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7">
        <f t="shared" ca="1" si="15"/>
        <v>2.374190893101942E-2</v>
      </c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</row>
    <row r="994" spans="8:50" x14ac:dyDescent="0.25"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7">
        <f t="shared" ca="1" si="15"/>
        <v>3.0971473327082263E-2</v>
      </c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</row>
    <row r="995" spans="8:50" x14ac:dyDescent="0.25"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7">
        <f t="shared" ca="1" si="15"/>
        <v>-0.2155497493008755</v>
      </c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</row>
    <row r="996" spans="8:50" x14ac:dyDescent="0.25"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7">
        <f t="shared" ca="1" si="15"/>
        <v>7.5660987903611851E-2</v>
      </c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</row>
    <row r="997" spans="8:50" x14ac:dyDescent="0.25"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7">
        <f t="shared" ca="1" si="15"/>
        <v>0.21428456188653766</v>
      </c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</row>
    <row r="998" spans="8:50" x14ac:dyDescent="0.25"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7">
        <f t="shared" ca="1" si="15"/>
        <v>-8.2287542994194204E-2</v>
      </c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</row>
    <row r="999" spans="8:50" x14ac:dyDescent="0.25"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7">
        <f t="shared" ca="1" si="15"/>
        <v>-2.0248174738625627E-2</v>
      </c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</row>
    <row r="1000" spans="8:50" x14ac:dyDescent="0.25"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7">
        <f t="shared" ca="1" si="15"/>
        <v>0.23798920375474919</v>
      </c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</row>
    <row r="1001" spans="8:50" x14ac:dyDescent="0.25"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7">
        <f t="shared" ca="1" si="15"/>
        <v>-1.8411192388919223E-3</v>
      </c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</row>
    <row r="1002" spans="8:50" x14ac:dyDescent="0.25"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7">
        <f t="shared" ca="1" si="15"/>
        <v>0.17666950678397542</v>
      </c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</row>
    <row r="1003" spans="8:50" x14ac:dyDescent="0.25"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7">
        <f t="shared" ca="1" si="15"/>
        <v>9.5973708395439533E-2</v>
      </c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</row>
    <row r="1004" spans="8:50" x14ac:dyDescent="0.25"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7">
        <f t="shared" ca="1" si="15"/>
        <v>0.27397714558482794</v>
      </c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</row>
    <row r="1005" spans="8:50" x14ac:dyDescent="0.25"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7">
        <f t="shared" ca="1" si="15"/>
        <v>0.2026730370138865</v>
      </c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</row>
    <row r="1006" spans="8:50" x14ac:dyDescent="0.25"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7">
        <f t="shared" ca="1" si="15"/>
        <v>-1.4126263289323801E-2</v>
      </c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</row>
    <row r="1007" spans="8:50" x14ac:dyDescent="0.25"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7">
        <f t="shared" ca="1" si="15"/>
        <v>-9.9648092194913149E-2</v>
      </c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</row>
    <row r="1008" spans="8:50" x14ac:dyDescent="0.25"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7">
        <f t="shared" ca="1" si="15"/>
        <v>9.7107099226633492E-2</v>
      </c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</row>
    <row r="1009" spans="8:50" x14ac:dyDescent="0.25"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7">
        <f t="shared" ca="1" si="15"/>
        <v>0.26558469221287184</v>
      </c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</row>
    <row r="1010" spans="8:50" x14ac:dyDescent="0.25"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7">
        <f t="shared" ca="1" si="15"/>
        <v>-0.17668527259926581</v>
      </c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</row>
    <row r="1011" spans="8:50" x14ac:dyDescent="0.25"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7">
        <f t="shared" ca="1" si="15"/>
        <v>0.27906353717515275</v>
      </c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</row>
    <row r="1012" spans="8:50" x14ac:dyDescent="0.25"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7">
        <f t="shared" ca="1" si="15"/>
        <v>-4.985920341993845E-2</v>
      </c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</row>
    <row r="1013" spans="8:50" x14ac:dyDescent="0.25"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7">
        <f t="shared" ca="1" si="15"/>
        <v>0.49404803660512586</v>
      </c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</row>
    <row r="1014" spans="8:50" x14ac:dyDescent="0.25"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7">
        <f t="shared" ca="1" si="15"/>
        <v>0.10259441957273041</v>
      </c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</row>
    <row r="1015" spans="8:50" x14ac:dyDescent="0.25"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7">
        <f t="shared" ca="1" si="15"/>
        <v>-3.0429427775683221E-3</v>
      </c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</row>
    <row r="1016" spans="8:50" x14ac:dyDescent="0.25"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7">
        <f t="shared" ca="1" si="15"/>
        <v>0.15372748344967124</v>
      </c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</row>
    <row r="1017" spans="8:50" x14ac:dyDescent="0.25"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7">
        <f t="shared" ca="1" si="15"/>
        <v>0.14482588731562532</v>
      </c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</row>
    <row r="1018" spans="8:50" x14ac:dyDescent="0.25"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7">
        <f t="shared" ca="1" si="15"/>
        <v>0.16194466464342144</v>
      </c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</row>
    <row r="1019" spans="8:50" x14ac:dyDescent="0.25"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7">
        <f t="shared" ca="1" si="15"/>
        <v>2.2008424756753311E-2</v>
      </c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</row>
    <row r="1020" spans="8:50" x14ac:dyDescent="0.25"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7">
        <f t="shared" ca="1" si="15"/>
        <v>-3.2577050008976663E-2</v>
      </c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</row>
    <row r="1021" spans="8:50" x14ac:dyDescent="0.25"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7">
        <f t="shared" ca="1" si="15"/>
        <v>-0.20254867020290446</v>
      </c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</row>
    <row r="1022" spans="8:50" x14ac:dyDescent="0.25"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7">
        <f t="shared" ca="1" si="15"/>
        <v>0.21099507908886117</v>
      </c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</row>
    <row r="1023" spans="8:50" x14ac:dyDescent="0.25"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7">
        <f t="shared" ca="1" si="15"/>
        <v>-1.3818398921469077E-3</v>
      </c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</row>
    <row r="1024" spans="8:50" x14ac:dyDescent="0.25"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7">
        <f t="shared" ca="1" si="15"/>
        <v>0.13888403845449798</v>
      </c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</row>
    <row r="1025" spans="8:50" x14ac:dyDescent="0.25"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7">
        <f t="shared" ca="1" si="15"/>
        <v>0.2676666503748783</v>
      </c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</row>
    <row r="1026" spans="8:50" x14ac:dyDescent="0.25"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7">
        <f t="shared" ca="1" si="15"/>
        <v>8.8990580194574787E-2</v>
      </c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</row>
    <row r="1027" spans="8:50" x14ac:dyDescent="0.25"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7">
        <f t="shared" ca="1" si="15"/>
        <v>0.20788449188495184</v>
      </c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</row>
    <row r="1028" spans="8:50" x14ac:dyDescent="0.25"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7">
        <f t="shared" ca="1" si="15"/>
        <v>6.9654269204990266E-2</v>
      </c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</row>
    <row r="1029" spans="8:50" x14ac:dyDescent="0.25"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7">
        <f t="shared" ca="1" si="15"/>
        <v>5.9978283096020629E-3</v>
      </c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</row>
    <row r="1030" spans="8:50" x14ac:dyDescent="0.25"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7">
        <f t="shared" ref="W1030:W1093" ca="1" si="16">+NORMINV(RAND(),$U$2,$U$3)</f>
        <v>7.4614442285346388E-2</v>
      </c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</row>
    <row r="1031" spans="8:50" x14ac:dyDescent="0.25"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7">
        <f t="shared" ca="1" si="16"/>
        <v>-1.4974984772698971E-2</v>
      </c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</row>
    <row r="1032" spans="8:50" x14ac:dyDescent="0.25"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7">
        <f t="shared" ca="1" si="16"/>
        <v>2.7174632925535541E-2</v>
      </c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</row>
    <row r="1033" spans="8:50" x14ac:dyDescent="0.25"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7">
        <f t="shared" ca="1" si="16"/>
        <v>5.448380263541526E-2</v>
      </c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</row>
    <row r="1034" spans="8:50" x14ac:dyDescent="0.25"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7">
        <f t="shared" ca="1" si="16"/>
        <v>9.1085042019196705E-2</v>
      </c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</row>
    <row r="1035" spans="8:50" x14ac:dyDescent="0.25"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7">
        <f t="shared" ca="1" si="16"/>
        <v>0.23830799511890469</v>
      </c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</row>
    <row r="1036" spans="8:50" x14ac:dyDescent="0.25"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7">
        <f t="shared" ca="1" si="16"/>
        <v>0.30215452873607174</v>
      </c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</row>
    <row r="1037" spans="8:50" x14ac:dyDescent="0.25"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7">
        <f t="shared" ca="1" si="16"/>
        <v>0.13969505873045732</v>
      </c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</row>
    <row r="1038" spans="8:50" x14ac:dyDescent="0.25"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7">
        <f t="shared" ca="1" si="16"/>
        <v>5.3225454512611479E-2</v>
      </c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</row>
    <row r="1039" spans="8:50" x14ac:dyDescent="0.25"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7">
        <f t="shared" ca="1" si="16"/>
        <v>0.15050061550945967</v>
      </c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</row>
    <row r="1040" spans="8:50" x14ac:dyDescent="0.25"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7">
        <f t="shared" ca="1" si="16"/>
        <v>0.17887027512226639</v>
      </c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</row>
    <row r="1041" spans="8:50" x14ac:dyDescent="0.25"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7">
        <f t="shared" ca="1" si="16"/>
        <v>0.27184119179358779</v>
      </c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</row>
    <row r="1042" spans="8:50" x14ac:dyDescent="0.25"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7">
        <f t="shared" ca="1" si="16"/>
        <v>-0.17664405853672283</v>
      </c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</row>
    <row r="1043" spans="8:50" x14ac:dyDescent="0.25"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7">
        <f t="shared" ca="1" si="16"/>
        <v>-4.7042827581607979E-2</v>
      </c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</row>
    <row r="1044" spans="8:50" x14ac:dyDescent="0.25"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7">
        <f t="shared" ca="1" si="16"/>
        <v>0.10824323287520435</v>
      </c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</row>
    <row r="1045" spans="8:50" x14ac:dyDescent="0.25"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7">
        <f t="shared" ca="1" si="16"/>
        <v>1.5258713993878611E-2</v>
      </c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</row>
    <row r="1046" spans="8:50" x14ac:dyDescent="0.25"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7">
        <f t="shared" ca="1" si="16"/>
        <v>-4.1170342989524364E-2</v>
      </c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</row>
    <row r="1047" spans="8:50" x14ac:dyDescent="0.25"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7">
        <f t="shared" ca="1" si="16"/>
        <v>0.114850778879311</v>
      </c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</row>
    <row r="1048" spans="8:50" x14ac:dyDescent="0.25"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7">
        <f t="shared" ca="1" si="16"/>
        <v>0.16734853851289777</v>
      </c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</row>
    <row r="1049" spans="8:50" x14ac:dyDescent="0.25"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7">
        <f t="shared" ca="1" si="16"/>
        <v>8.3275273317352072E-2</v>
      </c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</row>
    <row r="1050" spans="8:50" x14ac:dyDescent="0.25"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7">
        <f t="shared" ca="1" si="16"/>
        <v>0.17284758260325803</v>
      </c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</row>
    <row r="1051" spans="8:50" x14ac:dyDescent="0.25"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7">
        <f t="shared" ca="1" si="16"/>
        <v>-0.11980667243450745</v>
      </c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</row>
    <row r="1052" spans="8:50" x14ac:dyDescent="0.25"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7">
        <f t="shared" ca="1" si="16"/>
        <v>0.12425954281227419</v>
      </c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</row>
    <row r="1053" spans="8:50" x14ac:dyDescent="0.25"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7">
        <f t="shared" ca="1" si="16"/>
        <v>-0.16915957148728822</v>
      </c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</row>
    <row r="1054" spans="8:50" x14ac:dyDescent="0.25"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7">
        <f t="shared" ca="1" si="16"/>
        <v>0.12491744137687248</v>
      </c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</row>
    <row r="1055" spans="8:50" x14ac:dyDescent="0.25"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7">
        <f t="shared" ca="1" si="16"/>
        <v>0.36140370869204014</v>
      </c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</row>
    <row r="1056" spans="8:50" x14ac:dyDescent="0.25"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7">
        <f t="shared" ca="1" si="16"/>
        <v>-7.4833338709014333E-2</v>
      </c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</row>
    <row r="1057" spans="8:50" x14ac:dyDescent="0.25"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7">
        <f t="shared" ca="1" si="16"/>
        <v>-0.23951461716206224</v>
      </c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</row>
    <row r="1058" spans="8:50" x14ac:dyDescent="0.25"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7">
        <f t="shared" ca="1" si="16"/>
        <v>-7.0285586235339093E-3</v>
      </c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</row>
    <row r="1059" spans="8:50" x14ac:dyDescent="0.25"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7">
        <f t="shared" ca="1" si="16"/>
        <v>0.28535918919685832</v>
      </c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</row>
    <row r="1060" spans="8:50" x14ac:dyDescent="0.25"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7">
        <f t="shared" ca="1" si="16"/>
        <v>-5.9702821861743749E-3</v>
      </c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</row>
    <row r="1061" spans="8:50" x14ac:dyDescent="0.25"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7">
        <f t="shared" ca="1" si="16"/>
        <v>-8.8360681474832434E-2</v>
      </c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</row>
    <row r="1062" spans="8:50" x14ac:dyDescent="0.25"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7">
        <f t="shared" ca="1" si="16"/>
        <v>0.18737373204692581</v>
      </c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</row>
    <row r="1063" spans="8:50" x14ac:dyDescent="0.25"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7">
        <f t="shared" ca="1" si="16"/>
        <v>-5.2365899706444299E-2</v>
      </c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</row>
    <row r="1064" spans="8:50" x14ac:dyDescent="0.25"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7">
        <f t="shared" ca="1" si="16"/>
        <v>0.21081300206689402</v>
      </c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</row>
    <row r="1065" spans="8:50" x14ac:dyDescent="0.25"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7">
        <f t="shared" ca="1" si="16"/>
        <v>0.32892663693241625</v>
      </c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</row>
    <row r="1066" spans="8:50" x14ac:dyDescent="0.25"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7">
        <f t="shared" ca="1" si="16"/>
        <v>3.7485195840728749E-2</v>
      </c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</row>
    <row r="1067" spans="8:50" x14ac:dyDescent="0.25"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7">
        <f t="shared" ca="1" si="16"/>
        <v>5.0766009473319301E-2</v>
      </c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</row>
    <row r="1068" spans="8:50" x14ac:dyDescent="0.25"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7">
        <f t="shared" ca="1" si="16"/>
        <v>0.20992496250791914</v>
      </c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</row>
    <row r="1069" spans="8:50" x14ac:dyDescent="0.25"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7">
        <f t="shared" ca="1" si="16"/>
        <v>0.14721047892391437</v>
      </c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</row>
    <row r="1070" spans="8:50" x14ac:dyDescent="0.25"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7">
        <f t="shared" ca="1" si="16"/>
        <v>-0.17768778746443625</v>
      </c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</row>
    <row r="1071" spans="8:50" x14ac:dyDescent="0.25"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7">
        <f t="shared" ca="1" si="16"/>
        <v>0.35905466659439772</v>
      </c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</row>
    <row r="1072" spans="8:50" x14ac:dyDescent="0.25"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7">
        <f t="shared" ca="1" si="16"/>
        <v>-0.1156918026974066</v>
      </c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</row>
    <row r="1073" spans="8:50" x14ac:dyDescent="0.25"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7">
        <f t="shared" ca="1" si="16"/>
        <v>0.12024396130352397</v>
      </c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</row>
    <row r="1074" spans="8:50" x14ac:dyDescent="0.25"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7">
        <f t="shared" ca="1" si="16"/>
        <v>7.2053876465274835E-2</v>
      </c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</row>
    <row r="1075" spans="8:50" x14ac:dyDescent="0.25"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7">
        <f t="shared" ca="1" si="16"/>
        <v>0.12441099709305102</v>
      </c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</row>
    <row r="1076" spans="8:50" x14ac:dyDescent="0.25"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7">
        <f t="shared" ca="1" si="16"/>
        <v>0.26248919683424599</v>
      </c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</row>
    <row r="1077" spans="8:50" x14ac:dyDescent="0.25"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7">
        <f t="shared" ca="1" si="16"/>
        <v>-0.15556591010649651</v>
      </c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</row>
    <row r="1078" spans="8:50" x14ac:dyDescent="0.25"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7">
        <f t="shared" ca="1" si="16"/>
        <v>-0.36864718748567715</v>
      </c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</row>
    <row r="1079" spans="8:50" x14ac:dyDescent="0.25"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7">
        <f t="shared" ca="1" si="16"/>
        <v>-0.17212749224305862</v>
      </c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</row>
    <row r="1080" spans="8:50" x14ac:dyDescent="0.25"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7">
        <f t="shared" ca="1" si="16"/>
        <v>0.14958799315949678</v>
      </c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</row>
    <row r="1081" spans="8:50" x14ac:dyDescent="0.25"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7">
        <f t="shared" ca="1" si="16"/>
        <v>0.13178187379462991</v>
      </c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</row>
    <row r="1082" spans="8:50" x14ac:dyDescent="0.25"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7">
        <f t="shared" ca="1" si="16"/>
        <v>0.16897217394226685</v>
      </c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</row>
    <row r="1083" spans="8:50" x14ac:dyDescent="0.25"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7">
        <f t="shared" ca="1" si="16"/>
        <v>-0.1640812889284311</v>
      </c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</row>
    <row r="1084" spans="8:50" x14ac:dyDescent="0.25"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7">
        <f t="shared" ca="1" si="16"/>
        <v>0.17444669334024032</v>
      </c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</row>
    <row r="1085" spans="8:50" x14ac:dyDescent="0.25"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7">
        <f t="shared" ca="1" si="16"/>
        <v>0.1058636844192539</v>
      </c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</row>
    <row r="1086" spans="8:50" x14ac:dyDescent="0.25"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7">
        <f t="shared" ca="1" si="16"/>
        <v>3.2427587841405828E-2</v>
      </c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</row>
    <row r="1087" spans="8:50" x14ac:dyDescent="0.25"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7">
        <f t="shared" ca="1" si="16"/>
        <v>0.31355434070274263</v>
      </c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</row>
    <row r="1088" spans="8:50" x14ac:dyDescent="0.25"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7">
        <f t="shared" ca="1" si="16"/>
        <v>-0.29488707540052783</v>
      </c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</row>
    <row r="1089" spans="8:50" x14ac:dyDescent="0.25"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7">
        <f t="shared" ca="1" si="16"/>
        <v>4.7977991832822448E-2</v>
      </c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</row>
    <row r="1090" spans="8:50" x14ac:dyDescent="0.25"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7">
        <f t="shared" ca="1" si="16"/>
        <v>8.8785026884079521E-3</v>
      </c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</row>
    <row r="1091" spans="8:50" x14ac:dyDescent="0.25"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7">
        <f t="shared" ca="1" si="16"/>
        <v>-0.12262859589916507</v>
      </c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</row>
    <row r="1092" spans="8:50" x14ac:dyDescent="0.25"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7">
        <f t="shared" ca="1" si="16"/>
        <v>0.15414363179367946</v>
      </c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</row>
    <row r="1093" spans="8:50" x14ac:dyDescent="0.25"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7">
        <f t="shared" ca="1" si="16"/>
        <v>0.30384043621584422</v>
      </c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</row>
    <row r="1094" spans="8:50" x14ac:dyDescent="0.25"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7">
        <f t="shared" ref="W1094:W1157" ca="1" si="17">+NORMINV(RAND(),$U$2,$U$3)</f>
        <v>-0.19773376792816461</v>
      </c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</row>
    <row r="1095" spans="8:50" x14ac:dyDescent="0.25"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7">
        <f t="shared" ca="1" si="17"/>
        <v>0.17222127421406205</v>
      </c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</row>
    <row r="1096" spans="8:50" x14ac:dyDescent="0.25"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7">
        <f t="shared" ca="1" si="17"/>
        <v>-0.1198364237479171</v>
      </c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</row>
    <row r="1097" spans="8:50" x14ac:dyDescent="0.25"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7">
        <f t="shared" ca="1" si="17"/>
        <v>-3.3774981482431174E-2</v>
      </c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</row>
    <row r="1098" spans="8:50" x14ac:dyDescent="0.25"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7">
        <f t="shared" ca="1" si="17"/>
        <v>-0.1061476863358931</v>
      </c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</row>
    <row r="1099" spans="8:50" x14ac:dyDescent="0.25"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7">
        <f t="shared" ca="1" si="17"/>
        <v>-6.3564068203180127E-2</v>
      </c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</row>
    <row r="1100" spans="8:50" x14ac:dyDescent="0.25"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7">
        <f t="shared" ca="1" si="17"/>
        <v>0.36136046619324041</v>
      </c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</row>
    <row r="1101" spans="8:50" x14ac:dyDescent="0.25"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7">
        <f t="shared" ca="1" si="17"/>
        <v>0.10368564819333512</v>
      </c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</row>
    <row r="1102" spans="8:50" x14ac:dyDescent="0.25"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7">
        <f t="shared" ca="1" si="17"/>
        <v>0.3778019586024518</v>
      </c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</row>
    <row r="1103" spans="8:50" x14ac:dyDescent="0.25"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7">
        <f t="shared" ca="1" si="17"/>
        <v>0.19349713983332129</v>
      </c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</row>
    <row r="1104" spans="8:50" x14ac:dyDescent="0.25"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7">
        <f t="shared" ca="1" si="17"/>
        <v>0.14738505360629092</v>
      </c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</row>
    <row r="1105" spans="8:50" x14ac:dyDescent="0.25"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7">
        <f t="shared" ca="1" si="17"/>
        <v>-6.1186257574749839E-2</v>
      </c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</row>
    <row r="1106" spans="8:50" x14ac:dyDescent="0.25"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7">
        <f t="shared" ca="1" si="17"/>
        <v>-1.1097266485611004E-2</v>
      </c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</row>
    <row r="1107" spans="8:50" x14ac:dyDescent="0.25"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7">
        <f t="shared" ca="1" si="17"/>
        <v>9.3357079119020525E-2</v>
      </c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</row>
    <row r="1108" spans="8:50" x14ac:dyDescent="0.25"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7">
        <f t="shared" ca="1" si="17"/>
        <v>-0.1192061089248355</v>
      </c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</row>
    <row r="1109" spans="8:50" x14ac:dyDescent="0.25"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7">
        <f t="shared" ca="1" si="17"/>
        <v>-0.23734739876914024</v>
      </c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</row>
    <row r="1110" spans="8:50" x14ac:dyDescent="0.25"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7">
        <f t="shared" ca="1" si="17"/>
        <v>-0.17247225216220213</v>
      </c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</row>
    <row r="1111" spans="8:50" x14ac:dyDescent="0.25"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7">
        <f t="shared" ca="1" si="17"/>
        <v>-0.1781164134184885</v>
      </c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</row>
    <row r="1112" spans="8:50" x14ac:dyDescent="0.25"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7">
        <f t="shared" ca="1" si="17"/>
        <v>0.20593318215351042</v>
      </c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</row>
    <row r="1113" spans="8:50" x14ac:dyDescent="0.25"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7">
        <f t="shared" ca="1" si="17"/>
        <v>0.13937865040629677</v>
      </c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</row>
    <row r="1114" spans="8:50" x14ac:dyDescent="0.25"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7">
        <f t="shared" ca="1" si="17"/>
        <v>-0.12445439029116227</v>
      </c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</row>
    <row r="1115" spans="8:50" x14ac:dyDescent="0.25"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7">
        <f t="shared" ca="1" si="17"/>
        <v>8.8607599808670695E-2</v>
      </c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</row>
    <row r="1116" spans="8:50" x14ac:dyDescent="0.25"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7">
        <f t="shared" ca="1" si="17"/>
        <v>0.48282249161208218</v>
      </c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</row>
    <row r="1117" spans="8:50" x14ac:dyDescent="0.25"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7">
        <f t="shared" ca="1" si="17"/>
        <v>-4.6093314741574021E-3</v>
      </c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</row>
    <row r="1118" spans="8:50" x14ac:dyDescent="0.25"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7">
        <f t="shared" ca="1" si="17"/>
        <v>0.23456338162164336</v>
      </c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</row>
    <row r="1119" spans="8:50" x14ac:dyDescent="0.25"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7">
        <f t="shared" ca="1" si="17"/>
        <v>-0.19783547725058653</v>
      </c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</row>
    <row r="1120" spans="8:50" x14ac:dyDescent="0.25"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7">
        <f t="shared" ca="1" si="17"/>
        <v>6.4904996463517078E-2</v>
      </c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</row>
    <row r="1121" spans="8:50" x14ac:dyDescent="0.25"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7">
        <f t="shared" ca="1" si="17"/>
        <v>0.30392364215207385</v>
      </c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</row>
    <row r="1122" spans="8:50" x14ac:dyDescent="0.25"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7">
        <f t="shared" ca="1" si="17"/>
        <v>-0.1715289341201745</v>
      </c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</row>
    <row r="1123" spans="8:50" x14ac:dyDescent="0.25"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7">
        <f t="shared" ca="1" si="17"/>
        <v>0.19681200258905679</v>
      </c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</row>
    <row r="1124" spans="8:50" x14ac:dyDescent="0.25"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7">
        <f t="shared" ca="1" si="17"/>
        <v>0.14692965389374085</v>
      </c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</row>
    <row r="1125" spans="8:50" x14ac:dyDescent="0.25"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7">
        <f t="shared" ca="1" si="17"/>
        <v>0.23187892331223187</v>
      </c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</row>
    <row r="1126" spans="8:50" x14ac:dyDescent="0.25"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7">
        <f t="shared" ca="1" si="17"/>
        <v>2.988428559340818E-2</v>
      </c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</row>
    <row r="1127" spans="8:50" x14ac:dyDescent="0.25"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7">
        <f t="shared" ca="1" si="17"/>
        <v>0.339796353471715</v>
      </c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</row>
    <row r="1128" spans="8:50" x14ac:dyDescent="0.25"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7">
        <f t="shared" ca="1" si="17"/>
        <v>-0.25721031399460903</v>
      </c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</row>
    <row r="1129" spans="8:50" x14ac:dyDescent="0.25"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7">
        <f t="shared" ca="1" si="17"/>
        <v>0.39431170855854758</v>
      </c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</row>
    <row r="1130" spans="8:50" x14ac:dyDescent="0.25"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7">
        <f t="shared" ca="1" si="17"/>
        <v>8.7898177169457442E-2</v>
      </c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</row>
    <row r="1131" spans="8:50" x14ac:dyDescent="0.25"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7">
        <f t="shared" ca="1" si="17"/>
        <v>0.47453922315789582</v>
      </c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</row>
    <row r="1132" spans="8:50" x14ac:dyDescent="0.25"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7">
        <f t="shared" ca="1" si="17"/>
        <v>0.18029161817519362</v>
      </c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</row>
    <row r="1133" spans="8:50" x14ac:dyDescent="0.25"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7">
        <f t="shared" ca="1" si="17"/>
        <v>1.7434511545865783E-2</v>
      </c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</row>
    <row r="1134" spans="8:50" x14ac:dyDescent="0.25"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7">
        <f t="shared" ca="1" si="17"/>
        <v>0.26498564926925083</v>
      </c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</row>
    <row r="1135" spans="8:50" x14ac:dyDescent="0.25"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7">
        <f t="shared" ca="1" si="17"/>
        <v>0.11733240753817838</v>
      </c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</row>
    <row r="1136" spans="8:50" x14ac:dyDescent="0.25"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7">
        <f t="shared" ca="1" si="17"/>
        <v>-2.4392001719887105E-2</v>
      </c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</row>
    <row r="1137" spans="8:50" x14ac:dyDescent="0.25"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7">
        <f t="shared" ca="1" si="17"/>
        <v>0.19842544061358544</v>
      </c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</row>
    <row r="1138" spans="8:50" x14ac:dyDescent="0.25"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7">
        <f t="shared" ca="1" si="17"/>
        <v>0.20784860780745096</v>
      </c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</row>
    <row r="1139" spans="8:50" x14ac:dyDescent="0.25"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7">
        <f t="shared" ca="1" si="17"/>
        <v>3.8153868483580003E-2</v>
      </c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</row>
    <row r="1140" spans="8:50" x14ac:dyDescent="0.25"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7">
        <f t="shared" ca="1" si="17"/>
        <v>0.17503533069575045</v>
      </c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</row>
    <row r="1141" spans="8:50" x14ac:dyDescent="0.25"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7">
        <f t="shared" ca="1" si="17"/>
        <v>2.8140565023642636E-2</v>
      </c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</row>
    <row r="1142" spans="8:50" x14ac:dyDescent="0.25"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7">
        <f t="shared" ca="1" si="17"/>
        <v>2.4825424334181251E-2</v>
      </c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</row>
    <row r="1143" spans="8:50" x14ac:dyDescent="0.25"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7">
        <f t="shared" ca="1" si="17"/>
        <v>0.44586779852545683</v>
      </c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</row>
    <row r="1144" spans="8:50" x14ac:dyDescent="0.25"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7">
        <f t="shared" ca="1" si="17"/>
        <v>0.3248605593386924</v>
      </c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</row>
    <row r="1145" spans="8:50" x14ac:dyDescent="0.25"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7">
        <f t="shared" ca="1" si="17"/>
        <v>4.6141517738103585E-2</v>
      </c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</row>
    <row r="1146" spans="8:50" x14ac:dyDescent="0.25"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7">
        <f t="shared" ca="1" si="17"/>
        <v>-1.5080344090083395E-2</v>
      </c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</row>
    <row r="1147" spans="8:50" x14ac:dyDescent="0.25"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7">
        <f t="shared" ca="1" si="17"/>
        <v>0.41278532429610021</v>
      </c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</row>
    <row r="1148" spans="8:50" x14ac:dyDescent="0.25"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7">
        <f t="shared" ca="1" si="17"/>
        <v>0.22011819894778856</v>
      </c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</row>
    <row r="1149" spans="8:50" x14ac:dyDescent="0.25"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7">
        <f t="shared" ca="1" si="17"/>
        <v>9.2292345767972933E-2</v>
      </c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</row>
    <row r="1150" spans="8:50" x14ac:dyDescent="0.25"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7">
        <f t="shared" ca="1" si="17"/>
        <v>-7.1791137541985253E-2</v>
      </c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</row>
    <row r="1151" spans="8:50" x14ac:dyDescent="0.25"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7">
        <f t="shared" ca="1" si="17"/>
        <v>-0.13099714981317073</v>
      </c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</row>
    <row r="1152" spans="8:50" x14ac:dyDescent="0.25"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7">
        <f t="shared" ca="1" si="17"/>
        <v>3.6827127811014507E-2</v>
      </c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</row>
    <row r="1153" spans="8:50" x14ac:dyDescent="0.25"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7">
        <f t="shared" ca="1" si="17"/>
        <v>-9.4755327622026722E-2</v>
      </c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</row>
    <row r="1154" spans="8:50" x14ac:dyDescent="0.25"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7">
        <f t="shared" ca="1" si="17"/>
        <v>0.13639935759010297</v>
      </c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</row>
    <row r="1155" spans="8:50" x14ac:dyDescent="0.25"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7">
        <f t="shared" ca="1" si="17"/>
        <v>-0.24864806025472669</v>
      </c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</row>
    <row r="1156" spans="8:50" x14ac:dyDescent="0.25"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7">
        <f t="shared" ca="1" si="17"/>
        <v>0.38128587442318113</v>
      </c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</row>
    <row r="1157" spans="8:50" x14ac:dyDescent="0.25"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7">
        <f t="shared" ca="1" si="17"/>
        <v>0.18329971457999783</v>
      </c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</row>
    <row r="1158" spans="8:50" x14ac:dyDescent="0.25"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7">
        <f t="shared" ref="W1158:W1221" ca="1" si="18">+NORMINV(RAND(),$U$2,$U$3)</f>
        <v>0.13947143840910273</v>
      </c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</row>
    <row r="1159" spans="8:50" x14ac:dyDescent="0.25"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7">
        <f t="shared" ca="1" si="18"/>
        <v>8.1667496478893098E-2</v>
      </c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</row>
    <row r="1160" spans="8:50" x14ac:dyDescent="0.25"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7">
        <f t="shared" ca="1" si="18"/>
        <v>3.7671349785081326E-2</v>
      </c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</row>
    <row r="1161" spans="8:50" x14ac:dyDescent="0.25"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7">
        <f t="shared" ca="1" si="18"/>
        <v>-0.18376731109386107</v>
      </c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</row>
    <row r="1162" spans="8:50" x14ac:dyDescent="0.25"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7">
        <f t="shared" ca="1" si="18"/>
        <v>-3.7304421905582322E-2</v>
      </c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</row>
    <row r="1163" spans="8:50" x14ac:dyDescent="0.25"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7">
        <f t="shared" ca="1" si="18"/>
        <v>0.11910527354500046</v>
      </c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</row>
    <row r="1164" spans="8:50" x14ac:dyDescent="0.25"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7">
        <f t="shared" ca="1" si="18"/>
        <v>0.23595612394527646</v>
      </c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</row>
    <row r="1165" spans="8:50" x14ac:dyDescent="0.25"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7">
        <f t="shared" ca="1" si="18"/>
        <v>4.4708070407138117E-2</v>
      </c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</row>
    <row r="1166" spans="8:50" x14ac:dyDescent="0.25"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7">
        <f t="shared" ca="1" si="18"/>
        <v>0.10859705515676929</v>
      </c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</row>
    <row r="1167" spans="8:50" x14ac:dyDescent="0.25"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7">
        <f t="shared" ca="1" si="18"/>
        <v>0.21755915079627675</v>
      </c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</row>
    <row r="1168" spans="8:50" x14ac:dyDescent="0.25"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7">
        <f t="shared" ca="1" si="18"/>
        <v>-2.8175703654244946E-2</v>
      </c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</row>
    <row r="1169" spans="8:50" x14ac:dyDescent="0.25"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7">
        <f t="shared" ca="1" si="18"/>
        <v>0.1523185982647163</v>
      </c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</row>
    <row r="1170" spans="8:50" x14ac:dyDescent="0.25"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7">
        <f t="shared" ca="1" si="18"/>
        <v>-8.1122230278840343E-2</v>
      </c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</row>
    <row r="1171" spans="8:50" x14ac:dyDescent="0.25"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7">
        <f t="shared" ca="1" si="18"/>
        <v>0.15091265783654942</v>
      </c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</row>
    <row r="1172" spans="8:50" x14ac:dyDescent="0.25"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7">
        <f t="shared" ca="1" si="18"/>
        <v>0.68199282560799179</v>
      </c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</row>
    <row r="1173" spans="8:50" x14ac:dyDescent="0.25"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7">
        <f t="shared" ca="1" si="18"/>
        <v>-5.590615882616197E-2</v>
      </c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</row>
    <row r="1174" spans="8:50" x14ac:dyDescent="0.25"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7">
        <f t="shared" ca="1" si="18"/>
        <v>5.2804010764448718E-2</v>
      </c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</row>
    <row r="1175" spans="8:50" x14ac:dyDescent="0.25"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7">
        <f t="shared" ca="1" si="18"/>
        <v>-1.0993148957713958E-2</v>
      </c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</row>
    <row r="1176" spans="8:50" x14ac:dyDescent="0.25"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7">
        <f t="shared" ca="1" si="18"/>
        <v>0.15456464606113707</v>
      </c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</row>
    <row r="1177" spans="8:50" x14ac:dyDescent="0.25"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7">
        <f t="shared" ca="1" si="18"/>
        <v>0.16116248153332036</v>
      </c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</row>
    <row r="1178" spans="8:50" x14ac:dyDescent="0.25"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7">
        <f t="shared" ca="1" si="18"/>
        <v>5.8066196241043325E-2</v>
      </c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</row>
    <row r="1179" spans="8:50" x14ac:dyDescent="0.25"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7">
        <f t="shared" ca="1" si="18"/>
        <v>0.27861776125890608</v>
      </c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</row>
    <row r="1180" spans="8:50" x14ac:dyDescent="0.25"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7">
        <f t="shared" ca="1" si="18"/>
        <v>0.30557626512602604</v>
      </c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</row>
    <row r="1181" spans="8:50" x14ac:dyDescent="0.25"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7">
        <f t="shared" ca="1" si="18"/>
        <v>0.19408179251640012</v>
      </c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</row>
    <row r="1182" spans="8:50" x14ac:dyDescent="0.25"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7">
        <f t="shared" ca="1" si="18"/>
        <v>4.4408761977422523E-2</v>
      </c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</row>
    <row r="1183" spans="8:50" x14ac:dyDescent="0.25"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7">
        <f t="shared" ca="1" si="18"/>
        <v>0.48745289700076755</v>
      </c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</row>
    <row r="1184" spans="8:50" x14ac:dyDescent="0.25"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7">
        <f t="shared" ca="1" si="18"/>
        <v>0.21754638453626279</v>
      </c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</row>
    <row r="1185" spans="8:50" x14ac:dyDescent="0.25"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7">
        <f t="shared" ca="1" si="18"/>
        <v>-0.30746120272664629</v>
      </c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</row>
    <row r="1186" spans="8:50" x14ac:dyDescent="0.25"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7">
        <f t="shared" ca="1" si="18"/>
        <v>-0.3770465681062552</v>
      </c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</row>
    <row r="1187" spans="8:50" x14ac:dyDescent="0.25"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7">
        <f t="shared" ca="1" si="18"/>
        <v>-0.1338907929708017</v>
      </c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</row>
    <row r="1188" spans="8:50" x14ac:dyDescent="0.25"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7">
        <f t="shared" ca="1" si="18"/>
        <v>0.13812258385878828</v>
      </c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</row>
    <row r="1189" spans="8:50" x14ac:dyDescent="0.25"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7">
        <f t="shared" ca="1" si="18"/>
        <v>0.30852576609890758</v>
      </c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</row>
    <row r="1190" spans="8:50" x14ac:dyDescent="0.25"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7">
        <f t="shared" ca="1" si="18"/>
        <v>-8.0003298528916786E-2</v>
      </c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</row>
    <row r="1191" spans="8:50" x14ac:dyDescent="0.25"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7">
        <f t="shared" ca="1" si="18"/>
        <v>0.49869009002044468</v>
      </c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</row>
    <row r="1192" spans="8:50" x14ac:dyDescent="0.25"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7">
        <f t="shared" ca="1" si="18"/>
        <v>0.58442672803772078</v>
      </c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</row>
    <row r="1193" spans="8:50" x14ac:dyDescent="0.25"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7">
        <f t="shared" ca="1" si="18"/>
        <v>8.4285211041371169E-2</v>
      </c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</row>
    <row r="1194" spans="8:50" x14ac:dyDescent="0.25"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7">
        <f t="shared" ca="1" si="18"/>
        <v>3.710236548645196E-2</v>
      </c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</row>
    <row r="1195" spans="8:50" x14ac:dyDescent="0.25"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7">
        <f t="shared" ca="1" si="18"/>
        <v>4.0501742615421832E-2</v>
      </c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</row>
    <row r="1196" spans="8:50" x14ac:dyDescent="0.25"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7">
        <f t="shared" ca="1" si="18"/>
        <v>-0.23060260421315726</v>
      </c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</row>
    <row r="1197" spans="8:50" x14ac:dyDescent="0.25"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7">
        <f t="shared" ca="1" si="18"/>
        <v>-0.13345360607734053</v>
      </c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</row>
    <row r="1198" spans="8:50" x14ac:dyDescent="0.25"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7">
        <f t="shared" ca="1" si="18"/>
        <v>0.17017796124509296</v>
      </c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</row>
    <row r="1199" spans="8:50" x14ac:dyDescent="0.25"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7">
        <f t="shared" ca="1" si="18"/>
        <v>0.18202983740271006</v>
      </c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</row>
    <row r="1200" spans="8:50" x14ac:dyDescent="0.25"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7">
        <f t="shared" ca="1" si="18"/>
        <v>1.1277637990842054E-3</v>
      </c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</row>
    <row r="1201" spans="8:50" x14ac:dyDescent="0.25"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7">
        <f t="shared" ca="1" si="18"/>
        <v>0.19976081732905471</v>
      </c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</row>
    <row r="1202" spans="8:50" x14ac:dyDescent="0.25"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7">
        <f t="shared" ca="1" si="18"/>
        <v>8.9106492584201558E-2</v>
      </c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</row>
    <row r="1203" spans="8:50" x14ac:dyDescent="0.25"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7">
        <f t="shared" ca="1" si="18"/>
        <v>0.42850105345939138</v>
      </c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</row>
    <row r="1204" spans="8:50" x14ac:dyDescent="0.25"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7">
        <f t="shared" ca="1" si="18"/>
        <v>0.23450563392223983</v>
      </c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</row>
    <row r="1205" spans="8:50" x14ac:dyDescent="0.25"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7">
        <f t="shared" ca="1" si="18"/>
        <v>0.14731428863965532</v>
      </c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</row>
    <row r="1206" spans="8:50" x14ac:dyDescent="0.25"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7">
        <f t="shared" ca="1" si="18"/>
        <v>9.7143801262585913E-2</v>
      </c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</row>
    <row r="1207" spans="8:50" x14ac:dyDescent="0.25"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7">
        <f t="shared" ca="1" si="18"/>
        <v>-4.3294035528387162E-2</v>
      </c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</row>
    <row r="1208" spans="8:50" x14ac:dyDescent="0.25"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7">
        <f t="shared" ca="1" si="18"/>
        <v>-4.571208379067028E-2</v>
      </c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</row>
    <row r="1209" spans="8:50" x14ac:dyDescent="0.25"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7">
        <f t="shared" ca="1" si="18"/>
        <v>1.9692946887780297E-2</v>
      </c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</row>
    <row r="1210" spans="8:50" x14ac:dyDescent="0.25"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7">
        <f t="shared" ca="1" si="18"/>
        <v>-0.34230422049350123</v>
      </c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</row>
    <row r="1211" spans="8:50" x14ac:dyDescent="0.25"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7">
        <f t="shared" ca="1" si="18"/>
        <v>8.5412065977079538E-2</v>
      </c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</row>
    <row r="1212" spans="8:50" x14ac:dyDescent="0.25"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7">
        <f t="shared" ca="1" si="18"/>
        <v>0.34772332757268992</v>
      </c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</row>
    <row r="1213" spans="8:50" x14ac:dyDescent="0.25"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7">
        <f t="shared" ca="1" si="18"/>
        <v>0.20170128991347136</v>
      </c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</row>
    <row r="1214" spans="8:50" x14ac:dyDescent="0.25"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7">
        <f t="shared" ca="1" si="18"/>
        <v>-7.7160848413296443E-2</v>
      </c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</row>
    <row r="1215" spans="8:50" x14ac:dyDescent="0.25"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7">
        <f t="shared" ca="1" si="18"/>
        <v>0.35914745457075697</v>
      </c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</row>
    <row r="1216" spans="8:50" x14ac:dyDescent="0.25"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7">
        <f t="shared" ca="1" si="18"/>
        <v>0.1485275275851779</v>
      </c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</row>
    <row r="1217" spans="8:50" x14ac:dyDescent="0.25"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7">
        <f t="shared" ca="1" si="18"/>
        <v>3.5491060073109079E-2</v>
      </c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</row>
    <row r="1218" spans="8:50" x14ac:dyDescent="0.25"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7">
        <f t="shared" ca="1" si="18"/>
        <v>9.6144457473354566E-2</v>
      </c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</row>
    <row r="1219" spans="8:50" x14ac:dyDescent="0.25"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7">
        <f t="shared" ca="1" si="18"/>
        <v>0.24546418007177123</v>
      </c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</row>
    <row r="1220" spans="8:50" x14ac:dyDescent="0.25"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7">
        <f t="shared" ca="1" si="18"/>
        <v>-0.3059233246474925</v>
      </c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</row>
    <row r="1221" spans="8:50" x14ac:dyDescent="0.25"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7">
        <f t="shared" ca="1" si="18"/>
        <v>-0.11404125529607904</v>
      </c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</row>
    <row r="1222" spans="8:50" x14ac:dyDescent="0.25"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7">
        <f t="shared" ref="W1222:W1285" ca="1" si="19">+NORMINV(RAND(),$U$2,$U$3)</f>
        <v>-1.1133345319260746E-2</v>
      </c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</row>
    <row r="1223" spans="8:50" x14ac:dyDescent="0.25"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7">
        <f t="shared" ca="1" si="19"/>
        <v>0.15578988950584052</v>
      </c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</row>
    <row r="1224" spans="8:50" x14ac:dyDescent="0.25"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7">
        <f t="shared" ca="1" si="19"/>
        <v>0.24338709977912149</v>
      </c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</row>
    <row r="1225" spans="8:50" x14ac:dyDescent="0.25"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7">
        <f t="shared" ca="1" si="19"/>
        <v>0.31114854115436186</v>
      </c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</row>
    <row r="1226" spans="8:50" x14ac:dyDescent="0.25"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7">
        <f t="shared" ca="1" si="19"/>
        <v>9.0099043651385394E-2</v>
      </c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</row>
    <row r="1227" spans="8:50" x14ac:dyDescent="0.25"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7">
        <f t="shared" ca="1" si="19"/>
        <v>0.3116863870791638</v>
      </c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</row>
    <row r="1228" spans="8:50" x14ac:dyDescent="0.25"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7">
        <f t="shared" ca="1" si="19"/>
        <v>2.7397153133624022E-2</v>
      </c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</row>
    <row r="1229" spans="8:50" x14ac:dyDescent="0.25"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7">
        <f t="shared" ca="1" si="19"/>
        <v>0.15266345374361631</v>
      </c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</row>
    <row r="1230" spans="8:50" x14ac:dyDescent="0.25"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7">
        <f t="shared" ca="1" si="19"/>
        <v>3.751106212466486E-2</v>
      </c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</row>
    <row r="1231" spans="8:50" x14ac:dyDescent="0.25"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7">
        <f t="shared" ca="1" si="19"/>
        <v>0.31374673926546115</v>
      </c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</row>
    <row r="1232" spans="8:50" x14ac:dyDescent="0.25"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7">
        <f t="shared" ca="1" si="19"/>
        <v>0.10932406322053785</v>
      </c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</row>
    <row r="1233" spans="8:50" x14ac:dyDescent="0.25"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7">
        <f t="shared" ca="1" si="19"/>
        <v>-4.2502257861387269E-2</v>
      </c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</row>
    <row r="1234" spans="8:50" x14ac:dyDescent="0.25"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7">
        <f t="shared" ca="1" si="19"/>
        <v>0.14051060774344654</v>
      </c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</row>
    <row r="1235" spans="8:50" x14ac:dyDescent="0.25"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7">
        <f t="shared" ca="1" si="19"/>
        <v>-8.8957953273126333E-4</v>
      </c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</row>
    <row r="1236" spans="8:50" x14ac:dyDescent="0.25"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7">
        <f t="shared" ca="1" si="19"/>
        <v>-0.12749999296655024</v>
      </c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</row>
    <row r="1237" spans="8:50" x14ac:dyDescent="0.25"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7">
        <f t="shared" ca="1" si="19"/>
        <v>0.32719329384182516</v>
      </c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</row>
    <row r="1238" spans="8:50" x14ac:dyDescent="0.25"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7">
        <f t="shared" ca="1" si="19"/>
        <v>0.17568025034093665</v>
      </c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</row>
    <row r="1239" spans="8:50" x14ac:dyDescent="0.25"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7">
        <f t="shared" ca="1" si="19"/>
        <v>0.14613467914978451</v>
      </c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</row>
    <row r="1240" spans="8:50" x14ac:dyDescent="0.25"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7">
        <f t="shared" ca="1" si="19"/>
        <v>0.21790332359122805</v>
      </c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</row>
    <row r="1241" spans="8:50" x14ac:dyDescent="0.25"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7">
        <f t="shared" ca="1" si="19"/>
        <v>0.11543146438058266</v>
      </c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</row>
    <row r="1242" spans="8:50" x14ac:dyDescent="0.25"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7">
        <f t="shared" ca="1" si="19"/>
        <v>0.10048277859500131</v>
      </c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</row>
    <row r="1243" spans="8:50" x14ac:dyDescent="0.25"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7">
        <f t="shared" ca="1" si="19"/>
        <v>0.14092659701241333</v>
      </c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</row>
    <row r="1244" spans="8:50" x14ac:dyDescent="0.25"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7">
        <f t="shared" ca="1" si="19"/>
        <v>0.11939884179664843</v>
      </c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</row>
    <row r="1245" spans="8:50" x14ac:dyDescent="0.25"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7">
        <f t="shared" ca="1" si="19"/>
        <v>0.13516750501106248</v>
      </c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</row>
    <row r="1246" spans="8:50" x14ac:dyDescent="0.25"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7">
        <f t="shared" ca="1" si="19"/>
        <v>0.39188611742482343</v>
      </c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</row>
    <row r="1247" spans="8:50" x14ac:dyDescent="0.25"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7">
        <f t="shared" ca="1" si="19"/>
        <v>1.0603963711993555E-2</v>
      </c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</row>
    <row r="1248" spans="8:50" x14ac:dyDescent="0.25"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7">
        <f t="shared" ca="1" si="19"/>
        <v>0.29777903433740133</v>
      </c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</row>
    <row r="1249" spans="8:50" x14ac:dyDescent="0.25"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7">
        <f t="shared" ca="1" si="19"/>
        <v>0.23260853605893947</v>
      </c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</row>
    <row r="1250" spans="8:50" x14ac:dyDescent="0.25"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7">
        <f t="shared" ca="1" si="19"/>
        <v>-0.17490989141276142</v>
      </c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</row>
    <row r="1251" spans="8:50" x14ac:dyDescent="0.25"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7">
        <f t="shared" ca="1" si="19"/>
        <v>0.41223806885108411</v>
      </c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</row>
    <row r="1252" spans="8:50" x14ac:dyDescent="0.25"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7">
        <f t="shared" ca="1" si="19"/>
        <v>0.25946033924028428</v>
      </c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</row>
    <row r="1253" spans="8:50" x14ac:dyDescent="0.25"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7">
        <f t="shared" ca="1" si="19"/>
        <v>0.22215365166346437</v>
      </c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</row>
    <row r="1254" spans="8:50" x14ac:dyDescent="0.25"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7">
        <f t="shared" ca="1" si="19"/>
        <v>0.39193404808893884</v>
      </c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</row>
    <row r="1255" spans="8:50" x14ac:dyDescent="0.25"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7">
        <f t="shared" ca="1" si="19"/>
        <v>-6.1856779293519057E-2</v>
      </c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</row>
    <row r="1256" spans="8:50" x14ac:dyDescent="0.25"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7">
        <f t="shared" ca="1" si="19"/>
        <v>0.11584207280504714</v>
      </c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</row>
    <row r="1257" spans="8:50" x14ac:dyDescent="0.25"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7">
        <f t="shared" ca="1" si="19"/>
        <v>0.11716530816834744</v>
      </c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</row>
    <row r="1258" spans="8:50" x14ac:dyDescent="0.25"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7">
        <f t="shared" ca="1" si="19"/>
        <v>0.22427684420885907</v>
      </c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</row>
    <row r="1259" spans="8:50" x14ac:dyDescent="0.25"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7">
        <f t="shared" ca="1" si="19"/>
        <v>0.15577769871187533</v>
      </c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</row>
    <row r="1260" spans="8:50" x14ac:dyDescent="0.25"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7">
        <f t="shared" ca="1" si="19"/>
        <v>0.24718356070935243</v>
      </c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</row>
    <row r="1261" spans="8:50" x14ac:dyDescent="0.25"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7">
        <f t="shared" ca="1" si="19"/>
        <v>-0.16672075362111877</v>
      </c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</row>
    <row r="1262" spans="8:50" x14ac:dyDescent="0.25"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7">
        <f t="shared" ca="1" si="19"/>
        <v>-0.10884775661895209</v>
      </c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</row>
    <row r="1263" spans="8:50" x14ac:dyDescent="0.25"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7">
        <f t="shared" ca="1" si="19"/>
        <v>0.10142230722155095</v>
      </c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</row>
    <row r="1264" spans="8:50" x14ac:dyDescent="0.25"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7">
        <f t="shared" ca="1" si="19"/>
        <v>0.28229560596060338</v>
      </c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</row>
    <row r="1265" spans="8:50" x14ac:dyDescent="0.25"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7">
        <f t="shared" ca="1" si="19"/>
        <v>0.52680473321376076</v>
      </c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</row>
    <row r="1266" spans="8:50" x14ac:dyDescent="0.25"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7">
        <f t="shared" ca="1" si="19"/>
        <v>0.12079572320949131</v>
      </c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</row>
    <row r="1267" spans="8:50" x14ac:dyDescent="0.25"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7">
        <f t="shared" ca="1" si="19"/>
        <v>0.15500904117307376</v>
      </c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</row>
    <row r="1268" spans="8:50" x14ac:dyDescent="0.25"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7">
        <f t="shared" ca="1" si="19"/>
        <v>0.11096274000773242</v>
      </c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</row>
    <row r="1269" spans="8:50" x14ac:dyDescent="0.25"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7">
        <f t="shared" ca="1" si="19"/>
        <v>0.34351960677793808</v>
      </c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</row>
    <row r="1270" spans="8:50" x14ac:dyDescent="0.25"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7">
        <f t="shared" ca="1" si="19"/>
        <v>0.27816723287473466</v>
      </c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</row>
    <row r="1271" spans="8:50" x14ac:dyDescent="0.25"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7">
        <f t="shared" ca="1" si="19"/>
        <v>0.17537700166840869</v>
      </c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</row>
    <row r="1272" spans="8:50" x14ac:dyDescent="0.25"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7">
        <f t="shared" ca="1" si="19"/>
        <v>5.4596998546011168E-2</v>
      </c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</row>
    <row r="1273" spans="8:50" x14ac:dyDescent="0.25"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7">
        <f t="shared" ca="1" si="19"/>
        <v>0.14432847829524156</v>
      </c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</row>
    <row r="1274" spans="8:50" x14ac:dyDescent="0.25"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7">
        <f t="shared" ca="1" si="19"/>
        <v>-0.18863249570004198</v>
      </c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</row>
    <row r="1275" spans="8:50" x14ac:dyDescent="0.25"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7">
        <f t="shared" ca="1" si="19"/>
        <v>0.40405011392953494</v>
      </c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</row>
    <row r="1276" spans="8:50" x14ac:dyDescent="0.25"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7">
        <f t="shared" ca="1" si="19"/>
        <v>0.13236320004960866</v>
      </c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</row>
    <row r="1277" spans="8:50" x14ac:dyDescent="0.25"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7">
        <f t="shared" ca="1" si="19"/>
        <v>0.11122768137253305</v>
      </c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</row>
    <row r="1278" spans="8:50" x14ac:dyDescent="0.25"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7">
        <f t="shared" ca="1" si="19"/>
        <v>0.39918647083583847</v>
      </c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</row>
    <row r="1279" spans="8:50" x14ac:dyDescent="0.25"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7">
        <f t="shared" ca="1" si="19"/>
        <v>-0.14292077342841514</v>
      </c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</row>
    <row r="1280" spans="8:50" x14ac:dyDescent="0.25"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7">
        <f t="shared" ca="1" si="19"/>
        <v>4.9026008703962523E-2</v>
      </c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</row>
    <row r="1281" spans="8:50" x14ac:dyDescent="0.25"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7">
        <f t="shared" ca="1" si="19"/>
        <v>8.5210506290272658E-2</v>
      </c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</row>
    <row r="1282" spans="8:50" x14ac:dyDescent="0.25"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7">
        <f t="shared" ca="1" si="19"/>
        <v>0.23028879811467529</v>
      </c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</row>
    <row r="1283" spans="8:50" x14ac:dyDescent="0.25"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7">
        <f t="shared" ca="1" si="19"/>
        <v>0.29567086998086739</v>
      </c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</row>
    <row r="1284" spans="8:50" x14ac:dyDescent="0.25"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7">
        <f t="shared" ca="1" si="19"/>
        <v>0.47359945010552046</v>
      </c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</row>
    <row r="1285" spans="8:50" x14ac:dyDescent="0.25"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7">
        <f t="shared" ca="1" si="19"/>
        <v>0.23673148350878989</v>
      </c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</row>
    <row r="1286" spans="8:50" x14ac:dyDescent="0.25"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7">
        <f t="shared" ref="W1286:W1349" ca="1" si="20">+NORMINV(RAND(),$U$2,$U$3)</f>
        <v>0.11735135395691972</v>
      </c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</row>
    <row r="1287" spans="8:50" x14ac:dyDescent="0.25"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7">
        <f t="shared" ca="1" si="20"/>
        <v>0.21068702107575876</v>
      </c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</row>
    <row r="1288" spans="8:50" x14ac:dyDescent="0.25"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7">
        <f t="shared" ca="1" si="20"/>
        <v>0.31481230909051183</v>
      </c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</row>
    <row r="1289" spans="8:50" x14ac:dyDescent="0.25"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7">
        <f t="shared" ca="1" si="20"/>
        <v>0.2619859235682267</v>
      </c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</row>
    <row r="1290" spans="8:50" x14ac:dyDescent="0.25"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7">
        <f t="shared" ca="1" si="20"/>
        <v>-2.4105056412689438E-2</v>
      </c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</row>
    <row r="1291" spans="8:50" x14ac:dyDescent="0.25"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7">
        <f t="shared" ca="1" si="20"/>
        <v>-9.7859739397385057E-2</v>
      </c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</row>
    <row r="1292" spans="8:50" x14ac:dyDescent="0.25"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7">
        <f t="shared" ca="1" si="20"/>
        <v>0.21553145395321471</v>
      </c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</row>
    <row r="1293" spans="8:50" x14ac:dyDescent="0.25"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7">
        <f t="shared" ca="1" si="20"/>
        <v>0.21260051510091049</v>
      </c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</row>
    <row r="1294" spans="8:50" x14ac:dyDescent="0.25"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7">
        <f t="shared" ca="1" si="20"/>
        <v>0.26799067882057204</v>
      </c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</row>
    <row r="1295" spans="8:50" x14ac:dyDescent="0.25"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7">
        <f t="shared" ca="1" si="20"/>
        <v>0.14400837736355784</v>
      </c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</row>
    <row r="1296" spans="8:50" x14ac:dyDescent="0.25"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7">
        <f t="shared" ca="1" si="20"/>
        <v>0.26232125731359962</v>
      </c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</row>
    <row r="1297" spans="8:50" x14ac:dyDescent="0.25"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7">
        <f t="shared" ca="1" si="20"/>
        <v>0.32381877715010421</v>
      </c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</row>
    <row r="1298" spans="8:50" x14ac:dyDescent="0.25"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7">
        <f t="shared" ca="1" si="20"/>
        <v>-3.0884783810737934E-2</v>
      </c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</row>
    <row r="1299" spans="8:50" x14ac:dyDescent="0.25"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7">
        <f t="shared" ca="1" si="20"/>
        <v>0.3955950605346964</v>
      </c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</row>
    <row r="1300" spans="8:50" x14ac:dyDescent="0.25"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7">
        <f t="shared" ca="1" si="20"/>
        <v>0.12815873267590475</v>
      </c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</row>
    <row r="1301" spans="8:50" x14ac:dyDescent="0.25"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7">
        <f t="shared" ca="1" si="20"/>
        <v>-2.5446840829609033E-2</v>
      </c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</row>
    <row r="1302" spans="8:50" x14ac:dyDescent="0.25"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7">
        <f t="shared" ca="1" si="20"/>
        <v>0.25687733890416148</v>
      </c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</row>
    <row r="1303" spans="8:50" x14ac:dyDescent="0.25"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7">
        <f t="shared" ca="1" si="20"/>
        <v>-0.10754256135441355</v>
      </c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</row>
    <row r="1304" spans="8:50" x14ac:dyDescent="0.25"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7">
        <f t="shared" ca="1" si="20"/>
        <v>3.2478051561721774E-2</v>
      </c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</row>
    <row r="1305" spans="8:50" x14ac:dyDescent="0.25"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7">
        <f t="shared" ca="1" si="20"/>
        <v>-4.7327316829383057E-2</v>
      </c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</row>
    <row r="1306" spans="8:50" x14ac:dyDescent="0.25"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7">
        <f t="shared" ca="1" si="20"/>
        <v>-5.8415557558654199E-2</v>
      </c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</row>
    <row r="1307" spans="8:50" x14ac:dyDescent="0.25"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7">
        <f t="shared" ca="1" si="20"/>
        <v>0.28990172861333469</v>
      </c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</row>
    <row r="1308" spans="8:50" x14ac:dyDescent="0.25"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7">
        <f t="shared" ca="1" si="20"/>
        <v>8.4493782531918971E-2</v>
      </c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</row>
    <row r="1309" spans="8:50" x14ac:dyDescent="0.25"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7">
        <f t="shared" ca="1" si="20"/>
        <v>8.696923722525772E-2</v>
      </c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</row>
    <row r="1310" spans="8:50" x14ac:dyDescent="0.25"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7">
        <f t="shared" ca="1" si="20"/>
        <v>0.16947621575110769</v>
      </c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</row>
    <row r="1311" spans="8:50" x14ac:dyDescent="0.25"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7">
        <f t="shared" ca="1" si="20"/>
        <v>0.25089519204445787</v>
      </c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</row>
    <row r="1312" spans="8:50" x14ac:dyDescent="0.25"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7">
        <f t="shared" ca="1" si="20"/>
        <v>-0.24153529110126293</v>
      </c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</row>
    <row r="1313" spans="8:50" x14ac:dyDescent="0.25"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7">
        <f t="shared" ca="1" si="20"/>
        <v>0.1805494063578244</v>
      </c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</row>
    <row r="1314" spans="8:50" x14ac:dyDescent="0.25"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7">
        <f t="shared" ca="1" si="20"/>
        <v>0.38363757634130546</v>
      </c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</row>
    <row r="1315" spans="8:50" x14ac:dyDescent="0.25"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7">
        <f t="shared" ca="1" si="20"/>
        <v>0.29032000289850668</v>
      </c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</row>
    <row r="1316" spans="8:50" x14ac:dyDescent="0.25"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7">
        <f t="shared" ca="1" si="20"/>
        <v>0.31627070623833192</v>
      </c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</row>
    <row r="1317" spans="8:50" x14ac:dyDescent="0.25"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7">
        <f t="shared" ca="1" si="20"/>
        <v>0.11387797076624002</v>
      </c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</row>
    <row r="1318" spans="8:50" x14ac:dyDescent="0.25"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7">
        <f t="shared" ca="1" si="20"/>
        <v>0.10837592205701203</v>
      </c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</row>
    <row r="1319" spans="8:50" x14ac:dyDescent="0.25"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7">
        <f t="shared" ca="1" si="20"/>
        <v>7.9641324168638422E-2</v>
      </c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</row>
    <row r="1320" spans="8:50" x14ac:dyDescent="0.25"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7">
        <f t="shared" ca="1" si="20"/>
        <v>-4.7505100336913811E-2</v>
      </c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</row>
    <row r="1321" spans="8:50" x14ac:dyDescent="0.25"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7">
        <f t="shared" ca="1" si="20"/>
        <v>-6.0999849473638831E-2</v>
      </c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</row>
    <row r="1322" spans="8:50" x14ac:dyDescent="0.25"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7">
        <f t="shared" ca="1" si="20"/>
        <v>0.25637691224343528</v>
      </c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</row>
    <row r="1323" spans="8:50" x14ac:dyDescent="0.25"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7">
        <f t="shared" ca="1" si="20"/>
        <v>0.20542253782363618</v>
      </c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</row>
    <row r="1324" spans="8:50" x14ac:dyDescent="0.25"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7">
        <f t="shared" ca="1" si="20"/>
        <v>0.26021497470317301</v>
      </c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</row>
    <row r="1325" spans="8:50" x14ac:dyDescent="0.25"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7">
        <f t="shared" ca="1" si="20"/>
        <v>0.23651697814930897</v>
      </c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</row>
    <row r="1326" spans="8:50" x14ac:dyDescent="0.25"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7">
        <f t="shared" ca="1" si="20"/>
        <v>0.13562070021865102</v>
      </c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</row>
    <row r="1327" spans="8:50" x14ac:dyDescent="0.25"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7">
        <f t="shared" ca="1" si="20"/>
        <v>-5.7850275932623305E-2</v>
      </c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</row>
    <row r="1328" spans="8:50" x14ac:dyDescent="0.25"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7">
        <f t="shared" ca="1" si="20"/>
        <v>0.19276848826201282</v>
      </c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</row>
    <row r="1329" spans="8:50" x14ac:dyDescent="0.25"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7">
        <f t="shared" ca="1" si="20"/>
        <v>3.6507108102127442E-2</v>
      </c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</row>
    <row r="1330" spans="8:50" x14ac:dyDescent="0.25"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7">
        <f t="shared" ca="1" si="20"/>
        <v>3.5031086210154078E-2</v>
      </c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</row>
    <row r="1331" spans="8:50" x14ac:dyDescent="0.25"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7">
        <f t="shared" ca="1" si="20"/>
        <v>0.10762270641780715</v>
      </c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</row>
    <row r="1332" spans="8:50" x14ac:dyDescent="0.25"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7">
        <f t="shared" ca="1" si="20"/>
        <v>0.30477443205220117</v>
      </c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</row>
    <row r="1333" spans="8:50" x14ac:dyDescent="0.25"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7">
        <f t="shared" ca="1" si="20"/>
        <v>-0.31182752727641544</v>
      </c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</row>
    <row r="1334" spans="8:50" x14ac:dyDescent="0.25"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7">
        <f t="shared" ca="1" si="20"/>
        <v>0.17916119765678273</v>
      </c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</row>
    <row r="1335" spans="8:50" x14ac:dyDescent="0.25"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7">
        <f t="shared" ca="1" si="20"/>
        <v>-2.5724502413805514E-2</v>
      </c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</row>
    <row r="1336" spans="8:50" x14ac:dyDescent="0.25"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7">
        <f t="shared" ca="1" si="20"/>
        <v>-0.20139966939276394</v>
      </c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</row>
    <row r="1337" spans="8:50" x14ac:dyDescent="0.25"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7">
        <f t="shared" ca="1" si="20"/>
        <v>0.25996354862715204</v>
      </c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</row>
    <row r="1338" spans="8:50" x14ac:dyDescent="0.25"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7">
        <f t="shared" ca="1" si="20"/>
        <v>0.10024324791623333</v>
      </c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</row>
    <row r="1339" spans="8:50" x14ac:dyDescent="0.25"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7">
        <f t="shared" ca="1" si="20"/>
        <v>-2.7829551888043078E-2</v>
      </c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</row>
    <row r="1340" spans="8:50" x14ac:dyDescent="0.25"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7">
        <f t="shared" ca="1" si="20"/>
        <v>-0.1119037122124822</v>
      </c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</row>
    <row r="1341" spans="8:50" x14ac:dyDescent="0.25"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7">
        <f t="shared" ca="1" si="20"/>
        <v>3.4268604926382951E-2</v>
      </c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</row>
    <row r="1342" spans="8:50" x14ac:dyDescent="0.25"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7">
        <f t="shared" ca="1" si="20"/>
        <v>4.2568720709816307E-2</v>
      </c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</row>
    <row r="1343" spans="8:50" x14ac:dyDescent="0.25"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7">
        <f t="shared" ca="1" si="20"/>
        <v>0.17577926535266195</v>
      </c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</row>
    <row r="1344" spans="8:50" x14ac:dyDescent="0.25"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7">
        <f t="shared" ca="1" si="20"/>
        <v>0.21342406555980081</v>
      </c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</row>
    <row r="1345" spans="8:50" x14ac:dyDescent="0.25"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7">
        <f t="shared" ca="1" si="20"/>
        <v>0.12648697539812689</v>
      </c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</row>
    <row r="1346" spans="8:50" x14ac:dyDescent="0.25"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7">
        <f t="shared" ca="1" si="20"/>
        <v>0.3081206694353279</v>
      </c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</row>
    <row r="1347" spans="8:50" x14ac:dyDescent="0.25"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7">
        <f t="shared" ca="1" si="20"/>
        <v>0.42245259579713518</v>
      </c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</row>
    <row r="1348" spans="8:50" x14ac:dyDescent="0.25"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7">
        <f t="shared" ca="1" si="20"/>
        <v>0.15952008727224543</v>
      </c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</row>
    <row r="1349" spans="8:50" x14ac:dyDescent="0.25"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7">
        <f t="shared" ca="1" si="20"/>
        <v>7.9728331838678335E-2</v>
      </c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</row>
    <row r="1350" spans="8:50" x14ac:dyDescent="0.25"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7">
        <f t="shared" ref="W1350:W1413" ca="1" si="21">+NORMINV(RAND(),$U$2,$U$3)</f>
        <v>0.11625101344565199</v>
      </c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</row>
    <row r="1351" spans="8:50" x14ac:dyDescent="0.25"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7">
        <f t="shared" ca="1" si="21"/>
        <v>5.587626450406423E-2</v>
      </c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</row>
    <row r="1352" spans="8:50" x14ac:dyDescent="0.25"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7">
        <f t="shared" ca="1" si="21"/>
        <v>-2.6603455854257066E-2</v>
      </c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</row>
    <row r="1353" spans="8:50" x14ac:dyDescent="0.25"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7">
        <f t="shared" ca="1" si="21"/>
        <v>-3.8677338098516742E-2</v>
      </c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</row>
    <row r="1354" spans="8:50" x14ac:dyDescent="0.25"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7">
        <f t="shared" ca="1" si="21"/>
        <v>0.15155628134844329</v>
      </c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</row>
    <row r="1355" spans="8:50" x14ac:dyDescent="0.25"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7">
        <f t="shared" ca="1" si="21"/>
        <v>0.36284084242274733</v>
      </c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</row>
    <row r="1356" spans="8:50" x14ac:dyDescent="0.25"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7">
        <f t="shared" ca="1" si="21"/>
        <v>3.393368549978544E-2</v>
      </c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</row>
    <row r="1357" spans="8:50" x14ac:dyDescent="0.25"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7">
        <f t="shared" ca="1" si="21"/>
        <v>2.5877332522756438E-2</v>
      </c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</row>
    <row r="1358" spans="8:50" x14ac:dyDescent="0.25"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7">
        <f t="shared" ca="1" si="21"/>
        <v>3.2216014884340186E-2</v>
      </c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</row>
    <row r="1359" spans="8:50" x14ac:dyDescent="0.25"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7">
        <f t="shared" ca="1" si="21"/>
        <v>0.25050756849232397</v>
      </c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</row>
    <row r="1360" spans="8:50" x14ac:dyDescent="0.25"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7">
        <f t="shared" ca="1" si="21"/>
        <v>0.3301234016880889</v>
      </c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</row>
    <row r="1361" spans="8:50" x14ac:dyDescent="0.25"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7">
        <f t="shared" ca="1" si="21"/>
        <v>0.11640948084723762</v>
      </c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</row>
    <row r="1362" spans="8:50" x14ac:dyDescent="0.25"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7">
        <f t="shared" ca="1" si="21"/>
        <v>-2.7309715736999959E-2</v>
      </c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</row>
    <row r="1363" spans="8:50" x14ac:dyDescent="0.25"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7">
        <f t="shared" ca="1" si="21"/>
        <v>0.30181143354610057</v>
      </c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</row>
    <row r="1364" spans="8:50" x14ac:dyDescent="0.25"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7">
        <f t="shared" ca="1" si="21"/>
        <v>0.26554010297332181</v>
      </c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</row>
    <row r="1365" spans="8:50" x14ac:dyDescent="0.25"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7">
        <f t="shared" ca="1" si="21"/>
        <v>0.15458812617427165</v>
      </c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</row>
    <row r="1366" spans="8:50" x14ac:dyDescent="0.25"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7">
        <f t="shared" ca="1" si="21"/>
        <v>0.37962855058550354</v>
      </c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</row>
    <row r="1367" spans="8:50" x14ac:dyDescent="0.25"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7">
        <f t="shared" ca="1" si="21"/>
        <v>0.21367965590234395</v>
      </c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</row>
    <row r="1368" spans="8:50" x14ac:dyDescent="0.25"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7">
        <f t="shared" ca="1" si="21"/>
        <v>-0.10039263916013953</v>
      </c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</row>
    <row r="1369" spans="8:50" x14ac:dyDescent="0.25"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7">
        <f t="shared" ca="1" si="21"/>
        <v>-5.6307838521087131E-2</v>
      </c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</row>
    <row r="1370" spans="8:50" x14ac:dyDescent="0.25"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7">
        <f t="shared" ca="1" si="21"/>
        <v>0.24830429654306296</v>
      </c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</row>
    <row r="1371" spans="8:50" x14ac:dyDescent="0.25"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7">
        <f t="shared" ca="1" si="21"/>
        <v>0.20342440543203422</v>
      </c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</row>
    <row r="1372" spans="8:50" x14ac:dyDescent="0.25"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7">
        <f t="shared" ca="1" si="21"/>
        <v>8.2642545795921091E-2</v>
      </c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</row>
    <row r="1373" spans="8:50" x14ac:dyDescent="0.25"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7">
        <f t="shared" ca="1" si="21"/>
        <v>5.9139519021254652E-2</v>
      </c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</row>
    <row r="1374" spans="8:50" x14ac:dyDescent="0.25"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7">
        <f t="shared" ca="1" si="21"/>
        <v>0.21162342852746241</v>
      </c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</row>
    <row r="1375" spans="8:50" x14ac:dyDescent="0.25"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7">
        <f t="shared" ca="1" si="21"/>
        <v>9.5177151065306276E-2</v>
      </c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</row>
    <row r="1376" spans="8:50" x14ac:dyDescent="0.25"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7">
        <f t="shared" ca="1" si="21"/>
        <v>3.38658835472197E-2</v>
      </c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</row>
    <row r="1377" spans="8:50" x14ac:dyDescent="0.25"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7">
        <f t="shared" ca="1" si="21"/>
        <v>0.14062700868645064</v>
      </c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</row>
    <row r="1378" spans="8:50" x14ac:dyDescent="0.25"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7">
        <f t="shared" ca="1" si="21"/>
        <v>0.18491563761512272</v>
      </c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</row>
    <row r="1379" spans="8:50" x14ac:dyDescent="0.25"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7">
        <f t="shared" ca="1" si="21"/>
        <v>0.10180529573873269</v>
      </c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</row>
    <row r="1380" spans="8:50" x14ac:dyDescent="0.25"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7">
        <f t="shared" ca="1" si="21"/>
        <v>0.45405635692898039</v>
      </c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</row>
    <row r="1381" spans="8:50" x14ac:dyDescent="0.25"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7">
        <f t="shared" ca="1" si="21"/>
        <v>-1.2664164237607564E-2</v>
      </c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</row>
    <row r="1382" spans="8:50" x14ac:dyDescent="0.25"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7">
        <f t="shared" ca="1" si="21"/>
        <v>-7.7459373270377538E-2</v>
      </c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</row>
    <row r="1383" spans="8:50" x14ac:dyDescent="0.25"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7">
        <f t="shared" ca="1" si="21"/>
        <v>0.2829702108916457</v>
      </c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</row>
    <row r="1384" spans="8:50" x14ac:dyDescent="0.25"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7">
        <f t="shared" ca="1" si="21"/>
        <v>-0.11178251166471599</v>
      </c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</row>
    <row r="1385" spans="8:50" x14ac:dyDescent="0.25"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7">
        <f t="shared" ca="1" si="21"/>
        <v>0.22612709245227519</v>
      </c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</row>
    <row r="1386" spans="8:50" x14ac:dyDescent="0.25"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7">
        <f t="shared" ca="1" si="21"/>
        <v>0.43291023975938553</v>
      </c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</row>
    <row r="1387" spans="8:50" x14ac:dyDescent="0.25"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7">
        <f t="shared" ca="1" si="21"/>
        <v>-8.2016693808798738E-2</v>
      </c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</row>
    <row r="1388" spans="8:50" x14ac:dyDescent="0.25"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7">
        <f t="shared" ca="1" si="21"/>
        <v>0.17675761381839145</v>
      </c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</row>
    <row r="1389" spans="8:50" x14ac:dyDescent="0.25"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7">
        <f t="shared" ca="1" si="21"/>
        <v>0.20407570333674721</v>
      </c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</row>
    <row r="1390" spans="8:50" x14ac:dyDescent="0.25"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7">
        <f t="shared" ca="1" si="21"/>
        <v>0.4147074335504452</v>
      </c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</row>
    <row r="1391" spans="8:50" x14ac:dyDescent="0.25"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7">
        <f t="shared" ca="1" si="21"/>
        <v>0.28060748235084876</v>
      </c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</row>
    <row r="1392" spans="8:50" x14ac:dyDescent="0.25"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7">
        <f t="shared" ca="1" si="21"/>
        <v>0.24367432056801869</v>
      </c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</row>
    <row r="1393" spans="8:50" x14ac:dyDescent="0.25"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7">
        <f t="shared" ca="1" si="21"/>
        <v>-5.0501598258971547E-3</v>
      </c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</row>
    <row r="1394" spans="8:50" x14ac:dyDescent="0.25"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7">
        <f t="shared" ca="1" si="21"/>
        <v>0.31280449028475465</v>
      </c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</row>
    <row r="1395" spans="8:50" x14ac:dyDescent="0.25"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7">
        <f t="shared" ca="1" si="21"/>
        <v>0.13939412570751353</v>
      </c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</row>
    <row r="1396" spans="8:50" x14ac:dyDescent="0.25"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7">
        <f t="shared" ca="1" si="21"/>
        <v>0.14862310846728641</v>
      </c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</row>
    <row r="1397" spans="8:50" x14ac:dyDescent="0.25"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7">
        <f t="shared" ca="1" si="21"/>
        <v>0.16903846307537457</v>
      </c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</row>
    <row r="1398" spans="8:50" x14ac:dyDescent="0.25"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7">
        <f t="shared" ca="1" si="21"/>
        <v>0.49817684954931912</v>
      </c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</row>
    <row r="1399" spans="8:50" x14ac:dyDescent="0.25"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7">
        <f t="shared" ca="1" si="21"/>
        <v>-5.4351947163467709E-2</v>
      </c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</row>
    <row r="1400" spans="8:50" x14ac:dyDescent="0.25"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7">
        <f t="shared" ca="1" si="21"/>
        <v>0.22687010171719563</v>
      </c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</row>
    <row r="1401" spans="8:50" x14ac:dyDescent="0.25"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7">
        <f t="shared" ca="1" si="21"/>
        <v>0.20023743886814338</v>
      </c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</row>
    <row r="1402" spans="8:50" x14ac:dyDescent="0.25"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7">
        <f t="shared" ca="1" si="21"/>
        <v>0.17944370331031073</v>
      </c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</row>
    <row r="1403" spans="8:50" x14ac:dyDescent="0.25"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7">
        <f t="shared" ca="1" si="21"/>
        <v>9.9380693758152061E-3</v>
      </c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</row>
    <row r="1404" spans="8:50" x14ac:dyDescent="0.25"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7">
        <f t="shared" ca="1" si="21"/>
        <v>-4.0759217207192541E-2</v>
      </c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</row>
    <row r="1405" spans="8:50" x14ac:dyDescent="0.25"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7">
        <f t="shared" ca="1" si="21"/>
        <v>0.38114980274124177</v>
      </c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</row>
    <row r="1406" spans="8:50" x14ac:dyDescent="0.25"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7">
        <f t="shared" ca="1" si="21"/>
        <v>0.33603595066202885</v>
      </c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</row>
    <row r="1407" spans="8:50" x14ac:dyDescent="0.25"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7">
        <f t="shared" ca="1" si="21"/>
        <v>1.4474269190070471E-2</v>
      </c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</row>
    <row r="1408" spans="8:50" x14ac:dyDescent="0.25"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7">
        <f t="shared" ca="1" si="21"/>
        <v>-3.1688902162284052E-2</v>
      </c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</row>
    <row r="1409" spans="8:50" x14ac:dyDescent="0.25"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7">
        <f t="shared" ca="1" si="21"/>
        <v>-6.7402575761367212E-3</v>
      </c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</row>
    <row r="1410" spans="8:50" x14ac:dyDescent="0.25"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7">
        <f t="shared" ca="1" si="21"/>
        <v>0.30183190114657948</v>
      </c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</row>
    <row r="1411" spans="8:50" x14ac:dyDescent="0.25"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7">
        <f t="shared" ca="1" si="21"/>
        <v>-0.12446279664383382</v>
      </c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</row>
    <row r="1412" spans="8:50" x14ac:dyDescent="0.25"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7">
        <f t="shared" ca="1" si="21"/>
        <v>0.34228575358158403</v>
      </c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</row>
    <row r="1413" spans="8:50" x14ac:dyDescent="0.25"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7">
        <f t="shared" ca="1" si="21"/>
        <v>0.11462782513344609</v>
      </c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</row>
    <row r="1414" spans="8:50" x14ac:dyDescent="0.25"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7">
        <f t="shared" ref="W1414:W1477" ca="1" si="22">+NORMINV(RAND(),$U$2,$U$3)</f>
        <v>-0.18365370766895212</v>
      </c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</row>
    <row r="1415" spans="8:50" x14ac:dyDescent="0.25"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7">
        <f t="shared" ca="1" si="22"/>
        <v>0.40249179607683566</v>
      </c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</row>
    <row r="1416" spans="8:50" x14ac:dyDescent="0.25"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7">
        <f t="shared" ca="1" si="22"/>
        <v>0.4486016001776042</v>
      </c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</row>
    <row r="1417" spans="8:50" x14ac:dyDescent="0.25"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7">
        <f t="shared" ca="1" si="22"/>
        <v>1.9728526054883913E-2</v>
      </c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</row>
    <row r="1418" spans="8:50" x14ac:dyDescent="0.25"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7">
        <f t="shared" ca="1" si="22"/>
        <v>0.46730931499821604</v>
      </c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</row>
    <row r="1419" spans="8:50" x14ac:dyDescent="0.25"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7">
        <f t="shared" ca="1" si="22"/>
        <v>0.14777208626528607</v>
      </c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</row>
    <row r="1420" spans="8:50" x14ac:dyDescent="0.25"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7">
        <f t="shared" ca="1" si="22"/>
        <v>0.26109412387603814</v>
      </c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</row>
    <row r="1421" spans="8:50" x14ac:dyDescent="0.25"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7">
        <f t="shared" ca="1" si="22"/>
        <v>0.48845590579935932</v>
      </c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</row>
    <row r="1422" spans="8:50" x14ac:dyDescent="0.25"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7">
        <f t="shared" ca="1" si="22"/>
        <v>5.7764725594469643E-2</v>
      </c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</row>
    <row r="1423" spans="8:50" x14ac:dyDescent="0.25"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7">
        <f t="shared" ca="1" si="22"/>
        <v>0.10632446055182082</v>
      </c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</row>
    <row r="1424" spans="8:50" x14ac:dyDescent="0.25"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7">
        <f t="shared" ca="1" si="22"/>
        <v>0.21597855607718985</v>
      </c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</row>
    <row r="1425" spans="8:50" x14ac:dyDescent="0.25"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7">
        <f t="shared" ca="1" si="22"/>
        <v>0.28356920597309604</v>
      </c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</row>
    <row r="1426" spans="8:50" x14ac:dyDescent="0.25"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7">
        <f t="shared" ca="1" si="22"/>
        <v>5.5394491444803427E-2</v>
      </c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</row>
    <row r="1427" spans="8:50" x14ac:dyDescent="0.25"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7">
        <f t="shared" ca="1" si="22"/>
        <v>0.30723563202029036</v>
      </c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</row>
    <row r="1428" spans="8:50" x14ac:dyDescent="0.25"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7">
        <f t="shared" ca="1" si="22"/>
        <v>9.675733987684941E-2</v>
      </c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</row>
    <row r="1429" spans="8:50" x14ac:dyDescent="0.25"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7">
        <f t="shared" ca="1" si="22"/>
        <v>0.18641967454171163</v>
      </c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</row>
    <row r="1430" spans="8:50" x14ac:dyDescent="0.25"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7">
        <f t="shared" ca="1" si="22"/>
        <v>-0.19980357635830753</v>
      </c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</row>
    <row r="1431" spans="8:50" x14ac:dyDescent="0.25"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7">
        <f t="shared" ca="1" si="22"/>
        <v>-5.1552983247663317E-2</v>
      </c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</row>
    <row r="1432" spans="8:50" x14ac:dyDescent="0.25"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7">
        <f t="shared" ca="1" si="22"/>
        <v>0.23598574076730172</v>
      </c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</row>
    <row r="1433" spans="8:50" x14ac:dyDescent="0.25"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7">
        <f t="shared" ca="1" si="22"/>
        <v>0.15255791612713429</v>
      </c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</row>
    <row r="1434" spans="8:50" x14ac:dyDescent="0.25"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7">
        <f t="shared" ca="1" si="22"/>
        <v>0.35324050075125535</v>
      </c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</row>
    <row r="1435" spans="8:50" x14ac:dyDescent="0.25"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7">
        <f t="shared" ca="1" si="22"/>
        <v>0.29042519148881912</v>
      </c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</row>
    <row r="1436" spans="8:50" x14ac:dyDescent="0.25"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7">
        <f t="shared" ca="1" si="22"/>
        <v>-3.6435151542817221E-2</v>
      </c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</row>
    <row r="1437" spans="8:50" x14ac:dyDescent="0.25"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7">
        <f t="shared" ca="1" si="22"/>
        <v>0.21013516136731608</v>
      </c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</row>
    <row r="1438" spans="8:50" x14ac:dyDescent="0.25"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7">
        <f t="shared" ca="1" si="22"/>
        <v>-0.17191691774166906</v>
      </c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</row>
    <row r="1439" spans="8:50" x14ac:dyDescent="0.25"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7">
        <f t="shared" ca="1" si="22"/>
        <v>-2.9791589360802354E-2</v>
      </c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</row>
    <row r="1440" spans="8:50" x14ac:dyDescent="0.25"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7">
        <f t="shared" ca="1" si="22"/>
        <v>-6.8116367442113676E-2</v>
      </c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</row>
    <row r="1441" spans="8:50" x14ac:dyDescent="0.25"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7">
        <f t="shared" ca="1" si="22"/>
        <v>0.18159007063569799</v>
      </c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</row>
    <row r="1442" spans="8:50" x14ac:dyDescent="0.25"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7">
        <f t="shared" ca="1" si="22"/>
        <v>0.23139154265878448</v>
      </c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</row>
    <row r="1443" spans="8:50" x14ac:dyDescent="0.25"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7">
        <f t="shared" ca="1" si="22"/>
        <v>0.27997770804868849</v>
      </c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</row>
    <row r="1444" spans="8:50" x14ac:dyDescent="0.25"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7">
        <f t="shared" ca="1" si="22"/>
        <v>-0.1321792873164564</v>
      </c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</row>
    <row r="1445" spans="8:50" x14ac:dyDescent="0.25"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7">
        <f t="shared" ca="1" si="22"/>
        <v>8.3661483101974049E-2</v>
      </c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</row>
    <row r="1446" spans="8:50" x14ac:dyDescent="0.25"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7">
        <f t="shared" ca="1" si="22"/>
        <v>0.27265637510810647</v>
      </c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</row>
    <row r="1447" spans="8:50" x14ac:dyDescent="0.25"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7">
        <f t="shared" ca="1" si="22"/>
        <v>0.35423994326752156</v>
      </c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</row>
    <row r="1448" spans="8:50" x14ac:dyDescent="0.25"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7">
        <f t="shared" ca="1" si="22"/>
        <v>0.18252083003553971</v>
      </c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</row>
    <row r="1449" spans="8:50" x14ac:dyDescent="0.25"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7">
        <f t="shared" ca="1" si="22"/>
        <v>-0.24484264681102119</v>
      </c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</row>
    <row r="1450" spans="8:50" x14ac:dyDescent="0.25"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7">
        <f t="shared" ca="1" si="22"/>
        <v>0.16242942294049406</v>
      </c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</row>
    <row r="1451" spans="8:50" x14ac:dyDescent="0.25"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7">
        <f t="shared" ca="1" si="22"/>
        <v>6.8655609910758447E-2</v>
      </c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</row>
    <row r="1452" spans="8:50" x14ac:dyDescent="0.25"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7">
        <f t="shared" ca="1" si="22"/>
        <v>0.19288331154001825</v>
      </c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</row>
    <row r="1453" spans="8:50" x14ac:dyDescent="0.25"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7">
        <f t="shared" ca="1" si="22"/>
        <v>6.1475916754970508E-2</v>
      </c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</row>
    <row r="1454" spans="8:50" x14ac:dyDescent="0.25"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7">
        <f t="shared" ca="1" si="22"/>
        <v>2.5623478500673508E-2</v>
      </c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</row>
    <row r="1455" spans="8:50" x14ac:dyDescent="0.25"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7">
        <f t="shared" ca="1" si="22"/>
        <v>0.33609535469806229</v>
      </c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</row>
    <row r="1456" spans="8:50" x14ac:dyDescent="0.25"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7">
        <f t="shared" ca="1" si="22"/>
        <v>3.7828469406443008E-2</v>
      </c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</row>
    <row r="1457" spans="8:50" x14ac:dyDescent="0.25"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7">
        <f t="shared" ca="1" si="22"/>
        <v>3.2447253932253325E-2</v>
      </c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</row>
    <row r="1458" spans="8:50" x14ac:dyDescent="0.25"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7">
        <f t="shared" ca="1" si="22"/>
        <v>0.20660240892750414</v>
      </c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</row>
    <row r="1459" spans="8:50" x14ac:dyDescent="0.25"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7">
        <f t="shared" ca="1" si="22"/>
        <v>-1.5110181678443385E-3</v>
      </c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</row>
    <row r="1460" spans="8:50" x14ac:dyDescent="0.25"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7">
        <f t="shared" ca="1" si="22"/>
        <v>0.39650722899489649</v>
      </c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</row>
    <row r="1461" spans="8:50" x14ac:dyDescent="0.25"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7">
        <f t="shared" ca="1" si="22"/>
        <v>0.17327683196729671</v>
      </c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</row>
    <row r="1462" spans="8:50" x14ac:dyDescent="0.25"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7">
        <f t="shared" ca="1" si="22"/>
        <v>-5.4900034586820023E-3</v>
      </c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</row>
    <row r="1463" spans="8:50" x14ac:dyDescent="0.25"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7">
        <f t="shared" ca="1" si="22"/>
        <v>0.26304664987220799</v>
      </c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</row>
    <row r="1464" spans="8:50" x14ac:dyDescent="0.25"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7">
        <f t="shared" ca="1" si="22"/>
        <v>9.7238860941579186E-3</v>
      </c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</row>
    <row r="1465" spans="8:50" x14ac:dyDescent="0.25"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7">
        <f t="shared" ca="1" si="22"/>
        <v>-2.9478795960857548E-2</v>
      </c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</row>
    <row r="1466" spans="8:50" x14ac:dyDescent="0.25"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7">
        <f t="shared" ca="1" si="22"/>
        <v>0.19977753815821575</v>
      </c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</row>
    <row r="1467" spans="8:50" x14ac:dyDescent="0.25"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7">
        <f t="shared" ca="1" si="22"/>
        <v>-1.0551444344546621E-2</v>
      </c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</row>
    <row r="1468" spans="8:50" x14ac:dyDescent="0.25"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7">
        <f t="shared" ca="1" si="22"/>
        <v>3.833209265946981E-2</v>
      </c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</row>
    <row r="1469" spans="8:50" x14ac:dyDescent="0.25"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7">
        <f t="shared" ca="1" si="22"/>
        <v>8.5507527250421669E-2</v>
      </c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</row>
    <row r="1470" spans="8:50" x14ac:dyDescent="0.25"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7">
        <f t="shared" ca="1" si="22"/>
        <v>0.18670219031505575</v>
      </c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</row>
    <row r="1471" spans="8:50" x14ac:dyDescent="0.25"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7">
        <f t="shared" ca="1" si="22"/>
        <v>-4.3398764698634948E-2</v>
      </c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</row>
    <row r="1472" spans="8:50" x14ac:dyDescent="0.25"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7">
        <f t="shared" ca="1" si="22"/>
        <v>0.19013977783558561</v>
      </c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</row>
    <row r="1473" spans="8:50" x14ac:dyDescent="0.25"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7">
        <f t="shared" ca="1" si="22"/>
        <v>0.37655240855992561</v>
      </c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</row>
    <row r="1474" spans="8:50" x14ac:dyDescent="0.25"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7">
        <f t="shared" ca="1" si="22"/>
        <v>-7.9304466008635624E-2</v>
      </c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</row>
    <row r="1475" spans="8:50" x14ac:dyDescent="0.25"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7">
        <f t="shared" ca="1" si="22"/>
        <v>0.28677260333426607</v>
      </c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</row>
    <row r="1476" spans="8:50" x14ac:dyDescent="0.25"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7">
        <f t="shared" ca="1" si="22"/>
        <v>0.2398406437207844</v>
      </c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</row>
    <row r="1477" spans="8:50" x14ac:dyDescent="0.25"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7">
        <f t="shared" ca="1" si="22"/>
        <v>1.1675094316982507E-2</v>
      </c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</row>
    <row r="1478" spans="8:50" x14ac:dyDescent="0.25"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7">
        <f t="shared" ref="W1478:W1516" ca="1" si="23">+NORMINV(RAND(),$U$2,$U$3)</f>
        <v>0.21491373445320375</v>
      </c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</row>
    <row r="1479" spans="8:50" x14ac:dyDescent="0.25"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7">
        <f t="shared" ca="1" si="23"/>
        <v>-3.8023618784074134E-2</v>
      </c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</row>
    <row r="1480" spans="8:50" x14ac:dyDescent="0.25"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7">
        <f t="shared" ca="1" si="23"/>
        <v>-7.1863107134942372E-4</v>
      </c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</row>
    <row r="1481" spans="8:50" x14ac:dyDescent="0.25"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7">
        <f t="shared" ca="1" si="23"/>
        <v>-0.12865011974784868</v>
      </c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</row>
    <row r="1482" spans="8:50" x14ac:dyDescent="0.25"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7">
        <f t="shared" ca="1" si="23"/>
        <v>-9.5693489923048672E-2</v>
      </c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</row>
    <row r="1483" spans="8:50" x14ac:dyDescent="0.25"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7">
        <f t="shared" ca="1" si="23"/>
        <v>0.39104456449077452</v>
      </c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</row>
    <row r="1484" spans="8:50" x14ac:dyDescent="0.25"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7">
        <f t="shared" ca="1" si="23"/>
        <v>8.5813887602194605E-2</v>
      </c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</row>
    <row r="1485" spans="8:50" x14ac:dyDescent="0.25"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7">
        <f t="shared" ca="1" si="23"/>
        <v>-0.20448375605348412</v>
      </c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</row>
    <row r="1486" spans="8:50" x14ac:dyDescent="0.25"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7">
        <f t="shared" ca="1" si="23"/>
        <v>0.16107079848308098</v>
      </c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</row>
    <row r="1487" spans="8:50" x14ac:dyDescent="0.25"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7">
        <f t="shared" ca="1" si="23"/>
        <v>0.2730858495911907</v>
      </c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</row>
    <row r="1488" spans="8:50" x14ac:dyDescent="0.25"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7">
        <f t="shared" ca="1" si="23"/>
        <v>0.29526718720499173</v>
      </c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</row>
    <row r="1489" spans="8:50" x14ac:dyDescent="0.25"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7">
        <f t="shared" ca="1" si="23"/>
        <v>-4.80101558391062E-3</v>
      </c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</row>
    <row r="1490" spans="8:50" x14ac:dyDescent="0.25"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7">
        <f t="shared" ca="1" si="23"/>
        <v>-1.0138850433623017E-2</v>
      </c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</row>
    <row r="1491" spans="8:50" x14ac:dyDescent="0.25"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7">
        <f t="shared" ca="1" si="23"/>
        <v>0.13614036734439083</v>
      </c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</row>
    <row r="1492" spans="8:50" x14ac:dyDescent="0.25"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7">
        <f t="shared" ca="1" si="23"/>
        <v>3.7122359894176199E-2</v>
      </c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</row>
    <row r="1493" spans="8:50" x14ac:dyDescent="0.25"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7">
        <f t="shared" ca="1" si="23"/>
        <v>-5.1559082183939745E-2</v>
      </c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</row>
    <row r="1494" spans="8:50" x14ac:dyDescent="0.25"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7">
        <f t="shared" ca="1" si="23"/>
        <v>5.2430391556527185E-2</v>
      </c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</row>
    <row r="1495" spans="8:50" x14ac:dyDescent="0.25"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7">
        <f t="shared" ca="1" si="23"/>
        <v>-0.11856900949199996</v>
      </c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</row>
    <row r="1496" spans="8:50" x14ac:dyDescent="0.25"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7">
        <f t="shared" ca="1" si="23"/>
        <v>3.3545189304960671E-2</v>
      </c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</row>
    <row r="1497" spans="8:50" x14ac:dyDescent="0.25"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7">
        <f t="shared" ca="1" si="23"/>
        <v>0.25644193279397753</v>
      </c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</row>
    <row r="1498" spans="8:50" x14ac:dyDescent="0.25"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7">
        <f t="shared" ca="1" si="23"/>
        <v>0.22714018486879461</v>
      </c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</row>
    <row r="1499" spans="8:50" x14ac:dyDescent="0.25"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7">
        <f t="shared" ca="1" si="23"/>
        <v>1.0152748637881778E-2</v>
      </c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</row>
    <row r="1500" spans="8:50" x14ac:dyDescent="0.25"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7">
        <f t="shared" ca="1" si="23"/>
        <v>2.0998680054301777E-2</v>
      </c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</row>
    <row r="1501" spans="8:50" x14ac:dyDescent="0.25"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7">
        <f t="shared" ca="1" si="23"/>
        <v>0.25947689797385792</v>
      </c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</row>
    <row r="1502" spans="8:50" x14ac:dyDescent="0.25"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7">
        <f t="shared" ca="1" si="23"/>
        <v>0.14230589715335601</v>
      </c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</row>
    <row r="1503" spans="8:50" x14ac:dyDescent="0.25"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7">
        <f t="shared" ca="1" si="23"/>
        <v>0.13824613242501615</v>
      </c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</row>
    <row r="1504" spans="8:50" x14ac:dyDescent="0.25"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7">
        <f t="shared" ca="1" si="23"/>
        <v>0.22297277693121886</v>
      </c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</row>
    <row r="1505" spans="8:50" x14ac:dyDescent="0.25"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7">
        <f t="shared" ca="1" si="23"/>
        <v>0.2059158078454251</v>
      </c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</row>
    <row r="1506" spans="8:50" x14ac:dyDescent="0.25"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7">
        <f t="shared" ca="1" si="23"/>
        <v>8.2932378040029828E-2</v>
      </c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</row>
    <row r="1507" spans="8:50" x14ac:dyDescent="0.25"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7">
        <f t="shared" ca="1" si="23"/>
        <v>-1.9498141890583465E-3</v>
      </c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</row>
    <row r="1508" spans="8:50" x14ac:dyDescent="0.25"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7">
        <f t="shared" ca="1" si="23"/>
        <v>0.18466377813955259</v>
      </c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</row>
    <row r="1509" spans="8:50" x14ac:dyDescent="0.25"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7">
        <f t="shared" ca="1" si="23"/>
        <v>0.23385184689404642</v>
      </c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</row>
    <row r="1510" spans="8:50" x14ac:dyDescent="0.25"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7">
        <f t="shared" ca="1" si="23"/>
        <v>2.149705645261811E-2</v>
      </c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</row>
    <row r="1511" spans="8:50" x14ac:dyDescent="0.25"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7">
        <f t="shared" ca="1" si="23"/>
        <v>7.7812353591805855E-2</v>
      </c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</row>
    <row r="1512" spans="8:50" x14ac:dyDescent="0.25"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7">
        <f t="shared" ca="1" si="23"/>
        <v>-0.21728504632819484</v>
      </c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</row>
    <row r="1513" spans="8:50" x14ac:dyDescent="0.25"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7">
        <f t="shared" ca="1" si="23"/>
        <v>-6.1541536935140043E-2</v>
      </c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</row>
    <row r="1514" spans="8:50" x14ac:dyDescent="0.25"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7">
        <f t="shared" ca="1" si="23"/>
        <v>-8.4892508937218364E-3</v>
      </c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</row>
    <row r="1515" spans="8:50" x14ac:dyDescent="0.25"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7">
        <f t="shared" ca="1" si="23"/>
        <v>-0.2720020036630359</v>
      </c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</row>
    <row r="1516" spans="8:50" x14ac:dyDescent="0.25"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7">
        <f t="shared" ca="1" si="23"/>
        <v>0.21470549053642518</v>
      </c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</row>
    <row r="1517" spans="8:50" x14ac:dyDescent="0.25"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</row>
    <row r="1518" spans="8:50" x14ac:dyDescent="0.25"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</row>
    <row r="1519" spans="8:50" x14ac:dyDescent="0.25"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</row>
    <row r="1520" spans="8:50" x14ac:dyDescent="0.25"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</row>
    <row r="1521" spans="8:50" x14ac:dyDescent="0.25"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</row>
    <row r="1522" spans="8:50" x14ac:dyDescent="0.25"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</row>
    <row r="1523" spans="8:50" x14ac:dyDescent="0.25"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</row>
    <row r="1524" spans="8:50" x14ac:dyDescent="0.25"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</row>
    <row r="1525" spans="8:50" x14ac:dyDescent="0.25"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</row>
    <row r="1526" spans="8:50" x14ac:dyDescent="0.25"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</row>
    <row r="1527" spans="8:50" x14ac:dyDescent="0.25"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</row>
    <row r="1528" spans="8:50" x14ac:dyDescent="0.25"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</row>
    <row r="1529" spans="8:50" x14ac:dyDescent="0.25"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</row>
    <row r="1530" spans="8:50" x14ac:dyDescent="0.25"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</row>
    <row r="1531" spans="8:50" x14ac:dyDescent="0.25"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</row>
    <row r="1532" spans="8:50" x14ac:dyDescent="0.25"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</row>
    <row r="1533" spans="8:50" x14ac:dyDescent="0.25"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</row>
    <row r="1534" spans="8:50" x14ac:dyDescent="0.25"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</row>
    <row r="1535" spans="8:50" x14ac:dyDescent="0.25"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</row>
    <row r="1536" spans="8:50" x14ac:dyDescent="0.25"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</row>
    <row r="1537" spans="8:50" x14ac:dyDescent="0.25"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</row>
    <row r="1538" spans="8:50" x14ac:dyDescent="0.25"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</row>
    <row r="1539" spans="8:50" x14ac:dyDescent="0.25"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</row>
    <row r="1540" spans="8:50" x14ac:dyDescent="0.25"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</row>
    <row r="1541" spans="8:50" x14ac:dyDescent="0.25"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</row>
    <row r="1542" spans="8:50" x14ac:dyDescent="0.25"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</row>
    <row r="1543" spans="8:50" x14ac:dyDescent="0.25"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</row>
    <row r="1544" spans="8:50" x14ac:dyDescent="0.25"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</row>
    <row r="1545" spans="8:50" x14ac:dyDescent="0.25"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</row>
    <row r="1546" spans="8:50" x14ac:dyDescent="0.25"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</row>
    <row r="1547" spans="8:50" x14ac:dyDescent="0.25"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</row>
    <row r="1548" spans="8:50" x14ac:dyDescent="0.25"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</row>
    <row r="1549" spans="8:50" x14ac:dyDescent="0.25"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</row>
    <row r="1550" spans="8:50" x14ac:dyDescent="0.25"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</row>
    <row r="1551" spans="8:50" x14ac:dyDescent="0.25"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</row>
    <row r="1552" spans="8:50" x14ac:dyDescent="0.25"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</row>
    <row r="1553" spans="8:50" x14ac:dyDescent="0.25"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</row>
    <row r="1554" spans="8:50" x14ac:dyDescent="0.25"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</row>
    <row r="1555" spans="8:50" x14ac:dyDescent="0.25"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</row>
    <row r="1556" spans="8:50" x14ac:dyDescent="0.25"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</row>
    <row r="1557" spans="8:50" x14ac:dyDescent="0.25"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</row>
    <row r="1558" spans="8:50" x14ac:dyDescent="0.25"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</row>
    <row r="1559" spans="8:50" x14ac:dyDescent="0.25"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</row>
    <row r="1560" spans="8:50" x14ac:dyDescent="0.25"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</row>
    <row r="1561" spans="8:50" x14ac:dyDescent="0.25"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</row>
    <row r="1562" spans="8:50" x14ac:dyDescent="0.25"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</row>
    <row r="1563" spans="8:50" x14ac:dyDescent="0.25"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</row>
    <row r="1564" spans="8:50" x14ac:dyDescent="0.25"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</row>
    <row r="1565" spans="8:50" x14ac:dyDescent="0.25"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</row>
    <row r="1566" spans="8:50" x14ac:dyDescent="0.25"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</row>
    <row r="1567" spans="8:50" x14ac:dyDescent="0.25"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</row>
    <row r="1568" spans="8:50" x14ac:dyDescent="0.25"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</row>
    <row r="1569" spans="8:50" x14ac:dyDescent="0.25"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</row>
    <row r="1570" spans="8:50" x14ac:dyDescent="0.25"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</row>
    <row r="1571" spans="8:50" x14ac:dyDescent="0.25"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</row>
    <row r="1572" spans="8:50" x14ac:dyDescent="0.25"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</row>
    <row r="1573" spans="8:50" x14ac:dyDescent="0.25"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</row>
    <row r="1574" spans="8:50" x14ac:dyDescent="0.25"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</row>
    <row r="1575" spans="8:50" x14ac:dyDescent="0.25"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</row>
    <row r="1576" spans="8:50" x14ac:dyDescent="0.25"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</row>
    <row r="1577" spans="8:50" x14ac:dyDescent="0.25"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</row>
    <row r="1578" spans="8:50" x14ac:dyDescent="0.25"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</row>
    <row r="1579" spans="8:50" x14ac:dyDescent="0.25"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</row>
    <row r="1580" spans="8:50" x14ac:dyDescent="0.25"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</row>
    <row r="1581" spans="8:50" x14ac:dyDescent="0.25"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</row>
    <row r="1582" spans="8:50" x14ac:dyDescent="0.25"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</row>
    <row r="1583" spans="8:50" x14ac:dyDescent="0.25"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</row>
    <row r="1584" spans="8:50" x14ac:dyDescent="0.25"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</row>
    <row r="1585" spans="8:50" x14ac:dyDescent="0.25"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</row>
    <row r="1586" spans="8:50" x14ac:dyDescent="0.25"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</row>
    <row r="1587" spans="8:50" x14ac:dyDescent="0.25"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</row>
    <row r="1588" spans="8:50" x14ac:dyDescent="0.25"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</row>
    <row r="1589" spans="8:50" x14ac:dyDescent="0.25"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</row>
    <row r="1590" spans="8:50" x14ac:dyDescent="0.25"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</row>
    <row r="1591" spans="8:50" x14ac:dyDescent="0.25"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</row>
    <row r="1592" spans="8:50" x14ac:dyDescent="0.25"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</row>
    <row r="1593" spans="8:50" x14ac:dyDescent="0.25"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</row>
    <row r="1594" spans="8:50" x14ac:dyDescent="0.25"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</row>
    <row r="1595" spans="8:50" x14ac:dyDescent="0.25"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</row>
    <row r="1596" spans="8:50" x14ac:dyDescent="0.25"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</row>
    <row r="1597" spans="8:50" x14ac:dyDescent="0.25"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</row>
    <row r="1598" spans="8:50" x14ac:dyDescent="0.25"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</row>
    <row r="1599" spans="8:50" x14ac:dyDescent="0.25"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</row>
    <row r="1600" spans="8:50" x14ac:dyDescent="0.25"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</row>
    <row r="1601" spans="8:50" x14ac:dyDescent="0.25"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</row>
    <row r="1602" spans="8:50" x14ac:dyDescent="0.25"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</row>
    <row r="1603" spans="8:50" x14ac:dyDescent="0.25"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</row>
    <row r="1604" spans="8:50" x14ac:dyDescent="0.25"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</row>
    <row r="1605" spans="8:50" x14ac:dyDescent="0.25"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</row>
    <row r="1606" spans="8:50" x14ac:dyDescent="0.25"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</row>
    <row r="1607" spans="8:50" x14ac:dyDescent="0.25"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</row>
    <row r="1608" spans="8:50" x14ac:dyDescent="0.25"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</row>
    <row r="1609" spans="8:50" x14ac:dyDescent="0.25"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</row>
    <row r="1610" spans="8:50" x14ac:dyDescent="0.25"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</row>
    <row r="1611" spans="8:50" x14ac:dyDescent="0.25"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</row>
    <row r="1612" spans="8:50" x14ac:dyDescent="0.25"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</row>
    <row r="1613" spans="8:50" x14ac:dyDescent="0.25"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</row>
    <row r="1614" spans="8:50" x14ac:dyDescent="0.25"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</row>
    <row r="1615" spans="8:50" x14ac:dyDescent="0.25"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</row>
    <row r="1616" spans="8:50" x14ac:dyDescent="0.25"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</row>
    <row r="1617" spans="8:50" x14ac:dyDescent="0.25"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</row>
    <row r="1618" spans="8:50" x14ac:dyDescent="0.25"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</row>
    <row r="1619" spans="8:50" x14ac:dyDescent="0.25"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</row>
    <row r="1620" spans="8:50" x14ac:dyDescent="0.25"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</row>
    <row r="1621" spans="8:50" x14ac:dyDescent="0.25"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</row>
    <row r="1622" spans="8:50" x14ac:dyDescent="0.25"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</row>
    <row r="1623" spans="8:50" x14ac:dyDescent="0.25"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</row>
    <row r="1624" spans="8:50" x14ac:dyDescent="0.25"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404F44-8DEE-4BB2-8899-CB6EDB24D1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Markets</vt:lpstr>
      <vt:lpstr>Commodities</vt:lpstr>
      <vt:lpstr>S&amp;P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2024-05-29T15:25:23Z</dcterms:created>
  <dcterms:modified xsi:type="dcterms:W3CDTF">2026-03-09T16:58:36Z</dcterms:modified>
</cp:coreProperties>
</file>