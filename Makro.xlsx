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Ex2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DBD906D0-82D3-4834-8B90-D8739C5F1B72}" xr6:coauthVersionLast="47" xr6:coauthVersionMax="47" xr10:uidLastSave="{00000000-0000-0000-0000-000000000000}"/>
  <bookViews>
    <workbookView xWindow="-120" yWindow="-120" windowWidth="38640" windowHeight="21060" xr2:uid="{3200E5B3-0EFC-4FC5-8F9E-F74C0FC60A47}"/>
  </bookViews>
  <sheets>
    <sheet name="Markets" sheetId="1" r:id="rId1"/>
    <sheet name="Commodities" sheetId="3" r:id="rId2"/>
    <sheet name="S&amp;P" sheetId="5" r:id="rId3"/>
  </sheets>
  <definedNames>
    <definedName name="_xlchart.v1.0" hidden="1">'S&amp;P'!$W$6:$W$1516</definedName>
    <definedName name="_xlchart.v1.1" hidden="1">'S&amp;P'!$J$3:$J$100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15" i="5" l="1"/>
  <c r="U4" i="5"/>
  <c r="U3" i="5"/>
  <c r="U2" i="5"/>
  <c r="W1268" i="5"/>
  <c r="W777" i="5" l="1"/>
  <c r="W779" i="5"/>
  <c r="W795" i="5"/>
  <c r="W796" i="5"/>
  <c r="W801" i="5"/>
  <c r="W860" i="5"/>
  <c r="W861" i="5"/>
  <c r="W863" i="5"/>
  <c r="W864" i="5"/>
  <c r="W865" i="5"/>
  <c r="W1083" i="5"/>
  <c r="W1147" i="5"/>
  <c r="W927" i="5"/>
  <c r="W485" i="5"/>
  <c r="W1148" i="5"/>
  <c r="W492" i="5"/>
  <c r="W1149" i="5"/>
  <c r="W493" i="5"/>
  <c r="W1151" i="5"/>
  <c r="W532" i="5"/>
  <c r="W1153" i="5"/>
  <c r="W533" i="5"/>
  <c r="W1215" i="5"/>
  <c r="W534" i="5"/>
  <c r="W1216" i="5"/>
  <c r="W536" i="5"/>
  <c r="W1217" i="5"/>
  <c r="W547" i="5"/>
  <c r="W1218" i="5"/>
  <c r="W590" i="5"/>
  <c r="W1219" i="5"/>
  <c r="W591" i="5"/>
  <c r="W1453" i="5"/>
  <c r="W592" i="5"/>
  <c r="W1456" i="5"/>
  <c r="W1296" i="5"/>
  <c r="W930" i="5"/>
  <c r="W993" i="5"/>
  <c r="W413" i="5"/>
  <c r="W995" i="5"/>
  <c r="W414" i="5"/>
  <c r="W1363" i="5"/>
  <c r="W651" i="5"/>
  <c r="W997" i="5"/>
  <c r="W417" i="5"/>
  <c r="W1370" i="5"/>
  <c r="W711" i="5"/>
  <c r="W1371" i="5"/>
  <c r="W715" i="5"/>
  <c r="W1064" i="5"/>
  <c r="W1437" i="5"/>
  <c r="W593" i="5"/>
  <c r="W928" i="5"/>
  <c r="W1281" i="5"/>
  <c r="W594" i="5"/>
  <c r="W929" i="5"/>
  <c r="W1283" i="5"/>
  <c r="W595" i="5"/>
  <c r="W647" i="5"/>
  <c r="W931" i="5"/>
  <c r="W1299" i="5"/>
  <c r="W648" i="5"/>
  <c r="W1300" i="5"/>
  <c r="W649" i="5"/>
  <c r="W1362" i="5"/>
  <c r="W650" i="5"/>
  <c r="W996" i="5"/>
  <c r="W416" i="5"/>
  <c r="W1369" i="5"/>
  <c r="W710" i="5"/>
  <c r="W998" i="5"/>
  <c r="W426" i="5"/>
  <c r="W1060" i="5"/>
  <c r="W429" i="5"/>
  <c r="W714" i="5"/>
  <c r="W1061" i="5"/>
  <c r="W1436" i="5"/>
  <c r="W471" i="5"/>
  <c r="W472" i="5"/>
  <c r="W716" i="5"/>
  <c r="W1082" i="5"/>
  <c r="W1440" i="5"/>
  <c r="W494" i="5"/>
  <c r="W551" i="5"/>
  <c r="W652" i="5"/>
  <c r="W866" i="5"/>
  <c r="W932" i="5"/>
  <c r="W999" i="5"/>
  <c r="W1084" i="5"/>
  <c r="W1154" i="5"/>
  <c r="W1457" i="5"/>
  <c r="W495" i="5"/>
  <c r="W606" i="5"/>
  <c r="W737" i="5"/>
  <c r="W804" i="5"/>
  <c r="W1089" i="5"/>
  <c r="W1155" i="5"/>
  <c r="W1458" i="5"/>
  <c r="W496" i="5"/>
  <c r="W497" i="5"/>
  <c r="W612" i="5"/>
  <c r="W869" i="5"/>
  <c r="W1023" i="5"/>
  <c r="W1092" i="5"/>
  <c r="W1463" i="5"/>
  <c r="W441" i="5"/>
  <c r="W498" i="5"/>
  <c r="W613" i="5"/>
  <c r="W872" i="5"/>
  <c r="W951" i="5"/>
  <c r="W1024" i="5"/>
  <c r="W1175" i="5"/>
  <c r="W1464" i="5"/>
  <c r="W499" i="5"/>
  <c r="W556" i="5"/>
  <c r="W677" i="5"/>
  <c r="W954" i="5"/>
  <c r="W1025" i="5"/>
  <c r="W1095" i="5"/>
  <c r="W1176" i="5"/>
  <c r="W1465" i="5"/>
  <c r="W29" i="5"/>
  <c r="W500" i="5"/>
  <c r="W557" i="5"/>
  <c r="W680" i="5"/>
  <c r="W875" i="5"/>
  <c r="W955" i="5"/>
  <c r="W1026" i="5"/>
  <c r="W1106" i="5"/>
  <c r="W1177" i="5"/>
  <c r="W1466" i="5"/>
  <c r="W150" i="5"/>
  <c r="W501" i="5"/>
  <c r="W558" i="5"/>
  <c r="W616" i="5"/>
  <c r="W810" i="5"/>
  <c r="W956" i="5"/>
  <c r="W1027" i="5"/>
  <c r="W1109" i="5"/>
  <c r="W1178" i="5"/>
  <c r="W1467" i="5"/>
  <c r="W204" i="5"/>
  <c r="W503" i="5"/>
  <c r="W560" i="5"/>
  <c r="W617" i="5"/>
  <c r="W891" i="5"/>
  <c r="W962" i="5"/>
  <c r="W1031" i="5"/>
  <c r="W1112" i="5"/>
  <c r="W1468" i="5"/>
  <c r="W206" i="5"/>
  <c r="W504" i="5"/>
  <c r="W561" i="5"/>
  <c r="W686" i="5"/>
  <c r="W892" i="5"/>
  <c r="W963" i="5"/>
  <c r="W1045" i="5"/>
  <c r="W1113" i="5"/>
  <c r="W1180" i="5"/>
  <c r="W1491" i="5"/>
  <c r="W456" i="5"/>
  <c r="W563" i="5"/>
  <c r="W687" i="5"/>
  <c r="W830" i="5"/>
  <c r="W964" i="5"/>
  <c r="U5" i="5"/>
  <c r="W1485" i="5"/>
  <c r="W1455" i="5"/>
  <c r="W1424" i="5"/>
  <c r="W1392" i="5"/>
  <c r="W1361" i="5"/>
  <c r="W1331" i="5"/>
  <c r="W1298" i="5"/>
  <c r="W1267" i="5"/>
  <c r="W1237" i="5"/>
  <c r="W1204" i="5"/>
  <c r="W1171" i="5"/>
  <c r="W1141" i="5"/>
  <c r="W1108" i="5"/>
  <c r="W1077" i="5"/>
  <c r="W1047" i="5"/>
  <c r="W1016" i="5"/>
  <c r="W984" i="5"/>
  <c r="W953" i="5"/>
  <c r="W923" i="5"/>
  <c r="W890" i="5"/>
  <c r="W859" i="5"/>
  <c r="W827" i="5"/>
  <c r="W794" i="5"/>
  <c r="W763" i="5"/>
  <c r="W733" i="5"/>
  <c r="W700" i="5"/>
  <c r="W669" i="5"/>
  <c r="W639" i="5"/>
  <c r="W609" i="5"/>
  <c r="W579" i="5"/>
  <c r="W549" i="5"/>
  <c r="W520" i="5"/>
  <c r="W488" i="5"/>
  <c r="W458" i="5"/>
  <c r="W428" i="5"/>
  <c r="W205" i="5"/>
  <c r="W1516" i="5"/>
  <c r="W1484" i="5"/>
  <c r="W1454" i="5"/>
  <c r="W1421" i="5"/>
  <c r="W1391" i="5"/>
  <c r="W1360" i="5"/>
  <c r="W1329" i="5"/>
  <c r="W1297" i="5"/>
  <c r="W1266" i="5"/>
  <c r="W1236" i="5"/>
  <c r="W1203" i="5"/>
  <c r="W1170" i="5"/>
  <c r="W1140" i="5"/>
  <c r="W1107" i="5"/>
  <c r="W1076" i="5"/>
  <c r="W1046" i="5"/>
  <c r="W1013" i="5"/>
  <c r="W983" i="5"/>
  <c r="W952" i="5"/>
  <c r="W921" i="5"/>
  <c r="W889" i="5"/>
  <c r="W858" i="5"/>
  <c r="W825" i="5"/>
  <c r="W793" i="5"/>
  <c r="W762" i="5"/>
  <c r="W732" i="5"/>
  <c r="W699" i="5"/>
  <c r="W668" i="5"/>
  <c r="W638" i="5"/>
  <c r="W608" i="5"/>
  <c r="W578" i="5"/>
  <c r="W548" i="5"/>
  <c r="W519" i="5"/>
  <c r="W486" i="5"/>
  <c r="W457" i="5"/>
  <c r="W427" i="5"/>
  <c r="W1514" i="5"/>
  <c r="W1482" i="5"/>
  <c r="W1452" i="5"/>
  <c r="W1419" i="5"/>
  <c r="W1388" i="5"/>
  <c r="W1358" i="5"/>
  <c r="W1325" i="5"/>
  <c r="W1295" i="5"/>
  <c r="W1264" i="5"/>
  <c r="W1233" i="5"/>
  <c r="W1199" i="5"/>
  <c r="W1168" i="5"/>
  <c r="W1137" i="5"/>
  <c r="W1105" i="5"/>
  <c r="W1074" i="5"/>
  <c r="W1044" i="5"/>
  <c r="W1011" i="5"/>
  <c r="W980" i="5"/>
  <c r="W950" i="5"/>
  <c r="W917" i="5"/>
  <c r="W887" i="5"/>
  <c r="W854" i="5"/>
  <c r="W821" i="5"/>
  <c r="W791" i="5"/>
  <c r="W760" i="5"/>
  <c r="W729" i="5"/>
  <c r="W697" i="5"/>
  <c r="W666" i="5"/>
  <c r="W636" i="5"/>
  <c r="W605" i="5"/>
  <c r="W576" i="5"/>
  <c r="W546" i="5"/>
  <c r="W515" i="5"/>
  <c r="W484" i="5"/>
  <c r="W455" i="5"/>
  <c r="W425" i="5"/>
  <c r="W149" i="5"/>
  <c r="W1448" i="5"/>
  <c r="W1322" i="5"/>
  <c r="W1226" i="5"/>
  <c r="W1132" i="5"/>
  <c r="W1071" i="5"/>
  <c r="W977" i="5"/>
  <c r="W881" i="5"/>
  <c r="W818" i="5"/>
  <c r="W757" i="5"/>
  <c r="W693" i="5"/>
  <c r="W632" i="5"/>
  <c r="W541" i="5"/>
  <c r="W451" i="5"/>
  <c r="W508" i="5"/>
  <c r="W84" i="5"/>
  <c r="W1443" i="5"/>
  <c r="W1349" i="5"/>
  <c r="W1286" i="5"/>
  <c r="W1223" i="5"/>
  <c r="W1129" i="5"/>
  <c r="W1035" i="5"/>
  <c r="W974" i="5"/>
  <c r="W845" i="5"/>
  <c r="W721" i="5"/>
  <c r="W596" i="5"/>
  <c r="W477" i="5"/>
  <c r="W1442" i="5"/>
  <c r="W1315" i="5"/>
  <c r="W1221" i="5"/>
  <c r="W1128" i="5"/>
  <c r="W1003" i="5"/>
  <c r="W877" i="5"/>
  <c r="W752" i="5"/>
  <c r="W1513" i="5"/>
  <c r="W1481" i="5"/>
  <c r="W1451" i="5"/>
  <c r="W1418" i="5"/>
  <c r="W1387" i="5"/>
  <c r="W1357" i="5"/>
  <c r="W1324" i="5"/>
  <c r="W1293" i="5"/>
  <c r="W1263" i="5"/>
  <c r="W1228" i="5"/>
  <c r="W1197" i="5"/>
  <c r="W1167" i="5"/>
  <c r="W1136" i="5"/>
  <c r="W1104" i="5"/>
  <c r="W1073" i="5"/>
  <c r="W1043" i="5"/>
  <c r="W1010" i="5"/>
  <c r="W979" i="5"/>
  <c r="W949" i="5"/>
  <c r="W916" i="5"/>
  <c r="W883" i="5"/>
  <c r="W853" i="5"/>
  <c r="W820" i="5"/>
  <c r="W789" i="5"/>
  <c r="W759" i="5"/>
  <c r="W728" i="5"/>
  <c r="W696" i="5"/>
  <c r="W665" i="5"/>
  <c r="W635" i="5"/>
  <c r="W604" i="5"/>
  <c r="W575" i="5"/>
  <c r="W543" i="5"/>
  <c r="W513" i="5"/>
  <c r="W483" i="5"/>
  <c r="W453" i="5"/>
  <c r="W424" i="5"/>
  <c r="W148" i="5"/>
  <c r="W1479" i="5"/>
  <c r="W1416" i="5"/>
  <c r="W1385" i="5"/>
  <c r="W1355" i="5"/>
  <c r="W1291" i="5"/>
  <c r="W1259" i="5"/>
  <c r="W1195" i="5"/>
  <c r="W1101" i="5"/>
  <c r="W1008" i="5"/>
  <c r="W912" i="5"/>
  <c r="W787" i="5"/>
  <c r="W663" i="5"/>
  <c r="W570" i="5"/>
  <c r="W481" i="5"/>
  <c r="W87" i="5"/>
  <c r="W479" i="5"/>
  <c r="W1476" i="5"/>
  <c r="W1253" i="5"/>
  <c r="W1098" i="5"/>
  <c r="W908" i="5"/>
  <c r="W753" i="5"/>
  <c r="W628" i="5"/>
  <c r="W507" i="5"/>
  <c r="W419" i="5"/>
  <c r="W1505" i="5"/>
  <c r="W1252" i="5"/>
  <c r="W1097" i="5"/>
  <c r="W938" i="5"/>
  <c r="W813" i="5"/>
  <c r="W720" i="5"/>
  <c r="W1512" i="5"/>
  <c r="W1480" i="5"/>
  <c r="W1449" i="5"/>
  <c r="W1417" i="5"/>
  <c r="W1386" i="5"/>
  <c r="W1356" i="5"/>
  <c r="W1323" i="5"/>
  <c r="W1292" i="5"/>
  <c r="W1262" i="5"/>
  <c r="W1227" i="5"/>
  <c r="W1196" i="5"/>
  <c r="W1166" i="5"/>
  <c r="W1133" i="5"/>
  <c r="W1103" i="5"/>
  <c r="W1072" i="5"/>
  <c r="W1041" i="5"/>
  <c r="W1009" i="5"/>
  <c r="W978" i="5"/>
  <c r="W948" i="5"/>
  <c r="W915" i="5"/>
  <c r="W882" i="5"/>
  <c r="W852" i="5"/>
  <c r="W819" i="5"/>
  <c r="W788" i="5"/>
  <c r="W758" i="5"/>
  <c r="W725" i="5"/>
  <c r="W695" i="5"/>
  <c r="W664" i="5"/>
  <c r="W633" i="5"/>
  <c r="W603" i="5"/>
  <c r="W573" i="5"/>
  <c r="W542" i="5"/>
  <c r="W512" i="5"/>
  <c r="W482" i="5"/>
  <c r="W452" i="5"/>
  <c r="W423" i="5"/>
  <c r="W146" i="5"/>
  <c r="W1509" i="5"/>
  <c r="W1165" i="5"/>
  <c r="W1040" i="5"/>
  <c r="W947" i="5"/>
  <c r="W851" i="5"/>
  <c r="W724" i="5"/>
  <c r="W602" i="5"/>
  <c r="W510" i="5"/>
  <c r="W422" i="5"/>
  <c r="W449" i="5"/>
  <c r="W1506" i="5"/>
  <c r="W1382" i="5"/>
  <c r="W1161" i="5"/>
  <c r="W1004" i="5"/>
  <c r="W878" i="5"/>
  <c r="W815" i="5"/>
  <c r="W690" i="5"/>
  <c r="W567" i="5"/>
  <c r="W448" i="5"/>
  <c r="W1475" i="5"/>
  <c r="W1348" i="5"/>
  <c r="W1191" i="5"/>
  <c r="W1067" i="5"/>
  <c r="W971" i="5"/>
  <c r="W844" i="5"/>
  <c r="W1508" i="5"/>
  <c r="W1478" i="5"/>
  <c r="W1445" i="5"/>
  <c r="W1415" i="5"/>
  <c r="W1384" i="5"/>
  <c r="W1353" i="5"/>
  <c r="W1321" i="5"/>
  <c r="W1290" i="5"/>
  <c r="W1257" i="5"/>
  <c r="W1225" i="5"/>
  <c r="W1194" i="5"/>
  <c r="W1164" i="5"/>
  <c r="W1131" i="5"/>
  <c r="W1100" i="5"/>
  <c r="W1070" i="5"/>
  <c r="W1037" i="5"/>
  <c r="W1007" i="5"/>
  <c r="W976" i="5"/>
  <c r="W945" i="5"/>
  <c r="W911" i="5"/>
  <c r="W880" i="5"/>
  <c r="W849" i="5"/>
  <c r="W817" i="5"/>
  <c r="W786" i="5"/>
  <c r="W756" i="5"/>
  <c r="W723" i="5"/>
  <c r="W692" i="5"/>
  <c r="W662" i="5"/>
  <c r="W630" i="5"/>
  <c r="W601" i="5"/>
  <c r="W569" i="5"/>
  <c r="W540" i="5"/>
  <c r="W509" i="5"/>
  <c r="W480" i="5"/>
  <c r="W450" i="5"/>
  <c r="W421" i="5"/>
  <c r="W85" i="5"/>
  <c r="W1507" i="5"/>
  <c r="W1477" i="5"/>
  <c r="W1444" i="5"/>
  <c r="W1413" i="5"/>
  <c r="W1383" i="5"/>
  <c r="W1352" i="5"/>
  <c r="W1320" i="5"/>
  <c r="W1287" i="5"/>
  <c r="W1256" i="5"/>
  <c r="W1224" i="5"/>
  <c r="W1193" i="5"/>
  <c r="W1163" i="5"/>
  <c r="W1130" i="5"/>
  <c r="W1099" i="5"/>
  <c r="W1069" i="5"/>
  <c r="W1036" i="5"/>
  <c r="W1005" i="5"/>
  <c r="W975" i="5"/>
  <c r="W940" i="5"/>
  <c r="W909" i="5"/>
  <c r="W879" i="5"/>
  <c r="W848" i="5"/>
  <c r="W816" i="5"/>
  <c r="W785" i="5"/>
  <c r="W755" i="5"/>
  <c r="W722" i="5"/>
  <c r="W691" i="5"/>
  <c r="W661" i="5"/>
  <c r="W629" i="5"/>
  <c r="W597" i="5"/>
  <c r="W568" i="5"/>
  <c r="W539" i="5"/>
  <c r="W420" i="5"/>
  <c r="W1412" i="5"/>
  <c r="W1319" i="5"/>
  <c r="W1192" i="5"/>
  <c r="W1068" i="5"/>
  <c r="W939" i="5"/>
  <c r="W784" i="5"/>
  <c r="W660" i="5"/>
  <c r="W537" i="5"/>
  <c r="W83" i="5"/>
  <c r="W1411" i="5"/>
  <c r="W1381" i="5"/>
  <c r="W1285" i="5"/>
  <c r="W1160" i="5"/>
  <c r="W1034" i="5"/>
  <c r="W907" i="5"/>
  <c r="W1504" i="5"/>
  <c r="W1473" i="5"/>
  <c r="W1441" i="5"/>
  <c r="W1410" i="5"/>
  <c r="W1380" i="5"/>
  <c r="W1347" i="5"/>
  <c r="W1314" i="5"/>
  <c r="W1284" i="5"/>
  <c r="W1251" i="5"/>
  <c r="W1220" i="5"/>
  <c r="W1190" i="5"/>
  <c r="W1157" i="5"/>
  <c r="W1127" i="5"/>
  <c r="W1096" i="5"/>
  <c r="W1065" i="5"/>
  <c r="W1033" i="5"/>
  <c r="W1002" i="5"/>
  <c r="W969" i="5"/>
  <c r="W937" i="5"/>
  <c r="W906" i="5"/>
  <c r="W876" i="5"/>
  <c r="W843" i="5"/>
  <c r="W812" i="5"/>
  <c r="W782" i="5"/>
  <c r="W749" i="5"/>
  <c r="W719" i="5"/>
  <c r="W688" i="5"/>
  <c r="W657" i="5"/>
  <c r="W1500" i="5"/>
  <c r="W1439" i="5"/>
  <c r="W1389" i="5"/>
  <c r="W1333" i="5"/>
  <c r="W1272" i="5"/>
  <c r="W1213" i="5"/>
  <c r="W1152" i="5"/>
  <c r="W1093" i="5"/>
  <c r="W1032" i="5"/>
  <c r="W985" i="5"/>
  <c r="W926" i="5"/>
  <c r="W1488" i="5"/>
  <c r="W1429" i="5"/>
  <c r="W1368" i="5"/>
  <c r="W1309" i="5"/>
  <c r="W1248" i="5"/>
  <c r="W1189" i="5"/>
  <c r="W1142" i="5"/>
  <c r="W1081" i="5"/>
  <c r="W1022" i="5"/>
  <c r="W961" i="5"/>
  <c r="W902" i="5"/>
  <c r="W841" i="5"/>
  <c r="W792" i="5"/>
  <c r="W736" i="5"/>
  <c r="W676" i="5"/>
  <c r="W621" i="5"/>
  <c r="W581" i="5"/>
  <c r="W529" i="5"/>
  <c r="W476" i="5"/>
  <c r="W436" i="5"/>
  <c r="W27" i="5"/>
  <c r="W1487" i="5"/>
  <c r="W1428" i="5"/>
  <c r="W1367" i="5"/>
  <c r="W1308" i="5"/>
  <c r="W1247" i="5"/>
  <c r="W1188" i="5"/>
  <c r="W1139" i="5"/>
  <c r="W1080" i="5"/>
  <c r="W1021" i="5"/>
  <c r="W960" i="5"/>
  <c r="W901" i="5"/>
  <c r="W840" i="5"/>
  <c r="W783" i="5"/>
  <c r="W735" i="5"/>
  <c r="W675" i="5"/>
  <c r="W620" i="5"/>
  <c r="W580" i="5"/>
  <c r="W528" i="5"/>
  <c r="W475" i="5"/>
  <c r="W433" i="5"/>
  <c r="W26" i="5"/>
  <c r="W1483" i="5"/>
  <c r="W1427" i="5"/>
  <c r="W1365" i="5"/>
  <c r="W1307" i="5"/>
  <c r="W1245" i="5"/>
  <c r="W1187" i="5"/>
  <c r="W1125" i="5"/>
  <c r="W1079" i="5"/>
  <c r="W1020" i="5"/>
  <c r="W959" i="5"/>
  <c r="W900" i="5"/>
  <c r="W839" i="5"/>
  <c r="W781" i="5"/>
  <c r="W734" i="5"/>
  <c r="W674" i="5"/>
  <c r="W619" i="5"/>
  <c r="W577" i="5"/>
  <c r="W527" i="5"/>
  <c r="W474" i="5"/>
  <c r="W432" i="5"/>
  <c r="W25" i="5"/>
  <c r="W1472" i="5"/>
  <c r="W1425" i="5"/>
  <c r="W1364" i="5"/>
  <c r="W1305" i="5"/>
  <c r="W1244" i="5"/>
  <c r="W1185" i="5"/>
  <c r="W1124" i="5"/>
  <c r="W1075" i="5"/>
  <c r="W1019" i="5"/>
  <c r="W957" i="5"/>
  <c r="W899" i="5"/>
  <c r="W837" i="5"/>
  <c r="W780" i="5"/>
  <c r="W731" i="5"/>
  <c r="W673" i="5"/>
  <c r="W618" i="5"/>
  <c r="W566" i="5"/>
  <c r="W525" i="5"/>
  <c r="W473" i="5"/>
  <c r="W431" i="5"/>
  <c r="W1469" i="5"/>
  <c r="W1420" i="5"/>
  <c r="W738" i="5"/>
  <c r="W1017" i="5"/>
  <c r="W1379" i="5"/>
  <c r="W440" i="5"/>
  <c r="W806" i="5"/>
  <c r="W1169" i="5"/>
  <c r="W672" i="5"/>
  <c r="W1394" i="5"/>
  <c r="W744" i="5"/>
  <c r="W1313" i="5"/>
  <c r="W444" i="5"/>
  <c r="W809" i="5"/>
  <c r="W1243" i="5"/>
  <c r="W445" i="5"/>
  <c r="W888" i="5"/>
  <c r="W1332" i="5"/>
  <c r="W811" i="5"/>
  <c r="W1334" i="5"/>
  <c r="W748" i="5"/>
  <c r="W1335" i="5"/>
  <c r="W207" i="5"/>
  <c r="W761" i="5"/>
  <c r="W1115" i="5"/>
  <c r="W1336" i="5"/>
  <c r="W267" i="5"/>
  <c r="W564" i="5"/>
  <c r="W831" i="5"/>
  <c r="W1118" i="5"/>
  <c r="W1493" i="5"/>
  <c r="W516" i="5"/>
  <c r="W698" i="5"/>
  <c r="W897" i="5"/>
  <c r="W1119" i="5"/>
  <c r="W1496" i="5"/>
  <c r="W464" i="5"/>
  <c r="W582" i="5"/>
  <c r="W701" i="5"/>
  <c r="W833" i="5"/>
  <c r="W1051" i="5"/>
  <c r="W1120" i="5"/>
  <c r="W1273" i="5"/>
  <c r="W1408" i="5"/>
  <c r="W465" i="5"/>
  <c r="W641" i="5"/>
  <c r="W768" i="5"/>
  <c r="W904" i="5"/>
  <c r="W1052" i="5"/>
  <c r="W1274" i="5"/>
  <c r="W1499" i="5"/>
  <c r="W347" i="5"/>
  <c r="W467" i="5"/>
  <c r="W523" i="5"/>
  <c r="W585" i="5"/>
  <c r="W642" i="5"/>
  <c r="W705" i="5"/>
  <c r="W771" i="5"/>
  <c r="W835" i="5"/>
  <c r="W905" i="5"/>
  <c r="W987" i="5"/>
  <c r="W1053" i="5"/>
  <c r="W1122" i="5"/>
  <c r="W1209" i="5"/>
  <c r="W1275" i="5"/>
  <c r="W1341" i="5"/>
  <c r="W1430" i="5"/>
  <c r="W1501" i="5"/>
  <c r="W717" i="5"/>
  <c r="W1301" i="5"/>
  <c r="W552" i="5"/>
  <c r="W933" i="5"/>
  <c r="W1377" i="5"/>
  <c r="W553" i="5"/>
  <c r="W667" i="5"/>
  <c r="W868" i="5"/>
  <c r="W1156" i="5"/>
  <c r="W1310" i="5"/>
  <c r="W554" i="5"/>
  <c r="W936" i="5"/>
  <c r="W1311" i="5"/>
  <c r="W807" i="5"/>
  <c r="W1241" i="5"/>
  <c r="W614" i="5"/>
  <c r="W1395" i="5"/>
  <c r="W615" i="5"/>
  <c r="W1328" i="5"/>
  <c r="W681" i="5"/>
  <c r="W1397" i="5"/>
  <c r="W683" i="5"/>
  <c r="W1250" i="5"/>
  <c r="W623" i="5"/>
  <c r="W1401" i="5"/>
  <c r="W624" i="5"/>
  <c r="W1048" i="5"/>
  <c r="W1492" i="5"/>
  <c r="W459" i="5"/>
  <c r="W625" i="5"/>
  <c r="W764" i="5"/>
  <c r="W896" i="5"/>
  <c r="W1049" i="5"/>
  <c r="W1269" i="5"/>
  <c r="W1337" i="5"/>
  <c r="W268" i="5"/>
  <c r="W565" i="5"/>
  <c r="W765" i="5"/>
  <c r="W968" i="5"/>
  <c r="W1200" i="5"/>
  <c r="W1407" i="5"/>
  <c r="W521" i="5"/>
  <c r="W767" i="5"/>
  <c r="W981" i="5"/>
  <c r="W1205" i="5"/>
  <c r="W1497" i="5"/>
  <c r="W584" i="5"/>
  <c r="W704" i="5"/>
  <c r="W834" i="5"/>
  <c r="W986" i="5"/>
  <c r="W1121" i="5"/>
  <c r="W1208" i="5"/>
  <c r="W1340" i="5"/>
  <c r="W1409" i="5"/>
  <c r="W410" i="5"/>
  <c r="W468" i="5"/>
  <c r="W524" i="5"/>
  <c r="W587" i="5"/>
  <c r="W643" i="5"/>
  <c r="W707" i="5"/>
  <c r="W772" i="5"/>
  <c r="W836" i="5"/>
  <c r="W920" i="5"/>
  <c r="W988" i="5"/>
  <c r="W1055" i="5"/>
  <c r="W1123" i="5"/>
  <c r="W1211" i="5"/>
  <c r="W1276" i="5"/>
  <c r="W1343" i="5"/>
  <c r="W1431" i="5"/>
  <c r="W1502" i="5"/>
  <c r="W1372" i="5"/>
  <c r="W659" i="5"/>
  <c r="W1012" i="5"/>
  <c r="W1304" i="5"/>
  <c r="W611" i="5"/>
  <c r="W935" i="5"/>
  <c r="W1459" i="5"/>
  <c r="W671" i="5"/>
  <c r="W1240" i="5"/>
  <c r="W555" i="5"/>
  <c r="W1312" i="5"/>
  <c r="W443" i="5"/>
  <c r="W873" i="5"/>
  <c r="W1400" i="5"/>
  <c r="W803" i="5"/>
  <c r="W1235" i="5"/>
  <c r="W437" i="5"/>
  <c r="W867" i="5"/>
  <c r="W1238" i="5"/>
  <c r="W438" i="5"/>
  <c r="W805" i="5"/>
  <c r="W1091" i="5"/>
  <c r="W1239" i="5"/>
  <c r="W739" i="5"/>
  <c r="W1393" i="5"/>
  <c r="W743" i="5"/>
  <c r="W1094" i="5"/>
  <c r="W28" i="5"/>
  <c r="W808" i="5"/>
  <c r="W1242" i="5"/>
  <c r="W745" i="5"/>
  <c r="W1396" i="5"/>
  <c r="W746" i="5"/>
  <c r="W1249" i="5"/>
  <c r="W446" i="5"/>
  <c r="W747" i="5"/>
  <c r="W1179" i="5"/>
  <c r="W447" i="5"/>
  <c r="W824" i="5"/>
  <c r="W1265" i="5"/>
  <c r="W505" i="5"/>
  <c r="W893" i="5"/>
  <c r="W1181" i="5"/>
  <c r="W1403" i="5"/>
  <c r="W506" i="5"/>
  <c r="W689" i="5"/>
  <c r="W965" i="5"/>
  <c r="W1184" i="5"/>
  <c r="W1406" i="5"/>
  <c r="W460" i="5"/>
  <c r="W637" i="5"/>
  <c r="W832" i="5"/>
  <c r="W1050" i="5"/>
  <c r="W1271" i="5"/>
  <c r="W1338" i="5"/>
  <c r="W269" i="5"/>
  <c r="W640" i="5"/>
  <c r="W903" i="5"/>
  <c r="W1339" i="5"/>
  <c r="W270" i="5"/>
  <c r="W522" i="5"/>
  <c r="W411" i="5"/>
  <c r="W469" i="5"/>
  <c r="W530" i="5"/>
  <c r="W588" i="5"/>
  <c r="W644" i="5"/>
  <c r="W708" i="5"/>
  <c r="W773" i="5"/>
  <c r="W842" i="5"/>
  <c r="W924" i="5"/>
  <c r="W989" i="5"/>
  <c r="W1056" i="5"/>
  <c r="W1143" i="5"/>
  <c r="W1212" i="5"/>
  <c r="W1277" i="5"/>
  <c r="W1344" i="5"/>
  <c r="W1434" i="5"/>
  <c r="W1503" i="5"/>
  <c r="W412" i="5"/>
  <c r="W470" i="5"/>
  <c r="W531" i="5"/>
  <c r="W589" i="5"/>
  <c r="W645" i="5"/>
  <c r="W709" i="5"/>
  <c r="W776" i="5"/>
  <c r="W855" i="5"/>
  <c r="W925" i="5"/>
  <c r="W992" i="5"/>
  <c r="W1059" i="5"/>
  <c r="W1146" i="5"/>
  <c r="W1214" i="5"/>
  <c r="W1280" i="5"/>
  <c r="W1359" i="5"/>
  <c r="W1435" i="5"/>
  <c r="W1515" i="5"/>
  <c r="W388" i="5"/>
  <c r="U10" i="5"/>
  <c r="W1498" i="5"/>
  <c r="W1474" i="5"/>
  <c r="W1450" i="5"/>
  <c r="W1426" i="5"/>
  <c r="W1402" i="5"/>
  <c r="W1378" i="5"/>
  <c r="W1354" i="5"/>
  <c r="W1330" i="5"/>
  <c r="W1306" i="5"/>
  <c r="W1282" i="5"/>
  <c r="W1258" i="5"/>
  <c r="W1234" i="5"/>
  <c r="W1210" i="5"/>
  <c r="W1186" i="5"/>
  <c r="W1162" i="5"/>
  <c r="W1138" i="5"/>
  <c r="W1114" i="5"/>
  <c r="W1090" i="5"/>
  <c r="W1066" i="5"/>
  <c r="W1042" i="5"/>
  <c r="W1018" i="5"/>
  <c r="W994" i="5"/>
  <c r="W970" i="5"/>
  <c r="W946" i="5"/>
  <c r="W922" i="5"/>
  <c r="W898" i="5"/>
  <c r="W874" i="5"/>
  <c r="W850" i="5"/>
  <c r="W826" i="5"/>
  <c r="W802" i="5"/>
  <c r="W778" i="5"/>
  <c r="W754" i="5"/>
  <c r="W730" i="5"/>
  <c r="W706" i="5"/>
  <c r="W682" i="5"/>
  <c r="W658" i="5"/>
  <c r="W634" i="5"/>
  <c r="W610" i="5"/>
  <c r="W586" i="5"/>
  <c r="W562" i="5"/>
  <c r="W538" i="5"/>
  <c r="W514" i="5"/>
  <c r="W490" i="5"/>
  <c r="W466" i="5"/>
  <c r="W442" i="5"/>
  <c r="W418" i="5"/>
  <c r="W147" i="5"/>
  <c r="U7" i="5"/>
  <c r="W1495" i="5"/>
  <c r="W1471" i="5"/>
  <c r="W1447" i="5"/>
  <c r="W1423" i="5"/>
  <c r="W1399" i="5"/>
  <c r="W1375" i="5"/>
  <c r="W1351" i="5"/>
  <c r="W1327" i="5"/>
  <c r="W1303" i="5"/>
  <c r="W1279" i="5"/>
  <c r="W1255" i="5"/>
  <c r="W1231" i="5"/>
  <c r="W1207" i="5"/>
  <c r="W1183" i="5"/>
  <c r="W1159" i="5"/>
  <c r="W1135" i="5"/>
  <c r="W1111" i="5"/>
  <c r="W1087" i="5"/>
  <c r="W1063" i="5"/>
  <c r="W1039" i="5"/>
  <c r="W1015" i="5"/>
  <c r="W991" i="5"/>
  <c r="W967" i="5"/>
  <c r="W943" i="5"/>
  <c r="W919" i="5"/>
  <c r="W895" i="5"/>
  <c r="W871" i="5"/>
  <c r="W847" i="5"/>
  <c r="W823" i="5"/>
  <c r="W799" i="5"/>
  <c r="W775" i="5"/>
  <c r="W751" i="5"/>
  <c r="W727" i="5"/>
  <c r="W703" i="5"/>
  <c r="W679" i="5"/>
  <c r="W655" i="5"/>
  <c r="W631" i="5"/>
  <c r="W607" i="5"/>
  <c r="W583" i="5"/>
  <c r="W559" i="5"/>
  <c r="W535" i="5"/>
  <c r="W511" i="5"/>
  <c r="W487" i="5"/>
  <c r="W463" i="5"/>
  <c r="W439" i="5"/>
  <c r="W415" i="5"/>
  <c r="W86" i="5"/>
  <c r="U6" i="5"/>
  <c r="W1494" i="5"/>
  <c r="W1470" i="5"/>
  <c r="W1446" i="5"/>
  <c r="W1422" i="5"/>
  <c r="W1398" i="5"/>
  <c r="W1374" i="5"/>
  <c r="W1350" i="5"/>
  <c r="W1326" i="5"/>
  <c r="W1302" i="5"/>
  <c r="W1278" i="5"/>
  <c r="W1254" i="5"/>
  <c r="W1230" i="5"/>
  <c r="W1206" i="5"/>
  <c r="W1182" i="5"/>
  <c r="W1158" i="5"/>
  <c r="W1134" i="5"/>
  <c r="W1110" i="5"/>
  <c r="W1086" i="5"/>
  <c r="W1062" i="5"/>
  <c r="W1038" i="5"/>
  <c r="W1014" i="5"/>
  <c r="W990" i="5"/>
  <c r="W966" i="5"/>
  <c r="W942" i="5"/>
  <c r="W918" i="5"/>
  <c r="W894" i="5"/>
  <c r="W870" i="5"/>
  <c r="W846" i="5"/>
  <c r="W822" i="5"/>
  <c r="W798" i="5"/>
  <c r="W774" i="5"/>
  <c r="W750" i="5"/>
  <c r="W726" i="5"/>
  <c r="W702" i="5"/>
  <c r="W678" i="5"/>
  <c r="W654" i="5"/>
  <c r="W1511" i="5"/>
  <c r="W1510" i="5"/>
  <c r="W1486" i="5"/>
  <c r="W1462" i="5"/>
  <c r="W1438" i="5"/>
  <c r="W1414" i="5"/>
  <c r="W1390" i="5"/>
  <c r="W1366" i="5"/>
  <c r="W1342" i="5"/>
  <c r="W1318" i="5"/>
  <c r="W1294" i="5"/>
  <c r="W1270" i="5"/>
  <c r="W1246" i="5"/>
  <c r="W1222" i="5"/>
  <c r="W1198" i="5"/>
  <c r="W1174" i="5"/>
  <c r="W1150" i="5"/>
  <c r="W1126" i="5"/>
  <c r="W1102" i="5"/>
  <c r="W1078" i="5"/>
  <c r="W1054" i="5"/>
  <c r="W1030" i="5"/>
  <c r="W1006" i="5"/>
  <c r="W982" i="5"/>
  <c r="W958" i="5"/>
  <c r="W934" i="5"/>
  <c r="W910" i="5"/>
  <c r="W886" i="5"/>
  <c r="W862" i="5"/>
  <c r="W838" i="5"/>
  <c r="W814" i="5"/>
  <c r="W790" i="5"/>
  <c r="W766" i="5"/>
  <c r="W742" i="5"/>
  <c r="W718" i="5"/>
  <c r="W694" i="5"/>
  <c r="W670" i="5"/>
  <c r="W646" i="5"/>
  <c r="W622" i="5"/>
  <c r="W598" i="5"/>
  <c r="W574" i="5"/>
  <c r="W550" i="5"/>
  <c r="W526" i="5"/>
  <c r="W502" i="5"/>
  <c r="W478" i="5"/>
  <c r="W454" i="5"/>
  <c r="W430" i="5"/>
  <c r="W326" i="5"/>
  <c r="W327" i="5"/>
  <c r="W434" i="5"/>
  <c r="W461" i="5"/>
  <c r="W489" i="5"/>
  <c r="W517" i="5"/>
  <c r="W544" i="5"/>
  <c r="W571" i="5"/>
  <c r="W599" i="5"/>
  <c r="W626" i="5"/>
  <c r="W653" i="5"/>
  <c r="W684" i="5"/>
  <c r="W712" i="5"/>
  <c r="W740" i="5"/>
  <c r="W769" i="5"/>
  <c r="W797" i="5"/>
  <c r="W828" i="5"/>
  <c r="W856" i="5"/>
  <c r="W884" i="5"/>
  <c r="W913" i="5"/>
  <c r="W941" i="5"/>
  <c r="W972" i="5"/>
  <c r="W1000" i="5"/>
  <c r="W1028" i="5"/>
  <c r="W1057" i="5"/>
  <c r="W1085" i="5"/>
  <c r="W1116" i="5"/>
  <c r="W1144" i="5"/>
  <c r="W1172" i="5"/>
  <c r="W1201" i="5"/>
  <c r="W1229" i="5"/>
  <c r="W1260" i="5"/>
  <c r="W1288" i="5"/>
  <c r="W1316" i="5"/>
  <c r="W1345" i="5"/>
  <c r="W1373" i="5"/>
  <c r="W1404" i="5"/>
  <c r="W1432" i="5"/>
  <c r="W1460" i="5"/>
  <c r="W1489" i="5"/>
  <c r="U8" i="5"/>
  <c r="W328" i="5"/>
  <c r="W435" i="5"/>
  <c r="W462" i="5"/>
  <c r="W491" i="5"/>
  <c r="W518" i="5"/>
  <c r="W545" i="5"/>
  <c r="W572" i="5"/>
  <c r="W600" i="5"/>
  <c r="W627" i="5"/>
  <c r="W656" i="5"/>
  <c r="W685" i="5"/>
  <c r="W713" i="5"/>
  <c r="W741" i="5"/>
  <c r="W770" i="5"/>
  <c r="W800" i="5"/>
  <c r="W829" i="5"/>
  <c r="W857" i="5"/>
  <c r="W885" i="5"/>
  <c r="W914" i="5"/>
  <c r="W944" i="5"/>
  <c r="W973" i="5"/>
  <c r="W1001" i="5"/>
  <c r="W1029" i="5"/>
  <c r="W1058" i="5"/>
  <c r="W1088" i="5"/>
  <c r="W1117" i="5"/>
  <c r="W1145" i="5"/>
  <c r="W1173" i="5"/>
  <c r="W1202" i="5"/>
  <c r="W1232" i="5"/>
  <c r="W1261" i="5"/>
  <c r="W1289" i="5"/>
  <c r="W1317" i="5"/>
  <c r="W1346" i="5"/>
  <c r="W1376" i="5"/>
  <c r="W1405" i="5"/>
  <c r="W1433" i="5"/>
  <c r="W1461" i="5"/>
  <c r="W1490" i="5"/>
  <c r="U9" i="5"/>
  <c r="W208" i="5"/>
  <c r="W289" i="5"/>
  <c r="W348" i="5"/>
  <c r="W42" i="5"/>
  <c r="W105" i="5"/>
  <c r="W163" i="5"/>
  <c r="W226" i="5"/>
  <c r="W290" i="5"/>
  <c r="W349" i="5"/>
  <c r="W107" i="5"/>
  <c r="W228" i="5"/>
  <c r="W292" i="5"/>
  <c r="W50" i="5"/>
  <c r="W171" i="5"/>
  <c r="W293" i="5"/>
  <c r="W109" i="5"/>
  <c r="W294" i="5"/>
  <c r="W110" i="5"/>
  <c r="W231" i="5"/>
  <c r="W354" i="5"/>
  <c r="W53" i="5"/>
  <c r="W174" i="5"/>
  <c r="W355" i="5"/>
  <c r="W54" i="5"/>
  <c r="W175" i="5"/>
  <c r="W233" i="5"/>
  <c r="W297" i="5"/>
  <c r="W55" i="5"/>
  <c r="W298" i="5"/>
  <c r="W235" i="5"/>
  <c r="W178" i="5"/>
  <c r="W241" i="5"/>
  <c r="W300" i="5"/>
  <c r="W377" i="5"/>
  <c r="W58" i="5"/>
  <c r="W179" i="5"/>
  <c r="W378" i="5"/>
  <c r="W76" i="5"/>
  <c r="W197" i="5"/>
  <c r="W319" i="5"/>
  <c r="W14" i="5"/>
  <c r="W135" i="5"/>
  <c r="W256" i="5"/>
  <c r="W320" i="5"/>
  <c r="W78" i="5"/>
  <c r="W199" i="5"/>
  <c r="W257" i="5"/>
  <c r="W386" i="5"/>
  <c r="W137" i="5"/>
  <c r="W322" i="5"/>
  <c r="W17" i="5"/>
  <c r="W138" i="5"/>
  <c r="W259" i="5"/>
  <c r="W408" i="5"/>
  <c r="W384" i="5"/>
  <c r="W360" i="5"/>
  <c r="W336" i="5"/>
  <c r="W312" i="5"/>
  <c r="W288" i="5"/>
  <c r="W264" i="5"/>
  <c r="W240" i="5"/>
  <c r="W216" i="5"/>
  <c r="W192" i="5"/>
  <c r="W168" i="5"/>
  <c r="W144" i="5"/>
  <c r="W120" i="5"/>
  <c r="W96" i="5"/>
  <c r="W72" i="5"/>
  <c r="W48" i="5"/>
  <c r="W24" i="5"/>
  <c r="W407" i="5"/>
  <c r="W383" i="5"/>
  <c r="W359" i="5"/>
  <c r="W335" i="5"/>
  <c r="W311" i="5"/>
  <c r="W287" i="5"/>
  <c r="W263" i="5"/>
  <c r="W239" i="5"/>
  <c r="W215" i="5"/>
  <c r="W191" i="5"/>
  <c r="W167" i="5"/>
  <c r="W143" i="5"/>
  <c r="W119" i="5"/>
  <c r="W95" i="5"/>
  <c r="W71" i="5"/>
  <c r="W47" i="5"/>
  <c r="W23" i="5"/>
  <c r="W406" i="5"/>
  <c r="W382" i="5"/>
  <c r="W358" i="5"/>
  <c r="W334" i="5"/>
  <c r="W310" i="5"/>
  <c r="W286" i="5"/>
  <c r="W262" i="5"/>
  <c r="W238" i="5"/>
  <c r="W214" i="5"/>
  <c r="W190" i="5"/>
  <c r="W166" i="5"/>
  <c r="W142" i="5"/>
  <c r="W118" i="5"/>
  <c r="W94" i="5"/>
  <c r="W70" i="5"/>
  <c r="W46" i="5"/>
  <c r="W22" i="5"/>
  <c r="W405" i="5"/>
  <c r="W381" i="5"/>
  <c r="W357" i="5"/>
  <c r="W333" i="5"/>
  <c r="W309" i="5"/>
  <c r="W285" i="5"/>
  <c r="W261" i="5"/>
  <c r="W237" i="5"/>
  <c r="W213" i="5"/>
  <c r="W189" i="5"/>
  <c r="W165" i="5"/>
  <c r="W141" i="5"/>
  <c r="W117" i="5"/>
  <c r="W93" i="5"/>
  <c r="W69" i="5"/>
  <c r="W45" i="5"/>
  <c r="W21" i="5"/>
  <c r="W404" i="5"/>
  <c r="W380" i="5"/>
  <c r="W356" i="5"/>
  <c r="W332" i="5"/>
  <c r="W308" i="5"/>
  <c r="W284" i="5"/>
  <c r="W260" i="5"/>
  <c r="W236" i="5"/>
  <c r="W212" i="5"/>
  <c r="W188" i="5"/>
  <c r="W164" i="5"/>
  <c r="W140" i="5"/>
  <c r="W116" i="5"/>
  <c r="W92" i="5"/>
  <c r="W68" i="5"/>
  <c r="W44" i="5"/>
  <c r="W20" i="5"/>
  <c r="W409" i="5"/>
  <c r="W375" i="5"/>
  <c r="W346" i="5"/>
  <c r="W317" i="5"/>
  <c r="W283" i="5"/>
  <c r="W254" i="5"/>
  <c r="W225" i="5"/>
  <c r="W196" i="5"/>
  <c r="W162" i="5"/>
  <c r="W133" i="5"/>
  <c r="W104" i="5"/>
  <c r="W75" i="5"/>
  <c r="W41" i="5"/>
  <c r="W12" i="5"/>
  <c r="W403" i="5"/>
  <c r="W374" i="5"/>
  <c r="W345" i="5"/>
  <c r="W316" i="5"/>
  <c r="W282" i="5"/>
  <c r="W253" i="5"/>
  <c r="W224" i="5"/>
  <c r="W195" i="5"/>
  <c r="W161" i="5"/>
  <c r="W132" i="5"/>
  <c r="W103" i="5"/>
  <c r="W74" i="5"/>
  <c r="W40" i="5"/>
  <c r="W11" i="5"/>
  <c r="W9" i="5"/>
  <c r="W400" i="5"/>
  <c r="W342" i="5"/>
  <c r="W313" i="5"/>
  <c r="W279" i="5"/>
  <c r="W221" i="5"/>
  <c r="W187" i="5"/>
  <c r="W129" i="5"/>
  <c r="W66" i="5"/>
  <c r="W8" i="5"/>
  <c r="W370" i="5"/>
  <c r="W307" i="5"/>
  <c r="W249" i="5"/>
  <c r="W186" i="5"/>
  <c r="W128" i="5"/>
  <c r="W65" i="5"/>
  <c r="W7" i="5"/>
  <c r="W369" i="5"/>
  <c r="W340" i="5"/>
  <c r="W277" i="5"/>
  <c r="W248" i="5"/>
  <c r="W185" i="5"/>
  <c r="W127" i="5"/>
  <c r="W64" i="5"/>
  <c r="W6" i="5"/>
  <c r="W368" i="5"/>
  <c r="W305" i="5"/>
  <c r="W247" i="5"/>
  <c r="W184" i="5"/>
  <c r="W126" i="5"/>
  <c r="W63" i="5"/>
  <c r="W367" i="5"/>
  <c r="W246" i="5"/>
  <c r="W183" i="5"/>
  <c r="W125" i="5"/>
  <c r="W62" i="5"/>
  <c r="W366" i="5"/>
  <c r="W303" i="5"/>
  <c r="W245" i="5"/>
  <c r="W211" i="5"/>
  <c r="W182" i="5"/>
  <c r="W124" i="5"/>
  <c r="W90" i="5"/>
  <c r="W32" i="5"/>
  <c r="W365" i="5"/>
  <c r="W210" i="5"/>
  <c r="W123" i="5"/>
  <c r="W60" i="5"/>
  <c r="W364" i="5"/>
  <c r="W330" i="5"/>
  <c r="W272" i="5"/>
  <c r="W209" i="5"/>
  <c r="W151" i="5"/>
  <c r="W88" i="5"/>
  <c r="W30" i="5"/>
  <c r="W392" i="5"/>
  <c r="W329" i="5"/>
  <c r="W402" i="5"/>
  <c r="W373" i="5"/>
  <c r="W344" i="5"/>
  <c r="W315" i="5"/>
  <c r="W281" i="5"/>
  <c r="W252" i="5"/>
  <c r="W223" i="5"/>
  <c r="W194" i="5"/>
  <c r="W160" i="5"/>
  <c r="W131" i="5"/>
  <c r="W102" i="5"/>
  <c r="W73" i="5"/>
  <c r="W39" i="5"/>
  <c r="W10" i="5"/>
  <c r="W401" i="5"/>
  <c r="W372" i="5"/>
  <c r="W343" i="5"/>
  <c r="W314" i="5"/>
  <c r="W280" i="5"/>
  <c r="W251" i="5"/>
  <c r="W222" i="5"/>
  <c r="W193" i="5"/>
  <c r="W159" i="5"/>
  <c r="W130" i="5"/>
  <c r="W101" i="5"/>
  <c r="W67" i="5"/>
  <c r="W38" i="5"/>
  <c r="W371" i="5"/>
  <c r="W250" i="5"/>
  <c r="W158" i="5"/>
  <c r="W100" i="5"/>
  <c r="W37" i="5"/>
  <c r="W399" i="5"/>
  <c r="W341" i="5"/>
  <c r="W278" i="5"/>
  <c r="W220" i="5"/>
  <c r="W157" i="5"/>
  <c r="W99" i="5"/>
  <c r="W36" i="5"/>
  <c r="W398" i="5"/>
  <c r="W306" i="5"/>
  <c r="W219" i="5"/>
  <c r="W156" i="5"/>
  <c r="W98" i="5"/>
  <c r="W35" i="5"/>
  <c r="W397" i="5"/>
  <c r="W339" i="5"/>
  <c r="W276" i="5"/>
  <c r="W218" i="5"/>
  <c r="W155" i="5"/>
  <c r="W97" i="5"/>
  <c r="W34" i="5"/>
  <c r="W396" i="5"/>
  <c r="W338" i="5"/>
  <c r="W275" i="5"/>
  <c r="W217" i="5"/>
  <c r="W154" i="5"/>
  <c r="W91" i="5"/>
  <c r="W33" i="5"/>
  <c r="W395" i="5"/>
  <c r="W337" i="5"/>
  <c r="W274" i="5"/>
  <c r="W153" i="5"/>
  <c r="W61" i="5"/>
  <c r="W394" i="5"/>
  <c r="W331" i="5"/>
  <c r="W302" i="5"/>
  <c r="W273" i="5"/>
  <c r="W244" i="5"/>
  <c r="W181" i="5"/>
  <c r="W152" i="5"/>
  <c r="W89" i="5"/>
  <c r="W31" i="5"/>
  <c r="W393" i="5"/>
  <c r="W301" i="5"/>
  <c r="W243" i="5"/>
  <c r="W180" i="5"/>
  <c r="W122" i="5"/>
  <c r="W59" i="5"/>
  <c r="W363" i="5"/>
  <c r="W271" i="5"/>
  <c r="W304" i="5"/>
  <c r="W391" i="5"/>
  <c r="W43" i="5"/>
  <c r="W106" i="5"/>
  <c r="W169" i="5"/>
  <c r="W227" i="5"/>
  <c r="W291" i="5"/>
  <c r="W350" i="5"/>
  <c r="W49" i="5"/>
  <c r="W170" i="5"/>
  <c r="W351" i="5"/>
  <c r="W108" i="5"/>
  <c r="W229" i="5"/>
  <c r="W352" i="5"/>
  <c r="W51" i="5"/>
  <c r="W172" i="5"/>
  <c r="W230" i="5"/>
  <c r="W353" i="5"/>
  <c r="W52" i="5"/>
  <c r="W173" i="5"/>
  <c r="W295" i="5"/>
  <c r="W111" i="5"/>
  <c r="W232" i="5"/>
  <c r="W296" i="5"/>
  <c r="W112" i="5"/>
  <c r="W361" i="5"/>
  <c r="W113" i="5"/>
  <c r="W176" i="5"/>
  <c r="W234" i="5"/>
  <c r="W362" i="5"/>
  <c r="W56" i="5"/>
  <c r="W114" i="5"/>
  <c r="W177" i="5"/>
  <c r="W299" i="5"/>
  <c r="W376" i="5"/>
  <c r="W57" i="5"/>
  <c r="W121" i="5"/>
  <c r="W242" i="5"/>
  <c r="W318" i="5"/>
  <c r="W13" i="5"/>
  <c r="W134" i="5"/>
  <c r="W255" i="5"/>
  <c r="W379" i="5"/>
  <c r="W77" i="5"/>
  <c r="W198" i="5"/>
  <c r="W385" i="5"/>
  <c r="W15" i="5"/>
  <c r="W136" i="5"/>
  <c r="W321" i="5"/>
  <c r="W16" i="5"/>
  <c r="W79" i="5"/>
  <c r="W200" i="5"/>
  <c r="W258" i="5"/>
  <c r="W387" i="5"/>
  <c r="W80" i="5"/>
  <c r="W201" i="5"/>
  <c r="W323" i="5"/>
  <c r="W18" i="5"/>
  <c r="W81" i="5"/>
  <c r="W139" i="5"/>
  <c r="W202" i="5"/>
  <c r="W265" i="5"/>
  <c r="W324" i="5"/>
  <c r="W389" i="5"/>
  <c r="W19" i="5"/>
  <c r="W82" i="5"/>
  <c r="W145" i="5"/>
  <c r="W203" i="5"/>
  <c r="W266" i="5"/>
  <c r="W325" i="5"/>
  <c r="W390" i="5"/>
  <c r="Y4" i="5" l="1"/>
  <c r="Y3" i="5"/>
  <c r="U12" i="5"/>
  <c r="U1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7ACF467-4DD8-41E6-88F9-9666E382FC13}" keepAlive="1" name="Query - Document" description="Connection to the 'Document' query in the workbook." type="5" refreshedVersion="0" background="1">
    <dbPr connection="Provider=Microsoft.Mashup.OleDb.1;Data Source=$Workbook$;Location=Document;Extended Properties=&quot;&quot;" command="SELECT * FROM [Document]"/>
  </connection>
</connections>
</file>

<file path=xl/sharedStrings.xml><?xml version="1.0" encoding="utf-8"?>
<sst xmlns="http://schemas.openxmlformats.org/spreadsheetml/2006/main" count="31" uniqueCount="30">
  <si>
    <t>Makro-Sheet</t>
  </si>
  <si>
    <t>Mean</t>
  </si>
  <si>
    <t>Standard.Dev (S)</t>
  </si>
  <si>
    <t>Standard.Dev (P)</t>
  </si>
  <si>
    <t xml:space="preserve">Monte Carl Sim </t>
  </si>
  <si>
    <t>Median</t>
  </si>
  <si>
    <t xml:space="preserve">Hisotical S&amp;P 500 Returns </t>
  </si>
  <si>
    <t>Commodites</t>
  </si>
  <si>
    <t>S&amp;P500</t>
  </si>
  <si>
    <t>NASDAQ</t>
  </si>
  <si>
    <t>DAX</t>
  </si>
  <si>
    <t>DOW Jones</t>
  </si>
  <si>
    <t>Russel 2000</t>
  </si>
  <si>
    <t>US</t>
  </si>
  <si>
    <t>EU</t>
  </si>
  <si>
    <t>MDAX</t>
  </si>
  <si>
    <t>SDAX</t>
  </si>
  <si>
    <t>CAC40</t>
  </si>
  <si>
    <t>FTSE MIB</t>
  </si>
  <si>
    <t>IBEX 35</t>
  </si>
  <si>
    <t xml:space="preserve">Swiss Market Index </t>
  </si>
  <si>
    <t>Max</t>
  </si>
  <si>
    <t>Min</t>
  </si>
  <si>
    <t>1 Sigma low</t>
  </si>
  <si>
    <t>1 Sigma high</t>
  </si>
  <si>
    <t>2 Sigma low</t>
  </si>
  <si>
    <t>2 Sigma high</t>
  </si>
  <si>
    <t>3 Sigma low</t>
  </si>
  <si>
    <t>3 Sigma high</t>
  </si>
  <si>
    <t>Hisotical S&amp;P 500 Returns YoY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</si>
</sst>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2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3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2" fillId="0" borderId="9" applyNumberFormat="0" applyFill="0" applyAlignment="0" applyProtection="0"/>
    <xf numFmtId="0" fontId="18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8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8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8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8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8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</cellStyleXfs>
  <cellXfs count="10">
    <xf numFmtId="0" fontId="0" fillId="0" borderId="0" xfId="0"/>
    <xf numFmtId="0" fontId="2" fillId="0" borderId="0" xfId="0" applyFont="1"/>
    <xf numFmtId="9" fontId="0" fillId="0" borderId="0" xfId="1" applyFont="1"/>
    <xf numFmtId="0" fontId="1" fillId="0" borderId="0" xfId="0" applyFont="1"/>
    <xf numFmtId="0" fontId="19" fillId="0" borderId="0" xfId="0" applyFont="1"/>
    <xf numFmtId="0" fontId="20" fillId="0" borderId="0" xfId="0" applyFont="1"/>
    <xf numFmtId="164" fontId="1" fillId="0" borderId="0" xfId="0" applyNumberFormat="1" applyFont="1"/>
    <xf numFmtId="9" fontId="1" fillId="0" borderId="0" xfId="1" applyFont="1"/>
    <xf numFmtId="164" fontId="1" fillId="0" borderId="0" xfId="1" applyNumberFormat="1" applyFont="1"/>
    <xf numFmtId="0" fontId="21" fillId="0" borderId="0" xfId="0" applyFon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 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Distribution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'S&amp;P'!$W$512:$W$1516</c:f>
              <c:numCache>
                <c:formatCode>0%</c:formatCode>
                <c:ptCount val="1005"/>
                <c:pt idx="0">
                  <c:v>0.16414013937585636</c:v>
                </c:pt>
                <c:pt idx="1">
                  <c:v>0.15075473172032811</c:v>
                </c:pt>
                <c:pt idx="2">
                  <c:v>0.20309740194781556</c:v>
                </c:pt>
                <c:pt idx="3">
                  <c:v>0.31767513152985877</c:v>
                </c:pt>
                <c:pt idx="4">
                  <c:v>-2.2906429559322733E-3</c:v>
                </c:pt>
                <c:pt idx="5">
                  <c:v>0.43169492245386848</c:v>
                </c:pt>
                <c:pt idx="6">
                  <c:v>-0.28519497776745001</c:v>
                </c:pt>
                <c:pt idx="7">
                  <c:v>0.19433741608115496</c:v>
                </c:pt>
                <c:pt idx="8">
                  <c:v>0.10904309237662609</c:v>
                </c:pt>
                <c:pt idx="9">
                  <c:v>-0.24860038418909047</c:v>
                </c:pt>
                <c:pt idx="10">
                  <c:v>7.0606420790342905E-2</c:v>
                </c:pt>
                <c:pt idx="11">
                  <c:v>0.34782898599258499</c:v>
                </c:pt>
                <c:pt idx="12">
                  <c:v>-2.6581864582166201E-2</c:v>
                </c:pt>
                <c:pt idx="13">
                  <c:v>-0.10232450438783976</c:v>
                </c:pt>
                <c:pt idx="14">
                  <c:v>0.2951232155318948</c:v>
                </c:pt>
                <c:pt idx="15">
                  <c:v>-3.4363836723292199E-2</c:v>
                </c:pt>
                <c:pt idx="16">
                  <c:v>0.11103163365506456</c:v>
                </c:pt>
                <c:pt idx="17">
                  <c:v>-5.5214941595919456E-2</c:v>
                </c:pt>
                <c:pt idx="18">
                  <c:v>0.10026067205997709</c:v>
                </c:pt>
                <c:pt idx="19">
                  <c:v>0.16931465889195474</c:v>
                </c:pt>
                <c:pt idx="20">
                  <c:v>0.38133527450244264</c:v>
                </c:pt>
                <c:pt idx="21">
                  <c:v>0.44754263354678203</c:v>
                </c:pt>
                <c:pt idx="22">
                  <c:v>-1.3923321348888282E-2</c:v>
                </c:pt>
                <c:pt idx="23">
                  <c:v>0.55116978587062493</c:v>
                </c:pt>
                <c:pt idx="24">
                  <c:v>-7.8778795473405674E-2</c:v>
                </c:pt>
                <c:pt idx="25">
                  <c:v>-1.1472436645437067E-2</c:v>
                </c:pt>
                <c:pt idx="26">
                  <c:v>0.37373591996985622</c:v>
                </c:pt>
                <c:pt idx="27">
                  <c:v>-4.8754322305598133E-2</c:v>
                </c:pt>
                <c:pt idx="28">
                  <c:v>2.8540732387936529E-2</c:v>
                </c:pt>
                <c:pt idx="29">
                  <c:v>0.1146209918353302</c:v>
                </c:pt>
                <c:pt idx="30">
                  <c:v>5.0363565958257278E-3</c:v>
                </c:pt>
                <c:pt idx="31">
                  <c:v>-0.14857050129913657</c:v>
                </c:pt>
                <c:pt idx="32">
                  <c:v>0.31245811767160664</c:v>
                </c:pt>
                <c:pt idx="33">
                  <c:v>-9.6753499166907189E-2</c:v>
                </c:pt>
                <c:pt idx="34">
                  <c:v>0.3305736011175136</c:v>
                </c:pt>
                <c:pt idx="35">
                  <c:v>-0.11570380652229593</c:v>
                </c:pt>
                <c:pt idx="36">
                  <c:v>-4.5144703791997323E-2</c:v>
                </c:pt>
                <c:pt idx="37">
                  <c:v>-0.11718264555821474</c:v>
                </c:pt>
                <c:pt idx="38">
                  <c:v>0.26413066181935951</c:v>
                </c:pt>
                <c:pt idx="39">
                  <c:v>4.3293681328555253E-2</c:v>
                </c:pt>
                <c:pt idx="40">
                  <c:v>7.2568282565052239E-2</c:v>
                </c:pt>
                <c:pt idx="41">
                  <c:v>-6.751774089263439E-2</c:v>
                </c:pt>
                <c:pt idx="42">
                  <c:v>0.29467646658824914</c:v>
                </c:pt>
                <c:pt idx="43">
                  <c:v>0.3667810203246602</c:v>
                </c:pt>
                <c:pt idx="44">
                  <c:v>2.0003754918883468E-2</c:v>
                </c:pt>
                <c:pt idx="45">
                  <c:v>0.21113273087476253</c:v>
                </c:pt>
                <c:pt idx="46">
                  <c:v>-0.23754823857379648</c:v>
                </c:pt>
                <c:pt idx="47">
                  <c:v>0.13453987570241804</c:v>
                </c:pt>
                <c:pt idx="48">
                  <c:v>4.2783643497395288E-2</c:v>
                </c:pt>
                <c:pt idx="49">
                  <c:v>0.16367699140762304</c:v>
                </c:pt>
                <c:pt idx="50">
                  <c:v>-9.7802119939209661E-2</c:v>
                </c:pt>
                <c:pt idx="51">
                  <c:v>0.19412915504519135</c:v>
                </c:pt>
                <c:pt idx="52">
                  <c:v>0.25473229358174865</c:v>
                </c:pt>
                <c:pt idx="53">
                  <c:v>0.43567339438704378</c:v>
                </c:pt>
                <c:pt idx="54">
                  <c:v>2.4895493046147632E-2</c:v>
                </c:pt>
                <c:pt idx="55">
                  <c:v>1.8145679702536374E-2</c:v>
                </c:pt>
                <c:pt idx="56">
                  <c:v>-3.5996236083716271E-3</c:v>
                </c:pt>
                <c:pt idx="57">
                  <c:v>7.4128437307131034E-2</c:v>
                </c:pt>
                <c:pt idx="58">
                  <c:v>3.2473422680626973E-3</c:v>
                </c:pt>
                <c:pt idx="59">
                  <c:v>7.6442599065379799E-2</c:v>
                </c:pt>
                <c:pt idx="60">
                  <c:v>-8.8385687991041975E-2</c:v>
                </c:pt>
                <c:pt idx="61">
                  <c:v>0.13432690759190624</c:v>
                </c:pt>
                <c:pt idx="62">
                  <c:v>3.3900807900456298E-3</c:v>
                </c:pt>
                <c:pt idx="63">
                  <c:v>0.2133355508710954</c:v>
                </c:pt>
                <c:pt idx="64">
                  <c:v>0.10948426029233348</c:v>
                </c:pt>
                <c:pt idx="65">
                  <c:v>0.41005252732364239</c:v>
                </c:pt>
                <c:pt idx="66">
                  <c:v>0.34251737810347682</c:v>
                </c:pt>
                <c:pt idx="67">
                  <c:v>-6.9873774942077485E-2</c:v>
                </c:pt>
                <c:pt idx="68">
                  <c:v>0.20356225344828061</c:v>
                </c:pt>
                <c:pt idx="69">
                  <c:v>-0.21315854800275852</c:v>
                </c:pt>
                <c:pt idx="70">
                  <c:v>0.34777872523247938</c:v>
                </c:pt>
                <c:pt idx="71">
                  <c:v>-0.15879784133063735</c:v>
                </c:pt>
                <c:pt idx="72">
                  <c:v>5.1216309444366261E-2</c:v>
                </c:pt>
                <c:pt idx="73">
                  <c:v>8.5043443650921438E-2</c:v>
                </c:pt>
                <c:pt idx="74">
                  <c:v>4.5789578553628335E-2</c:v>
                </c:pt>
                <c:pt idx="75">
                  <c:v>1.7448131252950735E-2</c:v>
                </c:pt>
                <c:pt idx="76">
                  <c:v>0.34340886048396779</c:v>
                </c:pt>
                <c:pt idx="77">
                  <c:v>0.30891908422464071</c:v>
                </c:pt>
                <c:pt idx="78">
                  <c:v>0.29932139252817447</c:v>
                </c:pt>
                <c:pt idx="79">
                  <c:v>0.37062858231229556</c:v>
                </c:pt>
                <c:pt idx="80">
                  <c:v>8.5350433882247195E-2</c:v>
                </c:pt>
                <c:pt idx="81">
                  <c:v>0.10296151185019718</c:v>
                </c:pt>
                <c:pt idx="82">
                  <c:v>0.24575277912089194</c:v>
                </c:pt>
                <c:pt idx="83">
                  <c:v>0.2736601302691557</c:v>
                </c:pt>
                <c:pt idx="84">
                  <c:v>6.3870991433249813E-2</c:v>
                </c:pt>
                <c:pt idx="85">
                  <c:v>6.7564937209310311E-2</c:v>
                </c:pt>
                <c:pt idx="86">
                  <c:v>0.24711289031584593</c:v>
                </c:pt>
                <c:pt idx="87">
                  <c:v>-0.1076870307108065</c:v>
                </c:pt>
                <c:pt idx="88">
                  <c:v>0.23557845094949709</c:v>
                </c:pt>
                <c:pt idx="89">
                  <c:v>-7.5821747351437749E-2</c:v>
                </c:pt>
                <c:pt idx="90">
                  <c:v>0.10230718953784687</c:v>
                </c:pt>
                <c:pt idx="91">
                  <c:v>0.25867666891897251</c:v>
                </c:pt>
                <c:pt idx="92">
                  <c:v>0.10649997123566002</c:v>
                </c:pt>
                <c:pt idx="93">
                  <c:v>0.41574833935569216</c:v>
                </c:pt>
                <c:pt idx="94">
                  <c:v>-2.3210882783740186E-2</c:v>
                </c:pt>
                <c:pt idx="95">
                  <c:v>0.11030590315796213</c:v>
                </c:pt>
                <c:pt idx="96">
                  <c:v>-0.17172393703595928</c:v>
                </c:pt>
                <c:pt idx="97">
                  <c:v>0.10616891228253279</c:v>
                </c:pt>
                <c:pt idx="98">
                  <c:v>4.2707645286917728E-2</c:v>
                </c:pt>
                <c:pt idx="99">
                  <c:v>2.2607329290662878E-2</c:v>
                </c:pt>
                <c:pt idx="100">
                  <c:v>6.4280344264289163E-2</c:v>
                </c:pt>
                <c:pt idx="101">
                  <c:v>0.2318737931018488</c:v>
                </c:pt>
                <c:pt idx="102">
                  <c:v>7.1609040056140091E-2</c:v>
                </c:pt>
                <c:pt idx="103">
                  <c:v>0.20193135663082129</c:v>
                </c:pt>
                <c:pt idx="104">
                  <c:v>0.10078804076547147</c:v>
                </c:pt>
                <c:pt idx="105">
                  <c:v>0.11746003118475354</c:v>
                </c:pt>
                <c:pt idx="106">
                  <c:v>0.16755185816611817</c:v>
                </c:pt>
                <c:pt idx="107">
                  <c:v>0.12190543066914937</c:v>
                </c:pt>
                <c:pt idx="108">
                  <c:v>-8.2016656110894856E-2</c:v>
                </c:pt>
                <c:pt idx="109">
                  <c:v>-4.9825326737717404E-2</c:v>
                </c:pt>
                <c:pt idx="110">
                  <c:v>0.1714105439980943</c:v>
                </c:pt>
                <c:pt idx="111">
                  <c:v>0.19010106678000233</c:v>
                </c:pt>
                <c:pt idx="112">
                  <c:v>-0.30811399027848801</c:v>
                </c:pt>
                <c:pt idx="113">
                  <c:v>8.4404921176344058E-2</c:v>
                </c:pt>
                <c:pt idx="114">
                  <c:v>0.33318208181351838</c:v>
                </c:pt>
                <c:pt idx="115">
                  <c:v>0.36457200127315359</c:v>
                </c:pt>
                <c:pt idx="116">
                  <c:v>8.6088066268539709E-2</c:v>
                </c:pt>
                <c:pt idx="117">
                  <c:v>0.1367232019703423</c:v>
                </c:pt>
                <c:pt idx="118">
                  <c:v>-0.12830519009403374</c:v>
                </c:pt>
                <c:pt idx="119">
                  <c:v>0.11386794033493371</c:v>
                </c:pt>
                <c:pt idx="120">
                  <c:v>0.24517100834181077</c:v>
                </c:pt>
                <c:pt idx="121">
                  <c:v>0.48939631335494432</c:v>
                </c:pt>
                <c:pt idx="122">
                  <c:v>0.51692390481525874</c:v>
                </c:pt>
                <c:pt idx="123">
                  <c:v>0.10487618976669154</c:v>
                </c:pt>
                <c:pt idx="124">
                  <c:v>-0.17460778172456715</c:v>
                </c:pt>
                <c:pt idx="125">
                  <c:v>0.24092914689849515</c:v>
                </c:pt>
                <c:pt idx="126">
                  <c:v>-4.0644829442802607E-2</c:v>
                </c:pt>
                <c:pt idx="127">
                  <c:v>0.19340022598717804</c:v>
                </c:pt>
                <c:pt idx="128">
                  <c:v>8.7690111196570802E-2</c:v>
                </c:pt>
                <c:pt idx="129">
                  <c:v>0.18677939188448078</c:v>
                </c:pt>
                <c:pt idx="130">
                  <c:v>0.16374821830901237</c:v>
                </c:pt>
                <c:pt idx="131">
                  <c:v>7.231177355125426E-2</c:v>
                </c:pt>
                <c:pt idx="132">
                  <c:v>0.34575106781343568</c:v>
                </c:pt>
                <c:pt idx="133">
                  <c:v>-8.8323645700760275E-2</c:v>
                </c:pt>
                <c:pt idx="134">
                  <c:v>0.32129520129951233</c:v>
                </c:pt>
                <c:pt idx="135">
                  <c:v>3.1880411616366594E-2</c:v>
                </c:pt>
                <c:pt idx="136">
                  <c:v>7.4814297241489344E-2</c:v>
                </c:pt>
                <c:pt idx="137">
                  <c:v>8.2813483025076837E-2</c:v>
                </c:pt>
                <c:pt idx="138">
                  <c:v>6.6183201291292459E-3</c:v>
                </c:pt>
                <c:pt idx="139">
                  <c:v>0.23468759679577925</c:v>
                </c:pt>
                <c:pt idx="140">
                  <c:v>4.1919239152310855E-3</c:v>
                </c:pt>
                <c:pt idx="141">
                  <c:v>0.19829332906115596</c:v>
                </c:pt>
                <c:pt idx="142">
                  <c:v>-9.5338818995636551E-2</c:v>
                </c:pt>
                <c:pt idx="143">
                  <c:v>-3.7021086309060772E-2</c:v>
                </c:pt>
                <c:pt idx="144">
                  <c:v>0.21535720480439918</c:v>
                </c:pt>
                <c:pt idx="145">
                  <c:v>0.43980892773802172</c:v>
                </c:pt>
                <c:pt idx="146">
                  <c:v>8.7496770815353953E-2</c:v>
                </c:pt>
                <c:pt idx="147">
                  <c:v>0.16048231465968207</c:v>
                </c:pt>
                <c:pt idx="148">
                  <c:v>0.26004145786083388</c:v>
                </c:pt>
                <c:pt idx="149">
                  <c:v>-0.17945691024033217</c:v>
                </c:pt>
                <c:pt idx="150">
                  <c:v>8.9531818281195608E-2</c:v>
                </c:pt>
                <c:pt idx="151">
                  <c:v>-0.31208137595318081</c:v>
                </c:pt>
                <c:pt idx="152">
                  <c:v>7.1580486244024771E-2</c:v>
                </c:pt>
                <c:pt idx="153">
                  <c:v>0.17113426126601608</c:v>
                </c:pt>
                <c:pt idx="154">
                  <c:v>-7.4226072324262565E-3</c:v>
                </c:pt>
                <c:pt idx="155">
                  <c:v>-4.6854162855910778E-2</c:v>
                </c:pt>
                <c:pt idx="156">
                  <c:v>3.6914838696189223E-2</c:v>
                </c:pt>
                <c:pt idx="157">
                  <c:v>7.102175974283445E-2</c:v>
                </c:pt>
                <c:pt idx="158">
                  <c:v>5.2229084449505137E-2</c:v>
                </c:pt>
                <c:pt idx="159">
                  <c:v>0.12239014212871949</c:v>
                </c:pt>
                <c:pt idx="160">
                  <c:v>0.48119740121234406</c:v>
                </c:pt>
                <c:pt idx="161">
                  <c:v>0.14317415747212534</c:v>
                </c:pt>
                <c:pt idx="162">
                  <c:v>-9.3310226525811779E-3</c:v>
                </c:pt>
                <c:pt idx="163">
                  <c:v>0.15325681566722241</c:v>
                </c:pt>
                <c:pt idx="164">
                  <c:v>0.13297720867949869</c:v>
                </c:pt>
                <c:pt idx="165">
                  <c:v>0.30915868771885835</c:v>
                </c:pt>
                <c:pt idx="166">
                  <c:v>8.0398974205314083E-2</c:v>
                </c:pt>
                <c:pt idx="167">
                  <c:v>0.38222073142014912</c:v>
                </c:pt>
                <c:pt idx="168">
                  <c:v>0.23266182579604097</c:v>
                </c:pt>
                <c:pt idx="169">
                  <c:v>0.11775186894244259</c:v>
                </c:pt>
                <c:pt idx="170">
                  <c:v>0.10261387409251288</c:v>
                </c:pt>
                <c:pt idx="171">
                  <c:v>5.5814085266331775E-3</c:v>
                </c:pt>
                <c:pt idx="172">
                  <c:v>0.21626977854516077</c:v>
                </c:pt>
                <c:pt idx="173">
                  <c:v>5.1432742575676545E-2</c:v>
                </c:pt>
                <c:pt idx="174">
                  <c:v>0.2275730403051342</c:v>
                </c:pt>
                <c:pt idx="175">
                  <c:v>-7.2042217555888147E-2</c:v>
                </c:pt>
                <c:pt idx="176">
                  <c:v>-0.10096460221381283</c:v>
                </c:pt>
                <c:pt idx="177">
                  <c:v>-9.2859664824200258E-2</c:v>
                </c:pt>
                <c:pt idx="178">
                  <c:v>0.33998696764616859</c:v>
                </c:pt>
                <c:pt idx="179">
                  <c:v>0.34906160711979184</c:v>
                </c:pt>
                <c:pt idx="180">
                  <c:v>-4.9522557588103103E-2</c:v>
                </c:pt>
                <c:pt idx="181">
                  <c:v>6.5819689074580204E-2</c:v>
                </c:pt>
                <c:pt idx="182">
                  <c:v>0.3156297265888427</c:v>
                </c:pt>
                <c:pt idx="183">
                  <c:v>0.35197112367025651</c:v>
                </c:pt>
                <c:pt idx="184">
                  <c:v>0.24569608179682412</c:v>
                </c:pt>
                <c:pt idx="185">
                  <c:v>0.31548029681288509</c:v>
                </c:pt>
                <c:pt idx="186">
                  <c:v>0.40534703900112629</c:v>
                </c:pt>
                <c:pt idx="187">
                  <c:v>-4.6145781588491239E-2</c:v>
                </c:pt>
                <c:pt idx="188">
                  <c:v>0.10721935219129376</c:v>
                </c:pt>
                <c:pt idx="189">
                  <c:v>0.37535354648231228</c:v>
                </c:pt>
                <c:pt idx="190">
                  <c:v>-6.3769657002603578E-2</c:v>
                </c:pt>
                <c:pt idx="191">
                  <c:v>0.23097718297034719</c:v>
                </c:pt>
                <c:pt idx="192">
                  <c:v>0.1330224274374957</c:v>
                </c:pt>
                <c:pt idx="193">
                  <c:v>3.9301301957979221E-2</c:v>
                </c:pt>
                <c:pt idx="194">
                  <c:v>0.30340105826408964</c:v>
                </c:pt>
                <c:pt idx="195">
                  <c:v>0.12107663720194448</c:v>
                </c:pt>
                <c:pt idx="196">
                  <c:v>0.38349827765915212</c:v>
                </c:pt>
                <c:pt idx="197">
                  <c:v>0.46123705818049743</c:v>
                </c:pt>
                <c:pt idx="198">
                  <c:v>0.30386210717275397</c:v>
                </c:pt>
                <c:pt idx="199">
                  <c:v>-2.6127373634246956E-2</c:v>
                </c:pt>
                <c:pt idx="200">
                  <c:v>0.35454080055909221</c:v>
                </c:pt>
                <c:pt idx="201">
                  <c:v>0.14572533752452488</c:v>
                </c:pt>
                <c:pt idx="202">
                  <c:v>1.6328648051262967E-2</c:v>
                </c:pt>
                <c:pt idx="203">
                  <c:v>0.16727114579587973</c:v>
                </c:pt>
                <c:pt idx="204">
                  <c:v>3.1365999832226002E-2</c:v>
                </c:pt>
                <c:pt idx="205">
                  <c:v>-8.93602088689327E-4</c:v>
                </c:pt>
                <c:pt idx="206">
                  <c:v>0.17945759782250448</c:v>
                </c:pt>
                <c:pt idx="207">
                  <c:v>-0.16467599853769987</c:v>
                </c:pt>
                <c:pt idx="208">
                  <c:v>0.57320346556770174</c:v>
                </c:pt>
                <c:pt idx="209">
                  <c:v>0.1112146995690127</c:v>
                </c:pt>
                <c:pt idx="210">
                  <c:v>0.11872870884755511</c:v>
                </c:pt>
                <c:pt idx="211">
                  <c:v>0.12014991675976744</c:v>
                </c:pt>
                <c:pt idx="212">
                  <c:v>0.28556212526683589</c:v>
                </c:pt>
                <c:pt idx="213">
                  <c:v>0.4184387184077652</c:v>
                </c:pt>
                <c:pt idx="214">
                  <c:v>0.41154937387595042</c:v>
                </c:pt>
                <c:pt idx="215">
                  <c:v>0.25234810859182011</c:v>
                </c:pt>
                <c:pt idx="216">
                  <c:v>0.24493128807036524</c:v>
                </c:pt>
                <c:pt idx="217">
                  <c:v>7.6384273897506794E-3</c:v>
                </c:pt>
                <c:pt idx="218">
                  <c:v>-8.7989495523425179E-2</c:v>
                </c:pt>
                <c:pt idx="219">
                  <c:v>0.30806696668463257</c:v>
                </c:pt>
                <c:pt idx="220">
                  <c:v>5.2942113447565102E-2</c:v>
                </c:pt>
                <c:pt idx="221">
                  <c:v>0.2288175940822276</c:v>
                </c:pt>
                <c:pt idx="222">
                  <c:v>-3.8495882137981149E-2</c:v>
                </c:pt>
                <c:pt idx="223">
                  <c:v>0.13666392788116666</c:v>
                </c:pt>
                <c:pt idx="224">
                  <c:v>0.35000036503031545</c:v>
                </c:pt>
                <c:pt idx="225">
                  <c:v>0.1702135449696846</c:v>
                </c:pt>
                <c:pt idx="226">
                  <c:v>0.3631567052837853</c:v>
                </c:pt>
                <c:pt idx="227">
                  <c:v>1.564880447904049E-2</c:v>
                </c:pt>
                <c:pt idx="228">
                  <c:v>-3.2302540885849426E-2</c:v>
                </c:pt>
                <c:pt idx="229">
                  <c:v>0.10790959649312493</c:v>
                </c:pt>
                <c:pt idx="230">
                  <c:v>-0.13681181569381817</c:v>
                </c:pt>
                <c:pt idx="231">
                  <c:v>1.5497267736240258E-2</c:v>
                </c:pt>
                <c:pt idx="232">
                  <c:v>0.90699381140012192</c:v>
                </c:pt>
                <c:pt idx="233">
                  <c:v>0.10331549606820724</c:v>
                </c:pt>
                <c:pt idx="234">
                  <c:v>0.19022801302166842</c:v>
                </c:pt>
                <c:pt idx="235">
                  <c:v>0.31115080945545193</c:v>
                </c:pt>
                <c:pt idx="236">
                  <c:v>3.6807700841278782E-2</c:v>
                </c:pt>
                <c:pt idx="237">
                  <c:v>0.1656293147049927</c:v>
                </c:pt>
                <c:pt idx="238">
                  <c:v>-9.9012920186406644E-3</c:v>
                </c:pt>
                <c:pt idx="239">
                  <c:v>0.37459094564895401</c:v>
                </c:pt>
                <c:pt idx="240">
                  <c:v>-0.12048048212104341</c:v>
                </c:pt>
                <c:pt idx="241">
                  <c:v>0.10392456935015822</c:v>
                </c:pt>
                <c:pt idx="242">
                  <c:v>-0.14751667956256176</c:v>
                </c:pt>
                <c:pt idx="243">
                  <c:v>0.17873206256802243</c:v>
                </c:pt>
                <c:pt idx="244">
                  <c:v>7.0731690726059837E-2</c:v>
                </c:pt>
                <c:pt idx="245">
                  <c:v>0.19247598919359851</c:v>
                </c:pt>
                <c:pt idx="246">
                  <c:v>0.11795889778871894</c:v>
                </c:pt>
                <c:pt idx="247">
                  <c:v>0.27850409274247673</c:v>
                </c:pt>
                <c:pt idx="248">
                  <c:v>0.24203572308447874</c:v>
                </c:pt>
                <c:pt idx="249">
                  <c:v>-0.12657818656577835</c:v>
                </c:pt>
                <c:pt idx="250">
                  <c:v>0.32124393877356577</c:v>
                </c:pt>
                <c:pt idx="251">
                  <c:v>-9.4289662896695894E-2</c:v>
                </c:pt>
                <c:pt idx="252">
                  <c:v>-3.21687291238857E-2</c:v>
                </c:pt>
                <c:pt idx="253">
                  <c:v>-3.7733319441139238E-2</c:v>
                </c:pt>
                <c:pt idx="254">
                  <c:v>2.5082275424529385E-2</c:v>
                </c:pt>
                <c:pt idx="255">
                  <c:v>0.28227823406540553</c:v>
                </c:pt>
                <c:pt idx="256">
                  <c:v>-1.8301078286695235E-2</c:v>
                </c:pt>
                <c:pt idx="257">
                  <c:v>-0.24812491501248085</c:v>
                </c:pt>
                <c:pt idx="258">
                  <c:v>7.6307789834236361E-2</c:v>
                </c:pt>
                <c:pt idx="259">
                  <c:v>0.3772881018747628</c:v>
                </c:pt>
                <c:pt idx="260">
                  <c:v>0.29069402933055982</c:v>
                </c:pt>
                <c:pt idx="261">
                  <c:v>-4.6048783838693527E-2</c:v>
                </c:pt>
                <c:pt idx="262">
                  <c:v>9.2296256960546982E-2</c:v>
                </c:pt>
                <c:pt idx="263">
                  <c:v>-8.2166322705732944E-2</c:v>
                </c:pt>
                <c:pt idx="264">
                  <c:v>0.39999030204443137</c:v>
                </c:pt>
                <c:pt idx="265">
                  <c:v>-0.14238709556322454</c:v>
                </c:pt>
                <c:pt idx="266">
                  <c:v>0.25155353416973708</c:v>
                </c:pt>
                <c:pt idx="267">
                  <c:v>0.24916860467290142</c:v>
                </c:pt>
                <c:pt idx="268">
                  <c:v>0.45803408991150268</c:v>
                </c:pt>
                <c:pt idx="269">
                  <c:v>0.12509597164826569</c:v>
                </c:pt>
                <c:pt idx="270">
                  <c:v>0.20214900130785976</c:v>
                </c:pt>
                <c:pt idx="271">
                  <c:v>0.36787689410744123</c:v>
                </c:pt>
                <c:pt idx="272">
                  <c:v>8.5624198198350418E-2</c:v>
                </c:pt>
                <c:pt idx="273">
                  <c:v>0.2999263473045497</c:v>
                </c:pt>
                <c:pt idx="274">
                  <c:v>-4.8530504057565996E-2</c:v>
                </c:pt>
                <c:pt idx="275">
                  <c:v>-6.8929389050446363E-2</c:v>
                </c:pt>
                <c:pt idx="276">
                  <c:v>0.12111297463287392</c:v>
                </c:pt>
                <c:pt idx="277">
                  <c:v>8.5889858752476123E-2</c:v>
                </c:pt>
                <c:pt idx="278">
                  <c:v>0.40688393174048371</c:v>
                </c:pt>
                <c:pt idx="279">
                  <c:v>8.0392913959109275E-2</c:v>
                </c:pt>
                <c:pt idx="280">
                  <c:v>0.21745603014727655</c:v>
                </c:pt>
                <c:pt idx="281">
                  <c:v>0.1315495674517228</c:v>
                </c:pt>
                <c:pt idx="282">
                  <c:v>3.7929931072177667E-2</c:v>
                </c:pt>
                <c:pt idx="283">
                  <c:v>6.9815263500652924E-2</c:v>
                </c:pt>
                <c:pt idx="284">
                  <c:v>0.12945007046571108</c:v>
                </c:pt>
                <c:pt idx="285">
                  <c:v>-0.12328900614230957</c:v>
                </c:pt>
                <c:pt idx="286">
                  <c:v>0.26525404168262406</c:v>
                </c:pt>
                <c:pt idx="287">
                  <c:v>0.45094548157593567</c:v>
                </c:pt>
                <c:pt idx="288">
                  <c:v>0.27035301499468795</c:v>
                </c:pt>
                <c:pt idx="289">
                  <c:v>8.7651358575329352E-2</c:v>
                </c:pt>
                <c:pt idx="290">
                  <c:v>0.27583729074932262</c:v>
                </c:pt>
                <c:pt idx="291">
                  <c:v>0.1625912366379143</c:v>
                </c:pt>
                <c:pt idx="292">
                  <c:v>-9.5293891527964955E-2</c:v>
                </c:pt>
                <c:pt idx="293">
                  <c:v>-0.22100917694319988</c:v>
                </c:pt>
                <c:pt idx="294">
                  <c:v>0.29106426767809385</c:v>
                </c:pt>
                <c:pt idx="295">
                  <c:v>0.31219612344757158</c:v>
                </c:pt>
                <c:pt idx="296">
                  <c:v>0.23637212676063776</c:v>
                </c:pt>
                <c:pt idx="297">
                  <c:v>0.14906892334663221</c:v>
                </c:pt>
                <c:pt idx="298">
                  <c:v>0.19109296388968142</c:v>
                </c:pt>
                <c:pt idx="299">
                  <c:v>0.14830210468065708</c:v>
                </c:pt>
                <c:pt idx="300">
                  <c:v>2.2293039049695179E-2</c:v>
                </c:pt>
                <c:pt idx="301">
                  <c:v>8.7365527098653653E-2</c:v>
                </c:pt>
                <c:pt idx="302">
                  <c:v>0.37348432466738563</c:v>
                </c:pt>
                <c:pt idx="303">
                  <c:v>0.33562181839757232</c:v>
                </c:pt>
                <c:pt idx="304">
                  <c:v>4.730231341824416E-2</c:v>
                </c:pt>
                <c:pt idx="305">
                  <c:v>0.17429616415076199</c:v>
                </c:pt>
                <c:pt idx="306">
                  <c:v>0.25127022473896721</c:v>
                </c:pt>
                <c:pt idx="307">
                  <c:v>2.9150789641862462E-3</c:v>
                </c:pt>
                <c:pt idx="308">
                  <c:v>0.1497939562402118</c:v>
                </c:pt>
                <c:pt idx="309">
                  <c:v>9.6419084788398612E-3</c:v>
                </c:pt>
                <c:pt idx="310">
                  <c:v>6.7233289096994678E-2</c:v>
                </c:pt>
                <c:pt idx="311">
                  <c:v>0.3905346195395929</c:v>
                </c:pt>
                <c:pt idx="312">
                  <c:v>0.2182608226998477</c:v>
                </c:pt>
                <c:pt idx="313">
                  <c:v>-7.7495094836551356E-2</c:v>
                </c:pt>
                <c:pt idx="314">
                  <c:v>0.40078981878030479</c:v>
                </c:pt>
                <c:pt idx="315">
                  <c:v>0.4453428982519097</c:v>
                </c:pt>
                <c:pt idx="316">
                  <c:v>0.58807210603068294</c:v>
                </c:pt>
                <c:pt idx="317">
                  <c:v>0.2641819228242952</c:v>
                </c:pt>
                <c:pt idx="318">
                  <c:v>0.23037224805492026</c:v>
                </c:pt>
                <c:pt idx="319">
                  <c:v>0.32949576258044155</c:v>
                </c:pt>
                <c:pt idx="320">
                  <c:v>-4.9661538263387192E-2</c:v>
                </c:pt>
                <c:pt idx="321">
                  <c:v>0.15595915787057363</c:v>
                </c:pt>
                <c:pt idx="322">
                  <c:v>-0.28941979223237968</c:v>
                </c:pt>
                <c:pt idx="323">
                  <c:v>0.14766834921153585</c:v>
                </c:pt>
                <c:pt idx="324">
                  <c:v>0.37573147103896898</c:v>
                </c:pt>
                <c:pt idx="325">
                  <c:v>0.27424104823910606</c:v>
                </c:pt>
                <c:pt idx="326">
                  <c:v>0.16645532902819271</c:v>
                </c:pt>
                <c:pt idx="327">
                  <c:v>0.33811776380883951</c:v>
                </c:pt>
                <c:pt idx="328">
                  <c:v>1.6174484397956504E-2</c:v>
                </c:pt>
                <c:pt idx="329">
                  <c:v>0.30273346489384112</c:v>
                </c:pt>
                <c:pt idx="330">
                  <c:v>0.2871926115113036</c:v>
                </c:pt>
                <c:pt idx="331">
                  <c:v>0.1533971487041336</c:v>
                </c:pt>
                <c:pt idx="332">
                  <c:v>-0.23550365148601121</c:v>
                </c:pt>
                <c:pt idx="333">
                  <c:v>-5.1983982656201702E-2</c:v>
                </c:pt>
                <c:pt idx="334">
                  <c:v>-9.2333679874757532E-2</c:v>
                </c:pt>
                <c:pt idx="335">
                  <c:v>-0.2624780361220127</c:v>
                </c:pt>
                <c:pt idx="336">
                  <c:v>0.13057655964819301</c:v>
                </c:pt>
                <c:pt idx="337">
                  <c:v>0.22929747571669501</c:v>
                </c:pt>
                <c:pt idx="338">
                  <c:v>0.12450011868752013</c:v>
                </c:pt>
                <c:pt idx="339">
                  <c:v>-0.16682838052531673</c:v>
                </c:pt>
                <c:pt idx="340">
                  <c:v>0.35017903382815618</c:v>
                </c:pt>
                <c:pt idx="341">
                  <c:v>0.36351886815206552</c:v>
                </c:pt>
                <c:pt idx="342">
                  <c:v>6.2270783069470752E-2</c:v>
                </c:pt>
                <c:pt idx="343">
                  <c:v>1.9611013805301336E-2</c:v>
                </c:pt>
                <c:pt idx="344">
                  <c:v>-8.3580163959681389E-2</c:v>
                </c:pt>
                <c:pt idx="345">
                  <c:v>0.22256702627625696</c:v>
                </c:pt>
                <c:pt idx="346">
                  <c:v>9.0830299500783404E-2</c:v>
                </c:pt>
                <c:pt idx="347">
                  <c:v>0.22341405142312462</c:v>
                </c:pt>
                <c:pt idx="348">
                  <c:v>0.40005513853977825</c:v>
                </c:pt>
                <c:pt idx="349">
                  <c:v>0.28489556779365732</c:v>
                </c:pt>
                <c:pt idx="350">
                  <c:v>-0.16314018032415667</c:v>
                </c:pt>
                <c:pt idx="351">
                  <c:v>-3.0860623358667363E-2</c:v>
                </c:pt>
                <c:pt idx="352">
                  <c:v>0.13132927597884839</c:v>
                </c:pt>
                <c:pt idx="353">
                  <c:v>0.16826932945471196</c:v>
                </c:pt>
                <c:pt idx="354">
                  <c:v>-1.7379348463096397E-2</c:v>
                </c:pt>
                <c:pt idx="355">
                  <c:v>0.13655096794260535</c:v>
                </c:pt>
                <c:pt idx="356">
                  <c:v>-6.2592557030271292E-2</c:v>
                </c:pt>
                <c:pt idx="357">
                  <c:v>0.24601425287327627</c:v>
                </c:pt>
                <c:pt idx="358">
                  <c:v>-5.9199910647383322E-2</c:v>
                </c:pt>
                <c:pt idx="359">
                  <c:v>1.2184921356866871E-2</c:v>
                </c:pt>
                <c:pt idx="360">
                  <c:v>0.15906229286207552</c:v>
                </c:pt>
                <c:pt idx="361">
                  <c:v>0.14549046810885963</c:v>
                </c:pt>
                <c:pt idx="362">
                  <c:v>-0.25383606751953475</c:v>
                </c:pt>
                <c:pt idx="363">
                  <c:v>3.9587488158448814E-2</c:v>
                </c:pt>
                <c:pt idx="364">
                  <c:v>0.1220683291015828</c:v>
                </c:pt>
                <c:pt idx="365">
                  <c:v>3.6141680024741538E-2</c:v>
                </c:pt>
                <c:pt idx="366">
                  <c:v>0.23557075233360764</c:v>
                </c:pt>
                <c:pt idx="367">
                  <c:v>0.16904020971627678</c:v>
                </c:pt>
                <c:pt idx="368">
                  <c:v>5.8829231660703279E-2</c:v>
                </c:pt>
                <c:pt idx="369">
                  <c:v>0.18739900752438071</c:v>
                </c:pt>
                <c:pt idx="370">
                  <c:v>-4.9171389078187952E-2</c:v>
                </c:pt>
                <c:pt idx="371">
                  <c:v>0.13838913262067382</c:v>
                </c:pt>
                <c:pt idx="372">
                  <c:v>0.35217485512681168</c:v>
                </c:pt>
                <c:pt idx="373">
                  <c:v>2.5147229291696896E-2</c:v>
                </c:pt>
                <c:pt idx="374">
                  <c:v>-9.4691264683408091E-2</c:v>
                </c:pt>
                <c:pt idx="375">
                  <c:v>0.41517656382785689</c:v>
                </c:pt>
                <c:pt idx="376">
                  <c:v>0.13183343431524466</c:v>
                </c:pt>
                <c:pt idx="377">
                  <c:v>0.27869419001333084</c:v>
                </c:pt>
                <c:pt idx="378">
                  <c:v>0.14638721957406228</c:v>
                </c:pt>
                <c:pt idx="379">
                  <c:v>0.60777649995718508</c:v>
                </c:pt>
                <c:pt idx="380">
                  <c:v>0.16902296077710061</c:v>
                </c:pt>
                <c:pt idx="381">
                  <c:v>-0.2261860819636165</c:v>
                </c:pt>
                <c:pt idx="382">
                  <c:v>0.24654055209848325</c:v>
                </c:pt>
                <c:pt idx="383">
                  <c:v>0.33935406665792972</c:v>
                </c:pt>
                <c:pt idx="384">
                  <c:v>0.28182362515555415</c:v>
                </c:pt>
                <c:pt idx="385">
                  <c:v>6.1620651072812907E-2</c:v>
                </c:pt>
                <c:pt idx="386">
                  <c:v>0.19210551385682534</c:v>
                </c:pt>
                <c:pt idx="387">
                  <c:v>0.12501582494384855</c:v>
                </c:pt>
                <c:pt idx="388">
                  <c:v>0.46246674575123231</c:v>
                </c:pt>
                <c:pt idx="389">
                  <c:v>0.20229925352021855</c:v>
                </c:pt>
                <c:pt idx="390">
                  <c:v>0.3910289356155508</c:v>
                </c:pt>
                <c:pt idx="391">
                  <c:v>0.18698880090506412</c:v>
                </c:pt>
                <c:pt idx="392">
                  <c:v>0.30872901398302988</c:v>
                </c:pt>
                <c:pt idx="393">
                  <c:v>0.13822157537041702</c:v>
                </c:pt>
                <c:pt idx="394">
                  <c:v>-6.6232042539746502E-2</c:v>
                </c:pt>
                <c:pt idx="395">
                  <c:v>0.20518317169529229</c:v>
                </c:pt>
                <c:pt idx="396">
                  <c:v>-0.19119520043288857</c:v>
                </c:pt>
                <c:pt idx="397">
                  <c:v>0.18765032333199905</c:v>
                </c:pt>
                <c:pt idx="398">
                  <c:v>-5.6581623867942063E-2</c:v>
                </c:pt>
                <c:pt idx="399">
                  <c:v>0.10623368663119234</c:v>
                </c:pt>
                <c:pt idx="400">
                  <c:v>0.31547435362976062</c:v>
                </c:pt>
                <c:pt idx="401">
                  <c:v>0.1065673330347639</c:v>
                </c:pt>
                <c:pt idx="402">
                  <c:v>0.2423213643787876</c:v>
                </c:pt>
                <c:pt idx="403">
                  <c:v>-0.21569742769553429</c:v>
                </c:pt>
                <c:pt idx="404">
                  <c:v>2.0307351383981265E-2</c:v>
                </c:pt>
                <c:pt idx="405">
                  <c:v>0.21536207754833459</c:v>
                </c:pt>
                <c:pt idx="406">
                  <c:v>0.44713994930375722</c:v>
                </c:pt>
                <c:pt idx="407">
                  <c:v>2.5796236583214283E-4</c:v>
                </c:pt>
                <c:pt idx="408">
                  <c:v>9.3491372676793277E-2</c:v>
                </c:pt>
                <c:pt idx="409">
                  <c:v>-3.8054779543151215E-2</c:v>
                </c:pt>
                <c:pt idx="410">
                  <c:v>-2.5634062529100263E-2</c:v>
                </c:pt>
                <c:pt idx="411">
                  <c:v>0.23177018325887561</c:v>
                </c:pt>
                <c:pt idx="412">
                  <c:v>0.35664874822116166</c:v>
                </c:pt>
                <c:pt idx="413">
                  <c:v>0.2611511405767778</c:v>
                </c:pt>
                <c:pt idx="414">
                  <c:v>0.22718585722058665</c:v>
                </c:pt>
                <c:pt idx="415">
                  <c:v>0.42131139466963008</c:v>
                </c:pt>
                <c:pt idx="416">
                  <c:v>-0.11051452874261329</c:v>
                </c:pt>
                <c:pt idx="417">
                  <c:v>0.33436908782644614</c:v>
                </c:pt>
                <c:pt idx="418">
                  <c:v>0.1413014526547981</c:v>
                </c:pt>
                <c:pt idx="419">
                  <c:v>5.4855395968327843E-2</c:v>
                </c:pt>
                <c:pt idx="420">
                  <c:v>-0.22362466100822048</c:v>
                </c:pt>
                <c:pt idx="421">
                  <c:v>0.22564621754150749</c:v>
                </c:pt>
                <c:pt idx="422">
                  <c:v>8.9118152471737155E-4</c:v>
                </c:pt>
                <c:pt idx="423">
                  <c:v>0.238999689206641</c:v>
                </c:pt>
                <c:pt idx="424">
                  <c:v>4.3345721587786171E-2</c:v>
                </c:pt>
                <c:pt idx="425">
                  <c:v>-0.17988705690850854</c:v>
                </c:pt>
                <c:pt idx="426">
                  <c:v>0.16643125419721566</c:v>
                </c:pt>
                <c:pt idx="427">
                  <c:v>0.35044040772593177</c:v>
                </c:pt>
                <c:pt idx="428">
                  <c:v>9.5558480320308878E-2</c:v>
                </c:pt>
                <c:pt idx="429">
                  <c:v>0.2166513557065825</c:v>
                </c:pt>
                <c:pt idx="430">
                  <c:v>5.8703836066402899E-2</c:v>
                </c:pt>
                <c:pt idx="431">
                  <c:v>0.17167011972771595</c:v>
                </c:pt>
                <c:pt idx="432">
                  <c:v>0.31086403820393799</c:v>
                </c:pt>
                <c:pt idx="433">
                  <c:v>0.21784010737077514</c:v>
                </c:pt>
                <c:pt idx="434">
                  <c:v>-0.13650838478156702</c:v>
                </c:pt>
                <c:pt idx="435">
                  <c:v>-5.8214659363975449E-2</c:v>
                </c:pt>
                <c:pt idx="436">
                  <c:v>0.16359665076779922</c:v>
                </c:pt>
                <c:pt idx="437">
                  <c:v>0.38191360837502314</c:v>
                </c:pt>
                <c:pt idx="438">
                  <c:v>0.12019197024275263</c:v>
                </c:pt>
                <c:pt idx="439">
                  <c:v>0.10646955519420638</c:v>
                </c:pt>
                <c:pt idx="440">
                  <c:v>-3.6490760196976751E-3</c:v>
                </c:pt>
                <c:pt idx="441">
                  <c:v>0.27303725098580411</c:v>
                </c:pt>
                <c:pt idx="442">
                  <c:v>0.11427798578493779</c:v>
                </c:pt>
                <c:pt idx="443">
                  <c:v>6.9475728861151026E-2</c:v>
                </c:pt>
                <c:pt idx="444">
                  <c:v>0.37983647772058177</c:v>
                </c:pt>
                <c:pt idx="445">
                  <c:v>0.23953026946101008</c:v>
                </c:pt>
                <c:pt idx="446">
                  <c:v>9.0366305530073313E-2</c:v>
                </c:pt>
                <c:pt idx="447">
                  <c:v>0.11125857121951353</c:v>
                </c:pt>
                <c:pt idx="448">
                  <c:v>9.2066655622815921E-2</c:v>
                </c:pt>
                <c:pt idx="449">
                  <c:v>0.1185469082540952</c:v>
                </c:pt>
                <c:pt idx="450">
                  <c:v>0.21943715660267477</c:v>
                </c:pt>
                <c:pt idx="451">
                  <c:v>0.22366422557244148</c:v>
                </c:pt>
                <c:pt idx="452">
                  <c:v>0.29266499021096454</c:v>
                </c:pt>
                <c:pt idx="453">
                  <c:v>4.72799472916349E-2</c:v>
                </c:pt>
                <c:pt idx="454">
                  <c:v>0.18082161977290478</c:v>
                </c:pt>
                <c:pt idx="455">
                  <c:v>0.37659681659161576</c:v>
                </c:pt>
                <c:pt idx="456">
                  <c:v>1.4299139132515543E-2</c:v>
                </c:pt>
                <c:pt idx="457">
                  <c:v>1.7746502034847872E-3</c:v>
                </c:pt>
                <c:pt idx="458">
                  <c:v>4.2424859128613532E-2</c:v>
                </c:pt>
                <c:pt idx="459">
                  <c:v>-0.34418892272351559</c:v>
                </c:pt>
                <c:pt idx="460">
                  <c:v>0.33170735081349789</c:v>
                </c:pt>
                <c:pt idx="461">
                  <c:v>0.23682021848713253</c:v>
                </c:pt>
                <c:pt idx="462">
                  <c:v>-9.6465567831135926E-2</c:v>
                </c:pt>
                <c:pt idx="463">
                  <c:v>0.23845326862982275</c:v>
                </c:pt>
                <c:pt idx="464">
                  <c:v>-2.0661141958095777E-2</c:v>
                </c:pt>
                <c:pt idx="465">
                  <c:v>-8.7109234232181018E-2</c:v>
                </c:pt>
                <c:pt idx="466">
                  <c:v>5.8281079393530451E-2</c:v>
                </c:pt>
                <c:pt idx="467">
                  <c:v>0.31453931170915489</c:v>
                </c:pt>
                <c:pt idx="468">
                  <c:v>6.0589843105672447E-2</c:v>
                </c:pt>
                <c:pt idx="469">
                  <c:v>0.29924648529223896</c:v>
                </c:pt>
                <c:pt idx="470">
                  <c:v>-0.14222919945076862</c:v>
                </c:pt>
                <c:pt idx="471">
                  <c:v>8.3616470361128903E-2</c:v>
                </c:pt>
                <c:pt idx="472">
                  <c:v>3.0290014314420341E-2</c:v>
                </c:pt>
                <c:pt idx="473">
                  <c:v>0.48327375892236779</c:v>
                </c:pt>
                <c:pt idx="474">
                  <c:v>7.1544606965927043E-2</c:v>
                </c:pt>
                <c:pt idx="475">
                  <c:v>0.22200237482471877</c:v>
                </c:pt>
                <c:pt idx="476">
                  <c:v>0.33711221670604663</c:v>
                </c:pt>
                <c:pt idx="477">
                  <c:v>0.10239588870456727</c:v>
                </c:pt>
                <c:pt idx="478">
                  <c:v>0.22629377013405039</c:v>
                </c:pt>
                <c:pt idx="479">
                  <c:v>5.5923732173458682E-2</c:v>
                </c:pt>
                <c:pt idx="480">
                  <c:v>3.0309024777115806E-2</c:v>
                </c:pt>
                <c:pt idx="481">
                  <c:v>0.24855713449957167</c:v>
                </c:pt>
                <c:pt idx="482">
                  <c:v>0.13303818741329662</c:v>
                </c:pt>
                <c:pt idx="483">
                  <c:v>-0.27706819808153021</c:v>
                </c:pt>
                <c:pt idx="484">
                  <c:v>7.2873212824200007E-2</c:v>
                </c:pt>
                <c:pt idx="485">
                  <c:v>0.20859476378558856</c:v>
                </c:pt>
                <c:pt idx="486">
                  <c:v>6.7691330960677754E-3</c:v>
                </c:pt>
                <c:pt idx="487">
                  <c:v>0.22341516500716962</c:v>
                </c:pt>
                <c:pt idx="488">
                  <c:v>-0.24022041020534529</c:v>
                </c:pt>
                <c:pt idx="489">
                  <c:v>0.13447263666729597</c:v>
                </c:pt>
                <c:pt idx="490">
                  <c:v>-8.022652205660287E-2</c:v>
                </c:pt>
                <c:pt idx="491">
                  <c:v>0.2171383289310595</c:v>
                </c:pt>
                <c:pt idx="492">
                  <c:v>0.20624547915249364</c:v>
                </c:pt>
                <c:pt idx="493">
                  <c:v>3.470854279821331E-2</c:v>
                </c:pt>
                <c:pt idx="494">
                  <c:v>0.11453388853142785</c:v>
                </c:pt>
                <c:pt idx="495">
                  <c:v>0.15985469926694923</c:v>
                </c:pt>
                <c:pt idx="496">
                  <c:v>0.30242583809152684</c:v>
                </c:pt>
                <c:pt idx="497">
                  <c:v>-5.6393610640384464E-2</c:v>
                </c:pt>
                <c:pt idx="498">
                  <c:v>0.22571328167552945</c:v>
                </c:pt>
                <c:pt idx="499">
                  <c:v>5.5465191224079766E-2</c:v>
                </c:pt>
                <c:pt idx="500">
                  <c:v>3.4364621920662058E-2</c:v>
                </c:pt>
                <c:pt idx="501">
                  <c:v>0.36683086931922942</c:v>
                </c:pt>
                <c:pt idx="502">
                  <c:v>0.12141727339342226</c:v>
                </c:pt>
                <c:pt idx="503">
                  <c:v>0.22937727285797163</c:v>
                </c:pt>
                <c:pt idx="504">
                  <c:v>-4.2561567313208079E-2</c:v>
                </c:pt>
                <c:pt idx="505">
                  <c:v>3.3267228257005663E-2</c:v>
                </c:pt>
                <c:pt idx="506">
                  <c:v>-2.7129349101551917E-2</c:v>
                </c:pt>
                <c:pt idx="507">
                  <c:v>0.30399082164590963</c:v>
                </c:pt>
                <c:pt idx="508">
                  <c:v>0.22849036933151445</c:v>
                </c:pt>
                <c:pt idx="509">
                  <c:v>0.50325281529132704</c:v>
                </c:pt>
                <c:pt idx="510">
                  <c:v>-2.8317607721450297E-2</c:v>
                </c:pt>
                <c:pt idx="511">
                  <c:v>0.47290156051609894</c:v>
                </c:pt>
                <c:pt idx="512">
                  <c:v>0.16120799643706937</c:v>
                </c:pt>
                <c:pt idx="513">
                  <c:v>0.22154468779259257</c:v>
                </c:pt>
                <c:pt idx="514">
                  <c:v>0.41457397656837469</c:v>
                </c:pt>
                <c:pt idx="515">
                  <c:v>8.3224123309267789E-2</c:v>
                </c:pt>
                <c:pt idx="516">
                  <c:v>0.26274766929814047</c:v>
                </c:pt>
                <c:pt idx="517">
                  <c:v>0.25317532815603466</c:v>
                </c:pt>
                <c:pt idx="518">
                  <c:v>0.19057528944439267</c:v>
                </c:pt>
                <c:pt idx="519">
                  <c:v>-1.9263825141172947E-3</c:v>
                </c:pt>
                <c:pt idx="520">
                  <c:v>-3.048367576019563E-2</c:v>
                </c:pt>
                <c:pt idx="521">
                  <c:v>6.3881762478814608E-2</c:v>
                </c:pt>
                <c:pt idx="522">
                  <c:v>-2.8183592122511494E-2</c:v>
                </c:pt>
                <c:pt idx="523">
                  <c:v>1.6656377612705928E-2</c:v>
                </c:pt>
                <c:pt idx="524">
                  <c:v>4.4349327120009122E-2</c:v>
                </c:pt>
                <c:pt idx="525">
                  <c:v>0.33319775370220955</c:v>
                </c:pt>
                <c:pt idx="526">
                  <c:v>-6.1003043573812921E-3</c:v>
                </c:pt>
                <c:pt idx="527">
                  <c:v>0.17067135691121582</c:v>
                </c:pt>
                <c:pt idx="528">
                  <c:v>0.21159802211911233</c:v>
                </c:pt>
                <c:pt idx="529">
                  <c:v>1.1668545798112065E-2</c:v>
                </c:pt>
                <c:pt idx="530">
                  <c:v>-4.4848180504718962E-2</c:v>
                </c:pt>
                <c:pt idx="531">
                  <c:v>-0.19499522444541578</c:v>
                </c:pt>
                <c:pt idx="532">
                  <c:v>-6.3253701393536088E-3</c:v>
                </c:pt>
                <c:pt idx="533">
                  <c:v>0.12946607132540938</c:v>
                </c:pt>
                <c:pt idx="534">
                  <c:v>0.18349367287160456</c:v>
                </c:pt>
                <c:pt idx="535">
                  <c:v>1.078481509872406E-2</c:v>
                </c:pt>
                <c:pt idx="536">
                  <c:v>0.14287979483218041</c:v>
                </c:pt>
                <c:pt idx="537">
                  <c:v>4.958469944612201E-3</c:v>
                </c:pt>
                <c:pt idx="538">
                  <c:v>0.18763923104922933</c:v>
                </c:pt>
                <c:pt idx="539">
                  <c:v>-0.1602705226544397</c:v>
                </c:pt>
                <c:pt idx="540">
                  <c:v>0.12384188994884174</c:v>
                </c:pt>
                <c:pt idx="541">
                  <c:v>2.8471628149091863E-2</c:v>
                </c:pt>
                <c:pt idx="542">
                  <c:v>-0.12531796450201321</c:v>
                </c:pt>
                <c:pt idx="543">
                  <c:v>0.6866681260326789</c:v>
                </c:pt>
                <c:pt idx="544">
                  <c:v>8.1863049329842313E-2</c:v>
                </c:pt>
                <c:pt idx="545">
                  <c:v>0.2716520860902224</c:v>
                </c:pt>
                <c:pt idx="546">
                  <c:v>-2.5801559208538938E-3</c:v>
                </c:pt>
                <c:pt idx="547">
                  <c:v>8.8079607489608358E-2</c:v>
                </c:pt>
                <c:pt idx="548">
                  <c:v>0.19204449119524697</c:v>
                </c:pt>
                <c:pt idx="549">
                  <c:v>0.36622336235393249</c:v>
                </c:pt>
                <c:pt idx="550">
                  <c:v>0.12254669667277969</c:v>
                </c:pt>
                <c:pt idx="551">
                  <c:v>0.37024471454329561</c:v>
                </c:pt>
                <c:pt idx="552">
                  <c:v>-8.5964497448922303E-2</c:v>
                </c:pt>
                <c:pt idx="553">
                  <c:v>0.28620327269232426</c:v>
                </c:pt>
                <c:pt idx="554">
                  <c:v>0.20327615435908197</c:v>
                </c:pt>
                <c:pt idx="555">
                  <c:v>-7.6127286127892532E-2</c:v>
                </c:pt>
                <c:pt idx="556">
                  <c:v>-3.5313364221144769E-2</c:v>
                </c:pt>
                <c:pt idx="557">
                  <c:v>-0.21930157642706494</c:v>
                </c:pt>
                <c:pt idx="558">
                  <c:v>0.30220561388583511</c:v>
                </c:pt>
                <c:pt idx="559">
                  <c:v>0.14429632059755701</c:v>
                </c:pt>
                <c:pt idx="560">
                  <c:v>0.10532651659826255</c:v>
                </c:pt>
                <c:pt idx="561">
                  <c:v>0.20665014316988936</c:v>
                </c:pt>
                <c:pt idx="562">
                  <c:v>0.16647411586315344</c:v>
                </c:pt>
                <c:pt idx="563">
                  <c:v>-3.0968788957493457E-2</c:v>
                </c:pt>
                <c:pt idx="564">
                  <c:v>0.19164829622741719</c:v>
                </c:pt>
                <c:pt idx="565">
                  <c:v>-8.0026573348430649E-2</c:v>
                </c:pt>
                <c:pt idx="566">
                  <c:v>4.0626902400409531E-2</c:v>
                </c:pt>
                <c:pt idx="567">
                  <c:v>0.4609583385513249</c:v>
                </c:pt>
                <c:pt idx="568">
                  <c:v>0.25524640519800823</c:v>
                </c:pt>
                <c:pt idx="569">
                  <c:v>-6.1800316994607835E-3</c:v>
                </c:pt>
                <c:pt idx="570">
                  <c:v>-1.5565687631758626E-2</c:v>
                </c:pt>
                <c:pt idx="571">
                  <c:v>0.11808306549199221</c:v>
                </c:pt>
                <c:pt idx="572">
                  <c:v>0.30122161638484468</c:v>
                </c:pt>
                <c:pt idx="573">
                  <c:v>0.18145265187685009</c:v>
                </c:pt>
                <c:pt idx="574">
                  <c:v>-0.13359809214540325</c:v>
                </c:pt>
                <c:pt idx="575">
                  <c:v>0.37138034349751475</c:v>
                </c:pt>
                <c:pt idx="576">
                  <c:v>0.27654908532933331</c:v>
                </c:pt>
                <c:pt idx="577">
                  <c:v>5.6339051720776079E-2</c:v>
                </c:pt>
                <c:pt idx="578">
                  <c:v>0.16419411441090329</c:v>
                </c:pt>
                <c:pt idx="579">
                  <c:v>0.47418247177454043</c:v>
                </c:pt>
                <c:pt idx="580">
                  <c:v>-4.6541319223922364E-2</c:v>
                </c:pt>
                <c:pt idx="581">
                  <c:v>0.11478629960296168</c:v>
                </c:pt>
                <c:pt idx="582">
                  <c:v>0.22638895211874144</c:v>
                </c:pt>
                <c:pt idx="583">
                  <c:v>0.1954448626989635</c:v>
                </c:pt>
                <c:pt idx="584">
                  <c:v>0.19148493819187784</c:v>
                </c:pt>
                <c:pt idx="585">
                  <c:v>9.3156890845954576E-2</c:v>
                </c:pt>
                <c:pt idx="586">
                  <c:v>0.11915208856246338</c:v>
                </c:pt>
                <c:pt idx="587">
                  <c:v>0.46938752360240421</c:v>
                </c:pt>
                <c:pt idx="588">
                  <c:v>0.27281650251217954</c:v>
                </c:pt>
                <c:pt idx="589">
                  <c:v>7.7136098909225292E-2</c:v>
                </c:pt>
                <c:pt idx="590">
                  <c:v>7.6398983298535866E-2</c:v>
                </c:pt>
                <c:pt idx="591">
                  <c:v>-1.2037514247012063E-2</c:v>
                </c:pt>
                <c:pt idx="592">
                  <c:v>8.9746107681252768E-2</c:v>
                </c:pt>
                <c:pt idx="593">
                  <c:v>-4.6646635839103098E-2</c:v>
                </c:pt>
                <c:pt idx="594">
                  <c:v>2.1391963588823976E-2</c:v>
                </c:pt>
                <c:pt idx="595">
                  <c:v>5.0675371920354984E-2</c:v>
                </c:pt>
                <c:pt idx="596">
                  <c:v>0.33076487043404351</c:v>
                </c:pt>
                <c:pt idx="597">
                  <c:v>0.22785360366053911</c:v>
                </c:pt>
                <c:pt idx="598">
                  <c:v>0.29052712334427494</c:v>
                </c:pt>
                <c:pt idx="599">
                  <c:v>0.21339739188616352</c:v>
                </c:pt>
                <c:pt idx="600">
                  <c:v>6.4085252513921845E-2</c:v>
                </c:pt>
                <c:pt idx="601">
                  <c:v>0.11527669928464519</c:v>
                </c:pt>
                <c:pt idx="602">
                  <c:v>0.26579391547975761</c:v>
                </c:pt>
                <c:pt idx="603">
                  <c:v>3.360319228815957E-2</c:v>
                </c:pt>
                <c:pt idx="604">
                  <c:v>0.22769377685172354</c:v>
                </c:pt>
                <c:pt idx="605">
                  <c:v>2.3822738040633187E-2</c:v>
                </c:pt>
                <c:pt idx="606">
                  <c:v>0.25031469442643883</c:v>
                </c:pt>
                <c:pt idx="607">
                  <c:v>0.11016480515297401</c:v>
                </c:pt>
                <c:pt idx="608">
                  <c:v>-0.12104852996623634</c:v>
                </c:pt>
                <c:pt idx="609">
                  <c:v>0.3333700280791464</c:v>
                </c:pt>
                <c:pt idx="610">
                  <c:v>9.3206438380185774E-2</c:v>
                </c:pt>
                <c:pt idx="611">
                  <c:v>1.9506286611578036E-2</c:v>
                </c:pt>
                <c:pt idx="612">
                  <c:v>0.16359636270393577</c:v>
                </c:pt>
                <c:pt idx="613">
                  <c:v>-4.5608876938665485E-2</c:v>
                </c:pt>
                <c:pt idx="614">
                  <c:v>-0.14950259032855656</c:v>
                </c:pt>
                <c:pt idx="615">
                  <c:v>-1.4056737791423593E-2</c:v>
                </c:pt>
                <c:pt idx="616">
                  <c:v>-0.17882851039422071</c:v>
                </c:pt>
                <c:pt idx="617">
                  <c:v>0.32655542168971047</c:v>
                </c:pt>
                <c:pt idx="618">
                  <c:v>-8.1974940226120688E-2</c:v>
                </c:pt>
                <c:pt idx="619">
                  <c:v>-7.5467305585550828E-2</c:v>
                </c:pt>
                <c:pt idx="620">
                  <c:v>-0.14359536331254663</c:v>
                </c:pt>
                <c:pt idx="621">
                  <c:v>0.24764830876901289</c:v>
                </c:pt>
                <c:pt idx="622">
                  <c:v>0.2419302934325353</c:v>
                </c:pt>
                <c:pt idx="623">
                  <c:v>0.25590389691513499</c:v>
                </c:pt>
                <c:pt idx="624">
                  <c:v>1.011784558688085E-2</c:v>
                </c:pt>
                <c:pt idx="625">
                  <c:v>6.6957926965613118E-2</c:v>
                </c:pt>
                <c:pt idx="626">
                  <c:v>7.5921652630722147E-2</c:v>
                </c:pt>
                <c:pt idx="627">
                  <c:v>6.000351070476978E-2</c:v>
                </c:pt>
                <c:pt idx="628">
                  <c:v>1.4390383856927785E-2</c:v>
                </c:pt>
                <c:pt idx="629">
                  <c:v>0.12804910447413895</c:v>
                </c:pt>
                <c:pt idx="630">
                  <c:v>5.2590631850765859E-2</c:v>
                </c:pt>
                <c:pt idx="631">
                  <c:v>1.4189918404481125E-2</c:v>
                </c:pt>
                <c:pt idx="632">
                  <c:v>-9.8207100118996346E-2</c:v>
                </c:pt>
                <c:pt idx="633">
                  <c:v>0.19512032154904069</c:v>
                </c:pt>
                <c:pt idx="634">
                  <c:v>8.3178666489208741E-2</c:v>
                </c:pt>
                <c:pt idx="635">
                  <c:v>0.17496525607513344</c:v>
                </c:pt>
                <c:pt idx="636">
                  <c:v>0.47213725184352062</c:v>
                </c:pt>
                <c:pt idx="637">
                  <c:v>0.1236012239838206</c:v>
                </c:pt>
                <c:pt idx="638">
                  <c:v>-3.1683612001990727E-2</c:v>
                </c:pt>
                <c:pt idx="639">
                  <c:v>0.3780462487874191</c:v>
                </c:pt>
                <c:pt idx="640">
                  <c:v>4.9732608274510995E-2</c:v>
                </c:pt>
                <c:pt idx="641">
                  <c:v>8.3383029233565678E-2</c:v>
                </c:pt>
                <c:pt idx="642">
                  <c:v>0.21163647279251069</c:v>
                </c:pt>
                <c:pt idx="643">
                  <c:v>8.5462875807067518E-2</c:v>
                </c:pt>
                <c:pt idx="644">
                  <c:v>-0.17078561064067538</c:v>
                </c:pt>
                <c:pt idx="645">
                  <c:v>-3.9073663537132347E-3</c:v>
                </c:pt>
                <c:pt idx="646">
                  <c:v>0.12003774282532934</c:v>
                </c:pt>
                <c:pt idx="647">
                  <c:v>1.1841494239694786E-2</c:v>
                </c:pt>
                <c:pt idx="648">
                  <c:v>0.24551726094315079</c:v>
                </c:pt>
                <c:pt idx="649">
                  <c:v>0.34036767440699334</c:v>
                </c:pt>
                <c:pt idx="650">
                  <c:v>0.31304684473879091</c:v>
                </c:pt>
                <c:pt idx="651">
                  <c:v>-4.9472078487771062E-2</c:v>
                </c:pt>
                <c:pt idx="652">
                  <c:v>-7.5282262551043255E-3</c:v>
                </c:pt>
                <c:pt idx="653">
                  <c:v>-4.6619377943378018E-2</c:v>
                </c:pt>
                <c:pt idx="654">
                  <c:v>-0.1758762353993894</c:v>
                </c:pt>
                <c:pt idx="655">
                  <c:v>-0.17886357792167318</c:v>
                </c:pt>
                <c:pt idx="656">
                  <c:v>9.5098076526089953E-2</c:v>
                </c:pt>
                <c:pt idx="657">
                  <c:v>0.22770486467224524</c:v>
                </c:pt>
                <c:pt idx="658">
                  <c:v>0.4329337203262118</c:v>
                </c:pt>
                <c:pt idx="659">
                  <c:v>0.31959418077553708</c:v>
                </c:pt>
                <c:pt idx="660">
                  <c:v>0.18995928166834683</c:v>
                </c:pt>
                <c:pt idx="661">
                  <c:v>0.17113762885280542</c:v>
                </c:pt>
                <c:pt idx="662">
                  <c:v>4.1770727164471319E-2</c:v>
                </c:pt>
                <c:pt idx="663">
                  <c:v>-6.7451253890352517E-2</c:v>
                </c:pt>
                <c:pt idx="664">
                  <c:v>0.18495168548896171</c:v>
                </c:pt>
                <c:pt idx="665">
                  <c:v>0.19224804985705257</c:v>
                </c:pt>
                <c:pt idx="666">
                  <c:v>0.24241778855755969</c:v>
                </c:pt>
                <c:pt idx="667">
                  <c:v>-0.20453721870567004</c:v>
                </c:pt>
                <c:pt idx="668">
                  <c:v>-2.6604449107338404E-2</c:v>
                </c:pt>
                <c:pt idx="669">
                  <c:v>0.11852134319637014</c:v>
                </c:pt>
                <c:pt idx="670">
                  <c:v>-5.2636289304289027E-2</c:v>
                </c:pt>
                <c:pt idx="671">
                  <c:v>-0.34941112162284216</c:v>
                </c:pt>
                <c:pt idx="672">
                  <c:v>0.10207675776564173</c:v>
                </c:pt>
                <c:pt idx="673">
                  <c:v>-0.11185553030182631</c:v>
                </c:pt>
                <c:pt idx="674">
                  <c:v>0.24191240669582481</c:v>
                </c:pt>
                <c:pt idx="675">
                  <c:v>8.3058538234829227E-2</c:v>
                </c:pt>
                <c:pt idx="676">
                  <c:v>0.15710051304284137</c:v>
                </c:pt>
                <c:pt idx="677">
                  <c:v>0.3195317193646609</c:v>
                </c:pt>
                <c:pt idx="678">
                  <c:v>-0.16721653398600439</c:v>
                </c:pt>
                <c:pt idx="679">
                  <c:v>-0.44318448953292344</c:v>
                </c:pt>
                <c:pt idx="680">
                  <c:v>5.5727851668065244E-2</c:v>
                </c:pt>
                <c:pt idx="681">
                  <c:v>0.11426686426366969</c:v>
                </c:pt>
                <c:pt idx="682">
                  <c:v>0.2691249711889645</c:v>
                </c:pt>
                <c:pt idx="683">
                  <c:v>-5.0363595433085759E-2</c:v>
                </c:pt>
                <c:pt idx="684">
                  <c:v>0.32535108608165236</c:v>
                </c:pt>
                <c:pt idx="685">
                  <c:v>0.22705958155247263</c:v>
                </c:pt>
                <c:pt idx="686">
                  <c:v>0.15572851386851549</c:v>
                </c:pt>
                <c:pt idx="687">
                  <c:v>-1.3773399293323038E-2</c:v>
                </c:pt>
                <c:pt idx="688">
                  <c:v>0.17619079958203976</c:v>
                </c:pt>
                <c:pt idx="689">
                  <c:v>0.31957185856882225</c:v>
                </c:pt>
                <c:pt idx="690">
                  <c:v>0.36564732537182776</c:v>
                </c:pt>
                <c:pt idx="691">
                  <c:v>6.9497876707297346E-4</c:v>
                </c:pt>
                <c:pt idx="692">
                  <c:v>5.9601227022779722E-2</c:v>
                </c:pt>
                <c:pt idx="693">
                  <c:v>-0.26531023158211708</c:v>
                </c:pt>
                <c:pt idx="694">
                  <c:v>0.30873498659512333</c:v>
                </c:pt>
                <c:pt idx="695">
                  <c:v>-2.9764320257236979E-2</c:v>
                </c:pt>
                <c:pt idx="696">
                  <c:v>0.12103908349624135</c:v>
                </c:pt>
                <c:pt idx="697">
                  <c:v>0.19794090358173611</c:v>
                </c:pt>
                <c:pt idx="698">
                  <c:v>0.15478728347256718</c:v>
                </c:pt>
                <c:pt idx="699">
                  <c:v>-2.4869631346479001E-2</c:v>
                </c:pt>
                <c:pt idx="700">
                  <c:v>0.18963693139480636</c:v>
                </c:pt>
                <c:pt idx="701">
                  <c:v>0.10428497120414952</c:v>
                </c:pt>
                <c:pt idx="702">
                  <c:v>0.40786401647540443</c:v>
                </c:pt>
                <c:pt idx="703">
                  <c:v>0.18901657594145316</c:v>
                </c:pt>
                <c:pt idx="704">
                  <c:v>-4.3561957615170885E-2</c:v>
                </c:pt>
                <c:pt idx="705">
                  <c:v>-0.10339512818670317</c:v>
                </c:pt>
                <c:pt idx="706">
                  <c:v>0.31296152127101323</c:v>
                </c:pt>
                <c:pt idx="707">
                  <c:v>-2.8458900507761745E-2</c:v>
                </c:pt>
                <c:pt idx="708">
                  <c:v>1.1055384892304287E-2</c:v>
                </c:pt>
                <c:pt idx="709">
                  <c:v>6.3528813843498538E-2</c:v>
                </c:pt>
                <c:pt idx="710">
                  <c:v>-7.6126822886505449E-2</c:v>
                </c:pt>
                <c:pt idx="711">
                  <c:v>0.48542344746052918</c:v>
                </c:pt>
                <c:pt idx="712">
                  <c:v>-0.11452184023738309</c:v>
                </c:pt>
                <c:pt idx="713">
                  <c:v>9.8483349471990625E-2</c:v>
                </c:pt>
                <c:pt idx="714">
                  <c:v>0.25113944867947308</c:v>
                </c:pt>
                <c:pt idx="715">
                  <c:v>2.5423769030036791E-2</c:v>
                </c:pt>
                <c:pt idx="716">
                  <c:v>0.18086565817954914</c:v>
                </c:pt>
                <c:pt idx="717">
                  <c:v>0.29124046869651204</c:v>
                </c:pt>
                <c:pt idx="718">
                  <c:v>5.024131460495114E-2</c:v>
                </c:pt>
                <c:pt idx="719">
                  <c:v>0.1777989225329912</c:v>
                </c:pt>
                <c:pt idx="720">
                  <c:v>9.6561409954477609E-2</c:v>
                </c:pt>
                <c:pt idx="721">
                  <c:v>-9.4735071385619887E-2</c:v>
                </c:pt>
                <c:pt idx="722">
                  <c:v>0.45494417965808959</c:v>
                </c:pt>
                <c:pt idx="723">
                  <c:v>0.20010769149534985</c:v>
                </c:pt>
                <c:pt idx="724">
                  <c:v>0.16910279381442495</c:v>
                </c:pt>
                <c:pt idx="725">
                  <c:v>-0.36802953394131266</c:v>
                </c:pt>
                <c:pt idx="726">
                  <c:v>0.23437425769835929</c:v>
                </c:pt>
                <c:pt idx="727">
                  <c:v>-0.12731352527835244</c:v>
                </c:pt>
                <c:pt idx="728">
                  <c:v>0.48093660275084132</c:v>
                </c:pt>
                <c:pt idx="729">
                  <c:v>0.38078349196537969</c:v>
                </c:pt>
                <c:pt idx="730">
                  <c:v>0.17744353033665428</c:v>
                </c:pt>
                <c:pt idx="731">
                  <c:v>-4.4794015862236317E-2</c:v>
                </c:pt>
                <c:pt idx="732">
                  <c:v>2.32980304956419E-2</c:v>
                </c:pt>
                <c:pt idx="733">
                  <c:v>-0.15272548630688876</c:v>
                </c:pt>
                <c:pt idx="734">
                  <c:v>0.3522846563474088</c:v>
                </c:pt>
                <c:pt idx="735">
                  <c:v>6.9311098966762297E-2</c:v>
                </c:pt>
                <c:pt idx="736">
                  <c:v>-0.13407802234408478</c:v>
                </c:pt>
                <c:pt idx="737">
                  <c:v>0.43578797118575163</c:v>
                </c:pt>
                <c:pt idx="738">
                  <c:v>0.59862274063556475</c:v>
                </c:pt>
                <c:pt idx="739">
                  <c:v>6.5208122681880892E-2</c:v>
                </c:pt>
                <c:pt idx="740">
                  <c:v>-0.11330537200041928</c:v>
                </c:pt>
                <c:pt idx="741">
                  <c:v>-6.5838457894665109E-3</c:v>
                </c:pt>
                <c:pt idx="742">
                  <c:v>1.9790184142157149E-2</c:v>
                </c:pt>
                <c:pt idx="743">
                  <c:v>-4.9926713341278087E-2</c:v>
                </c:pt>
                <c:pt idx="744">
                  <c:v>7.0622805068842914E-2</c:v>
                </c:pt>
                <c:pt idx="745">
                  <c:v>0.31076101593936206</c:v>
                </c:pt>
                <c:pt idx="746">
                  <c:v>0.14411182291412919</c:v>
                </c:pt>
                <c:pt idx="747">
                  <c:v>0.68216217148908542</c:v>
                </c:pt>
                <c:pt idx="748">
                  <c:v>-2.5865388718704627E-2</c:v>
                </c:pt>
                <c:pt idx="749">
                  <c:v>0.36522545132970979</c:v>
                </c:pt>
                <c:pt idx="750">
                  <c:v>3.6572087420476643E-2</c:v>
                </c:pt>
                <c:pt idx="751">
                  <c:v>9.1262300873215588E-2</c:v>
                </c:pt>
                <c:pt idx="752">
                  <c:v>0.14801157343090354</c:v>
                </c:pt>
                <c:pt idx="753">
                  <c:v>8.9402098802424668E-2</c:v>
                </c:pt>
                <c:pt idx="754">
                  <c:v>0.24401473403247609</c:v>
                </c:pt>
                <c:pt idx="755">
                  <c:v>0.21187052217451391</c:v>
                </c:pt>
                <c:pt idx="756">
                  <c:v>0.20508100011032149</c:v>
                </c:pt>
                <c:pt idx="757">
                  <c:v>3.7431068274075968E-2</c:v>
                </c:pt>
                <c:pt idx="758">
                  <c:v>-0.17562825538599802</c:v>
                </c:pt>
                <c:pt idx="759">
                  <c:v>0.10426929619902138</c:v>
                </c:pt>
                <c:pt idx="760">
                  <c:v>0.1889594476582265</c:v>
                </c:pt>
                <c:pt idx="761">
                  <c:v>0.52002862760011648</c:v>
                </c:pt>
                <c:pt idx="762">
                  <c:v>0.37212235198797539</c:v>
                </c:pt>
                <c:pt idx="763">
                  <c:v>-5.815278833642902E-2</c:v>
                </c:pt>
                <c:pt idx="764">
                  <c:v>0.19697755228609268</c:v>
                </c:pt>
                <c:pt idx="765">
                  <c:v>0.15926234097323189</c:v>
                </c:pt>
                <c:pt idx="766">
                  <c:v>0.17602371759376945</c:v>
                </c:pt>
                <c:pt idx="767">
                  <c:v>0.24792121913933829</c:v>
                </c:pt>
                <c:pt idx="768">
                  <c:v>0.10727668958195576</c:v>
                </c:pt>
                <c:pt idx="769">
                  <c:v>0.32375540730677449</c:v>
                </c:pt>
                <c:pt idx="770">
                  <c:v>-3.3277040655896692E-2</c:v>
                </c:pt>
                <c:pt idx="771">
                  <c:v>0.38744198108573713</c:v>
                </c:pt>
                <c:pt idx="772">
                  <c:v>0.20151053105439035</c:v>
                </c:pt>
                <c:pt idx="773">
                  <c:v>0.16033070645434971</c:v>
                </c:pt>
                <c:pt idx="774">
                  <c:v>0.26039587916058204</c:v>
                </c:pt>
                <c:pt idx="775">
                  <c:v>0.12407766123901615</c:v>
                </c:pt>
                <c:pt idx="776">
                  <c:v>-0.14999215286012485</c:v>
                </c:pt>
                <c:pt idx="777">
                  <c:v>2.2401797819154273E-2</c:v>
                </c:pt>
                <c:pt idx="778">
                  <c:v>-0.29770906481199727</c:v>
                </c:pt>
                <c:pt idx="779">
                  <c:v>0.33692648597131247</c:v>
                </c:pt>
                <c:pt idx="780">
                  <c:v>0.16763334178541972</c:v>
                </c:pt>
                <c:pt idx="781">
                  <c:v>0.33527698334612754</c:v>
                </c:pt>
                <c:pt idx="782">
                  <c:v>-8.0685720265875796E-2</c:v>
                </c:pt>
                <c:pt idx="783">
                  <c:v>6.4423496507768546E-2</c:v>
                </c:pt>
                <c:pt idx="784">
                  <c:v>0.28902785878780041</c:v>
                </c:pt>
                <c:pt idx="785">
                  <c:v>0.16050443453554902</c:v>
                </c:pt>
                <c:pt idx="786">
                  <c:v>-4.6892851062151075E-4</c:v>
                </c:pt>
                <c:pt idx="787">
                  <c:v>0.1650572999392125</c:v>
                </c:pt>
                <c:pt idx="788">
                  <c:v>0.28186295890728891</c:v>
                </c:pt>
                <c:pt idx="789">
                  <c:v>0.39599622340705565</c:v>
                </c:pt>
                <c:pt idx="790">
                  <c:v>0.19944603367106403</c:v>
                </c:pt>
                <c:pt idx="791">
                  <c:v>1.6688101851153006E-2</c:v>
                </c:pt>
                <c:pt idx="792">
                  <c:v>6.1909065610556868E-2</c:v>
                </c:pt>
                <c:pt idx="793">
                  <c:v>-5.0411132585165677E-2</c:v>
                </c:pt>
                <c:pt idx="794">
                  <c:v>9.3105475046912523E-2</c:v>
                </c:pt>
                <c:pt idx="795">
                  <c:v>9.3907794503935771E-2</c:v>
                </c:pt>
                <c:pt idx="796">
                  <c:v>0.14600599671099046</c:v>
                </c:pt>
                <c:pt idx="797">
                  <c:v>0.11802907865623387</c:v>
                </c:pt>
                <c:pt idx="798">
                  <c:v>0.39558347422608126</c:v>
                </c:pt>
                <c:pt idx="799">
                  <c:v>0.29778265900949957</c:v>
                </c:pt>
                <c:pt idx="800">
                  <c:v>-1.4918914211493453E-2</c:v>
                </c:pt>
                <c:pt idx="801">
                  <c:v>0.48686680014237516</c:v>
                </c:pt>
                <c:pt idx="802">
                  <c:v>0.23944489268361224</c:v>
                </c:pt>
                <c:pt idx="803">
                  <c:v>0.37514841106061658</c:v>
                </c:pt>
                <c:pt idx="804">
                  <c:v>-0.16409639154524758</c:v>
                </c:pt>
                <c:pt idx="805">
                  <c:v>0.18528779371272544</c:v>
                </c:pt>
                <c:pt idx="806">
                  <c:v>0.25161886685579493</c:v>
                </c:pt>
                <c:pt idx="807">
                  <c:v>2.9159006704836191E-2</c:v>
                </c:pt>
                <c:pt idx="808">
                  <c:v>8.8211122131264169E-2</c:v>
                </c:pt>
                <c:pt idx="809">
                  <c:v>0.2565814756464605</c:v>
                </c:pt>
                <c:pt idx="810">
                  <c:v>4.1205659339923581E-2</c:v>
                </c:pt>
                <c:pt idx="811">
                  <c:v>0.17187020936037462</c:v>
                </c:pt>
                <c:pt idx="812">
                  <c:v>-7.7243176552105344E-2</c:v>
                </c:pt>
                <c:pt idx="813">
                  <c:v>-2.715654404382567E-4</c:v>
                </c:pt>
                <c:pt idx="814">
                  <c:v>3.2384593909716153E-3</c:v>
                </c:pt>
                <c:pt idx="815">
                  <c:v>-0.22364321802539988</c:v>
                </c:pt>
                <c:pt idx="816">
                  <c:v>0.3011477446649069</c:v>
                </c:pt>
                <c:pt idx="817">
                  <c:v>0.15854531665757715</c:v>
                </c:pt>
                <c:pt idx="818">
                  <c:v>8.9480010765558254E-2</c:v>
                </c:pt>
                <c:pt idx="819">
                  <c:v>-0.20533790869073248</c:v>
                </c:pt>
                <c:pt idx="820">
                  <c:v>0.25518693635817646</c:v>
                </c:pt>
                <c:pt idx="821">
                  <c:v>-5.7589837671079794E-2</c:v>
                </c:pt>
                <c:pt idx="822">
                  <c:v>8.0423958784441626E-2</c:v>
                </c:pt>
                <c:pt idx="823">
                  <c:v>-1.7496891048399396E-2</c:v>
                </c:pt>
                <c:pt idx="824">
                  <c:v>5.8182874410117748E-2</c:v>
                </c:pt>
                <c:pt idx="825">
                  <c:v>-8.9034683057951883E-2</c:v>
                </c:pt>
                <c:pt idx="826">
                  <c:v>0.13192029924508444</c:v>
                </c:pt>
                <c:pt idx="827">
                  <c:v>0.17171383991337361</c:v>
                </c:pt>
                <c:pt idx="828">
                  <c:v>0.33882966166518852</c:v>
                </c:pt>
                <c:pt idx="829">
                  <c:v>0.29230900671703475</c:v>
                </c:pt>
                <c:pt idx="830">
                  <c:v>-0.11823411776148164</c:v>
                </c:pt>
                <c:pt idx="831">
                  <c:v>7.1402022660042863E-3</c:v>
                </c:pt>
                <c:pt idx="832">
                  <c:v>0.13780584785194808</c:v>
                </c:pt>
                <c:pt idx="833">
                  <c:v>-9.7939480504633733E-2</c:v>
                </c:pt>
                <c:pt idx="834">
                  <c:v>2.0420287451912031E-2</c:v>
                </c:pt>
                <c:pt idx="835">
                  <c:v>-8.0727040309966316E-2</c:v>
                </c:pt>
                <c:pt idx="836">
                  <c:v>0.26483430849449385</c:v>
                </c:pt>
                <c:pt idx="837">
                  <c:v>0.18066758313441858</c:v>
                </c:pt>
                <c:pt idx="838">
                  <c:v>-1.8384477728291701E-2</c:v>
                </c:pt>
                <c:pt idx="839">
                  <c:v>4.5380194656383238E-3</c:v>
                </c:pt>
                <c:pt idx="840">
                  <c:v>9.5407895458768668E-2</c:v>
                </c:pt>
                <c:pt idx="841">
                  <c:v>0.34809718943655094</c:v>
                </c:pt>
                <c:pt idx="842">
                  <c:v>0.46862624238738854</c:v>
                </c:pt>
                <c:pt idx="843">
                  <c:v>-0.22511252183526714</c:v>
                </c:pt>
                <c:pt idx="844">
                  <c:v>0.18167026036751438</c:v>
                </c:pt>
                <c:pt idx="845">
                  <c:v>-4.1125953196542261E-2</c:v>
                </c:pt>
                <c:pt idx="846">
                  <c:v>0.16368749475422559</c:v>
                </c:pt>
                <c:pt idx="847">
                  <c:v>0.1308014143576528</c:v>
                </c:pt>
                <c:pt idx="848">
                  <c:v>0.29584905888742941</c:v>
                </c:pt>
                <c:pt idx="849">
                  <c:v>-0.12163120397909767</c:v>
                </c:pt>
                <c:pt idx="850">
                  <c:v>8.5573957395545977E-2</c:v>
                </c:pt>
                <c:pt idx="851">
                  <c:v>5.9272096121090731E-2</c:v>
                </c:pt>
                <c:pt idx="852">
                  <c:v>0.14677147697383888</c:v>
                </c:pt>
                <c:pt idx="853">
                  <c:v>2.5066263476293649E-2</c:v>
                </c:pt>
                <c:pt idx="854">
                  <c:v>7.0003008475044509E-2</c:v>
                </c:pt>
                <c:pt idx="855">
                  <c:v>-0.22185089141003828</c:v>
                </c:pt>
                <c:pt idx="856">
                  <c:v>0.12120683400132624</c:v>
                </c:pt>
                <c:pt idx="857">
                  <c:v>0.25148260523524402</c:v>
                </c:pt>
                <c:pt idx="858">
                  <c:v>0.4088804059072178</c:v>
                </c:pt>
                <c:pt idx="859">
                  <c:v>-5.2342951114716416E-2</c:v>
                </c:pt>
                <c:pt idx="860">
                  <c:v>7.9322439928706134E-2</c:v>
                </c:pt>
                <c:pt idx="861">
                  <c:v>0.11877715531159994</c:v>
                </c:pt>
                <c:pt idx="862">
                  <c:v>-0.11234937670633351</c:v>
                </c:pt>
                <c:pt idx="863">
                  <c:v>0.36996276604142098</c:v>
                </c:pt>
                <c:pt idx="864">
                  <c:v>-3.8524968531245193E-2</c:v>
                </c:pt>
                <c:pt idx="865">
                  <c:v>8.7937237706208343E-2</c:v>
                </c:pt>
                <c:pt idx="866">
                  <c:v>-0.11295662971264696</c:v>
                </c:pt>
                <c:pt idx="867">
                  <c:v>9.6455927980319281E-2</c:v>
                </c:pt>
                <c:pt idx="868">
                  <c:v>0.19863378291078521</c:v>
                </c:pt>
                <c:pt idx="869">
                  <c:v>0.49060843872074927</c:v>
                </c:pt>
                <c:pt idx="870">
                  <c:v>-2.8295703294227717E-2</c:v>
                </c:pt>
                <c:pt idx="871">
                  <c:v>0.11051901714570223</c:v>
                </c:pt>
                <c:pt idx="872">
                  <c:v>0.24589479800965541</c:v>
                </c:pt>
                <c:pt idx="873">
                  <c:v>0.18598479170041024</c:v>
                </c:pt>
                <c:pt idx="874">
                  <c:v>0.27895747108986729</c:v>
                </c:pt>
                <c:pt idx="875">
                  <c:v>0.48772434803984133</c:v>
                </c:pt>
                <c:pt idx="876">
                  <c:v>-0.19174166903330231</c:v>
                </c:pt>
                <c:pt idx="877">
                  <c:v>-8.6652969964679125E-2</c:v>
                </c:pt>
                <c:pt idx="878">
                  <c:v>-4.5362321123454688E-2</c:v>
                </c:pt>
                <c:pt idx="879">
                  <c:v>3.3527098382165096E-2</c:v>
                </c:pt>
                <c:pt idx="880">
                  <c:v>-0.28604231607424357</c:v>
                </c:pt>
                <c:pt idx="881">
                  <c:v>0.28261096224362836</c:v>
                </c:pt>
                <c:pt idx="882">
                  <c:v>0.18685125452557738</c:v>
                </c:pt>
                <c:pt idx="883">
                  <c:v>-0.18995330963048379</c:v>
                </c:pt>
                <c:pt idx="884">
                  <c:v>0.16087528079853974</c:v>
                </c:pt>
                <c:pt idx="885">
                  <c:v>-0.18177374388856932</c:v>
                </c:pt>
                <c:pt idx="886">
                  <c:v>0.13168383242011192</c:v>
                </c:pt>
                <c:pt idx="887">
                  <c:v>0.28164218884414577</c:v>
                </c:pt>
                <c:pt idx="888">
                  <c:v>-0.12154126293382055</c:v>
                </c:pt>
                <c:pt idx="889">
                  <c:v>-5.618950297284625E-3</c:v>
                </c:pt>
                <c:pt idx="890">
                  <c:v>0.20012771725288153</c:v>
                </c:pt>
                <c:pt idx="891">
                  <c:v>0.32894054636964448</c:v>
                </c:pt>
                <c:pt idx="892">
                  <c:v>5.4768631488708662E-2</c:v>
                </c:pt>
                <c:pt idx="893">
                  <c:v>0.14231303410814547</c:v>
                </c:pt>
                <c:pt idx="894">
                  <c:v>0.21158341405816067</c:v>
                </c:pt>
                <c:pt idx="895">
                  <c:v>0.67483255961588895</c:v>
                </c:pt>
                <c:pt idx="896">
                  <c:v>0.16293631808890519</c:v>
                </c:pt>
                <c:pt idx="897">
                  <c:v>9.9161140337754292E-2</c:v>
                </c:pt>
                <c:pt idx="898">
                  <c:v>0.45707807101859271</c:v>
                </c:pt>
                <c:pt idx="899">
                  <c:v>0.2383848725265979</c:v>
                </c:pt>
                <c:pt idx="900">
                  <c:v>-4.9345173452424937E-2</c:v>
                </c:pt>
                <c:pt idx="901">
                  <c:v>-5.4111148274782458E-2</c:v>
                </c:pt>
                <c:pt idx="902">
                  <c:v>-0.14846091589485005</c:v>
                </c:pt>
                <c:pt idx="903">
                  <c:v>0.27218025977648991</c:v>
                </c:pt>
                <c:pt idx="904">
                  <c:v>-0.1769881784486465</c:v>
                </c:pt>
                <c:pt idx="905">
                  <c:v>0.23512848723147881</c:v>
                </c:pt>
                <c:pt idx="906">
                  <c:v>0.10611521077594402</c:v>
                </c:pt>
                <c:pt idx="907">
                  <c:v>-9.2064734849084187E-2</c:v>
                </c:pt>
                <c:pt idx="908">
                  <c:v>0.29252845247165515</c:v>
                </c:pt>
                <c:pt idx="909">
                  <c:v>0.15420162016733743</c:v>
                </c:pt>
                <c:pt idx="910">
                  <c:v>0.40906792432337141</c:v>
                </c:pt>
                <c:pt idx="911">
                  <c:v>1.8294383536179848E-3</c:v>
                </c:pt>
                <c:pt idx="912">
                  <c:v>-0.21124830446351905</c:v>
                </c:pt>
                <c:pt idx="913">
                  <c:v>0.35895978068122558</c:v>
                </c:pt>
                <c:pt idx="914">
                  <c:v>-0.14787094099963138</c:v>
                </c:pt>
                <c:pt idx="915">
                  <c:v>0.27936614651175634</c:v>
                </c:pt>
                <c:pt idx="916">
                  <c:v>0.28524956942211643</c:v>
                </c:pt>
                <c:pt idx="917">
                  <c:v>0.14848816513772825</c:v>
                </c:pt>
                <c:pt idx="918">
                  <c:v>0.14541483331803026</c:v>
                </c:pt>
                <c:pt idx="919">
                  <c:v>0.19572884763047693</c:v>
                </c:pt>
                <c:pt idx="920">
                  <c:v>0.40089743355848828</c:v>
                </c:pt>
                <c:pt idx="921">
                  <c:v>-3.7102918982076516E-3</c:v>
                </c:pt>
                <c:pt idx="922">
                  <c:v>0.14970678616205058</c:v>
                </c:pt>
                <c:pt idx="923">
                  <c:v>-0.16435803124670784</c:v>
                </c:pt>
                <c:pt idx="924">
                  <c:v>0.28301401651280061</c:v>
                </c:pt>
                <c:pt idx="925">
                  <c:v>9.6959140205746891E-2</c:v>
                </c:pt>
                <c:pt idx="926">
                  <c:v>-0.24190751931606835</c:v>
                </c:pt>
                <c:pt idx="927">
                  <c:v>0.24640188241775135</c:v>
                </c:pt>
                <c:pt idx="928">
                  <c:v>0.37787999226357905</c:v>
                </c:pt>
                <c:pt idx="929">
                  <c:v>-0.10963154618249794</c:v>
                </c:pt>
                <c:pt idx="930">
                  <c:v>0.18127240414511042</c:v>
                </c:pt>
                <c:pt idx="931">
                  <c:v>0.19860439746324102</c:v>
                </c:pt>
                <c:pt idx="932">
                  <c:v>0.21836521786215485</c:v>
                </c:pt>
                <c:pt idx="933">
                  <c:v>0.13350543791369859</c:v>
                </c:pt>
                <c:pt idx="934">
                  <c:v>0.23227002453243512</c:v>
                </c:pt>
                <c:pt idx="935">
                  <c:v>0.10260337217029682</c:v>
                </c:pt>
                <c:pt idx="936">
                  <c:v>-0.19776895641349429</c:v>
                </c:pt>
                <c:pt idx="937">
                  <c:v>0.38387616850262712</c:v>
                </c:pt>
                <c:pt idx="938">
                  <c:v>0.13136852808759153</c:v>
                </c:pt>
                <c:pt idx="939">
                  <c:v>1.0746468687347493E-2</c:v>
                </c:pt>
                <c:pt idx="940">
                  <c:v>0.11503971777663438</c:v>
                </c:pt>
                <c:pt idx="941">
                  <c:v>0.32284340240507364</c:v>
                </c:pt>
                <c:pt idx="942">
                  <c:v>0.17368317843546746</c:v>
                </c:pt>
                <c:pt idx="943">
                  <c:v>0.29428771798917852</c:v>
                </c:pt>
                <c:pt idx="944">
                  <c:v>4.35717829168214E-2</c:v>
                </c:pt>
                <c:pt idx="945">
                  <c:v>0.11579723642029349</c:v>
                </c:pt>
                <c:pt idx="946">
                  <c:v>-7.6416053121107788E-2</c:v>
                </c:pt>
                <c:pt idx="947">
                  <c:v>0.37917230699925797</c:v>
                </c:pt>
                <c:pt idx="948">
                  <c:v>0.25835912385268278</c:v>
                </c:pt>
                <c:pt idx="949">
                  <c:v>4.678406698222079E-2</c:v>
                </c:pt>
                <c:pt idx="950">
                  <c:v>-7.1508776743069921E-2</c:v>
                </c:pt>
                <c:pt idx="951">
                  <c:v>0.15444203628611497</c:v>
                </c:pt>
                <c:pt idx="952">
                  <c:v>5.0647197155950771E-2</c:v>
                </c:pt>
                <c:pt idx="953">
                  <c:v>0.33341556473947453</c:v>
                </c:pt>
                <c:pt idx="954">
                  <c:v>3.7816008484950689E-2</c:v>
                </c:pt>
                <c:pt idx="955">
                  <c:v>7.6573314903477713E-2</c:v>
                </c:pt>
                <c:pt idx="956">
                  <c:v>0.23822092212154364</c:v>
                </c:pt>
                <c:pt idx="957">
                  <c:v>0.22011846549044789</c:v>
                </c:pt>
                <c:pt idx="958">
                  <c:v>9.5422876262158063E-2</c:v>
                </c:pt>
                <c:pt idx="959">
                  <c:v>-2.3232423008537881E-2</c:v>
                </c:pt>
                <c:pt idx="960">
                  <c:v>0.14877993883060139</c:v>
                </c:pt>
                <c:pt idx="961">
                  <c:v>-0.12027473605738702</c:v>
                </c:pt>
                <c:pt idx="962">
                  <c:v>0.166078287866743</c:v>
                </c:pt>
                <c:pt idx="963">
                  <c:v>-5.7221802269923489E-3</c:v>
                </c:pt>
                <c:pt idx="964">
                  <c:v>0.39550260742322535</c:v>
                </c:pt>
                <c:pt idx="965">
                  <c:v>0.3324709806766315</c:v>
                </c:pt>
                <c:pt idx="966">
                  <c:v>0.14682789225184592</c:v>
                </c:pt>
                <c:pt idx="967">
                  <c:v>1.1750617581981537E-2</c:v>
                </c:pt>
                <c:pt idx="968">
                  <c:v>0.25296831873095332</c:v>
                </c:pt>
                <c:pt idx="969">
                  <c:v>-0.26012630604787096</c:v>
                </c:pt>
                <c:pt idx="970">
                  <c:v>0.16559761389652028</c:v>
                </c:pt>
                <c:pt idx="971">
                  <c:v>0.17628519545664534</c:v>
                </c:pt>
                <c:pt idx="972">
                  <c:v>-3.4126196170331649E-2</c:v>
                </c:pt>
                <c:pt idx="973">
                  <c:v>6.4590127497934843E-2</c:v>
                </c:pt>
                <c:pt idx="974">
                  <c:v>0.219455404042603</c:v>
                </c:pt>
                <c:pt idx="975">
                  <c:v>0.12623731952488285</c:v>
                </c:pt>
                <c:pt idx="976">
                  <c:v>0.29702498266788918</c:v>
                </c:pt>
                <c:pt idx="977">
                  <c:v>0.26504186475382646</c:v>
                </c:pt>
                <c:pt idx="978">
                  <c:v>1.6320122125465575E-2</c:v>
                </c:pt>
                <c:pt idx="979">
                  <c:v>0.33568959530557407</c:v>
                </c:pt>
                <c:pt idx="980">
                  <c:v>0.1413350450970528</c:v>
                </c:pt>
                <c:pt idx="981">
                  <c:v>9.8802683689025533E-2</c:v>
                </c:pt>
                <c:pt idx="982">
                  <c:v>0.4111852230782499</c:v>
                </c:pt>
                <c:pt idx="983">
                  <c:v>8.6471729091505328E-2</c:v>
                </c:pt>
                <c:pt idx="984">
                  <c:v>0.37400741098042983</c:v>
                </c:pt>
                <c:pt idx="985">
                  <c:v>0.2856513583447568</c:v>
                </c:pt>
                <c:pt idx="986">
                  <c:v>0.3392349065978697</c:v>
                </c:pt>
                <c:pt idx="987">
                  <c:v>-7.5437684862820209E-3</c:v>
                </c:pt>
                <c:pt idx="988">
                  <c:v>6.6312278801228003E-2</c:v>
                </c:pt>
                <c:pt idx="989">
                  <c:v>8.1230026933432911E-2</c:v>
                </c:pt>
                <c:pt idx="990">
                  <c:v>0.2606252073873378</c:v>
                </c:pt>
                <c:pt idx="991">
                  <c:v>0.21187419415278266</c:v>
                </c:pt>
                <c:pt idx="992">
                  <c:v>0.25427738872035066</c:v>
                </c:pt>
                <c:pt idx="993">
                  <c:v>-0.11326452877578035</c:v>
                </c:pt>
                <c:pt idx="994">
                  <c:v>0.20697345409190895</c:v>
                </c:pt>
                <c:pt idx="995">
                  <c:v>-0.22910406694092372</c:v>
                </c:pt>
                <c:pt idx="996">
                  <c:v>0.28622751980658284</c:v>
                </c:pt>
                <c:pt idx="997">
                  <c:v>-0.22469092476372804</c:v>
                </c:pt>
                <c:pt idx="998">
                  <c:v>0.22244683182861585</c:v>
                </c:pt>
                <c:pt idx="999">
                  <c:v>0.22844248668306433</c:v>
                </c:pt>
                <c:pt idx="1000">
                  <c:v>9.4958502545233095E-2</c:v>
                </c:pt>
                <c:pt idx="1001">
                  <c:v>-0.18335459644974095</c:v>
                </c:pt>
                <c:pt idx="1002">
                  <c:v>4.4314461714688183E-2</c:v>
                </c:pt>
                <c:pt idx="1003">
                  <c:v>0.38550891435946338</c:v>
                </c:pt>
                <c:pt idx="1004">
                  <c:v>0.16543846663376496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DC-4B23-AA51-4AB623CC6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545967"/>
        <c:axId val="1518539247"/>
      </c:scatterChart>
      <c:valAx>
        <c:axId val="15185459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8539247"/>
        <c:crosses val="autoZero"/>
        <c:crossBetween val="midCat"/>
      </c:valAx>
      <c:valAx>
        <c:axId val="1518539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85459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Historical Returns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'S&amp;P'!$I$3:$I$100</c:f>
              <c:numCache>
                <c:formatCode>General</c:formatCode>
                <c:ptCount val="98"/>
                <c:pt idx="0">
                  <c:v>1928</c:v>
                </c:pt>
                <c:pt idx="1">
                  <c:v>1929</c:v>
                </c:pt>
                <c:pt idx="2">
                  <c:v>1930</c:v>
                </c:pt>
                <c:pt idx="3">
                  <c:v>1931</c:v>
                </c:pt>
                <c:pt idx="4">
                  <c:v>1932</c:v>
                </c:pt>
                <c:pt idx="5">
                  <c:v>1933</c:v>
                </c:pt>
                <c:pt idx="6">
                  <c:v>1934</c:v>
                </c:pt>
                <c:pt idx="7">
                  <c:v>1935</c:v>
                </c:pt>
                <c:pt idx="8">
                  <c:v>1936</c:v>
                </c:pt>
                <c:pt idx="9">
                  <c:v>1937</c:v>
                </c:pt>
                <c:pt idx="10">
                  <c:v>1938</c:v>
                </c:pt>
                <c:pt idx="11">
                  <c:v>1939</c:v>
                </c:pt>
                <c:pt idx="12">
                  <c:v>1940</c:v>
                </c:pt>
                <c:pt idx="13">
                  <c:v>1941</c:v>
                </c:pt>
                <c:pt idx="14">
                  <c:v>1942</c:v>
                </c:pt>
                <c:pt idx="15">
                  <c:v>1943</c:v>
                </c:pt>
                <c:pt idx="16">
                  <c:v>1944</c:v>
                </c:pt>
                <c:pt idx="17">
                  <c:v>1945</c:v>
                </c:pt>
                <c:pt idx="18">
                  <c:v>1946</c:v>
                </c:pt>
                <c:pt idx="19">
                  <c:v>1947</c:v>
                </c:pt>
                <c:pt idx="20">
                  <c:v>1948</c:v>
                </c:pt>
                <c:pt idx="21">
                  <c:v>1949</c:v>
                </c:pt>
                <c:pt idx="22">
                  <c:v>1950</c:v>
                </c:pt>
                <c:pt idx="23">
                  <c:v>1951</c:v>
                </c:pt>
                <c:pt idx="24">
                  <c:v>1952</c:v>
                </c:pt>
                <c:pt idx="25">
                  <c:v>1953</c:v>
                </c:pt>
                <c:pt idx="26">
                  <c:v>1954</c:v>
                </c:pt>
                <c:pt idx="27">
                  <c:v>1955</c:v>
                </c:pt>
                <c:pt idx="28">
                  <c:v>1956</c:v>
                </c:pt>
                <c:pt idx="29">
                  <c:v>1957</c:v>
                </c:pt>
                <c:pt idx="30">
                  <c:v>1958</c:v>
                </c:pt>
                <c:pt idx="31">
                  <c:v>1959</c:v>
                </c:pt>
                <c:pt idx="32">
                  <c:v>1960</c:v>
                </c:pt>
                <c:pt idx="33">
                  <c:v>1961</c:v>
                </c:pt>
                <c:pt idx="34">
                  <c:v>1962</c:v>
                </c:pt>
                <c:pt idx="35">
                  <c:v>1963</c:v>
                </c:pt>
                <c:pt idx="36">
                  <c:v>1964</c:v>
                </c:pt>
                <c:pt idx="37">
                  <c:v>1965</c:v>
                </c:pt>
                <c:pt idx="38">
                  <c:v>1966</c:v>
                </c:pt>
                <c:pt idx="39">
                  <c:v>1967</c:v>
                </c:pt>
                <c:pt idx="40">
                  <c:v>1968</c:v>
                </c:pt>
                <c:pt idx="41">
                  <c:v>1969</c:v>
                </c:pt>
                <c:pt idx="42">
                  <c:v>1970</c:v>
                </c:pt>
                <c:pt idx="43">
                  <c:v>1971</c:v>
                </c:pt>
                <c:pt idx="44">
                  <c:v>1972</c:v>
                </c:pt>
                <c:pt idx="45">
                  <c:v>1973</c:v>
                </c:pt>
                <c:pt idx="46">
                  <c:v>1974</c:v>
                </c:pt>
                <c:pt idx="47">
                  <c:v>1975</c:v>
                </c:pt>
                <c:pt idx="48">
                  <c:v>1976</c:v>
                </c:pt>
                <c:pt idx="49">
                  <c:v>1977</c:v>
                </c:pt>
                <c:pt idx="50">
                  <c:v>1978</c:v>
                </c:pt>
                <c:pt idx="51">
                  <c:v>1979</c:v>
                </c:pt>
                <c:pt idx="52">
                  <c:v>1980</c:v>
                </c:pt>
                <c:pt idx="53">
                  <c:v>1981</c:v>
                </c:pt>
                <c:pt idx="54">
                  <c:v>1982</c:v>
                </c:pt>
                <c:pt idx="55">
                  <c:v>1983</c:v>
                </c:pt>
                <c:pt idx="56">
                  <c:v>1984</c:v>
                </c:pt>
                <c:pt idx="57">
                  <c:v>1985</c:v>
                </c:pt>
                <c:pt idx="58">
                  <c:v>1986</c:v>
                </c:pt>
                <c:pt idx="59">
                  <c:v>1987</c:v>
                </c:pt>
                <c:pt idx="60">
                  <c:v>1988</c:v>
                </c:pt>
                <c:pt idx="61">
                  <c:v>1989</c:v>
                </c:pt>
                <c:pt idx="62">
                  <c:v>1990</c:v>
                </c:pt>
                <c:pt idx="63">
                  <c:v>1991</c:v>
                </c:pt>
                <c:pt idx="64">
                  <c:v>1992</c:v>
                </c:pt>
                <c:pt idx="65">
                  <c:v>1993</c:v>
                </c:pt>
                <c:pt idx="66">
                  <c:v>1994</c:v>
                </c:pt>
                <c:pt idx="67">
                  <c:v>1995</c:v>
                </c:pt>
                <c:pt idx="68">
                  <c:v>1996</c:v>
                </c:pt>
                <c:pt idx="69">
                  <c:v>1997</c:v>
                </c:pt>
                <c:pt idx="70">
                  <c:v>1998</c:v>
                </c:pt>
                <c:pt idx="71">
                  <c:v>1999</c:v>
                </c:pt>
                <c:pt idx="72">
                  <c:v>2000</c:v>
                </c:pt>
                <c:pt idx="73">
                  <c:v>2001</c:v>
                </c:pt>
                <c:pt idx="74">
                  <c:v>2002</c:v>
                </c:pt>
                <c:pt idx="75">
                  <c:v>2003</c:v>
                </c:pt>
                <c:pt idx="76">
                  <c:v>2004</c:v>
                </c:pt>
                <c:pt idx="77">
                  <c:v>2005</c:v>
                </c:pt>
                <c:pt idx="78">
                  <c:v>2006</c:v>
                </c:pt>
                <c:pt idx="79">
                  <c:v>2007</c:v>
                </c:pt>
                <c:pt idx="80">
                  <c:v>2008</c:v>
                </c:pt>
                <c:pt idx="81">
                  <c:v>2009</c:v>
                </c:pt>
                <c:pt idx="82">
                  <c:v>2010</c:v>
                </c:pt>
                <c:pt idx="83">
                  <c:v>2011</c:v>
                </c:pt>
                <c:pt idx="84">
                  <c:v>2012</c:v>
                </c:pt>
                <c:pt idx="85">
                  <c:v>2013</c:v>
                </c:pt>
                <c:pt idx="86">
                  <c:v>2014</c:v>
                </c:pt>
                <c:pt idx="87">
                  <c:v>2015</c:v>
                </c:pt>
                <c:pt idx="88">
                  <c:v>2016</c:v>
                </c:pt>
                <c:pt idx="89">
                  <c:v>2017</c:v>
                </c:pt>
                <c:pt idx="90">
                  <c:v>2018</c:v>
                </c:pt>
                <c:pt idx="91">
                  <c:v>2019</c:v>
                </c:pt>
                <c:pt idx="92">
                  <c:v>2020</c:v>
                </c:pt>
                <c:pt idx="93">
                  <c:v>2021</c:v>
                </c:pt>
                <c:pt idx="94">
                  <c:v>2022</c:v>
                </c:pt>
                <c:pt idx="95">
                  <c:v>2023</c:v>
                </c:pt>
                <c:pt idx="96">
                  <c:v>2024</c:v>
                </c:pt>
                <c:pt idx="97">
                  <c:v>2025</c:v>
                </c:pt>
              </c:numCache>
            </c:numRef>
          </c:cat>
          <c:val>
            <c:numRef>
              <c:f>'S&amp;P'!$J$3:$J$100</c:f>
              <c:numCache>
                <c:formatCode>0%</c:formatCode>
                <c:ptCount val="98"/>
                <c:pt idx="0">
                  <c:v>0.37880000000000003</c:v>
                </c:pt>
                <c:pt idx="1">
                  <c:v>-0.1191</c:v>
                </c:pt>
                <c:pt idx="2">
                  <c:v>-0.2848</c:v>
                </c:pt>
                <c:pt idx="3">
                  <c:v>-0.47070000000000001</c:v>
                </c:pt>
                <c:pt idx="4">
                  <c:v>-0.1515</c:v>
                </c:pt>
                <c:pt idx="5">
                  <c:v>0.46590000000000004</c:v>
                </c:pt>
                <c:pt idx="6">
                  <c:v>-5.9400000000000001E-2</c:v>
                </c:pt>
                <c:pt idx="7">
                  <c:v>0.41369999999999996</c:v>
                </c:pt>
                <c:pt idx="8">
                  <c:v>0.2792</c:v>
                </c:pt>
                <c:pt idx="9">
                  <c:v>-0.38590000000000002</c:v>
                </c:pt>
                <c:pt idx="10">
                  <c:v>0.25209999999999999</c:v>
                </c:pt>
                <c:pt idx="11">
                  <c:v>-5.45E-2</c:v>
                </c:pt>
                <c:pt idx="12">
                  <c:v>-0.15289999999999998</c:v>
                </c:pt>
                <c:pt idx="13">
                  <c:v>-0.17859999999999998</c:v>
                </c:pt>
                <c:pt idx="14">
                  <c:v>0.12429999999999999</c:v>
                </c:pt>
                <c:pt idx="15">
                  <c:v>0.19450000000000001</c:v>
                </c:pt>
                <c:pt idx="16">
                  <c:v>0.13800000000000001</c:v>
                </c:pt>
                <c:pt idx="17">
                  <c:v>0.30719999999999997</c:v>
                </c:pt>
                <c:pt idx="18">
                  <c:v>0.11869999999999999</c:v>
                </c:pt>
                <c:pt idx="19">
                  <c:v>-0.31</c:v>
                </c:pt>
                <c:pt idx="20">
                  <c:v>-6.5000000000000006E-3</c:v>
                </c:pt>
                <c:pt idx="21">
                  <c:v>0.1026</c:v>
                </c:pt>
                <c:pt idx="22">
                  <c:v>0.21780000000000002</c:v>
                </c:pt>
                <c:pt idx="23">
                  <c:v>0.1646</c:v>
                </c:pt>
                <c:pt idx="24">
                  <c:v>0.11779999999999999</c:v>
                </c:pt>
                <c:pt idx="25">
                  <c:v>-6.6199999999999995E-2</c:v>
                </c:pt>
                <c:pt idx="26">
                  <c:v>0.45020000000000004</c:v>
                </c:pt>
                <c:pt idx="27">
                  <c:v>0.26400000000000001</c:v>
                </c:pt>
                <c:pt idx="28">
                  <c:v>2.6200000000000001E-2</c:v>
                </c:pt>
                <c:pt idx="29">
                  <c:v>0.1431</c:v>
                </c:pt>
                <c:pt idx="30">
                  <c:v>0.38060000000000005</c:v>
                </c:pt>
                <c:pt idx="31">
                  <c:v>8.48E-2</c:v>
                </c:pt>
                <c:pt idx="32">
                  <c:v>-2.9700000000000001E-2</c:v>
                </c:pt>
                <c:pt idx="33">
                  <c:v>0.23129999999999998</c:v>
                </c:pt>
                <c:pt idx="34">
                  <c:v>0.11810000000000001</c:v>
                </c:pt>
                <c:pt idx="35">
                  <c:v>0.18890000000000001</c:v>
                </c:pt>
                <c:pt idx="36">
                  <c:v>0.12970000000000001</c:v>
                </c:pt>
                <c:pt idx="37">
                  <c:v>9.06E-2</c:v>
                </c:pt>
                <c:pt idx="38">
                  <c:v>0.13089999999999999</c:v>
                </c:pt>
                <c:pt idx="39">
                  <c:v>0.2009</c:v>
                </c:pt>
                <c:pt idx="40">
                  <c:v>7.6600000000000001E-2</c:v>
                </c:pt>
                <c:pt idx="41">
                  <c:v>0.11359999999999999</c:v>
                </c:pt>
                <c:pt idx="42">
                  <c:v>1E-3</c:v>
                </c:pt>
                <c:pt idx="43">
                  <c:v>0.1079</c:v>
                </c:pt>
                <c:pt idx="44">
                  <c:v>0.15629999999999999</c:v>
                </c:pt>
                <c:pt idx="45">
                  <c:v>0.17370000000000002</c:v>
                </c:pt>
                <c:pt idx="46">
                  <c:v>0.29719999999999996</c:v>
                </c:pt>
                <c:pt idx="47">
                  <c:v>0.3155</c:v>
                </c:pt>
                <c:pt idx="48">
                  <c:v>0.19149999999999998</c:v>
                </c:pt>
                <c:pt idx="49">
                  <c:v>-0.115</c:v>
                </c:pt>
                <c:pt idx="50">
                  <c:v>1.06E-2</c:v>
                </c:pt>
                <c:pt idx="51">
                  <c:v>0.1231</c:v>
                </c:pt>
                <c:pt idx="52">
                  <c:v>0.25769999999999998</c:v>
                </c:pt>
                <c:pt idx="53">
                  <c:v>-9.7299999999999998E-2</c:v>
                </c:pt>
                <c:pt idx="54">
                  <c:v>0.14760000000000001</c:v>
                </c:pt>
                <c:pt idx="55">
                  <c:v>0.17269999999999999</c:v>
                </c:pt>
                <c:pt idx="56">
                  <c:v>1.3999999999999999E-2</c:v>
                </c:pt>
                <c:pt idx="57">
                  <c:v>0.26329999999999998</c:v>
                </c:pt>
                <c:pt idx="58">
                  <c:v>0.1462</c:v>
                </c:pt>
                <c:pt idx="59">
                  <c:v>2.0299999999999999E-2</c:v>
                </c:pt>
                <c:pt idx="60">
                  <c:v>0.124</c:v>
                </c:pt>
                <c:pt idx="61">
                  <c:v>0.27250000000000002</c:v>
                </c:pt>
                <c:pt idx="62">
                  <c:v>-6.5599999999999992E-2</c:v>
                </c:pt>
                <c:pt idx="63">
                  <c:v>0.2631</c:v>
                </c:pt>
                <c:pt idx="64">
                  <c:v>4.4600000000000001E-2</c:v>
                </c:pt>
                <c:pt idx="65">
                  <c:v>7.0599999999999996E-2</c:v>
                </c:pt>
                <c:pt idx="66">
                  <c:v>-1.54E-2</c:v>
                </c:pt>
                <c:pt idx="67">
                  <c:v>0.34110000000000001</c:v>
                </c:pt>
                <c:pt idx="68">
                  <c:v>0.2026</c:v>
                </c:pt>
                <c:pt idx="69">
                  <c:v>0.31010000000000004</c:v>
                </c:pt>
                <c:pt idx="70">
                  <c:v>0.26669999999999999</c:v>
                </c:pt>
                <c:pt idx="71">
                  <c:v>0.1953</c:v>
                </c:pt>
                <c:pt idx="72">
                  <c:v>0.1014</c:v>
                </c:pt>
                <c:pt idx="73">
                  <c:v>0.13039999999999999</c:v>
                </c:pt>
                <c:pt idx="74">
                  <c:v>0.23370000000000002</c:v>
                </c:pt>
                <c:pt idx="75">
                  <c:v>0.26379999999999998</c:v>
                </c:pt>
                <c:pt idx="76">
                  <c:v>8.9900000000000008E-2</c:v>
                </c:pt>
                <c:pt idx="77">
                  <c:v>-0.30299999999999999</c:v>
                </c:pt>
                <c:pt idx="78">
                  <c:v>0.13619999999999999</c:v>
                </c:pt>
                <c:pt idx="79">
                  <c:v>3.5299999999999998E-2</c:v>
                </c:pt>
                <c:pt idx="80">
                  <c:v>0.38490000000000002</c:v>
                </c:pt>
                <c:pt idx="81">
                  <c:v>0.23449999999999999</c:v>
                </c:pt>
                <c:pt idx="82">
                  <c:v>0.1278</c:v>
                </c:pt>
                <c:pt idx="83">
                  <c:v>-0.3</c:v>
                </c:pt>
                <c:pt idx="84">
                  <c:v>0.1341</c:v>
                </c:pt>
                <c:pt idx="85">
                  <c:v>0.29600000000000004</c:v>
                </c:pt>
                <c:pt idx="86">
                  <c:v>0.1139</c:v>
                </c:pt>
                <c:pt idx="87">
                  <c:v>-7.3000000000000001E-3</c:v>
                </c:pt>
                <c:pt idx="88">
                  <c:v>9.5399999999999985E-2</c:v>
                </c:pt>
                <c:pt idx="89">
                  <c:v>0.19420000000000001</c:v>
                </c:pt>
                <c:pt idx="90">
                  <c:v>-6.2400000000000004E-2</c:v>
                </c:pt>
                <c:pt idx="91">
                  <c:v>0.2888</c:v>
                </c:pt>
                <c:pt idx="92">
                  <c:v>0.16260000000000002</c:v>
                </c:pt>
                <c:pt idx="93">
                  <c:v>0.26890000000000003</c:v>
                </c:pt>
                <c:pt idx="94">
                  <c:v>0.19440000000000002</c:v>
                </c:pt>
                <c:pt idx="95">
                  <c:v>0.24230000000000002</c:v>
                </c:pt>
                <c:pt idx="96">
                  <c:v>0.23309999999999997</c:v>
                </c:pt>
                <c:pt idx="97">
                  <c:v>-9.300000000000001E-3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C6-4F6C-8403-193F4F9A43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1021232"/>
        <c:axId val="581018352"/>
      </c:lineChart>
      <c:catAx>
        <c:axId val="581021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81018352"/>
        <c:crosses val="autoZero"/>
        <c:auto val="1"/>
        <c:lblAlgn val="ctr"/>
        <c:lblOffset val="100"/>
        <c:noMultiLvlLbl val="0"/>
      </c:catAx>
      <c:valAx>
        <c:axId val="581018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81021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Distribution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Distribution</a:t>
          </a:r>
        </a:p>
      </cx:txPr>
    </cx:title>
    <cx:plotArea>
      <cx:plotAreaRegion>
        <cx:series layoutId="clusteredColumn" uniqueId="{0DB86561-8B39-4755-B968-070F79FC119B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Historical Distribution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Historical Distribution</a:t>
          </a:r>
        </a:p>
      </cx:txPr>
    </cx:title>
    <cx:plotArea>
      <cx:plotAreaRegion>
        <cx:series layoutId="clusteredColumn" uniqueId="{4D8B95CD-1ECC-4D14-A83E-20215D3DE40A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microsoft.com/office/2014/relationships/chartEx" Target="../charts/chartEx1.xml"/><Relationship Id="rId1" Type="http://schemas.openxmlformats.org/officeDocument/2006/relationships/chart" Target="../charts/chart1.xml"/><Relationship Id="rId4" Type="http://schemas.microsoft.com/office/2014/relationships/chartEx" Target="../charts/chartEx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252412</xdr:colOff>
      <xdr:row>4</xdr:row>
      <xdr:rowOff>186119</xdr:rowOff>
    </xdr:from>
    <xdr:to>
      <xdr:col>34</xdr:col>
      <xdr:colOff>525517</xdr:colOff>
      <xdr:row>24</xdr:row>
      <xdr:rowOff>120430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EDE602E-65CE-4E4F-AA68-3912F69001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294290</xdr:colOff>
      <xdr:row>25</xdr:row>
      <xdr:rowOff>20062</xdr:rowOff>
    </xdr:from>
    <xdr:to>
      <xdr:col>34</xdr:col>
      <xdr:colOff>558362</xdr:colOff>
      <xdr:row>45</xdr:row>
      <xdr:rowOff>109483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4A687053-1AAF-32D0-A458-7C16064621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86040" y="4782562"/>
              <a:ext cx="6969672" cy="3899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10</xdr:col>
      <xdr:colOff>330638</xdr:colOff>
      <xdr:row>1</xdr:row>
      <xdr:rowOff>155684</xdr:rowOff>
    </xdr:from>
    <xdr:to>
      <xdr:col>17</xdr:col>
      <xdr:colOff>610914</xdr:colOff>
      <xdr:row>16</xdr:row>
      <xdr:rowOff>107074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9DF5D37-2D0F-B93A-3464-E2D8DB9D1A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571500</xdr:colOff>
      <xdr:row>17</xdr:row>
      <xdr:rowOff>24304</xdr:rowOff>
    </xdr:from>
    <xdr:to>
      <xdr:col>18</xdr:col>
      <xdr:colOff>238672</xdr:colOff>
      <xdr:row>31</xdr:row>
      <xdr:rowOff>161815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Chart 7">
              <a:extLst>
                <a:ext uri="{FF2B5EF4-FFF2-40B4-BE49-F238E27FC236}">
                  <a16:creationId xmlns:a16="http://schemas.microsoft.com/office/drawing/2014/main" id="{B1469A09-F9C4-65D5-E063-6DF51C1ED13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00300" y="3262804"/>
              <a:ext cx="4543972" cy="280451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2D50D-2B71-4AB6-853B-4212B0707310}">
  <dimension ref="A1:B23"/>
  <sheetViews>
    <sheetView tabSelected="1" workbookViewId="0">
      <selection activeCell="B24" sqref="B24"/>
    </sheetView>
  </sheetViews>
  <sheetFormatPr defaultRowHeight="15" x14ac:dyDescent="0.25"/>
  <sheetData>
    <row r="1" spans="1:2" x14ac:dyDescent="0.25">
      <c r="A1" s="3" t="s">
        <v>0</v>
      </c>
      <c r="B1" s="3"/>
    </row>
    <row r="2" spans="1:2" x14ac:dyDescent="0.25">
      <c r="A2" s="3"/>
      <c r="B2" s="3"/>
    </row>
    <row r="3" spans="1:2" x14ac:dyDescent="0.25">
      <c r="A3" s="3"/>
      <c r="B3" s="9" t="s">
        <v>13</v>
      </c>
    </row>
    <row r="4" spans="1:2" x14ac:dyDescent="0.25">
      <c r="A4" s="3"/>
      <c r="B4" s="3" t="s">
        <v>8</v>
      </c>
    </row>
    <row r="5" spans="1:2" x14ac:dyDescent="0.25">
      <c r="A5" s="3"/>
      <c r="B5" s="3" t="s">
        <v>9</v>
      </c>
    </row>
    <row r="6" spans="1:2" x14ac:dyDescent="0.25">
      <c r="A6" s="3"/>
      <c r="B6" s="3" t="s">
        <v>11</v>
      </c>
    </row>
    <row r="7" spans="1:2" x14ac:dyDescent="0.25">
      <c r="A7" s="3"/>
      <c r="B7" s="3" t="s">
        <v>12</v>
      </c>
    </row>
    <row r="8" spans="1:2" x14ac:dyDescent="0.25">
      <c r="A8" s="3"/>
      <c r="B8" s="9" t="s">
        <v>14</v>
      </c>
    </row>
    <row r="9" spans="1:2" x14ac:dyDescent="0.25">
      <c r="A9" s="3"/>
      <c r="B9" s="3" t="s">
        <v>10</v>
      </c>
    </row>
    <row r="10" spans="1:2" x14ac:dyDescent="0.25">
      <c r="A10" s="3"/>
      <c r="B10" s="3" t="s">
        <v>15</v>
      </c>
    </row>
    <row r="11" spans="1:2" x14ac:dyDescent="0.25">
      <c r="A11" s="3"/>
      <c r="B11" s="3" t="s">
        <v>16</v>
      </c>
    </row>
    <row r="12" spans="1:2" x14ac:dyDescent="0.25">
      <c r="A12" s="3"/>
      <c r="B12" s="3" t="s">
        <v>17</v>
      </c>
    </row>
    <row r="13" spans="1:2" x14ac:dyDescent="0.25">
      <c r="A13" s="3"/>
      <c r="B13" s="3" t="s">
        <v>18</v>
      </c>
    </row>
    <row r="14" spans="1:2" x14ac:dyDescent="0.25">
      <c r="A14" s="3"/>
      <c r="B14" s="3" t="s">
        <v>19</v>
      </c>
    </row>
    <row r="15" spans="1:2" x14ac:dyDescent="0.25">
      <c r="A15" s="3"/>
      <c r="B15" s="3" t="s">
        <v>20</v>
      </c>
    </row>
    <row r="16" spans="1:2" x14ac:dyDescent="0.25">
      <c r="A16" s="3"/>
      <c r="B16" s="3"/>
    </row>
    <row r="17" spans="1:2" x14ac:dyDescent="0.25">
      <c r="A17" s="3"/>
      <c r="B17" s="3"/>
    </row>
    <row r="18" spans="1:2" x14ac:dyDescent="0.25">
      <c r="A18" s="3"/>
      <c r="B18" s="3"/>
    </row>
    <row r="19" spans="1:2" x14ac:dyDescent="0.25">
      <c r="A19" s="3"/>
      <c r="B19" s="3"/>
    </row>
    <row r="20" spans="1:2" x14ac:dyDescent="0.25">
      <c r="A20" s="3"/>
      <c r="B20" s="3"/>
    </row>
    <row r="21" spans="1:2" x14ac:dyDescent="0.25">
      <c r="A21" s="3"/>
      <c r="B21" s="3"/>
    </row>
    <row r="22" spans="1:2" x14ac:dyDescent="0.25">
      <c r="A22" s="3"/>
      <c r="B22" s="3"/>
    </row>
    <row r="23" spans="1:2" x14ac:dyDescent="0.25">
      <c r="A23" s="3"/>
      <c r="B23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90C68-D9A0-42B3-9DF8-7A5FD6AC853C}">
  <dimension ref="A1"/>
  <sheetViews>
    <sheetView workbookViewId="0"/>
  </sheetViews>
  <sheetFormatPr defaultRowHeight="15" x14ac:dyDescent="0.25"/>
  <sheetData>
    <row r="1" spans="1:1" x14ac:dyDescent="0.25">
      <c r="A1" s="5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B2AB5-D5F9-489A-965F-DE8701D7E8F8}">
  <dimension ref="A1:AX1624"/>
  <sheetViews>
    <sheetView topLeftCell="H1" zoomScale="87" zoomScaleNormal="87" workbookViewId="0">
      <selection activeCell="H1" sqref="H1"/>
    </sheetView>
  </sheetViews>
  <sheetFormatPr defaultRowHeight="15" x14ac:dyDescent="0.25"/>
  <cols>
    <col min="1" max="1" width="4.7109375" hidden="1" customWidth="1"/>
    <col min="2" max="7" width="0" hidden="1" customWidth="1"/>
    <col min="8" max="8" width="4" style="5" customWidth="1"/>
    <col min="9" max="19" width="9.140625" style="5"/>
    <col min="20" max="20" width="15.7109375" style="5" bestFit="1" customWidth="1"/>
    <col min="21" max="16384" width="9.140625" style="5"/>
  </cols>
  <sheetData>
    <row r="1" spans="1:50" x14ac:dyDescent="0.25">
      <c r="A1" s="1" t="s">
        <v>6</v>
      </c>
      <c r="H1" s="3"/>
      <c r="I1" s="4" t="s">
        <v>29</v>
      </c>
      <c r="J1" s="3"/>
      <c r="K1" s="3"/>
      <c r="L1" s="3"/>
      <c r="M1" s="3"/>
      <c r="N1" s="3"/>
      <c r="O1" s="3"/>
      <c r="P1" s="3"/>
      <c r="Q1" s="3"/>
      <c r="R1" s="3"/>
      <c r="S1" s="3"/>
      <c r="T1" s="4" t="s">
        <v>4</v>
      </c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</row>
    <row r="2" spans="1:50" x14ac:dyDescent="0.25"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 t="s">
        <v>1</v>
      </c>
      <c r="U2" s="6">
        <f>+AVERAGE(J3:J100)</f>
        <v>0.11337142857142855</v>
      </c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</row>
    <row r="3" spans="1:50" x14ac:dyDescent="0.25">
      <c r="B3">
        <v>1928</v>
      </c>
      <c r="C3" s="2">
        <v>0.37880000000000003</v>
      </c>
      <c r="H3" s="3"/>
      <c r="I3" s="3">
        <v>1928</v>
      </c>
      <c r="J3" s="7">
        <v>0.37880000000000003</v>
      </c>
      <c r="K3" s="3"/>
      <c r="L3" s="3"/>
      <c r="M3" s="3"/>
      <c r="N3" s="3"/>
      <c r="O3" s="3"/>
      <c r="P3" s="3"/>
      <c r="Q3" s="3"/>
      <c r="R3" s="3"/>
      <c r="S3" s="3"/>
      <c r="T3" s="3" t="s">
        <v>3</v>
      </c>
      <c r="U3" s="3">
        <f>+_xlfn.STDEV.P(J3:J100)</f>
        <v>0.17927227098147991</v>
      </c>
      <c r="V3" s="3"/>
      <c r="W3" s="3"/>
      <c r="X3" s="3" t="s">
        <v>1</v>
      </c>
      <c r="Y3" s="6">
        <f ca="1">+AVERAGE(W6:W1516)</f>
        <v>0.1211826214597644</v>
      </c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</row>
    <row r="4" spans="1:50" x14ac:dyDescent="0.25">
      <c r="B4">
        <v>1929</v>
      </c>
      <c r="C4" s="2">
        <v>-0.1191</v>
      </c>
      <c r="H4" s="3"/>
      <c r="I4" s="3">
        <v>1929</v>
      </c>
      <c r="J4" s="7">
        <v>-0.1191</v>
      </c>
      <c r="K4" s="7"/>
      <c r="L4" s="7"/>
      <c r="M4" s="7"/>
      <c r="N4" s="7"/>
      <c r="O4" s="7"/>
      <c r="P4" s="7"/>
      <c r="Q4" s="7"/>
      <c r="R4" s="7"/>
      <c r="S4" s="3"/>
      <c r="T4" s="3" t="s">
        <v>2</v>
      </c>
      <c r="U4" s="3">
        <f>+_xlfn.STDEV.S(J3:J100)</f>
        <v>0.18019398539111686</v>
      </c>
      <c r="V4" s="3"/>
      <c r="W4" s="3"/>
      <c r="X4" s="3" t="s">
        <v>5</v>
      </c>
      <c r="Y4" s="6">
        <f ca="1">+MEDIAN(W6:W1516)</f>
        <v>0.11872870884755511</v>
      </c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</row>
    <row r="5" spans="1:50" x14ac:dyDescent="0.25">
      <c r="B5">
        <v>1930</v>
      </c>
      <c r="C5" s="2">
        <v>-0.2848</v>
      </c>
      <c r="H5" s="3"/>
      <c r="I5" s="3">
        <v>1930</v>
      </c>
      <c r="J5" s="7">
        <v>-0.2848</v>
      </c>
      <c r="K5" s="7"/>
      <c r="L5" s="7"/>
      <c r="M5" s="7"/>
      <c r="N5" s="7"/>
      <c r="O5" s="7"/>
      <c r="P5" s="7"/>
      <c r="Q5" s="7"/>
      <c r="R5" s="7"/>
      <c r="S5" s="3"/>
      <c r="T5" s="3" t="s">
        <v>23</v>
      </c>
      <c r="U5" s="8">
        <f>+U2-U3</f>
        <v>-6.5900842410051355E-2</v>
      </c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</row>
    <row r="6" spans="1:50" x14ac:dyDescent="0.25">
      <c r="B6">
        <v>1931</v>
      </c>
      <c r="C6" s="2">
        <v>-0.47070000000000001</v>
      </c>
      <c r="H6" s="3"/>
      <c r="I6" s="3">
        <v>1931</v>
      </c>
      <c r="J6" s="7">
        <v>-0.47070000000000001</v>
      </c>
      <c r="K6" s="7"/>
      <c r="L6" s="7"/>
      <c r="M6" s="7"/>
      <c r="N6" s="7"/>
      <c r="O6" s="7"/>
      <c r="P6" s="7"/>
      <c r="Q6" s="7"/>
      <c r="R6" s="7"/>
      <c r="S6" s="3"/>
      <c r="T6" s="3" t="s">
        <v>24</v>
      </c>
      <c r="U6" s="8">
        <f>+U2+U3</f>
        <v>0.29264369955290848</v>
      </c>
      <c r="V6" s="3"/>
      <c r="W6" s="7">
        <f t="shared" ref="W6:W69" ca="1" si="0">+NORMINV(RAND(),$U$2,$U$3)</f>
        <v>0.13621054843826649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</row>
    <row r="7" spans="1:50" x14ac:dyDescent="0.25">
      <c r="B7">
        <v>1932</v>
      </c>
      <c r="C7" s="2">
        <v>-0.1515</v>
      </c>
      <c r="H7" s="3"/>
      <c r="I7" s="3">
        <v>1932</v>
      </c>
      <c r="J7" s="7">
        <v>-0.1515</v>
      </c>
      <c r="K7" s="7"/>
      <c r="L7" s="7"/>
      <c r="M7" s="7"/>
      <c r="N7" s="7"/>
      <c r="O7" s="7"/>
      <c r="P7" s="7"/>
      <c r="Q7" s="7"/>
      <c r="R7" s="7"/>
      <c r="S7" s="3"/>
      <c r="T7" s="3" t="s">
        <v>25</v>
      </c>
      <c r="U7" s="8">
        <f>+U2-2*U3</f>
        <v>-0.24517311339153125</v>
      </c>
      <c r="V7" s="3"/>
      <c r="W7" s="7">
        <f t="shared" ca="1" si="0"/>
        <v>0.18167537956235003</v>
      </c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</row>
    <row r="8" spans="1:50" x14ac:dyDescent="0.25">
      <c r="B8">
        <v>1933</v>
      </c>
      <c r="C8" s="2">
        <v>0.46590000000000004</v>
      </c>
      <c r="H8" s="3"/>
      <c r="I8" s="3">
        <v>1933</v>
      </c>
      <c r="J8" s="7">
        <v>0.46590000000000004</v>
      </c>
      <c r="K8" s="7"/>
      <c r="L8" s="7"/>
      <c r="M8" s="7"/>
      <c r="N8" s="7"/>
      <c r="O8" s="7"/>
      <c r="P8" s="7"/>
      <c r="Q8" s="7"/>
      <c r="R8" s="7"/>
      <c r="S8" s="3"/>
      <c r="T8" s="3" t="s">
        <v>26</v>
      </c>
      <c r="U8" s="8">
        <f>+U2+2*U3</f>
        <v>0.47191597053438838</v>
      </c>
      <c r="V8" s="3"/>
      <c r="W8" s="7">
        <f t="shared" ca="1" si="0"/>
        <v>-2.2676487333862891E-2</v>
      </c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</row>
    <row r="9" spans="1:50" x14ac:dyDescent="0.25">
      <c r="B9">
        <v>1934</v>
      </c>
      <c r="C9" s="2">
        <v>-5.9400000000000001E-2</v>
      </c>
      <c r="H9" s="3"/>
      <c r="I9" s="3">
        <v>1934</v>
      </c>
      <c r="J9" s="7">
        <v>-5.9400000000000001E-2</v>
      </c>
      <c r="K9" s="7"/>
      <c r="L9" s="7"/>
      <c r="M9" s="7"/>
      <c r="N9" s="7"/>
      <c r="O9" s="7"/>
      <c r="P9" s="7"/>
      <c r="Q9" s="7"/>
      <c r="R9" s="7"/>
      <c r="S9" s="3"/>
      <c r="T9" s="3" t="s">
        <v>27</v>
      </c>
      <c r="U9" s="8">
        <f>+U2-3*U3</f>
        <v>-0.42444538437301116</v>
      </c>
      <c r="V9" s="3"/>
      <c r="W9" s="7">
        <f t="shared" ca="1" si="0"/>
        <v>0.22321801971261881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</row>
    <row r="10" spans="1:50" x14ac:dyDescent="0.25">
      <c r="B10">
        <v>1935</v>
      </c>
      <c r="C10" s="2">
        <v>0.41369999999999996</v>
      </c>
      <c r="H10" s="3"/>
      <c r="I10" s="3">
        <v>1935</v>
      </c>
      <c r="J10" s="7">
        <v>0.41369999999999996</v>
      </c>
      <c r="K10" s="7"/>
      <c r="L10" s="7"/>
      <c r="M10" s="7"/>
      <c r="N10" s="7"/>
      <c r="O10" s="7"/>
      <c r="P10" s="7"/>
      <c r="Q10" s="7"/>
      <c r="R10" s="7"/>
      <c r="S10" s="3"/>
      <c r="T10" s="3" t="s">
        <v>28</v>
      </c>
      <c r="U10" s="8">
        <f>+U2+3*U3</f>
        <v>0.65118824151586829</v>
      </c>
      <c r="V10" s="3"/>
      <c r="W10" s="7">
        <f t="shared" ca="1" si="0"/>
        <v>0.10497564571071197</v>
      </c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</row>
    <row r="11" spans="1:50" x14ac:dyDescent="0.25">
      <c r="B11">
        <v>1936</v>
      </c>
      <c r="C11" s="2">
        <v>0.2792</v>
      </c>
      <c r="H11" s="3"/>
      <c r="I11" s="3">
        <v>1936</v>
      </c>
      <c r="J11" s="7">
        <v>0.2792</v>
      </c>
      <c r="K11" s="7"/>
      <c r="L11" s="7"/>
      <c r="M11" s="7"/>
      <c r="N11" s="7"/>
      <c r="O11" s="7"/>
      <c r="P11" s="7"/>
      <c r="Q11" s="7"/>
      <c r="R11" s="7"/>
      <c r="S11" s="3"/>
      <c r="T11" s="3" t="s">
        <v>21</v>
      </c>
      <c r="U11" s="6">
        <f ca="1">+MAX(W6:W1516)</f>
        <v>0.90699381140012192</v>
      </c>
      <c r="V11" s="3"/>
      <c r="W11" s="7">
        <f t="shared" ca="1" si="0"/>
        <v>3.3348608149758346E-2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</row>
    <row r="12" spans="1:50" x14ac:dyDescent="0.25">
      <c r="B12">
        <v>1937</v>
      </c>
      <c r="C12" s="2">
        <v>-0.38590000000000002</v>
      </c>
      <c r="H12" s="3"/>
      <c r="I12" s="3">
        <v>1937</v>
      </c>
      <c r="J12" s="7">
        <v>-0.38590000000000002</v>
      </c>
      <c r="K12" s="7"/>
      <c r="L12" s="7"/>
      <c r="M12" s="7"/>
      <c r="N12" s="7"/>
      <c r="O12" s="7"/>
      <c r="P12" s="7"/>
      <c r="Q12" s="7"/>
      <c r="R12" s="7"/>
      <c r="S12" s="3"/>
      <c r="T12" s="3" t="s">
        <v>22</v>
      </c>
      <c r="U12" s="6">
        <f ca="1">+MIN(W6:W1516)</f>
        <v>-0.44318448953292344</v>
      </c>
      <c r="V12" s="3"/>
      <c r="W12" s="7">
        <f t="shared" ca="1" si="0"/>
        <v>-0.12708368837989847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</row>
    <row r="13" spans="1:50" x14ac:dyDescent="0.25">
      <c r="B13">
        <v>1938</v>
      </c>
      <c r="C13" s="2">
        <v>0.25209999999999999</v>
      </c>
      <c r="H13" s="3"/>
      <c r="I13" s="3">
        <v>1938</v>
      </c>
      <c r="J13" s="7">
        <v>0.25209999999999999</v>
      </c>
      <c r="K13" s="7"/>
      <c r="L13" s="7"/>
      <c r="M13" s="7"/>
      <c r="N13" s="7"/>
      <c r="O13" s="7"/>
      <c r="P13" s="7"/>
      <c r="Q13" s="7"/>
      <c r="R13" s="7"/>
      <c r="S13" s="3"/>
      <c r="T13" s="3"/>
      <c r="U13" s="3"/>
      <c r="V13" s="3"/>
      <c r="W13" s="7">
        <f t="shared" ca="1" si="0"/>
        <v>-2.5312213535726366E-2</v>
      </c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</row>
    <row r="14" spans="1:50" x14ac:dyDescent="0.25">
      <c r="B14">
        <v>1939</v>
      </c>
      <c r="C14" s="2">
        <v>-5.45E-2</v>
      </c>
      <c r="H14" s="3"/>
      <c r="I14" s="3">
        <v>1939</v>
      </c>
      <c r="J14" s="7">
        <v>-5.45E-2</v>
      </c>
      <c r="K14" s="7"/>
      <c r="L14" s="7"/>
      <c r="M14" s="7"/>
      <c r="N14" s="7"/>
      <c r="O14" s="7"/>
      <c r="P14" s="7"/>
      <c r="Q14" s="7"/>
      <c r="R14" s="7"/>
      <c r="S14" s="3"/>
      <c r="T14" s="3"/>
      <c r="U14" s="3"/>
      <c r="V14" s="3"/>
      <c r="W14" s="7">
        <f t="shared" ca="1" si="0"/>
        <v>0.48738945967914066</v>
      </c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</row>
    <row r="15" spans="1:50" x14ac:dyDescent="0.25">
      <c r="B15">
        <v>1940</v>
      </c>
      <c r="C15" s="2">
        <v>-0.15289999999999998</v>
      </c>
      <c r="H15" s="3"/>
      <c r="I15" s="3">
        <v>1940</v>
      </c>
      <c r="J15" s="7">
        <v>-0.15289999999999998</v>
      </c>
      <c r="K15" s="7"/>
      <c r="L15" s="7"/>
      <c r="M15" s="7"/>
      <c r="N15" s="7"/>
      <c r="O15" s="7"/>
      <c r="P15" s="7"/>
      <c r="Q15" s="7"/>
      <c r="R15" s="7"/>
      <c r="S15" s="3"/>
      <c r="T15" s="3"/>
      <c r="U15" s="3"/>
      <c r="V15" s="3"/>
      <c r="W15" s="7">
        <f t="shared" ca="1" si="0"/>
        <v>0.25241868955281221</v>
      </c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</row>
    <row r="16" spans="1:50" x14ac:dyDescent="0.25">
      <c r="B16">
        <v>1941</v>
      </c>
      <c r="C16" s="2">
        <v>-0.17859999999999998</v>
      </c>
      <c r="H16" s="3"/>
      <c r="I16" s="3">
        <v>1941</v>
      </c>
      <c r="J16" s="7">
        <v>-0.17859999999999998</v>
      </c>
      <c r="K16" s="7"/>
      <c r="L16" s="7"/>
      <c r="M16" s="7"/>
      <c r="N16" s="7"/>
      <c r="O16" s="7"/>
      <c r="P16" s="7"/>
      <c r="Q16" s="7"/>
      <c r="R16" s="7"/>
      <c r="S16" s="3"/>
      <c r="T16" s="3"/>
      <c r="U16" s="3"/>
      <c r="V16" s="3"/>
      <c r="W16" s="7">
        <f t="shared" ca="1" si="0"/>
        <v>0.25602871433928953</v>
      </c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</row>
    <row r="17" spans="2:50" x14ac:dyDescent="0.25">
      <c r="B17">
        <v>1942</v>
      </c>
      <c r="C17" s="2">
        <v>0.12429999999999999</v>
      </c>
      <c r="H17" s="3"/>
      <c r="I17" s="3">
        <v>1942</v>
      </c>
      <c r="J17" s="7">
        <v>0.12429999999999999</v>
      </c>
      <c r="K17" s="7"/>
      <c r="L17" s="7"/>
      <c r="M17" s="7"/>
      <c r="N17" s="7"/>
      <c r="O17" s="7"/>
      <c r="P17" s="7"/>
      <c r="Q17" s="7"/>
      <c r="R17" s="7"/>
      <c r="S17" s="3"/>
      <c r="T17" s="3"/>
      <c r="U17" s="3"/>
      <c r="V17" s="3"/>
      <c r="W17" s="7">
        <f t="shared" ca="1" si="0"/>
        <v>0.24490203223875956</v>
      </c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</row>
    <row r="18" spans="2:50" x14ac:dyDescent="0.25">
      <c r="B18">
        <v>1943</v>
      </c>
      <c r="C18" s="2">
        <v>0.19450000000000001</v>
      </c>
      <c r="H18" s="3"/>
      <c r="I18" s="3">
        <v>1943</v>
      </c>
      <c r="J18" s="7">
        <v>0.19450000000000001</v>
      </c>
      <c r="K18" s="7"/>
      <c r="L18" s="7"/>
      <c r="M18" s="7"/>
      <c r="N18" s="7"/>
      <c r="O18" s="7"/>
      <c r="P18" s="7"/>
      <c r="Q18" s="7"/>
      <c r="R18" s="7"/>
      <c r="S18" s="3"/>
      <c r="T18" s="3"/>
      <c r="U18" s="3"/>
      <c r="V18" s="3"/>
      <c r="W18" s="7">
        <f t="shared" ca="1" si="0"/>
        <v>8.9741056433192315E-2</v>
      </c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</row>
    <row r="19" spans="2:50" x14ac:dyDescent="0.25">
      <c r="B19">
        <v>1944</v>
      </c>
      <c r="C19" s="2">
        <v>0.13800000000000001</v>
      </c>
      <c r="H19" s="3"/>
      <c r="I19" s="3">
        <v>1944</v>
      </c>
      <c r="J19" s="7">
        <v>0.13800000000000001</v>
      </c>
      <c r="K19" s="7"/>
      <c r="L19" s="7"/>
      <c r="M19" s="7"/>
      <c r="N19" s="7"/>
      <c r="O19" s="7"/>
      <c r="P19" s="7"/>
      <c r="Q19" s="7"/>
      <c r="R19" s="7"/>
      <c r="S19" s="3"/>
      <c r="T19" s="3"/>
      <c r="U19" s="3"/>
      <c r="V19" s="3"/>
      <c r="W19" s="7">
        <f t="shared" ca="1" si="0"/>
        <v>5.6528092428484444E-3</v>
      </c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</row>
    <row r="20" spans="2:50" x14ac:dyDescent="0.25">
      <c r="B20">
        <v>1945</v>
      </c>
      <c r="C20" s="2">
        <v>0.30719999999999997</v>
      </c>
      <c r="H20" s="3"/>
      <c r="I20" s="3">
        <v>1945</v>
      </c>
      <c r="J20" s="7">
        <v>0.30719999999999997</v>
      </c>
      <c r="K20" s="7"/>
      <c r="L20" s="7"/>
      <c r="M20" s="7"/>
      <c r="N20" s="7"/>
      <c r="O20" s="7"/>
      <c r="P20" s="7"/>
      <c r="Q20" s="7"/>
      <c r="R20" s="7"/>
      <c r="S20" s="3"/>
      <c r="T20" s="3"/>
      <c r="U20" s="3"/>
      <c r="V20" s="3"/>
      <c r="W20" s="7">
        <f t="shared" ca="1" si="0"/>
        <v>0.19134732402187937</v>
      </c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</row>
    <row r="21" spans="2:50" x14ac:dyDescent="0.25">
      <c r="B21">
        <v>1946</v>
      </c>
      <c r="C21" s="2">
        <v>0.11869999999999999</v>
      </c>
      <c r="H21" s="3"/>
      <c r="I21" s="3">
        <v>1946</v>
      </c>
      <c r="J21" s="7">
        <v>0.11869999999999999</v>
      </c>
      <c r="K21" s="7"/>
      <c r="L21" s="7"/>
      <c r="M21" s="7"/>
      <c r="N21" s="7"/>
      <c r="O21" s="7"/>
      <c r="P21" s="7"/>
      <c r="Q21" s="7"/>
      <c r="R21" s="7"/>
      <c r="S21" s="3"/>
      <c r="T21" s="3"/>
      <c r="U21" s="3"/>
      <c r="V21" s="3"/>
      <c r="W21" s="7">
        <f t="shared" ca="1" si="0"/>
        <v>1.4242756588827163E-2</v>
      </c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</row>
    <row r="22" spans="2:50" x14ac:dyDescent="0.25">
      <c r="B22">
        <v>1947</v>
      </c>
      <c r="C22" s="2">
        <v>-0.31</v>
      </c>
      <c r="H22" s="3"/>
      <c r="I22" s="3">
        <v>1947</v>
      </c>
      <c r="J22" s="7">
        <v>-0.31</v>
      </c>
      <c r="K22" s="7"/>
      <c r="L22" s="7"/>
      <c r="M22" s="7"/>
      <c r="N22" s="7"/>
      <c r="O22" s="7"/>
      <c r="P22" s="7"/>
      <c r="Q22" s="7"/>
      <c r="R22" s="7"/>
      <c r="S22" s="3"/>
      <c r="T22" s="3"/>
      <c r="U22" s="3"/>
      <c r="V22" s="3"/>
      <c r="W22" s="7">
        <f t="shared" ca="1" si="0"/>
        <v>0.26191037033923448</v>
      </c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</row>
    <row r="23" spans="2:50" x14ac:dyDescent="0.25">
      <c r="B23">
        <v>1948</v>
      </c>
      <c r="C23" s="2">
        <v>-6.5000000000000006E-3</v>
      </c>
      <c r="H23" s="3"/>
      <c r="I23" s="3">
        <v>1948</v>
      </c>
      <c r="J23" s="7">
        <v>-6.5000000000000006E-3</v>
      </c>
      <c r="K23" s="7"/>
      <c r="L23" s="7"/>
      <c r="M23" s="7"/>
      <c r="N23" s="7"/>
      <c r="O23" s="7"/>
      <c r="P23" s="7"/>
      <c r="Q23" s="7"/>
      <c r="R23" s="7"/>
      <c r="S23" s="3"/>
      <c r="T23" s="3"/>
      <c r="U23" s="3"/>
      <c r="V23" s="3"/>
      <c r="W23" s="7">
        <f t="shared" ca="1" si="0"/>
        <v>0.14637041851397165</v>
      </c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</row>
    <row r="24" spans="2:50" x14ac:dyDescent="0.25">
      <c r="B24">
        <v>1949</v>
      </c>
      <c r="C24" s="2">
        <v>0.1026</v>
      </c>
      <c r="H24" s="3"/>
      <c r="I24" s="3">
        <v>1949</v>
      </c>
      <c r="J24" s="7">
        <v>0.1026</v>
      </c>
      <c r="K24" s="7"/>
      <c r="L24" s="7"/>
      <c r="M24" s="7"/>
      <c r="N24" s="7"/>
      <c r="O24" s="7"/>
      <c r="P24" s="7"/>
      <c r="Q24" s="7"/>
      <c r="R24" s="7"/>
      <c r="S24" s="3"/>
      <c r="T24" s="3"/>
      <c r="U24" s="3"/>
      <c r="V24" s="3"/>
      <c r="W24" s="7">
        <f t="shared" ca="1" si="0"/>
        <v>0.28656379164897922</v>
      </c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</row>
    <row r="25" spans="2:50" x14ac:dyDescent="0.25">
      <c r="B25">
        <v>1950</v>
      </c>
      <c r="C25" s="2">
        <v>0.21780000000000002</v>
      </c>
      <c r="H25" s="3"/>
      <c r="I25" s="3">
        <v>1950</v>
      </c>
      <c r="J25" s="7">
        <v>0.21780000000000002</v>
      </c>
      <c r="K25" s="7"/>
      <c r="L25" s="7"/>
      <c r="M25" s="7"/>
      <c r="N25" s="7"/>
      <c r="O25" s="7"/>
      <c r="P25" s="7"/>
      <c r="Q25" s="7"/>
      <c r="R25" s="7"/>
      <c r="S25" s="3"/>
      <c r="T25" s="3"/>
      <c r="U25" s="3"/>
      <c r="V25" s="3"/>
      <c r="W25" s="7">
        <f t="shared" ca="1" si="0"/>
        <v>0.16603682898206376</v>
      </c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</row>
    <row r="26" spans="2:50" x14ac:dyDescent="0.25">
      <c r="B26">
        <v>1951</v>
      </c>
      <c r="C26" s="2">
        <v>0.1646</v>
      </c>
      <c r="H26" s="3"/>
      <c r="I26" s="3">
        <v>1951</v>
      </c>
      <c r="J26" s="7">
        <v>0.1646</v>
      </c>
      <c r="K26" s="7"/>
      <c r="L26" s="7"/>
      <c r="M26" s="7"/>
      <c r="N26" s="7"/>
      <c r="O26" s="7"/>
      <c r="P26" s="7"/>
      <c r="Q26" s="7"/>
      <c r="R26" s="7"/>
      <c r="S26" s="3"/>
      <c r="T26" s="3"/>
      <c r="U26" s="3"/>
      <c r="V26" s="3"/>
      <c r="W26" s="7">
        <f t="shared" ca="1" si="0"/>
        <v>0.21732886709855737</v>
      </c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</row>
    <row r="27" spans="2:50" x14ac:dyDescent="0.25">
      <c r="B27">
        <v>1952</v>
      </c>
      <c r="C27" s="2">
        <v>0.11779999999999999</v>
      </c>
      <c r="H27" s="3"/>
      <c r="I27" s="3">
        <v>1952</v>
      </c>
      <c r="J27" s="7">
        <v>0.11779999999999999</v>
      </c>
      <c r="K27" s="7"/>
      <c r="L27" s="7"/>
      <c r="M27" s="7"/>
      <c r="N27" s="7"/>
      <c r="O27" s="7"/>
      <c r="P27" s="7"/>
      <c r="Q27" s="7"/>
      <c r="R27" s="7"/>
      <c r="S27" s="3"/>
      <c r="T27" s="3"/>
      <c r="U27" s="3"/>
      <c r="V27" s="3"/>
      <c r="W27" s="7">
        <f t="shared" ca="1" si="0"/>
        <v>0.30812816731616438</v>
      </c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</row>
    <row r="28" spans="2:50" x14ac:dyDescent="0.25">
      <c r="B28">
        <v>1953</v>
      </c>
      <c r="C28" s="2">
        <v>-6.6199999999999995E-2</v>
      </c>
      <c r="H28" s="3"/>
      <c r="I28" s="3">
        <v>1953</v>
      </c>
      <c r="J28" s="7">
        <v>-6.6199999999999995E-2</v>
      </c>
      <c r="K28" s="7"/>
      <c r="L28" s="7"/>
      <c r="M28" s="7"/>
      <c r="N28" s="7"/>
      <c r="O28" s="7"/>
      <c r="P28" s="7"/>
      <c r="Q28" s="7"/>
      <c r="R28" s="7"/>
      <c r="S28" s="3"/>
      <c r="T28" s="3"/>
      <c r="U28" s="3"/>
      <c r="V28" s="3"/>
      <c r="W28" s="7">
        <f t="shared" ca="1" si="0"/>
        <v>-6.7734649197418881E-2</v>
      </c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</row>
    <row r="29" spans="2:50" x14ac:dyDescent="0.25">
      <c r="B29">
        <v>1954</v>
      </c>
      <c r="C29" s="2">
        <v>0.45020000000000004</v>
      </c>
      <c r="H29" s="3"/>
      <c r="I29" s="3">
        <v>1954</v>
      </c>
      <c r="J29" s="7">
        <v>0.45020000000000004</v>
      </c>
      <c r="K29" s="7"/>
      <c r="L29" s="7"/>
      <c r="M29" s="7"/>
      <c r="N29" s="7"/>
      <c r="O29" s="7"/>
      <c r="P29" s="7"/>
      <c r="Q29" s="7"/>
      <c r="R29" s="7"/>
      <c r="S29" s="3"/>
      <c r="T29" s="3"/>
      <c r="U29" s="3"/>
      <c r="V29" s="3"/>
      <c r="W29" s="7">
        <f t="shared" ca="1" si="0"/>
        <v>2.6558898574457424E-2</v>
      </c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</row>
    <row r="30" spans="2:50" x14ac:dyDescent="0.25">
      <c r="B30">
        <v>1955</v>
      </c>
      <c r="C30" s="2">
        <v>0.26400000000000001</v>
      </c>
      <c r="H30" s="3"/>
      <c r="I30" s="3">
        <v>1955</v>
      </c>
      <c r="J30" s="7">
        <v>0.26400000000000001</v>
      </c>
      <c r="K30" s="7"/>
      <c r="L30" s="7"/>
      <c r="M30" s="7"/>
      <c r="N30" s="7"/>
      <c r="O30" s="7"/>
      <c r="P30" s="7"/>
      <c r="Q30" s="7"/>
      <c r="R30" s="7"/>
      <c r="S30" s="3"/>
      <c r="T30" s="3"/>
      <c r="U30" s="3"/>
      <c r="V30" s="3"/>
      <c r="W30" s="7">
        <f t="shared" ca="1" si="0"/>
        <v>0.17550613411356955</v>
      </c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</row>
    <row r="31" spans="2:50" x14ac:dyDescent="0.25">
      <c r="B31">
        <v>1956</v>
      </c>
      <c r="C31" s="2">
        <v>2.6200000000000001E-2</v>
      </c>
      <c r="H31" s="3"/>
      <c r="I31" s="3">
        <v>1956</v>
      </c>
      <c r="J31" s="7">
        <v>2.6200000000000001E-2</v>
      </c>
      <c r="K31" s="7"/>
      <c r="L31" s="7"/>
      <c r="M31" s="7"/>
      <c r="N31" s="7"/>
      <c r="O31" s="7"/>
      <c r="P31" s="7"/>
      <c r="Q31" s="7"/>
      <c r="R31" s="7"/>
      <c r="S31" s="3"/>
      <c r="T31" s="3"/>
      <c r="U31" s="3"/>
      <c r="V31" s="3"/>
      <c r="W31" s="7">
        <f t="shared" ca="1" si="0"/>
        <v>7.6052491159839447E-2</v>
      </c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</row>
    <row r="32" spans="2:50" x14ac:dyDescent="0.25">
      <c r="B32">
        <v>1957</v>
      </c>
      <c r="C32" s="2">
        <v>0.1431</v>
      </c>
      <c r="H32" s="3"/>
      <c r="I32" s="3">
        <v>1957</v>
      </c>
      <c r="J32" s="7">
        <v>0.1431</v>
      </c>
      <c r="K32" s="7"/>
      <c r="L32" s="7"/>
      <c r="M32" s="7"/>
      <c r="N32" s="7"/>
      <c r="O32" s="7"/>
      <c r="P32" s="7"/>
      <c r="Q32" s="7"/>
      <c r="R32" s="7"/>
      <c r="S32" s="3"/>
      <c r="T32" s="3"/>
      <c r="U32" s="3"/>
      <c r="V32" s="3"/>
      <c r="W32" s="7">
        <f t="shared" ca="1" si="0"/>
        <v>0.3974790499808023</v>
      </c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</row>
    <row r="33" spans="2:50" x14ac:dyDescent="0.25">
      <c r="B33">
        <v>1958</v>
      </c>
      <c r="C33" s="2">
        <v>0.38060000000000005</v>
      </c>
      <c r="H33" s="3"/>
      <c r="I33" s="3">
        <v>1958</v>
      </c>
      <c r="J33" s="7">
        <v>0.38060000000000005</v>
      </c>
      <c r="K33" s="7"/>
      <c r="L33" s="7"/>
      <c r="M33" s="7"/>
      <c r="N33" s="7"/>
      <c r="O33" s="7"/>
      <c r="P33" s="7"/>
      <c r="Q33" s="7"/>
      <c r="R33" s="7"/>
      <c r="S33" s="3"/>
      <c r="T33" s="3"/>
      <c r="U33" s="3"/>
      <c r="V33" s="3"/>
      <c r="W33" s="7">
        <f t="shared" ca="1" si="0"/>
        <v>-0.26011062751154779</v>
      </c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</row>
    <row r="34" spans="2:50" x14ac:dyDescent="0.25">
      <c r="B34">
        <v>1959</v>
      </c>
      <c r="C34" s="2">
        <v>8.48E-2</v>
      </c>
      <c r="H34" s="3"/>
      <c r="I34" s="3">
        <v>1959</v>
      </c>
      <c r="J34" s="7">
        <v>8.48E-2</v>
      </c>
      <c r="K34" s="7"/>
      <c r="L34" s="7"/>
      <c r="M34" s="7"/>
      <c r="N34" s="7"/>
      <c r="O34" s="7"/>
      <c r="P34" s="7"/>
      <c r="Q34" s="7"/>
      <c r="R34" s="7"/>
      <c r="S34" s="3"/>
      <c r="T34" s="3"/>
      <c r="U34" s="3"/>
      <c r="V34" s="3"/>
      <c r="W34" s="7">
        <f t="shared" ca="1" si="0"/>
        <v>0.26517663681162756</v>
      </c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</row>
    <row r="35" spans="2:50" x14ac:dyDescent="0.25">
      <c r="B35">
        <v>1960</v>
      </c>
      <c r="C35" s="2">
        <v>-2.9700000000000001E-2</v>
      </c>
      <c r="H35" s="3"/>
      <c r="I35" s="3">
        <v>1960</v>
      </c>
      <c r="J35" s="7">
        <v>-2.9700000000000001E-2</v>
      </c>
      <c r="K35" s="7"/>
      <c r="L35" s="7"/>
      <c r="M35" s="7"/>
      <c r="N35" s="7"/>
      <c r="O35" s="7"/>
      <c r="P35" s="7"/>
      <c r="Q35" s="7"/>
      <c r="R35" s="7"/>
      <c r="S35" s="3"/>
      <c r="T35" s="3"/>
      <c r="U35" s="3"/>
      <c r="V35" s="3"/>
      <c r="W35" s="7">
        <f t="shared" ca="1" si="0"/>
        <v>0.22789428137307827</v>
      </c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</row>
    <row r="36" spans="2:50" x14ac:dyDescent="0.25">
      <c r="B36">
        <v>1961</v>
      </c>
      <c r="C36" s="2">
        <v>0.23129999999999998</v>
      </c>
      <c r="H36" s="3"/>
      <c r="I36" s="3">
        <v>1961</v>
      </c>
      <c r="J36" s="7">
        <v>0.23129999999999998</v>
      </c>
      <c r="K36" s="7"/>
      <c r="L36" s="7"/>
      <c r="M36" s="7"/>
      <c r="N36" s="7"/>
      <c r="O36" s="7"/>
      <c r="P36" s="7"/>
      <c r="Q36" s="7"/>
      <c r="R36" s="7"/>
      <c r="S36" s="3"/>
      <c r="T36" s="3"/>
      <c r="U36" s="3"/>
      <c r="V36" s="3"/>
      <c r="W36" s="7">
        <f t="shared" ca="1" si="0"/>
        <v>6.9346158946910069E-2</v>
      </c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</row>
    <row r="37" spans="2:50" x14ac:dyDescent="0.25">
      <c r="B37">
        <v>1962</v>
      </c>
      <c r="C37" s="2">
        <v>0.11810000000000001</v>
      </c>
      <c r="H37" s="3"/>
      <c r="I37" s="3">
        <v>1962</v>
      </c>
      <c r="J37" s="7">
        <v>0.11810000000000001</v>
      </c>
      <c r="K37" s="7"/>
      <c r="L37" s="7"/>
      <c r="M37" s="7"/>
      <c r="N37" s="7"/>
      <c r="O37" s="7"/>
      <c r="P37" s="7"/>
      <c r="Q37" s="7"/>
      <c r="R37" s="7"/>
      <c r="S37" s="3"/>
      <c r="T37" s="3"/>
      <c r="U37" s="3"/>
      <c r="V37" s="3"/>
      <c r="W37" s="7">
        <f t="shared" ca="1" si="0"/>
        <v>-2.9466527327001238E-2</v>
      </c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</row>
    <row r="38" spans="2:50" x14ac:dyDescent="0.25">
      <c r="B38">
        <v>1963</v>
      </c>
      <c r="C38" s="2">
        <v>0.18890000000000001</v>
      </c>
      <c r="H38" s="3"/>
      <c r="I38" s="3">
        <v>1963</v>
      </c>
      <c r="J38" s="7">
        <v>0.18890000000000001</v>
      </c>
      <c r="K38" s="7"/>
      <c r="L38" s="7"/>
      <c r="M38" s="7"/>
      <c r="N38" s="7"/>
      <c r="O38" s="7"/>
      <c r="P38" s="7"/>
      <c r="Q38" s="7"/>
      <c r="R38" s="7"/>
      <c r="S38" s="3"/>
      <c r="T38" s="3"/>
      <c r="U38" s="3"/>
      <c r="V38" s="3"/>
      <c r="W38" s="7">
        <f t="shared" ca="1" si="0"/>
        <v>-4.7126228902563058E-2</v>
      </c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</row>
    <row r="39" spans="2:50" x14ac:dyDescent="0.25">
      <c r="B39">
        <v>1964</v>
      </c>
      <c r="C39" s="2">
        <v>0.12970000000000001</v>
      </c>
      <c r="H39" s="3"/>
      <c r="I39" s="3">
        <v>1964</v>
      </c>
      <c r="J39" s="7">
        <v>0.12970000000000001</v>
      </c>
      <c r="K39" s="7"/>
      <c r="L39" s="7"/>
      <c r="M39" s="7"/>
      <c r="N39" s="7"/>
      <c r="O39" s="7"/>
      <c r="P39" s="7"/>
      <c r="Q39" s="7"/>
      <c r="R39" s="7"/>
      <c r="S39" s="3"/>
      <c r="T39" s="3"/>
      <c r="U39" s="3"/>
      <c r="V39" s="3"/>
      <c r="W39" s="7">
        <f t="shared" ca="1" si="0"/>
        <v>0.11440070799500975</v>
      </c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</row>
    <row r="40" spans="2:50" x14ac:dyDescent="0.25">
      <c r="B40">
        <v>1965</v>
      </c>
      <c r="C40" s="2">
        <v>9.06E-2</v>
      </c>
      <c r="H40" s="3"/>
      <c r="I40" s="3">
        <v>1965</v>
      </c>
      <c r="J40" s="7">
        <v>9.06E-2</v>
      </c>
      <c r="K40" s="7"/>
      <c r="L40" s="7"/>
      <c r="M40" s="7"/>
      <c r="N40" s="7"/>
      <c r="O40" s="7"/>
      <c r="P40" s="7"/>
      <c r="Q40" s="7"/>
      <c r="R40" s="7"/>
      <c r="S40" s="3"/>
      <c r="T40" s="3"/>
      <c r="U40" s="3"/>
      <c r="V40" s="3"/>
      <c r="W40" s="7">
        <f t="shared" ca="1" si="0"/>
        <v>0.17999259408336205</v>
      </c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</row>
    <row r="41" spans="2:50" x14ac:dyDescent="0.25">
      <c r="B41">
        <v>1966</v>
      </c>
      <c r="C41" s="2">
        <v>0.13089999999999999</v>
      </c>
      <c r="H41" s="3"/>
      <c r="I41" s="3">
        <v>1966</v>
      </c>
      <c r="J41" s="7">
        <v>0.13089999999999999</v>
      </c>
      <c r="K41" s="7"/>
      <c r="L41" s="7"/>
      <c r="M41" s="7"/>
      <c r="N41" s="7"/>
      <c r="O41" s="7"/>
      <c r="P41" s="7"/>
      <c r="Q41" s="7"/>
      <c r="R41" s="7"/>
      <c r="S41" s="3"/>
      <c r="T41" s="3"/>
      <c r="U41" s="3"/>
      <c r="V41" s="3"/>
      <c r="W41" s="7">
        <f t="shared" ca="1" si="0"/>
        <v>0.14466407206610293</v>
      </c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</row>
    <row r="42" spans="2:50" x14ac:dyDescent="0.25">
      <c r="B42">
        <v>1967</v>
      </c>
      <c r="C42" s="2">
        <v>0.2009</v>
      </c>
      <c r="H42" s="3"/>
      <c r="I42" s="3">
        <v>1967</v>
      </c>
      <c r="J42" s="7">
        <v>0.2009</v>
      </c>
      <c r="K42" s="7"/>
      <c r="L42" s="7"/>
      <c r="M42" s="7"/>
      <c r="N42" s="7"/>
      <c r="O42" s="7"/>
      <c r="P42" s="7"/>
      <c r="Q42" s="7"/>
      <c r="R42" s="7"/>
      <c r="S42" s="3"/>
      <c r="T42" s="3"/>
      <c r="U42" s="3"/>
      <c r="V42" s="3"/>
      <c r="W42" s="7">
        <f t="shared" ca="1" si="0"/>
        <v>0.22170815622441206</v>
      </c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</row>
    <row r="43" spans="2:50" x14ac:dyDescent="0.25">
      <c r="B43">
        <v>1968</v>
      </c>
      <c r="C43" s="2">
        <v>7.6600000000000001E-2</v>
      </c>
      <c r="H43" s="3"/>
      <c r="I43" s="3">
        <v>1968</v>
      </c>
      <c r="J43" s="7">
        <v>7.6600000000000001E-2</v>
      </c>
      <c r="K43" s="7"/>
      <c r="L43" s="7"/>
      <c r="M43" s="7"/>
      <c r="N43" s="7"/>
      <c r="O43" s="7"/>
      <c r="P43" s="7"/>
      <c r="Q43" s="7"/>
      <c r="R43" s="7"/>
      <c r="S43" s="3"/>
      <c r="T43" s="3"/>
      <c r="U43" s="3"/>
      <c r="V43" s="3"/>
      <c r="W43" s="7">
        <f t="shared" ca="1" si="0"/>
        <v>0.52189188519511742</v>
      </c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</row>
    <row r="44" spans="2:50" x14ac:dyDescent="0.25">
      <c r="B44">
        <v>1969</v>
      </c>
      <c r="C44" s="2">
        <v>0.11359999999999999</v>
      </c>
      <c r="H44" s="3"/>
      <c r="I44" s="3">
        <v>1969</v>
      </c>
      <c r="J44" s="7">
        <v>0.11359999999999999</v>
      </c>
      <c r="K44" s="7"/>
      <c r="L44" s="7"/>
      <c r="M44" s="7"/>
      <c r="N44" s="7"/>
      <c r="O44" s="7"/>
      <c r="P44" s="7"/>
      <c r="Q44" s="7"/>
      <c r="R44" s="7"/>
      <c r="S44" s="3"/>
      <c r="T44" s="3"/>
      <c r="U44" s="3"/>
      <c r="V44" s="3"/>
      <c r="W44" s="7">
        <f t="shared" ca="1" si="0"/>
        <v>0.32855347182067296</v>
      </c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</row>
    <row r="45" spans="2:50" x14ac:dyDescent="0.25">
      <c r="B45">
        <v>1970</v>
      </c>
      <c r="C45" s="2">
        <v>1E-3</v>
      </c>
      <c r="H45" s="3"/>
      <c r="I45" s="3">
        <v>1970</v>
      </c>
      <c r="J45" s="7">
        <v>1E-3</v>
      </c>
      <c r="K45" s="7"/>
      <c r="L45" s="7"/>
      <c r="M45" s="7"/>
      <c r="N45" s="7"/>
      <c r="O45" s="7"/>
      <c r="P45" s="7"/>
      <c r="Q45" s="7"/>
      <c r="R45" s="7"/>
      <c r="S45" s="3"/>
      <c r="T45" s="3"/>
      <c r="U45" s="3"/>
      <c r="V45" s="3"/>
      <c r="W45" s="7">
        <f t="shared" ca="1" si="0"/>
        <v>0.35474945787401424</v>
      </c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</row>
    <row r="46" spans="2:50" x14ac:dyDescent="0.25">
      <c r="B46">
        <v>1971</v>
      </c>
      <c r="C46" s="2">
        <v>0.1079</v>
      </c>
      <c r="H46" s="3"/>
      <c r="I46" s="3">
        <v>1971</v>
      </c>
      <c r="J46" s="7">
        <v>0.1079</v>
      </c>
      <c r="K46" s="7"/>
      <c r="L46" s="7"/>
      <c r="M46" s="7"/>
      <c r="N46" s="7"/>
      <c r="O46" s="7"/>
      <c r="P46" s="7"/>
      <c r="Q46" s="7"/>
      <c r="R46" s="7"/>
      <c r="S46" s="3"/>
      <c r="T46" s="3"/>
      <c r="U46" s="3"/>
      <c r="V46" s="3"/>
      <c r="W46" s="7">
        <f t="shared" ca="1" si="0"/>
        <v>0.12781123932584432</v>
      </c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</row>
    <row r="47" spans="2:50" x14ac:dyDescent="0.25">
      <c r="B47">
        <v>1972</v>
      </c>
      <c r="C47" s="2">
        <v>0.15629999999999999</v>
      </c>
      <c r="H47" s="3"/>
      <c r="I47" s="3">
        <v>1972</v>
      </c>
      <c r="J47" s="7">
        <v>0.15629999999999999</v>
      </c>
      <c r="K47" s="7"/>
      <c r="L47" s="7"/>
      <c r="M47" s="7"/>
      <c r="N47" s="7"/>
      <c r="O47" s="7"/>
      <c r="P47" s="7"/>
      <c r="Q47" s="7"/>
      <c r="R47" s="7"/>
      <c r="S47" s="3"/>
      <c r="T47" s="3"/>
      <c r="U47" s="3"/>
      <c r="V47" s="3"/>
      <c r="W47" s="7">
        <f t="shared" ca="1" si="0"/>
        <v>8.0891258375564407E-2</v>
      </c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</row>
    <row r="48" spans="2:50" x14ac:dyDescent="0.25">
      <c r="B48">
        <v>1973</v>
      </c>
      <c r="C48" s="2">
        <v>0.17370000000000002</v>
      </c>
      <c r="H48" s="3"/>
      <c r="I48" s="3">
        <v>1973</v>
      </c>
      <c r="J48" s="7">
        <v>0.17370000000000002</v>
      </c>
      <c r="K48" s="7"/>
      <c r="L48" s="7"/>
      <c r="M48" s="7"/>
      <c r="N48" s="7"/>
      <c r="O48" s="7"/>
      <c r="P48" s="7"/>
      <c r="Q48" s="7"/>
      <c r="R48" s="7"/>
      <c r="S48" s="3"/>
      <c r="T48" s="3"/>
      <c r="U48" s="3"/>
      <c r="V48" s="3"/>
      <c r="W48" s="7">
        <f t="shared" ca="1" si="0"/>
        <v>0.16690810752506033</v>
      </c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</row>
    <row r="49" spans="2:50" x14ac:dyDescent="0.25">
      <c r="B49">
        <v>1974</v>
      </c>
      <c r="C49" s="2">
        <v>0.29719999999999996</v>
      </c>
      <c r="H49" s="3"/>
      <c r="I49" s="3">
        <v>1974</v>
      </c>
      <c r="J49" s="7">
        <v>0.29719999999999996</v>
      </c>
      <c r="K49" s="7"/>
      <c r="L49" s="7"/>
      <c r="M49" s="7"/>
      <c r="N49" s="7"/>
      <c r="O49" s="7"/>
      <c r="P49" s="7"/>
      <c r="Q49" s="7"/>
      <c r="R49" s="7"/>
      <c r="S49" s="3"/>
      <c r="T49" s="3"/>
      <c r="U49" s="3"/>
      <c r="V49" s="3"/>
      <c r="W49" s="7">
        <f t="shared" ca="1" si="0"/>
        <v>0.17745938436111858</v>
      </c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</row>
    <row r="50" spans="2:50" x14ac:dyDescent="0.25">
      <c r="B50">
        <v>1975</v>
      </c>
      <c r="C50" s="2">
        <v>0.3155</v>
      </c>
      <c r="H50" s="3"/>
      <c r="I50" s="3">
        <v>1975</v>
      </c>
      <c r="J50" s="7">
        <v>0.3155</v>
      </c>
      <c r="K50" s="7"/>
      <c r="L50" s="7"/>
      <c r="M50" s="7"/>
      <c r="N50" s="7"/>
      <c r="O50" s="7"/>
      <c r="P50" s="7"/>
      <c r="Q50" s="7"/>
      <c r="R50" s="7"/>
      <c r="S50" s="3"/>
      <c r="T50" s="3"/>
      <c r="U50" s="3"/>
      <c r="V50" s="3"/>
      <c r="W50" s="7">
        <f t="shared" ca="1" si="0"/>
        <v>0.15910364188982945</v>
      </c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</row>
    <row r="51" spans="2:50" x14ac:dyDescent="0.25">
      <c r="B51">
        <v>1976</v>
      </c>
      <c r="C51" s="2">
        <v>0.19149999999999998</v>
      </c>
      <c r="H51" s="3"/>
      <c r="I51" s="3">
        <v>1976</v>
      </c>
      <c r="J51" s="7">
        <v>0.19149999999999998</v>
      </c>
      <c r="K51" s="7"/>
      <c r="L51" s="7"/>
      <c r="M51" s="7"/>
      <c r="N51" s="7"/>
      <c r="O51" s="7"/>
      <c r="P51" s="7"/>
      <c r="Q51" s="7"/>
      <c r="R51" s="7"/>
      <c r="S51" s="3"/>
      <c r="T51" s="3"/>
      <c r="U51" s="3"/>
      <c r="V51" s="3"/>
      <c r="W51" s="7">
        <f t="shared" ca="1" si="0"/>
        <v>0.19045978971917704</v>
      </c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</row>
    <row r="52" spans="2:50" x14ac:dyDescent="0.25">
      <c r="B52">
        <v>1977</v>
      </c>
      <c r="C52" s="2">
        <v>-0.115</v>
      </c>
      <c r="H52" s="3"/>
      <c r="I52" s="3">
        <v>1977</v>
      </c>
      <c r="J52" s="7">
        <v>-0.115</v>
      </c>
      <c r="K52" s="7"/>
      <c r="L52" s="7"/>
      <c r="M52" s="7"/>
      <c r="N52" s="7"/>
      <c r="O52" s="7"/>
      <c r="P52" s="7"/>
      <c r="Q52" s="7"/>
      <c r="R52" s="7"/>
      <c r="S52" s="3"/>
      <c r="T52" s="3"/>
      <c r="U52" s="3"/>
      <c r="V52" s="3"/>
      <c r="W52" s="7">
        <f t="shared" ca="1" si="0"/>
        <v>0.27297563477884462</v>
      </c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</row>
    <row r="53" spans="2:50" x14ac:dyDescent="0.25">
      <c r="B53">
        <v>1978</v>
      </c>
      <c r="C53" s="2">
        <v>1.06E-2</v>
      </c>
      <c r="H53" s="3"/>
      <c r="I53" s="3">
        <v>1978</v>
      </c>
      <c r="J53" s="7">
        <v>1.06E-2</v>
      </c>
      <c r="K53" s="7"/>
      <c r="L53" s="7"/>
      <c r="M53" s="7"/>
      <c r="N53" s="7"/>
      <c r="O53" s="7"/>
      <c r="P53" s="7"/>
      <c r="Q53" s="7"/>
      <c r="R53" s="7"/>
      <c r="S53" s="3"/>
      <c r="T53" s="3"/>
      <c r="U53" s="3"/>
      <c r="V53" s="3"/>
      <c r="W53" s="7">
        <f t="shared" ca="1" si="0"/>
        <v>0.3520613640577</v>
      </c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</row>
    <row r="54" spans="2:50" x14ac:dyDescent="0.25">
      <c r="B54">
        <v>1979</v>
      </c>
      <c r="C54" s="2">
        <v>0.1231</v>
      </c>
      <c r="H54" s="3"/>
      <c r="I54" s="3">
        <v>1979</v>
      </c>
      <c r="J54" s="7">
        <v>0.1231</v>
      </c>
      <c r="K54" s="7"/>
      <c r="L54" s="7"/>
      <c r="M54" s="7"/>
      <c r="N54" s="7"/>
      <c r="O54" s="7"/>
      <c r="P54" s="7"/>
      <c r="Q54" s="7"/>
      <c r="R54" s="7"/>
      <c r="S54" s="3"/>
      <c r="T54" s="3"/>
      <c r="U54" s="3"/>
      <c r="V54" s="3"/>
      <c r="W54" s="7">
        <f t="shared" ca="1" si="0"/>
        <v>3.7189344681363035E-2</v>
      </c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</row>
    <row r="55" spans="2:50" x14ac:dyDescent="0.25">
      <c r="B55">
        <v>1980</v>
      </c>
      <c r="C55" s="2">
        <v>0.25769999999999998</v>
      </c>
      <c r="H55" s="3"/>
      <c r="I55" s="3">
        <v>1980</v>
      </c>
      <c r="J55" s="7">
        <v>0.25769999999999998</v>
      </c>
      <c r="K55" s="7"/>
      <c r="L55" s="7"/>
      <c r="M55" s="7"/>
      <c r="N55" s="7"/>
      <c r="O55" s="7"/>
      <c r="P55" s="7"/>
      <c r="Q55" s="7"/>
      <c r="R55" s="7"/>
      <c r="S55" s="3"/>
      <c r="T55" s="3"/>
      <c r="U55" s="3"/>
      <c r="V55" s="3"/>
      <c r="W55" s="7">
        <f t="shared" ca="1" si="0"/>
        <v>-0.18314501504754366</v>
      </c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</row>
    <row r="56" spans="2:50" x14ac:dyDescent="0.25">
      <c r="B56">
        <v>1981</v>
      </c>
      <c r="C56" s="2">
        <v>-9.7299999999999998E-2</v>
      </c>
      <c r="H56" s="3"/>
      <c r="I56" s="3">
        <v>1981</v>
      </c>
      <c r="J56" s="7">
        <v>-9.7299999999999998E-2</v>
      </c>
      <c r="K56" s="7"/>
      <c r="L56" s="7"/>
      <c r="M56" s="7"/>
      <c r="N56" s="7"/>
      <c r="O56" s="7"/>
      <c r="P56" s="7"/>
      <c r="Q56" s="7"/>
      <c r="R56" s="7"/>
      <c r="S56" s="3"/>
      <c r="T56" s="3"/>
      <c r="U56" s="3"/>
      <c r="V56" s="3"/>
      <c r="W56" s="7">
        <f t="shared" ca="1" si="0"/>
        <v>0.18432627568269733</v>
      </c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</row>
    <row r="57" spans="2:50" x14ac:dyDescent="0.25">
      <c r="B57">
        <v>1982</v>
      </c>
      <c r="C57" s="2">
        <v>0.14760000000000001</v>
      </c>
      <c r="H57" s="3"/>
      <c r="I57" s="3">
        <v>1982</v>
      </c>
      <c r="J57" s="7">
        <v>0.14760000000000001</v>
      </c>
      <c r="K57" s="7"/>
      <c r="L57" s="7"/>
      <c r="M57" s="7"/>
      <c r="N57" s="7"/>
      <c r="O57" s="7"/>
      <c r="P57" s="7"/>
      <c r="Q57" s="7"/>
      <c r="R57" s="7"/>
      <c r="S57" s="3"/>
      <c r="T57" s="3"/>
      <c r="U57" s="3"/>
      <c r="V57" s="3"/>
      <c r="W57" s="7">
        <f t="shared" ca="1" si="0"/>
        <v>3.5648425528712807E-2</v>
      </c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</row>
    <row r="58" spans="2:50" x14ac:dyDescent="0.25">
      <c r="B58">
        <v>1983</v>
      </c>
      <c r="C58" s="2">
        <v>0.17269999999999999</v>
      </c>
      <c r="H58" s="3"/>
      <c r="I58" s="3">
        <v>1983</v>
      </c>
      <c r="J58" s="7">
        <v>0.17269999999999999</v>
      </c>
      <c r="K58" s="7"/>
      <c r="L58" s="7"/>
      <c r="M58" s="7"/>
      <c r="N58" s="7"/>
      <c r="O58" s="7"/>
      <c r="P58" s="7"/>
      <c r="Q58" s="7"/>
      <c r="R58" s="7"/>
      <c r="S58" s="3"/>
      <c r="T58" s="3"/>
      <c r="U58" s="3"/>
      <c r="V58" s="3"/>
      <c r="W58" s="7">
        <f t="shared" ca="1" si="0"/>
        <v>7.2920481282602062E-2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</row>
    <row r="59" spans="2:50" x14ac:dyDescent="0.25">
      <c r="B59">
        <v>1984</v>
      </c>
      <c r="C59" s="2">
        <v>1.3999999999999999E-2</v>
      </c>
      <c r="H59" s="3"/>
      <c r="I59" s="3">
        <v>1984</v>
      </c>
      <c r="J59" s="7">
        <v>1.3999999999999999E-2</v>
      </c>
      <c r="K59" s="7"/>
      <c r="L59" s="7"/>
      <c r="M59" s="7"/>
      <c r="N59" s="7"/>
      <c r="O59" s="7"/>
      <c r="P59" s="7"/>
      <c r="Q59" s="7"/>
      <c r="R59" s="7"/>
      <c r="S59" s="3"/>
      <c r="T59" s="3"/>
      <c r="U59" s="3"/>
      <c r="V59" s="3"/>
      <c r="W59" s="7">
        <f t="shared" ca="1" si="0"/>
        <v>0.16733839699187211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</row>
    <row r="60" spans="2:50" x14ac:dyDescent="0.25">
      <c r="B60">
        <v>1985</v>
      </c>
      <c r="C60" s="2">
        <v>0.26329999999999998</v>
      </c>
      <c r="H60" s="3"/>
      <c r="I60" s="3">
        <v>1985</v>
      </c>
      <c r="J60" s="7">
        <v>0.26329999999999998</v>
      </c>
      <c r="K60" s="7"/>
      <c r="L60" s="7"/>
      <c r="M60" s="7"/>
      <c r="N60" s="7"/>
      <c r="O60" s="7"/>
      <c r="P60" s="7"/>
      <c r="Q60" s="7"/>
      <c r="R60" s="7"/>
      <c r="S60" s="3"/>
      <c r="T60" s="3"/>
      <c r="U60" s="3"/>
      <c r="V60" s="3"/>
      <c r="W60" s="7">
        <f t="shared" ca="1" si="0"/>
        <v>0.26304879256086078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</row>
    <row r="61" spans="2:50" x14ac:dyDescent="0.25">
      <c r="B61">
        <v>1986</v>
      </c>
      <c r="C61" s="2">
        <v>0.1462</v>
      </c>
      <c r="H61" s="3"/>
      <c r="I61" s="3">
        <v>1986</v>
      </c>
      <c r="J61" s="7">
        <v>0.1462</v>
      </c>
      <c r="K61" s="7"/>
      <c r="L61" s="7"/>
      <c r="M61" s="7"/>
      <c r="N61" s="7"/>
      <c r="O61" s="7"/>
      <c r="P61" s="7"/>
      <c r="Q61" s="7"/>
      <c r="R61" s="7"/>
      <c r="S61" s="3"/>
      <c r="T61" s="3"/>
      <c r="U61" s="3"/>
      <c r="V61" s="3"/>
      <c r="W61" s="7">
        <f t="shared" ca="1" si="0"/>
        <v>0.18400641505952692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</row>
    <row r="62" spans="2:50" x14ac:dyDescent="0.25">
      <c r="B62">
        <v>1987</v>
      </c>
      <c r="C62" s="2">
        <v>2.0299999999999999E-2</v>
      </c>
      <c r="H62" s="3"/>
      <c r="I62" s="3">
        <v>1987</v>
      </c>
      <c r="J62" s="7">
        <v>2.0299999999999999E-2</v>
      </c>
      <c r="K62" s="7"/>
      <c r="L62" s="7"/>
      <c r="M62" s="7"/>
      <c r="N62" s="7"/>
      <c r="O62" s="7"/>
      <c r="P62" s="7"/>
      <c r="Q62" s="7"/>
      <c r="R62" s="7"/>
      <c r="S62" s="3"/>
      <c r="T62" s="3"/>
      <c r="U62" s="3"/>
      <c r="V62" s="3"/>
      <c r="W62" s="7">
        <f t="shared" ca="1" si="0"/>
        <v>7.2597830183266043E-2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</row>
    <row r="63" spans="2:50" x14ac:dyDescent="0.25">
      <c r="B63">
        <v>1988</v>
      </c>
      <c r="C63" s="2">
        <v>0.124</v>
      </c>
      <c r="H63" s="3"/>
      <c r="I63" s="3">
        <v>1988</v>
      </c>
      <c r="J63" s="7">
        <v>0.124</v>
      </c>
      <c r="K63" s="7"/>
      <c r="L63" s="7"/>
      <c r="M63" s="7"/>
      <c r="N63" s="7"/>
      <c r="O63" s="7"/>
      <c r="P63" s="7"/>
      <c r="Q63" s="7"/>
      <c r="R63" s="7"/>
      <c r="S63" s="3"/>
      <c r="T63" s="3"/>
      <c r="U63" s="3"/>
      <c r="V63" s="3"/>
      <c r="W63" s="7">
        <f t="shared" ca="1" si="0"/>
        <v>0.35907219033253879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</row>
    <row r="64" spans="2:50" x14ac:dyDescent="0.25">
      <c r="B64">
        <v>1989</v>
      </c>
      <c r="C64" s="2">
        <v>0.27250000000000002</v>
      </c>
      <c r="H64" s="3"/>
      <c r="I64" s="3">
        <v>1989</v>
      </c>
      <c r="J64" s="7">
        <v>0.27250000000000002</v>
      </c>
      <c r="K64" s="7"/>
      <c r="L64" s="7"/>
      <c r="M64" s="7"/>
      <c r="N64" s="7"/>
      <c r="O64" s="7"/>
      <c r="P64" s="7"/>
      <c r="Q64" s="7"/>
      <c r="R64" s="7"/>
      <c r="S64" s="3"/>
      <c r="T64" s="3"/>
      <c r="U64" s="3"/>
      <c r="V64" s="3"/>
      <c r="W64" s="7">
        <f t="shared" ca="1" si="0"/>
        <v>0.3343201671914659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</row>
    <row r="65" spans="2:50" x14ac:dyDescent="0.25">
      <c r="B65">
        <v>1990</v>
      </c>
      <c r="C65" s="2">
        <v>-6.5599999999999992E-2</v>
      </c>
      <c r="H65" s="3"/>
      <c r="I65" s="3">
        <v>1990</v>
      </c>
      <c r="J65" s="7">
        <v>-6.5599999999999992E-2</v>
      </c>
      <c r="K65" s="7"/>
      <c r="L65" s="7"/>
      <c r="M65" s="7"/>
      <c r="N65" s="7"/>
      <c r="O65" s="7"/>
      <c r="P65" s="7"/>
      <c r="Q65" s="7"/>
      <c r="R65" s="7"/>
      <c r="S65" s="3"/>
      <c r="T65" s="3"/>
      <c r="U65" s="3"/>
      <c r="V65" s="3"/>
      <c r="W65" s="7">
        <f t="shared" ca="1" si="0"/>
        <v>0.18626041388333783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</row>
    <row r="66" spans="2:50" x14ac:dyDescent="0.25">
      <c r="B66">
        <v>1991</v>
      </c>
      <c r="C66" s="2">
        <v>0.2631</v>
      </c>
      <c r="H66" s="3"/>
      <c r="I66" s="3">
        <v>1991</v>
      </c>
      <c r="J66" s="7">
        <v>0.2631</v>
      </c>
      <c r="K66" s="7"/>
      <c r="L66" s="7"/>
      <c r="M66" s="7"/>
      <c r="N66" s="7"/>
      <c r="O66" s="7"/>
      <c r="P66" s="7"/>
      <c r="Q66" s="7"/>
      <c r="R66" s="7"/>
      <c r="S66" s="3"/>
      <c r="T66" s="3"/>
      <c r="U66" s="3"/>
      <c r="V66" s="3"/>
      <c r="W66" s="7">
        <f t="shared" ca="1" si="0"/>
        <v>-7.297758467816258E-2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</row>
    <row r="67" spans="2:50" x14ac:dyDescent="0.25">
      <c r="B67">
        <v>1992</v>
      </c>
      <c r="C67" s="2">
        <v>4.4600000000000001E-2</v>
      </c>
      <c r="H67" s="3"/>
      <c r="I67" s="3">
        <v>1992</v>
      </c>
      <c r="J67" s="7">
        <v>4.4600000000000001E-2</v>
      </c>
      <c r="K67" s="7"/>
      <c r="L67" s="7"/>
      <c r="M67" s="7"/>
      <c r="N67" s="7"/>
      <c r="O67" s="7"/>
      <c r="P67" s="7"/>
      <c r="Q67" s="7"/>
      <c r="R67" s="7"/>
      <c r="S67" s="3"/>
      <c r="T67" s="3"/>
      <c r="U67" s="3"/>
      <c r="V67" s="3"/>
      <c r="W67" s="7">
        <f t="shared" ca="1" si="0"/>
        <v>5.2533895314542556E-2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</row>
    <row r="68" spans="2:50" x14ac:dyDescent="0.25">
      <c r="B68">
        <v>1993</v>
      </c>
      <c r="C68" s="2">
        <v>7.0599999999999996E-2</v>
      </c>
      <c r="H68" s="3"/>
      <c r="I68" s="3">
        <v>1993</v>
      </c>
      <c r="J68" s="7">
        <v>7.0599999999999996E-2</v>
      </c>
      <c r="K68" s="7"/>
      <c r="L68" s="7"/>
      <c r="M68" s="7"/>
      <c r="N68" s="7"/>
      <c r="O68" s="7"/>
      <c r="P68" s="7"/>
      <c r="Q68" s="7"/>
      <c r="R68" s="7"/>
      <c r="S68" s="3"/>
      <c r="T68" s="3"/>
      <c r="U68" s="3"/>
      <c r="V68" s="3"/>
      <c r="W68" s="7">
        <f t="shared" ca="1" si="0"/>
        <v>0.19294546515969968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</row>
    <row r="69" spans="2:50" x14ac:dyDescent="0.25">
      <c r="B69">
        <v>1994</v>
      </c>
      <c r="C69" s="2">
        <v>-1.54E-2</v>
      </c>
      <c r="H69" s="3"/>
      <c r="I69" s="3">
        <v>1994</v>
      </c>
      <c r="J69" s="7">
        <v>-1.54E-2</v>
      </c>
      <c r="K69" s="7"/>
      <c r="L69" s="7"/>
      <c r="M69" s="7"/>
      <c r="N69" s="7"/>
      <c r="O69" s="7"/>
      <c r="P69" s="7"/>
      <c r="Q69" s="7"/>
      <c r="R69" s="7"/>
      <c r="S69" s="3"/>
      <c r="T69" s="3"/>
      <c r="U69" s="3"/>
      <c r="V69" s="3"/>
      <c r="W69" s="7">
        <f t="shared" ca="1" si="0"/>
        <v>5.220050176020375E-2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</row>
    <row r="70" spans="2:50" x14ac:dyDescent="0.25">
      <c r="B70">
        <v>1995</v>
      </c>
      <c r="C70" s="2">
        <v>0.34110000000000001</v>
      </c>
      <c r="H70" s="3"/>
      <c r="I70" s="3">
        <v>1995</v>
      </c>
      <c r="J70" s="7">
        <v>0.34110000000000001</v>
      </c>
      <c r="K70" s="7"/>
      <c r="L70" s="7"/>
      <c r="M70" s="7"/>
      <c r="N70" s="7"/>
      <c r="O70" s="7"/>
      <c r="P70" s="7"/>
      <c r="Q70" s="7"/>
      <c r="R70" s="7"/>
      <c r="S70" s="3"/>
      <c r="T70" s="3"/>
      <c r="U70" s="3"/>
      <c r="V70" s="3"/>
      <c r="W70" s="7">
        <f t="shared" ref="W70:W133" ca="1" si="1">+NORMINV(RAND(),$U$2,$U$3)</f>
        <v>0.14946313424658503</v>
      </c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</row>
    <row r="71" spans="2:50" x14ac:dyDescent="0.25">
      <c r="B71">
        <v>1996</v>
      </c>
      <c r="C71" s="2">
        <v>0.2026</v>
      </c>
      <c r="H71" s="3"/>
      <c r="I71" s="3">
        <v>1996</v>
      </c>
      <c r="J71" s="7">
        <v>0.2026</v>
      </c>
      <c r="K71" s="7"/>
      <c r="L71" s="7"/>
      <c r="M71" s="7"/>
      <c r="N71" s="7"/>
      <c r="O71" s="7"/>
      <c r="P71" s="7"/>
      <c r="Q71" s="7"/>
      <c r="R71" s="7"/>
      <c r="S71" s="3"/>
      <c r="T71" s="3"/>
      <c r="U71" s="3"/>
      <c r="V71" s="3"/>
      <c r="W71" s="7">
        <f t="shared" ca="1" si="1"/>
        <v>-0.12691982363103238</v>
      </c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</row>
    <row r="72" spans="2:50" x14ac:dyDescent="0.25">
      <c r="B72">
        <v>1997</v>
      </c>
      <c r="C72" s="2">
        <v>0.31010000000000004</v>
      </c>
      <c r="H72" s="3"/>
      <c r="I72" s="3">
        <v>1997</v>
      </c>
      <c r="J72" s="7">
        <v>0.31010000000000004</v>
      </c>
      <c r="K72" s="7"/>
      <c r="L72" s="7"/>
      <c r="M72" s="7"/>
      <c r="N72" s="7"/>
      <c r="O72" s="7"/>
      <c r="P72" s="7"/>
      <c r="Q72" s="7"/>
      <c r="R72" s="7"/>
      <c r="S72" s="3"/>
      <c r="T72" s="3"/>
      <c r="U72" s="3"/>
      <c r="V72" s="3"/>
      <c r="W72" s="7">
        <f t="shared" ca="1" si="1"/>
        <v>-0.15742600488201114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</row>
    <row r="73" spans="2:50" x14ac:dyDescent="0.25">
      <c r="B73">
        <v>1998</v>
      </c>
      <c r="C73" s="2">
        <v>0.26669999999999999</v>
      </c>
      <c r="H73" s="3"/>
      <c r="I73" s="3">
        <v>1998</v>
      </c>
      <c r="J73" s="7">
        <v>0.26669999999999999</v>
      </c>
      <c r="K73" s="7"/>
      <c r="L73" s="7"/>
      <c r="M73" s="7"/>
      <c r="N73" s="7"/>
      <c r="O73" s="7"/>
      <c r="P73" s="7"/>
      <c r="Q73" s="7"/>
      <c r="R73" s="7"/>
      <c r="S73" s="3"/>
      <c r="T73" s="3"/>
      <c r="U73" s="3"/>
      <c r="V73" s="3"/>
      <c r="W73" s="7">
        <f t="shared" ca="1" si="1"/>
        <v>0.28191066340371768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</row>
    <row r="74" spans="2:50" x14ac:dyDescent="0.25">
      <c r="B74">
        <v>1999</v>
      </c>
      <c r="C74" s="2">
        <v>0.1953</v>
      </c>
      <c r="H74" s="3"/>
      <c r="I74" s="3">
        <v>1999</v>
      </c>
      <c r="J74" s="7">
        <v>0.1953</v>
      </c>
      <c r="K74" s="7"/>
      <c r="L74" s="7"/>
      <c r="M74" s="7"/>
      <c r="N74" s="7"/>
      <c r="O74" s="7"/>
      <c r="P74" s="7"/>
      <c r="Q74" s="7"/>
      <c r="R74" s="7"/>
      <c r="S74" s="3"/>
      <c r="T74" s="3"/>
      <c r="U74" s="3"/>
      <c r="V74" s="3"/>
      <c r="W74" s="7">
        <f t="shared" ca="1" si="1"/>
        <v>0.11762187493128448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</row>
    <row r="75" spans="2:50" x14ac:dyDescent="0.25">
      <c r="B75">
        <v>2000</v>
      </c>
      <c r="C75" s="2">
        <v>0.1014</v>
      </c>
      <c r="H75" s="3"/>
      <c r="I75" s="3">
        <v>2000</v>
      </c>
      <c r="J75" s="7">
        <v>0.1014</v>
      </c>
      <c r="K75" s="7"/>
      <c r="L75" s="7"/>
      <c r="M75" s="7"/>
      <c r="N75" s="7"/>
      <c r="O75" s="7"/>
      <c r="P75" s="7"/>
      <c r="Q75" s="7"/>
      <c r="R75" s="7"/>
      <c r="S75" s="3"/>
      <c r="T75" s="3"/>
      <c r="U75" s="3"/>
      <c r="V75" s="3"/>
      <c r="W75" s="7">
        <f t="shared" ca="1" si="1"/>
        <v>1.1663237601372473E-2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</row>
    <row r="76" spans="2:50" x14ac:dyDescent="0.25">
      <c r="B76">
        <v>2001</v>
      </c>
      <c r="C76" s="2">
        <v>0.13039999999999999</v>
      </c>
      <c r="H76" s="3"/>
      <c r="I76" s="3">
        <v>2001</v>
      </c>
      <c r="J76" s="7">
        <v>0.13039999999999999</v>
      </c>
      <c r="K76" s="7"/>
      <c r="L76" s="7"/>
      <c r="M76" s="7"/>
      <c r="N76" s="7"/>
      <c r="O76" s="7"/>
      <c r="P76" s="7"/>
      <c r="Q76" s="7"/>
      <c r="R76" s="7"/>
      <c r="S76" s="3"/>
      <c r="T76" s="3"/>
      <c r="U76" s="3"/>
      <c r="V76" s="3"/>
      <c r="W76" s="7">
        <f t="shared" ca="1" si="1"/>
        <v>6.5303424678583105E-2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</row>
    <row r="77" spans="2:50" x14ac:dyDescent="0.25">
      <c r="B77">
        <v>2002</v>
      </c>
      <c r="C77" s="2">
        <v>0.23370000000000002</v>
      </c>
      <c r="H77" s="3"/>
      <c r="I77" s="3">
        <v>2002</v>
      </c>
      <c r="J77" s="7">
        <v>0.23370000000000002</v>
      </c>
      <c r="K77" s="7"/>
      <c r="L77" s="7"/>
      <c r="M77" s="7"/>
      <c r="N77" s="7"/>
      <c r="O77" s="7"/>
      <c r="P77" s="7"/>
      <c r="Q77" s="7"/>
      <c r="R77" s="7"/>
      <c r="S77" s="3"/>
      <c r="T77" s="3"/>
      <c r="U77" s="3"/>
      <c r="V77" s="3"/>
      <c r="W77" s="7">
        <f t="shared" ca="1" si="1"/>
        <v>0.12600337201151454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</row>
    <row r="78" spans="2:50" x14ac:dyDescent="0.25">
      <c r="B78">
        <v>2003</v>
      </c>
      <c r="C78" s="2">
        <v>0.26379999999999998</v>
      </c>
      <c r="H78" s="3"/>
      <c r="I78" s="3">
        <v>2003</v>
      </c>
      <c r="J78" s="7">
        <v>0.26379999999999998</v>
      </c>
      <c r="K78" s="7"/>
      <c r="L78" s="7"/>
      <c r="M78" s="7"/>
      <c r="N78" s="7"/>
      <c r="O78" s="7"/>
      <c r="P78" s="7"/>
      <c r="Q78" s="7"/>
      <c r="R78" s="7"/>
      <c r="S78" s="3"/>
      <c r="T78" s="3"/>
      <c r="U78" s="3"/>
      <c r="V78" s="3"/>
      <c r="W78" s="7">
        <f t="shared" ca="1" si="1"/>
        <v>0.34429229822158652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</row>
    <row r="79" spans="2:50" x14ac:dyDescent="0.25">
      <c r="B79">
        <v>2004</v>
      </c>
      <c r="C79" s="2">
        <v>8.9900000000000008E-2</v>
      </c>
      <c r="H79" s="3"/>
      <c r="I79" s="3">
        <v>2004</v>
      </c>
      <c r="J79" s="7">
        <v>8.9900000000000008E-2</v>
      </c>
      <c r="K79" s="7"/>
      <c r="L79" s="7"/>
      <c r="M79" s="7"/>
      <c r="N79" s="7"/>
      <c r="O79" s="7"/>
      <c r="P79" s="7"/>
      <c r="Q79" s="7"/>
      <c r="R79" s="7"/>
      <c r="S79" s="3"/>
      <c r="T79" s="3"/>
      <c r="U79" s="3"/>
      <c r="V79" s="3"/>
      <c r="W79" s="7">
        <f t="shared" ca="1" si="1"/>
        <v>0.17934581560434915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</row>
    <row r="80" spans="2:50" x14ac:dyDescent="0.25">
      <c r="B80">
        <v>2005</v>
      </c>
      <c r="C80" s="2">
        <v>-0.30299999999999999</v>
      </c>
      <c r="H80" s="3"/>
      <c r="I80" s="3">
        <v>2005</v>
      </c>
      <c r="J80" s="7">
        <v>-0.30299999999999999</v>
      </c>
      <c r="K80" s="7"/>
      <c r="L80" s="7"/>
      <c r="M80" s="7"/>
      <c r="N80" s="7"/>
      <c r="O80" s="7"/>
      <c r="P80" s="7"/>
      <c r="Q80" s="7"/>
      <c r="R80" s="7"/>
      <c r="S80" s="3"/>
      <c r="T80" s="3"/>
      <c r="U80" s="3"/>
      <c r="V80" s="3"/>
      <c r="W80" s="7">
        <f t="shared" ca="1" si="1"/>
        <v>6.2324728709305922E-2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</row>
    <row r="81" spans="2:50" x14ac:dyDescent="0.25">
      <c r="B81">
        <v>2006</v>
      </c>
      <c r="C81" s="2">
        <v>0.13619999999999999</v>
      </c>
      <c r="H81" s="3"/>
      <c r="I81" s="3">
        <v>2006</v>
      </c>
      <c r="J81" s="7">
        <v>0.13619999999999999</v>
      </c>
      <c r="K81" s="7"/>
      <c r="L81" s="7"/>
      <c r="M81" s="7"/>
      <c r="N81" s="7"/>
      <c r="O81" s="7"/>
      <c r="P81" s="7"/>
      <c r="Q81" s="7"/>
      <c r="R81" s="7"/>
      <c r="S81" s="3"/>
      <c r="T81" s="3"/>
      <c r="U81" s="3"/>
      <c r="V81" s="3"/>
      <c r="W81" s="7">
        <f t="shared" ca="1" si="1"/>
        <v>-4.8822207004950199E-2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</row>
    <row r="82" spans="2:50" x14ac:dyDescent="0.25">
      <c r="B82">
        <v>2007</v>
      </c>
      <c r="C82" s="2">
        <v>3.5299999999999998E-2</v>
      </c>
      <c r="H82" s="3"/>
      <c r="I82" s="3">
        <v>2007</v>
      </c>
      <c r="J82" s="7">
        <v>3.5299999999999998E-2</v>
      </c>
      <c r="K82" s="7"/>
      <c r="L82" s="7"/>
      <c r="M82" s="7"/>
      <c r="N82" s="7"/>
      <c r="O82" s="7"/>
      <c r="P82" s="7"/>
      <c r="Q82" s="7"/>
      <c r="R82" s="7"/>
      <c r="S82" s="3"/>
      <c r="T82" s="3"/>
      <c r="U82" s="3"/>
      <c r="V82" s="3"/>
      <c r="W82" s="7">
        <f t="shared" ca="1" si="1"/>
        <v>6.9379985068454664E-2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</row>
    <row r="83" spans="2:50" x14ac:dyDescent="0.25">
      <c r="B83">
        <v>2008</v>
      </c>
      <c r="C83" s="2">
        <v>0.38490000000000002</v>
      </c>
      <c r="H83" s="3"/>
      <c r="I83" s="3">
        <v>2008</v>
      </c>
      <c r="J83" s="7">
        <v>0.38490000000000002</v>
      </c>
      <c r="K83" s="7"/>
      <c r="L83" s="7"/>
      <c r="M83" s="7"/>
      <c r="N83" s="7"/>
      <c r="O83" s="7"/>
      <c r="P83" s="7"/>
      <c r="Q83" s="7"/>
      <c r="R83" s="7"/>
      <c r="S83" s="3"/>
      <c r="T83" s="3"/>
      <c r="U83" s="3"/>
      <c r="V83" s="3"/>
      <c r="W83" s="7">
        <f t="shared" ca="1" si="1"/>
        <v>3.6216745731438585E-2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</row>
    <row r="84" spans="2:50" x14ac:dyDescent="0.25">
      <c r="B84">
        <v>2009</v>
      </c>
      <c r="C84" s="2">
        <v>0.23449999999999999</v>
      </c>
      <c r="H84" s="3"/>
      <c r="I84" s="3">
        <v>2009</v>
      </c>
      <c r="J84" s="7">
        <v>0.23449999999999999</v>
      </c>
      <c r="K84" s="7"/>
      <c r="L84" s="7"/>
      <c r="M84" s="7"/>
      <c r="N84" s="7"/>
      <c r="O84" s="7"/>
      <c r="P84" s="7"/>
      <c r="Q84" s="7"/>
      <c r="R84" s="7"/>
      <c r="S84" s="3"/>
      <c r="T84" s="3"/>
      <c r="U84" s="3"/>
      <c r="V84" s="3"/>
      <c r="W84" s="7">
        <f t="shared" ca="1" si="1"/>
        <v>0.13339959269857604</v>
      </c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</row>
    <row r="85" spans="2:50" x14ac:dyDescent="0.25">
      <c r="B85">
        <v>2010</v>
      </c>
      <c r="C85" s="2">
        <v>0.1278</v>
      </c>
      <c r="H85" s="3"/>
      <c r="I85" s="3">
        <v>2010</v>
      </c>
      <c r="J85" s="7">
        <v>0.1278</v>
      </c>
      <c r="K85" s="7"/>
      <c r="L85" s="7"/>
      <c r="M85" s="7"/>
      <c r="N85" s="7"/>
      <c r="O85" s="7"/>
      <c r="P85" s="7"/>
      <c r="Q85" s="7"/>
      <c r="R85" s="7"/>
      <c r="S85" s="3"/>
      <c r="T85" s="3"/>
      <c r="U85" s="3"/>
      <c r="V85" s="3"/>
      <c r="W85" s="7">
        <f t="shared" ca="1" si="1"/>
        <v>0.42735016374089507</v>
      </c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</row>
    <row r="86" spans="2:50" x14ac:dyDescent="0.25">
      <c r="B86">
        <v>2011</v>
      </c>
      <c r="C86" s="2">
        <v>-0.3</v>
      </c>
      <c r="H86" s="3"/>
      <c r="I86" s="3">
        <v>2011</v>
      </c>
      <c r="J86" s="7">
        <v>-0.3</v>
      </c>
      <c r="K86" s="7"/>
      <c r="L86" s="7"/>
      <c r="M86" s="7"/>
      <c r="N86" s="7"/>
      <c r="O86" s="7"/>
      <c r="P86" s="7"/>
      <c r="Q86" s="7"/>
      <c r="R86" s="7"/>
      <c r="S86" s="3"/>
      <c r="T86" s="3"/>
      <c r="U86" s="3"/>
      <c r="V86" s="3"/>
      <c r="W86" s="7">
        <f t="shared" ca="1" si="1"/>
        <v>-5.1768258896130556E-2</v>
      </c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</row>
    <row r="87" spans="2:50" x14ac:dyDescent="0.25">
      <c r="B87">
        <v>2012</v>
      </c>
      <c r="C87" s="2">
        <v>0.1341</v>
      </c>
      <c r="H87" s="3"/>
      <c r="I87" s="3">
        <v>2012</v>
      </c>
      <c r="J87" s="7">
        <v>0.1341</v>
      </c>
      <c r="K87" s="7"/>
      <c r="L87" s="7"/>
      <c r="M87" s="7"/>
      <c r="N87" s="7"/>
      <c r="O87" s="7"/>
      <c r="P87" s="7"/>
      <c r="Q87" s="7"/>
      <c r="R87" s="7"/>
      <c r="S87" s="3"/>
      <c r="T87" s="3"/>
      <c r="U87" s="3"/>
      <c r="V87" s="3"/>
      <c r="W87" s="7">
        <f t="shared" ca="1" si="1"/>
        <v>0.36770484694840599</v>
      </c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</row>
    <row r="88" spans="2:50" x14ac:dyDescent="0.25">
      <c r="B88">
        <v>2013</v>
      </c>
      <c r="C88" s="2">
        <v>0.29600000000000004</v>
      </c>
      <c r="H88" s="3"/>
      <c r="I88" s="3">
        <v>2013</v>
      </c>
      <c r="J88" s="7">
        <v>0.29600000000000004</v>
      </c>
      <c r="K88" s="7"/>
      <c r="L88" s="7"/>
      <c r="M88" s="7"/>
      <c r="N88" s="7"/>
      <c r="O88" s="7"/>
      <c r="P88" s="7"/>
      <c r="Q88" s="7"/>
      <c r="R88" s="7"/>
      <c r="S88" s="3"/>
      <c r="T88" s="3"/>
      <c r="U88" s="3"/>
      <c r="V88" s="3"/>
      <c r="W88" s="7">
        <f t="shared" ca="1" si="1"/>
        <v>4.7183815603246831E-2</v>
      </c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</row>
    <row r="89" spans="2:50" x14ac:dyDescent="0.25">
      <c r="B89">
        <v>2014</v>
      </c>
      <c r="C89" s="2">
        <v>0.1139</v>
      </c>
      <c r="H89" s="3"/>
      <c r="I89" s="3">
        <v>2014</v>
      </c>
      <c r="J89" s="7">
        <v>0.1139</v>
      </c>
      <c r="K89" s="7"/>
      <c r="L89" s="7"/>
      <c r="M89" s="7"/>
      <c r="N89" s="7"/>
      <c r="O89" s="7"/>
      <c r="P89" s="7"/>
      <c r="Q89" s="7"/>
      <c r="R89" s="7"/>
      <c r="S89" s="3"/>
      <c r="T89" s="3"/>
      <c r="U89" s="3"/>
      <c r="V89" s="3"/>
      <c r="W89" s="7">
        <f t="shared" ca="1" si="1"/>
        <v>-0.16004564100981689</v>
      </c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</row>
    <row r="90" spans="2:50" x14ac:dyDescent="0.25">
      <c r="B90">
        <v>2015</v>
      </c>
      <c r="C90" s="2">
        <v>-7.3000000000000001E-3</v>
      </c>
      <c r="H90" s="3"/>
      <c r="I90" s="3">
        <v>2015</v>
      </c>
      <c r="J90" s="7">
        <v>-7.3000000000000001E-3</v>
      </c>
      <c r="K90" s="7"/>
      <c r="L90" s="7"/>
      <c r="M90" s="7"/>
      <c r="N90" s="7"/>
      <c r="O90" s="7"/>
      <c r="P90" s="7"/>
      <c r="Q90" s="7"/>
      <c r="R90" s="7"/>
      <c r="S90" s="3"/>
      <c r="T90" s="3"/>
      <c r="U90" s="3"/>
      <c r="V90" s="3"/>
      <c r="W90" s="7">
        <f t="shared" ca="1" si="1"/>
        <v>0.11573289365291464</v>
      </c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</row>
    <row r="91" spans="2:50" x14ac:dyDescent="0.25">
      <c r="B91">
        <v>2016</v>
      </c>
      <c r="C91" s="2">
        <v>9.5399999999999985E-2</v>
      </c>
      <c r="H91" s="3"/>
      <c r="I91" s="3">
        <v>2016</v>
      </c>
      <c r="J91" s="7">
        <v>9.5399999999999985E-2</v>
      </c>
      <c r="K91" s="7"/>
      <c r="L91" s="7"/>
      <c r="M91" s="7"/>
      <c r="N91" s="7"/>
      <c r="O91" s="7"/>
      <c r="P91" s="7"/>
      <c r="Q91" s="7"/>
      <c r="R91" s="7"/>
      <c r="S91" s="3"/>
      <c r="T91" s="3"/>
      <c r="U91" s="3"/>
      <c r="V91" s="3"/>
      <c r="W91" s="7">
        <f t="shared" ca="1" si="1"/>
        <v>0.20308722469766669</v>
      </c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</row>
    <row r="92" spans="2:50" x14ac:dyDescent="0.25">
      <c r="B92">
        <v>2017</v>
      </c>
      <c r="C92" s="2">
        <v>0.19420000000000001</v>
      </c>
      <c r="H92" s="3"/>
      <c r="I92" s="3">
        <v>2017</v>
      </c>
      <c r="J92" s="7">
        <v>0.19420000000000001</v>
      </c>
      <c r="K92" s="7"/>
      <c r="L92" s="7"/>
      <c r="M92" s="7"/>
      <c r="N92" s="7"/>
      <c r="O92" s="7"/>
      <c r="P92" s="7"/>
      <c r="Q92" s="7"/>
      <c r="R92" s="7"/>
      <c r="S92" s="3"/>
      <c r="T92" s="3"/>
      <c r="U92" s="3"/>
      <c r="V92" s="3"/>
      <c r="W92" s="7">
        <f t="shared" ca="1" si="1"/>
        <v>-8.2014092324107321E-2</v>
      </c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</row>
    <row r="93" spans="2:50" x14ac:dyDescent="0.25">
      <c r="B93">
        <v>2018</v>
      </c>
      <c r="C93" s="2">
        <v>-6.2400000000000004E-2</v>
      </c>
      <c r="H93" s="3"/>
      <c r="I93" s="3">
        <v>2018</v>
      </c>
      <c r="J93" s="7">
        <v>-6.2400000000000004E-2</v>
      </c>
      <c r="K93" s="7"/>
      <c r="L93" s="7"/>
      <c r="M93" s="7"/>
      <c r="N93" s="7"/>
      <c r="O93" s="7"/>
      <c r="P93" s="7"/>
      <c r="Q93" s="7"/>
      <c r="R93" s="7"/>
      <c r="S93" s="3"/>
      <c r="T93" s="3"/>
      <c r="U93" s="3"/>
      <c r="V93" s="3"/>
      <c r="W93" s="7">
        <f t="shared" ca="1" si="1"/>
        <v>1.985223740951543E-2</v>
      </c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</row>
    <row r="94" spans="2:50" x14ac:dyDescent="0.25">
      <c r="B94">
        <v>2019</v>
      </c>
      <c r="C94" s="2">
        <v>0.2888</v>
      </c>
      <c r="H94" s="3"/>
      <c r="I94" s="3">
        <v>2019</v>
      </c>
      <c r="J94" s="7">
        <v>0.2888</v>
      </c>
      <c r="K94" s="7"/>
      <c r="L94" s="7"/>
      <c r="M94" s="7"/>
      <c r="N94" s="7"/>
      <c r="O94" s="7"/>
      <c r="P94" s="7"/>
      <c r="Q94" s="7"/>
      <c r="R94" s="7"/>
      <c r="S94" s="3"/>
      <c r="T94" s="3"/>
      <c r="U94" s="3"/>
      <c r="V94" s="3"/>
      <c r="W94" s="7">
        <f t="shared" ca="1" si="1"/>
        <v>3.0648999171207558E-2</v>
      </c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</row>
    <row r="95" spans="2:50" x14ac:dyDescent="0.25">
      <c r="B95">
        <v>2020</v>
      </c>
      <c r="C95" s="2">
        <v>0.16260000000000002</v>
      </c>
      <c r="H95" s="3"/>
      <c r="I95" s="3">
        <v>2020</v>
      </c>
      <c r="J95" s="7">
        <v>0.16260000000000002</v>
      </c>
      <c r="K95" s="7"/>
      <c r="L95" s="7"/>
      <c r="M95" s="7"/>
      <c r="N95" s="7"/>
      <c r="O95" s="7"/>
      <c r="P95" s="7"/>
      <c r="Q95" s="7"/>
      <c r="R95" s="7"/>
      <c r="S95" s="3"/>
      <c r="T95" s="3"/>
      <c r="U95" s="3"/>
      <c r="V95" s="3"/>
      <c r="W95" s="7">
        <f t="shared" ca="1" si="1"/>
        <v>0.44578285873092005</v>
      </c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</row>
    <row r="96" spans="2:50" x14ac:dyDescent="0.25">
      <c r="B96">
        <v>2021</v>
      </c>
      <c r="C96" s="2">
        <v>0.26890000000000003</v>
      </c>
      <c r="H96" s="3"/>
      <c r="I96" s="3">
        <v>2021</v>
      </c>
      <c r="J96" s="7">
        <v>0.26890000000000003</v>
      </c>
      <c r="K96" s="7"/>
      <c r="L96" s="7"/>
      <c r="M96" s="7"/>
      <c r="N96" s="7"/>
      <c r="O96" s="7"/>
      <c r="P96" s="7"/>
      <c r="Q96" s="7"/>
      <c r="R96" s="7"/>
      <c r="S96" s="3"/>
      <c r="T96" s="3"/>
      <c r="U96" s="3"/>
      <c r="V96" s="3"/>
      <c r="W96" s="7">
        <f t="shared" ca="1" si="1"/>
        <v>0.22108499111073382</v>
      </c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</row>
    <row r="97" spans="2:50" x14ac:dyDescent="0.25">
      <c r="B97">
        <v>2022</v>
      </c>
      <c r="C97" s="2">
        <v>0.19440000000000002</v>
      </c>
      <c r="H97" s="3"/>
      <c r="I97" s="3">
        <v>2022</v>
      </c>
      <c r="J97" s="7">
        <v>0.19440000000000002</v>
      </c>
      <c r="K97" s="7"/>
      <c r="L97" s="7"/>
      <c r="M97" s="7"/>
      <c r="N97" s="7"/>
      <c r="O97" s="7"/>
      <c r="P97" s="7"/>
      <c r="Q97" s="7"/>
      <c r="R97" s="7"/>
      <c r="S97" s="3"/>
      <c r="T97" s="3"/>
      <c r="U97" s="3"/>
      <c r="V97" s="3"/>
      <c r="W97" s="7">
        <f t="shared" ca="1" si="1"/>
        <v>0.10184014610675847</v>
      </c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</row>
    <row r="98" spans="2:50" x14ac:dyDescent="0.25">
      <c r="B98">
        <v>2023</v>
      </c>
      <c r="C98" s="2">
        <v>0.24230000000000002</v>
      </c>
      <c r="H98" s="3"/>
      <c r="I98" s="3">
        <v>2023</v>
      </c>
      <c r="J98" s="7">
        <v>0.24230000000000002</v>
      </c>
      <c r="K98" s="7"/>
      <c r="L98" s="7"/>
      <c r="M98" s="7"/>
      <c r="N98" s="7"/>
      <c r="O98" s="7"/>
      <c r="P98" s="7"/>
      <c r="Q98" s="7"/>
      <c r="R98" s="7"/>
      <c r="S98" s="3"/>
      <c r="T98" s="3"/>
      <c r="U98" s="3"/>
      <c r="V98" s="3"/>
      <c r="W98" s="7">
        <f t="shared" ca="1" si="1"/>
        <v>8.8754142324541693E-2</v>
      </c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</row>
    <row r="99" spans="2:50" x14ac:dyDescent="0.25">
      <c r="B99">
        <v>2024</v>
      </c>
      <c r="C99" s="2">
        <v>0.23309999999999997</v>
      </c>
      <c r="H99" s="3"/>
      <c r="I99" s="3">
        <v>2024</v>
      </c>
      <c r="J99" s="7">
        <v>0.23309999999999997</v>
      </c>
      <c r="K99" s="7"/>
      <c r="L99" s="7"/>
      <c r="M99" s="7"/>
      <c r="N99" s="7"/>
      <c r="O99" s="7"/>
      <c r="P99" s="7"/>
      <c r="Q99" s="7"/>
      <c r="R99" s="7"/>
      <c r="S99" s="3"/>
      <c r="T99" s="3"/>
      <c r="U99" s="3"/>
      <c r="V99" s="3"/>
      <c r="W99" s="7">
        <f t="shared" ca="1" si="1"/>
        <v>6.4132315123294648E-2</v>
      </c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</row>
    <row r="100" spans="2:50" x14ac:dyDescent="0.25">
      <c r="B100">
        <v>2025</v>
      </c>
      <c r="C100" s="2">
        <v>-9.300000000000001E-3</v>
      </c>
      <c r="H100" s="3"/>
      <c r="I100" s="3">
        <v>2025</v>
      </c>
      <c r="J100" s="7">
        <v>-9.300000000000001E-3</v>
      </c>
      <c r="K100" s="7"/>
      <c r="L100" s="7"/>
      <c r="M100" s="7"/>
      <c r="N100" s="7"/>
      <c r="O100" s="7"/>
      <c r="P100" s="7"/>
      <c r="Q100" s="7"/>
      <c r="R100" s="7"/>
      <c r="S100" s="3"/>
      <c r="T100" s="3"/>
      <c r="U100" s="3"/>
      <c r="V100" s="3"/>
      <c r="W100" s="7">
        <f t="shared" ca="1" si="1"/>
        <v>4.0008744908017618E-2</v>
      </c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</row>
    <row r="101" spans="2:50" x14ac:dyDescent="0.25">
      <c r="H101" s="3"/>
      <c r="I101" s="3"/>
      <c r="J101" s="3"/>
      <c r="K101" s="7"/>
      <c r="L101" s="7"/>
      <c r="M101" s="7"/>
      <c r="N101" s="7"/>
      <c r="O101" s="7"/>
      <c r="P101" s="7"/>
      <c r="Q101" s="7"/>
      <c r="R101" s="7"/>
      <c r="S101" s="3"/>
      <c r="T101" s="3"/>
      <c r="U101" s="3"/>
      <c r="V101" s="3"/>
      <c r="W101" s="7">
        <f t="shared" ca="1" si="1"/>
        <v>-8.8357328853720926E-2</v>
      </c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</row>
    <row r="102" spans="2:50" x14ac:dyDescent="0.25"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7">
        <f t="shared" ca="1" si="1"/>
        <v>0.23474529302535418</v>
      </c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</row>
    <row r="103" spans="2:50" x14ac:dyDescent="0.25"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7">
        <f t="shared" ca="1" si="1"/>
        <v>0.3052574152741297</v>
      </c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</row>
    <row r="104" spans="2:50" x14ac:dyDescent="0.25"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7">
        <f t="shared" ca="1" si="1"/>
        <v>0.22743203933782991</v>
      </c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</row>
    <row r="105" spans="2:50" x14ac:dyDescent="0.25"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7">
        <f t="shared" ca="1" si="1"/>
        <v>-6.2708318319132192E-2</v>
      </c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</row>
    <row r="106" spans="2:50" x14ac:dyDescent="0.25"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7">
        <f t="shared" ca="1" si="1"/>
        <v>-7.0499534176113862E-2</v>
      </c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</row>
    <row r="107" spans="2:50" x14ac:dyDescent="0.25"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7">
        <f t="shared" ca="1" si="1"/>
        <v>0.29685759209516749</v>
      </c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</row>
    <row r="108" spans="2:50" x14ac:dyDescent="0.25"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7">
        <f t="shared" ca="1" si="1"/>
        <v>0.10605390863291843</v>
      </c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</row>
    <row r="109" spans="2:50" x14ac:dyDescent="0.25"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7">
        <f t="shared" ca="1" si="1"/>
        <v>0.15752813146086966</v>
      </c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</row>
    <row r="110" spans="2:50" x14ac:dyDescent="0.25"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7">
        <f t="shared" ca="1" si="1"/>
        <v>0.26058282278531836</v>
      </c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</row>
    <row r="111" spans="2:50" x14ac:dyDescent="0.25"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7">
        <f t="shared" ca="1" si="1"/>
        <v>7.353696316618763E-2</v>
      </c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</row>
    <row r="112" spans="2:50" x14ac:dyDescent="0.25"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7">
        <f t="shared" ca="1" si="1"/>
        <v>5.6801898641965796E-2</v>
      </c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</row>
    <row r="113" spans="8:50" x14ac:dyDescent="0.25"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7">
        <f t="shared" ca="1" si="1"/>
        <v>1.7235677614916151E-3</v>
      </c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</row>
    <row r="114" spans="8:50" x14ac:dyDescent="0.25"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7">
        <f t="shared" ca="1" si="1"/>
        <v>0.49396518023679192</v>
      </c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</row>
    <row r="115" spans="8:50" x14ac:dyDescent="0.25"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7">
        <f t="shared" ca="1" si="1"/>
        <v>0.36625279587995024</v>
      </c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</row>
    <row r="116" spans="8:50" x14ac:dyDescent="0.25"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7">
        <f t="shared" ca="1" si="1"/>
        <v>-4.5781539235023053E-2</v>
      </c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</row>
    <row r="117" spans="8:50" x14ac:dyDescent="0.25"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7">
        <f t="shared" ca="1" si="1"/>
        <v>0.44569342885081897</v>
      </c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</row>
    <row r="118" spans="8:50" x14ac:dyDescent="0.25"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7">
        <f t="shared" ca="1" si="1"/>
        <v>-6.2452801382539322E-2</v>
      </c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</row>
    <row r="119" spans="8:50" x14ac:dyDescent="0.25"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7">
        <f t="shared" ca="1" si="1"/>
        <v>0.21594608605624643</v>
      </c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</row>
    <row r="120" spans="8:50" x14ac:dyDescent="0.25"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7">
        <f t="shared" ca="1" si="1"/>
        <v>-4.5620725549668825E-2</v>
      </c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</row>
    <row r="121" spans="8:50" x14ac:dyDescent="0.25"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7">
        <f t="shared" ca="1" si="1"/>
        <v>0.25986661386255783</v>
      </c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</row>
    <row r="122" spans="8:50" x14ac:dyDescent="0.25"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7">
        <f t="shared" ca="1" si="1"/>
        <v>0.20853862329686446</v>
      </c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</row>
    <row r="123" spans="8:50" x14ac:dyDescent="0.25"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7">
        <f t="shared" ca="1" si="1"/>
        <v>0.35846071029968035</v>
      </c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</row>
    <row r="124" spans="8:50" x14ac:dyDescent="0.25"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7">
        <f t="shared" ca="1" si="1"/>
        <v>0.41565366277181515</v>
      </c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</row>
    <row r="125" spans="8:50" x14ac:dyDescent="0.25"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7">
        <f t="shared" ca="1" si="1"/>
        <v>0.28016456149628111</v>
      </c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</row>
    <row r="126" spans="8:50" x14ac:dyDescent="0.25"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7">
        <f t="shared" ca="1" si="1"/>
        <v>-0.1153366812299549</v>
      </c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</row>
    <row r="127" spans="8:50" x14ac:dyDescent="0.25"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7">
        <f t="shared" ca="1" si="1"/>
        <v>0.29648854073432285</v>
      </c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</row>
    <row r="128" spans="8:50" x14ac:dyDescent="0.25"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7">
        <f t="shared" ca="1" si="1"/>
        <v>-0.22530622231432107</v>
      </c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</row>
    <row r="129" spans="8:50" x14ac:dyDescent="0.25"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7">
        <f t="shared" ca="1" si="1"/>
        <v>-0.40904901442079811</v>
      </c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</row>
    <row r="130" spans="8:50" x14ac:dyDescent="0.25"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7">
        <f t="shared" ca="1" si="1"/>
        <v>0.25183770940873168</v>
      </c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</row>
    <row r="131" spans="8:50" x14ac:dyDescent="0.25"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7">
        <f t="shared" ca="1" si="1"/>
        <v>0.22066926069029022</v>
      </c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</row>
    <row r="132" spans="8:50" x14ac:dyDescent="0.25"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7">
        <f t="shared" ca="1" si="1"/>
        <v>-0.18006742110283269</v>
      </c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</row>
    <row r="133" spans="8:50" x14ac:dyDescent="0.25"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7">
        <f t="shared" ca="1" si="1"/>
        <v>3.0117349508117924E-3</v>
      </c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</row>
    <row r="134" spans="8:50" x14ac:dyDescent="0.25"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7">
        <f t="shared" ref="W134:W197" ca="1" si="2">+NORMINV(RAND(),$U$2,$U$3)</f>
        <v>-4.6894224546270846E-3</v>
      </c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</row>
    <row r="135" spans="8:50" x14ac:dyDescent="0.25"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7">
        <f t="shared" ca="1" si="2"/>
        <v>-0.11606669241692207</v>
      </c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</row>
    <row r="136" spans="8:50" x14ac:dyDescent="0.25"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7">
        <f t="shared" ca="1" si="2"/>
        <v>0.3059439298002492</v>
      </c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</row>
    <row r="137" spans="8:50" x14ac:dyDescent="0.25"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7">
        <f t="shared" ca="1" si="2"/>
        <v>0.33209205727761565</v>
      </c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</row>
    <row r="138" spans="8:50" x14ac:dyDescent="0.25"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7">
        <f t="shared" ca="1" si="2"/>
        <v>0.36102408018749343</v>
      </c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</row>
    <row r="139" spans="8:50" x14ac:dyDescent="0.25"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7">
        <f t="shared" ca="1" si="2"/>
        <v>-0.19499936584799721</v>
      </c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</row>
    <row r="140" spans="8:50" x14ac:dyDescent="0.25"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7">
        <f t="shared" ca="1" si="2"/>
        <v>-2.2634004406537914E-2</v>
      </c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</row>
    <row r="141" spans="8:50" x14ac:dyDescent="0.25"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7">
        <f t="shared" ca="1" si="2"/>
        <v>-2.440941023616354E-2</v>
      </c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</row>
    <row r="142" spans="8:50" x14ac:dyDescent="0.25"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7">
        <f t="shared" ca="1" si="2"/>
        <v>0.11012875958384187</v>
      </c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</row>
    <row r="143" spans="8:50" x14ac:dyDescent="0.25"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7">
        <f t="shared" ca="1" si="2"/>
        <v>7.3508199089586612E-2</v>
      </c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</row>
    <row r="144" spans="8:50" x14ac:dyDescent="0.25"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7">
        <f t="shared" ca="1" si="2"/>
        <v>0.11961764460064146</v>
      </c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</row>
    <row r="145" spans="8:50" x14ac:dyDescent="0.25"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7">
        <f t="shared" ca="1" si="2"/>
        <v>4.5017822698563706E-2</v>
      </c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</row>
    <row r="146" spans="8:50" x14ac:dyDescent="0.25"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7">
        <f t="shared" ca="1" si="2"/>
        <v>6.669134191276796E-2</v>
      </c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</row>
    <row r="147" spans="8:50" x14ac:dyDescent="0.25"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7">
        <f t="shared" ca="1" si="2"/>
        <v>-0.12009984851714768</v>
      </c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</row>
    <row r="148" spans="8:50" x14ac:dyDescent="0.25"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7">
        <f t="shared" ca="1" si="2"/>
        <v>0.22423419274440587</v>
      </c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</row>
    <row r="149" spans="8:50" x14ac:dyDescent="0.25"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7">
        <f t="shared" ca="1" si="2"/>
        <v>-1.0301943679165079E-2</v>
      </c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</row>
    <row r="150" spans="8:50" x14ac:dyDescent="0.25"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7">
        <f t="shared" ca="1" si="2"/>
        <v>0.16371989227734693</v>
      </c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</row>
    <row r="151" spans="8:50" x14ac:dyDescent="0.25"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7">
        <f t="shared" ca="1" si="2"/>
        <v>0.15753381588430615</v>
      </c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</row>
    <row r="152" spans="8:50" x14ac:dyDescent="0.25"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7">
        <f t="shared" ca="1" si="2"/>
        <v>0.43613581321309963</v>
      </c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</row>
    <row r="153" spans="8:50" x14ac:dyDescent="0.25"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7">
        <f t="shared" ca="1" si="2"/>
        <v>0.3135952954254595</v>
      </c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</row>
    <row r="154" spans="8:50" x14ac:dyDescent="0.25"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7">
        <f t="shared" ca="1" si="2"/>
        <v>0.25890531843501186</v>
      </c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</row>
    <row r="155" spans="8:50" x14ac:dyDescent="0.25"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7">
        <f t="shared" ca="1" si="2"/>
        <v>0.10390652704585168</v>
      </c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</row>
    <row r="156" spans="8:50" x14ac:dyDescent="0.25"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7">
        <f t="shared" ca="1" si="2"/>
        <v>0.28441889963074957</v>
      </c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</row>
    <row r="157" spans="8:50" x14ac:dyDescent="0.25"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7">
        <f t="shared" ca="1" si="2"/>
        <v>-4.4938812198979036E-2</v>
      </c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</row>
    <row r="158" spans="8:50" x14ac:dyDescent="0.25"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7">
        <f t="shared" ca="1" si="2"/>
        <v>0.36661859686419263</v>
      </c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</row>
    <row r="159" spans="8:50" x14ac:dyDescent="0.25"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7">
        <f t="shared" ca="1" si="2"/>
        <v>3.6293970424531877E-2</v>
      </c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</row>
    <row r="160" spans="8:50" x14ac:dyDescent="0.25"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7">
        <f t="shared" ca="1" si="2"/>
        <v>2.1773045050291692E-2</v>
      </c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</row>
    <row r="161" spans="8:50" x14ac:dyDescent="0.25"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7">
        <f t="shared" ca="1" si="2"/>
        <v>-6.9257831542058904E-2</v>
      </c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</row>
    <row r="162" spans="8:50" x14ac:dyDescent="0.25"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7">
        <f t="shared" ca="1" si="2"/>
        <v>0.13751438138129127</v>
      </c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</row>
    <row r="163" spans="8:50" x14ac:dyDescent="0.25"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7">
        <f t="shared" ca="1" si="2"/>
        <v>4.4561041189384087E-2</v>
      </c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</row>
    <row r="164" spans="8:50" x14ac:dyDescent="0.25"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7">
        <f t="shared" ca="1" si="2"/>
        <v>0.20552468319002598</v>
      </c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</row>
    <row r="165" spans="8:50" x14ac:dyDescent="0.25"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7">
        <f t="shared" ca="1" si="2"/>
        <v>5.211132974769081E-2</v>
      </c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</row>
    <row r="166" spans="8:50" x14ac:dyDescent="0.25"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7">
        <f t="shared" ca="1" si="2"/>
        <v>0.18525681794064439</v>
      </c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</row>
    <row r="167" spans="8:50" x14ac:dyDescent="0.25"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7">
        <f t="shared" ca="1" si="2"/>
        <v>0.48712623920741499</v>
      </c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</row>
    <row r="168" spans="8:50" x14ac:dyDescent="0.25"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7">
        <f t="shared" ca="1" si="2"/>
        <v>0.10600640348565633</v>
      </c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</row>
    <row r="169" spans="8:50" x14ac:dyDescent="0.25"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7">
        <f t="shared" ca="1" si="2"/>
        <v>5.5635024860116206E-2</v>
      </c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</row>
    <row r="170" spans="8:50" x14ac:dyDescent="0.25"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7">
        <f t="shared" ca="1" si="2"/>
        <v>-2.602135451665398E-2</v>
      </c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</row>
    <row r="171" spans="8:50" x14ac:dyDescent="0.25"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7">
        <f t="shared" ca="1" si="2"/>
        <v>0.22801782884173161</v>
      </c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</row>
    <row r="172" spans="8:50" x14ac:dyDescent="0.25"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7">
        <f t="shared" ca="1" si="2"/>
        <v>0.11426459314327289</v>
      </c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</row>
    <row r="173" spans="8:50" x14ac:dyDescent="0.25"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7">
        <f t="shared" ca="1" si="2"/>
        <v>0.21624181129013964</v>
      </c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</row>
    <row r="174" spans="8:50" x14ac:dyDescent="0.25"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7">
        <f t="shared" ca="1" si="2"/>
        <v>0.50144428127692786</v>
      </c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</row>
    <row r="175" spans="8:50" x14ac:dyDescent="0.25"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7">
        <f t="shared" ca="1" si="2"/>
        <v>0.30183602193582676</v>
      </c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</row>
    <row r="176" spans="8:50" x14ac:dyDescent="0.25"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7">
        <f t="shared" ca="1" si="2"/>
        <v>7.5618530598436512E-2</v>
      </c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</row>
    <row r="177" spans="8:50" x14ac:dyDescent="0.25"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7">
        <f t="shared" ca="1" si="2"/>
        <v>3.3406720864335063E-2</v>
      </c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</row>
    <row r="178" spans="8:50" x14ac:dyDescent="0.25"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7">
        <f t="shared" ca="1" si="2"/>
        <v>0.34617910323306872</v>
      </c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</row>
    <row r="179" spans="8:50" x14ac:dyDescent="0.25"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7">
        <f t="shared" ca="1" si="2"/>
        <v>-0.12139613534505693</v>
      </c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</row>
    <row r="180" spans="8:50" x14ac:dyDescent="0.25"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7">
        <f t="shared" ca="1" si="2"/>
        <v>0.13732468264219636</v>
      </c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</row>
    <row r="181" spans="8:50" x14ac:dyDescent="0.25"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7">
        <f t="shared" ca="1" si="2"/>
        <v>-3.937705399909068E-2</v>
      </c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</row>
    <row r="182" spans="8:50" x14ac:dyDescent="0.25"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7">
        <f t="shared" ca="1" si="2"/>
        <v>0.52743170544051299</v>
      </c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</row>
    <row r="183" spans="8:50" x14ac:dyDescent="0.25"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7">
        <f t="shared" ca="1" si="2"/>
        <v>0.19009776803142742</v>
      </c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</row>
    <row r="184" spans="8:50" x14ac:dyDescent="0.25"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7">
        <f t="shared" ca="1" si="2"/>
        <v>0.11279344205655999</v>
      </c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</row>
    <row r="185" spans="8:50" x14ac:dyDescent="0.25"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7">
        <f t="shared" ca="1" si="2"/>
        <v>0.24667897537389966</v>
      </c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</row>
    <row r="186" spans="8:50" x14ac:dyDescent="0.25"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7">
        <f t="shared" ca="1" si="2"/>
        <v>0.17642470429895785</v>
      </c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</row>
    <row r="187" spans="8:50" x14ac:dyDescent="0.25"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7">
        <f t="shared" ca="1" si="2"/>
        <v>0.32247458034892029</v>
      </c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</row>
    <row r="188" spans="8:50" x14ac:dyDescent="0.25"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7">
        <f t="shared" ca="1" si="2"/>
        <v>-4.4420946404924957E-2</v>
      </c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</row>
    <row r="189" spans="8:50" x14ac:dyDescent="0.25"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7">
        <f t="shared" ca="1" si="2"/>
        <v>0.10450145549346868</v>
      </c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</row>
    <row r="190" spans="8:50" x14ac:dyDescent="0.25"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7">
        <f t="shared" ca="1" si="2"/>
        <v>0.13726096221734416</v>
      </c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</row>
    <row r="191" spans="8:50" x14ac:dyDescent="0.25"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7">
        <f t="shared" ca="1" si="2"/>
        <v>9.4158087927601802E-2</v>
      </c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</row>
    <row r="192" spans="8:50" x14ac:dyDescent="0.25"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7">
        <f t="shared" ca="1" si="2"/>
        <v>0.15566205554307566</v>
      </c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</row>
    <row r="193" spans="8:50" x14ac:dyDescent="0.25"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7">
        <f t="shared" ca="1" si="2"/>
        <v>0.11617348609118218</v>
      </c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</row>
    <row r="194" spans="8:50" x14ac:dyDescent="0.25"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7">
        <f t="shared" ca="1" si="2"/>
        <v>3.0356503477596691E-3</v>
      </c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</row>
    <row r="195" spans="8:50" x14ac:dyDescent="0.25"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7">
        <f t="shared" ca="1" si="2"/>
        <v>-2.393231894116464E-2</v>
      </c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</row>
    <row r="196" spans="8:50" x14ac:dyDescent="0.25"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7">
        <f t="shared" ca="1" si="2"/>
        <v>0.34308527427924274</v>
      </c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</row>
    <row r="197" spans="8:50" x14ac:dyDescent="0.25"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7">
        <f t="shared" ca="1" si="2"/>
        <v>0.20318238936539698</v>
      </c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</row>
    <row r="198" spans="8:50" x14ac:dyDescent="0.25"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7">
        <f t="shared" ref="W198:W261" ca="1" si="3">+NORMINV(RAND(),$U$2,$U$3)</f>
        <v>0.22104431778859981</v>
      </c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</row>
    <row r="199" spans="8:50" x14ac:dyDescent="0.25"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7">
        <f t="shared" ca="1" si="3"/>
        <v>0.19624590819036372</v>
      </c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</row>
    <row r="200" spans="8:50" x14ac:dyDescent="0.25"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7">
        <f t="shared" ca="1" si="3"/>
        <v>0.16411443415297319</v>
      </c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</row>
    <row r="201" spans="8:50" x14ac:dyDescent="0.25"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7">
        <f t="shared" ca="1" si="3"/>
        <v>0.12617883144494463</v>
      </c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</row>
    <row r="202" spans="8:50" x14ac:dyDescent="0.25"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7">
        <f t="shared" ca="1" si="3"/>
        <v>-6.1460017964806005E-2</v>
      </c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</row>
    <row r="203" spans="8:50" x14ac:dyDescent="0.25"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7">
        <f t="shared" ca="1" si="3"/>
        <v>0.2886664277908908</v>
      </c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</row>
    <row r="204" spans="8:50" x14ac:dyDescent="0.25"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7">
        <f t="shared" ca="1" si="3"/>
        <v>0.12264949793692967</v>
      </c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</row>
    <row r="205" spans="8:50" x14ac:dyDescent="0.25"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7">
        <f t="shared" ca="1" si="3"/>
        <v>0.12266090314687711</v>
      </c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</row>
    <row r="206" spans="8:50" x14ac:dyDescent="0.25"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7">
        <f t="shared" ca="1" si="3"/>
        <v>1.6018112916488275E-2</v>
      </c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</row>
    <row r="207" spans="8:50" x14ac:dyDescent="0.25"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7">
        <f t="shared" ca="1" si="3"/>
        <v>0.16452177028459367</v>
      </c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</row>
    <row r="208" spans="8:50" x14ac:dyDescent="0.25"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7">
        <f t="shared" ca="1" si="3"/>
        <v>0.16783634965115479</v>
      </c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</row>
    <row r="209" spans="8:50" x14ac:dyDescent="0.25"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7">
        <f t="shared" ca="1" si="3"/>
        <v>0.11897648458866407</v>
      </c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</row>
    <row r="210" spans="8:50" x14ac:dyDescent="0.25"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7">
        <f t="shared" ca="1" si="3"/>
        <v>0.20778500081191306</v>
      </c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</row>
    <row r="211" spans="8:50" x14ac:dyDescent="0.25"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7">
        <f t="shared" ca="1" si="3"/>
        <v>0.11897736752398375</v>
      </c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</row>
    <row r="212" spans="8:50" x14ac:dyDescent="0.25"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7">
        <f t="shared" ca="1" si="3"/>
        <v>-3.4006951972413477E-2</v>
      </c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</row>
    <row r="213" spans="8:50" x14ac:dyDescent="0.25"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7">
        <f t="shared" ca="1" si="3"/>
        <v>2.6916648459781561E-2</v>
      </c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</row>
    <row r="214" spans="8:50" x14ac:dyDescent="0.25"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7">
        <f t="shared" ca="1" si="3"/>
        <v>0.48012717630104434</v>
      </c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</row>
    <row r="215" spans="8:50" x14ac:dyDescent="0.25"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7">
        <f t="shared" ca="1" si="3"/>
        <v>0.49799147931270382</v>
      </c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</row>
    <row r="216" spans="8:50" x14ac:dyDescent="0.25"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7">
        <f t="shared" ca="1" si="3"/>
        <v>0.35949412264538533</v>
      </c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</row>
    <row r="217" spans="8:50" x14ac:dyDescent="0.25"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7">
        <f t="shared" ca="1" si="3"/>
        <v>4.8687186302795823E-2</v>
      </c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</row>
    <row r="218" spans="8:50" x14ac:dyDescent="0.25"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7">
        <f t="shared" ca="1" si="3"/>
        <v>-6.1041943159251821E-3</v>
      </c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</row>
    <row r="219" spans="8:50" x14ac:dyDescent="0.25"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7">
        <f t="shared" ca="1" si="3"/>
        <v>-0.1196734076449044</v>
      </c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</row>
    <row r="220" spans="8:50" x14ac:dyDescent="0.25"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7">
        <f t="shared" ca="1" si="3"/>
        <v>3.0367816089401242E-2</v>
      </c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</row>
    <row r="221" spans="8:50" x14ac:dyDescent="0.25"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7">
        <f t="shared" ca="1" si="3"/>
        <v>0.11887218835271343</v>
      </c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</row>
    <row r="222" spans="8:50" x14ac:dyDescent="0.25"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7">
        <f t="shared" ca="1" si="3"/>
        <v>0.16165373358408486</v>
      </c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</row>
    <row r="223" spans="8:50" x14ac:dyDescent="0.25"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7">
        <f t="shared" ca="1" si="3"/>
        <v>0.22733325088726325</v>
      </c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</row>
    <row r="224" spans="8:50" x14ac:dyDescent="0.25"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7">
        <f t="shared" ca="1" si="3"/>
        <v>9.3338958202295319E-3</v>
      </c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</row>
    <row r="225" spans="8:50" x14ac:dyDescent="0.25"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7">
        <f t="shared" ca="1" si="3"/>
        <v>-0.14058426175856636</v>
      </c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</row>
    <row r="226" spans="8:50" x14ac:dyDescent="0.25"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7">
        <f t="shared" ca="1" si="3"/>
        <v>-6.9350854049194902E-2</v>
      </c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</row>
    <row r="227" spans="8:50" x14ac:dyDescent="0.25"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7">
        <f t="shared" ca="1" si="3"/>
        <v>0.3262734531527115</v>
      </c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</row>
    <row r="228" spans="8:50" x14ac:dyDescent="0.25"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7">
        <f t="shared" ca="1" si="3"/>
        <v>6.769119553400052E-2</v>
      </c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</row>
    <row r="229" spans="8:50" x14ac:dyDescent="0.25"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7">
        <f t="shared" ca="1" si="3"/>
        <v>0.42786644522419026</v>
      </c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</row>
    <row r="230" spans="8:50" x14ac:dyDescent="0.25"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7">
        <f t="shared" ca="1" si="3"/>
        <v>7.8771947934636238E-2</v>
      </c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</row>
    <row r="231" spans="8:50" x14ac:dyDescent="0.25"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7">
        <f t="shared" ca="1" si="3"/>
        <v>0.32236079073799168</v>
      </c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</row>
    <row r="232" spans="8:50" x14ac:dyDescent="0.25"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7">
        <f t="shared" ca="1" si="3"/>
        <v>0.25140634813498131</v>
      </c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</row>
    <row r="233" spans="8:50" x14ac:dyDescent="0.25"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7">
        <f t="shared" ca="1" si="3"/>
        <v>0.14805342758872184</v>
      </c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</row>
    <row r="234" spans="8:50" x14ac:dyDescent="0.25"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7">
        <f t="shared" ca="1" si="3"/>
        <v>2.2768352201373937E-2</v>
      </c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</row>
    <row r="235" spans="8:50" x14ac:dyDescent="0.25"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7">
        <f t="shared" ca="1" si="3"/>
        <v>0.17272826648287282</v>
      </c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</row>
    <row r="236" spans="8:50" x14ac:dyDescent="0.25"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7">
        <f t="shared" ca="1" si="3"/>
        <v>4.5005567646311917E-2</v>
      </c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</row>
    <row r="237" spans="8:50" x14ac:dyDescent="0.25"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7">
        <f t="shared" ca="1" si="3"/>
        <v>0.39042083476693212</v>
      </c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</row>
    <row r="238" spans="8:50" x14ac:dyDescent="0.25"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7">
        <f t="shared" ca="1" si="3"/>
        <v>-1.6519767529082907E-3</v>
      </c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</row>
    <row r="239" spans="8:50" x14ac:dyDescent="0.25"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7">
        <f t="shared" ca="1" si="3"/>
        <v>-3.7881514888254461E-2</v>
      </c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</row>
    <row r="240" spans="8:50" x14ac:dyDescent="0.25"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7">
        <f t="shared" ca="1" si="3"/>
        <v>0.3141130971231243</v>
      </c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</row>
    <row r="241" spans="8:50" x14ac:dyDescent="0.25"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7">
        <f t="shared" ca="1" si="3"/>
        <v>4.8320943908447392E-2</v>
      </c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</row>
    <row r="242" spans="8:50" x14ac:dyDescent="0.25"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7">
        <f t="shared" ca="1" si="3"/>
        <v>0.59535812389097165</v>
      </c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</row>
    <row r="243" spans="8:50" x14ac:dyDescent="0.25"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7">
        <f t="shared" ca="1" si="3"/>
        <v>-0.24105464152462253</v>
      </c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</row>
    <row r="244" spans="8:50" x14ac:dyDescent="0.25"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7">
        <f t="shared" ca="1" si="3"/>
        <v>-2.8332085797066905E-2</v>
      </c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</row>
    <row r="245" spans="8:50" x14ac:dyDescent="0.25"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7">
        <f t="shared" ca="1" si="3"/>
        <v>0.12816846246395927</v>
      </c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</row>
    <row r="246" spans="8:50" x14ac:dyDescent="0.25"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7">
        <f t="shared" ca="1" si="3"/>
        <v>2.4333674244931089E-2</v>
      </c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</row>
    <row r="247" spans="8:50" x14ac:dyDescent="0.25"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7">
        <f t="shared" ca="1" si="3"/>
        <v>0.24133759523187431</v>
      </c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</row>
    <row r="248" spans="8:50" x14ac:dyDescent="0.25"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7">
        <f t="shared" ca="1" si="3"/>
        <v>0.16064192924939075</v>
      </c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</row>
    <row r="249" spans="8:50" x14ac:dyDescent="0.25"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7">
        <f t="shared" ca="1" si="3"/>
        <v>-5.9998612295702178E-2</v>
      </c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</row>
    <row r="250" spans="8:50" x14ac:dyDescent="0.25"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7">
        <f t="shared" ca="1" si="3"/>
        <v>0.16991324388979984</v>
      </c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</row>
    <row r="251" spans="8:50" x14ac:dyDescent="0.25"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7">
        <f t="shared" ca="1" si="3"/>
        <v>-0.12592768927457326</v>
      </c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</row>
    <row r="252" spans="8:50" x14ac:dyDescent="0.25"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7">
        <f t="shared" ca="1" si="3"/>
        <v>0.27060290920640834</v>
      </c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</row>
    <row r="253" spans="8:50" x14ac:dyDescent="0.25"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7">
        <f t="shared" ca="1" si="3"/>
        <v>-0.24372548107028924</v>
      </c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</row>
    <row r="254" spans="8:50" x14ac:dyDescent="0.25"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7">
        <f t="shared" ca="1" si="3"/>
        <v>8.9614518071391161E-2</v>
      </c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</row>
    <row r="255" spans="8:50" x14ac:dyDescent="0.25"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7">
        <f t="shared" ca="1" si="3"/>
        <v>8.5528657812596304E-2</v>
      </c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</row>
    <row r="256" spans="8:50" x14ac:dyDescent="0.25"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7">
        <f t="shared" ca="1" si="3"/>
        <v>-0.28091436254434921</v>
      </c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</row>
    <row r="257" spans="8:50" x14ac:dyDescent="0.25"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7">
        <f t="shared" ca="1" si="3"/>
        <v>0.30781731329289097</v>
      </c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</row>
    <row r="258" spans="8:50" x14ac:dyDescent="0.25"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7">
        <f t="shared" ca="1" si="3"/>
        <v>0.21054652104436306</v>
      </c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</row>
    <row r="259" spans="8:50" x14ac:dyDescent="0.25"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7">
        <f t="shared" ca="1" si="3"/>
        <v>0.34380419675985474</v>
      </c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</row>
    <row r="260" spans="8:50" x14ac:dyDescent="0.25"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7">
        <f t="shared" ca="1" si="3"/>
        <v>8.3339981517819156E-3</v>
      </c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</row>
    <row r="261" spans="8:50" x14ac:dyDescent="0.25"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7">
        <f t="shared" ca="1" si="3"/>
        <v>4.8277588586181086E-2</v>
      </c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</row>
    <row r="262" spans="8:50" x14ac:dyDescent="0.25"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7">
        <f t="shared" ref="W262:W325" ca="1" si="4">+NORMINV(RAND(),$U$2,$U$3)</f>
        <v>0.2755197077195527</v>
      </c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</row>
    <row r="263" spans="8:50" x14ac:dyDescent="0.25"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7">
        <f t="shared" ca="1" si="4"/>
        <v>0.17868013752352963</v>
      </c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</row>
    <row r="264" spans="8:50" x14ac:dyDescent="0.25"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7">
        <f t="shared" ca="1" si="4"/>
        <v>8.0573042572971987E-4</v>
      </c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</row>
    <row r="265" spans="8:50" x14ac:dyDescent="0.25"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7">
        <f t="shared" ca="1" si="4"/>
        <v>0.30324900236159463</v>
      </c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</row>
    <row r="266" spans="8:50" x14ac:dyDescent="0.25"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7">
        <f t="shared" ca="1" si="4"/>
        <v>0.18262393085039094</v>
      </c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</row>
    <row r="267" spans="8:50" x14ac:dyDescent="0.25"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7">
        <f t="shared" ca="1" si="4"/>
        <v>-0.18727618215080422</v>
      </c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</row>
    <row r="268" spans="8:50" x14ac:dyDescent="0.25"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7">
        <f t="shared" ca="1" si="4"/>
        <v>0.19561351907229435</v>
      </c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</row>
    <row r="269" spans="8:50" x14ac:dyDescent="0.25"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7">
        <f t="shared" ca="1" si="4"/>
        <v>-8.0241357233964541E-2</v>
      </c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</row>
    <row r="270" spans="8:50" x14ac:dyDescent="0.25"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7">
        <f t="shared" ca="1" si="4"/>
        <v>-3.9742921161278186E-2</v>
      </c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</row>
    <row r="271" spans="8:50" x14ac:dyDescent="0.25"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7">
        <f t="shared" ca="1" si="4"/>
        <v>0.30152494046581213</v>
      </c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</row>
    <row r="272" spans="8:50" x14ac:dyDescent="0.25"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7">
        <f t="shared" ca="1" si="4"/>
        <v>0.32709021152980683</v>
      </c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</row>
    <row r="273" spans="8:50" x14ac:dyDescent="0.25"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7">
        <f t="shared" ca="1" si="4"/>
        <v>5.0769950319190793E-3</v>
      </c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</row>
    <row r="274" spans="8:50" x14ac:dyDescent="0.25"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7">
        <f t="shared" ca="1" si="4"/>
        <v>0.12418265942765608</v>
      </c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</row>
    <row r="275" spans="8:50" x14ac:dyDescent="0.25"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7">
        <f t="shared" ca="1" si="4"/>
        <v>0.23903885366493244</v>
      </c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</row>
    <row r="276" spans="8:50" x14ac:dyDescent="0.25"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7">
        <f t="shared" ca="1" si="4"/>
        <v>0.21576876028847142</v>
      </c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</row>
    <row r="277" spans="8:50" x14ac:dyDescent="0.25"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7">
        <f t="shared" ca="1" si="4"/>
        <v>0.1469069219157163</v>
      </c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</row>
    <row r="278" spans="8:50" x14ac:dyDescent="0.25"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7">
        <f t="shared" ca="1" si="4"/>
        <v>-1.7792701667029148E-3</v>
      </c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</row>
    <row r="279" spans="8:50" x14ac:dyDescent="0.25"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7">
        <f t="shared" ca="1" si="4"/>
        <v>-0.22864095641736237</v>
      </c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</row>
    <row r="280" spans="8:50" x14ac:dyDescent="0.25"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7">
        <f t="shared" ca="1" si="4"/>
        <v>-7.2469300440087106E-2</v>
      </c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</row>
    <row r="281" spans="8:50" x14ac:dyDescent="0.25"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7">
        <f t="shared" ca="1" si="4"/>
        <v>6.3278313299351713E-2</v>
      </c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</row>
    <row r="282" spans="8:50" x14ac:dyDescent="0.25"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7">
        <f t="shared" ca="1" si="4"/>
        <v>0.16713009907659709</v>
      </c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</row>
    <row r="283" spans="8:50" x14ac:dyDescent="0.25"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7">
        <f t="shared" ca="1" si="4"/>
        <v>0.18570147582254626</v>
      </c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</row>
    <row r="284" spans="8:50" x14ac:dyDescent="0.25"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7">
        <f t="shared" ca="1" si="4"/>
        <v>-0.11996602913045258</v>
      </c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</row>
    <row r="285" spans="8:50" x14ac:dyDescent="0.25"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7">
        <f t="shared" ca="1" si="4"/>
        <v>0.34731715576699146</v>
      </c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</row>
    <row r="286" spans="8:50" x14ac:dyDescent="0.25"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7">
        <f t="shared" ca="1" si="4"/>
        <v>0.28847840925479584</v>
      </c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</row>
    <row r="287" spans="8:50" x14ac:dyDescent="0.25"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7">
        <f t="shared" ca="1" si="4"/>
        <v>1.1500832100102804E-2</v>
      </c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</row>
    <row r="288" spans="8:50" x14ac:dyDescent="0.25"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7">
        <f t="shared" ca="1" si="4"/>
        <v>-0.20868144571351493</v>
      </c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</row>
    <row r="289" spans="8:50" x14ac:dyDescent="0.25"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7">
        <f t="shared" ca="1" si="4"/>
        <v>-0.18763148617848008</v>
      </c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</row>
    <row r="290" spans="8:50" x14ac:dyDescent="0.25"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7">
        <f t="shared" ca="1" si="4"/>
        <v>0.10453614394349303</v>
      </c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</row>
    <row r="291" spans="8:50" x14ac:dyDescent="0.25"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7">
        <f t="shared" ca="1" si="4"/>
        <v>-6.8928126742066234E-2</v>
      </c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</row>
    <row r="292" spans="8:50" x14ac:dyDescent="0.25"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7">
        <f t="shared" ca="1" si="4"/>
        <v>0.10114071321927495</v>
      </c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</row>
    <row r="293" spans="8:50" x14ac:dyDescent="0.25"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7">
        <f t="shared" ca="1" si="4"/>
        <v>0.26988873710296024</v>
      </c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</row>
    <row r="294" spans="8:50" x14ac:dyDescent="0.25"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7">
        <f t="shared" ca="1" si="4"/>
        <v>3.6140633446539741E-2</v>
      </c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</row>
    <row r="295" spans="8:50" x14ac:dyDescent="0.25"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7">
        <f t="shared" ca="1" si="4"/>
        <v>0.53581425292096008</v>
      </c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</row>
    <row r="296" spans="8:50" x14ac:dyDescent="0.25"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7">
        <f t="shared" ca="1" si="4"/>
        <v>0.21320257128975501</v>
      </c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</row>
    <row r="297" spans="8:50" x14ac:dyDescent="0.25"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7">
        <f t="shared" ca="1" si="4"/>
        <v>-5.247348578127968E-2</v>
      </c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</row>
    <row r="298" spans="8:50" x14ac:dyDescent="0.25"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7">
        <f t="shared" ca="1" si="4"/>
        <v>0.33353054283050032</v>
      </c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</row>
    <row r="299" spans="8:50" x14ac:dyDescent="0.25"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7">
        <f t="shared" ca="1" si="4"/>
        <v>-9.4810635113891276E-2</v>
      </c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</row>
    <row r="300" spans="8:50" x14ac:dyDescent="0.25"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7">
        <f t="shared" ca="1" si="4"/>
        <v>5.7628140641686927E-2</v>
      </c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</row>
    <row r="301" spans="8:50" x14ac:dyDescent="0.25"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7">
        <f t="shared" ca="1" si="4"/>
        <v>-0.18480101927148351</v>
      </c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</row>
    <row r="302" spans="8:50" x14ac:dyDescent="0.25"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7">
        <f t="shared" ca="1" si="4"/>
        <v>3.476172550830621E-2</v>
      </c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</row>
    <row r="303" spans="8:50" x14ac:dyDescent="0.25"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7">
        <f t="shared" ca="1" si="4"/>
        <v>0.19240459514350766</v>
      </c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</row>
    <row r="304" spans="8:50" x14ac:dyDescent="0.25"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7">
        <f t="shared" ca="1" si="4"/>
        <v>0.30704931256613954</v>
      </c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</row>
    <row r="305" spans="8:50" x14ac:dyDescent="0.25"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7">
        <f t="shared" ca="1" si="4"/>
        <v>8.5817082786708077E-2</v>
      </c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</row>
    <row r="306" spans="8:50" x14ac:dyDescent="0.25"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7">
        <f t="shared" ca="1" si="4"/>
        <v>5.7953538938350986E-2</v>
      </c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</row>
    <row r="307" spans="8:50" x14ac:dyDescent="0.25"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7">
        <f t="shared" ca="1" si="4"/>
        <v>-9.7888858330933123E-2</v>
      </c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</row>
    <row r="308" spans="8:50" x14ac:dyDescent="0.25"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7">
        <f t="shared" ca="1" si="4"/>
        <v>-0.11302278999222538</v>
      </c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</row>
    <row r="309" spans="8:50" x14ac:dyDescent="0.25"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7">
        <f t="shared" ca="1" si="4"/>
        <v>1.5718002937919681E-2</v>
      </c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</row>
    <row r="310" spans="8:50" x14ac:dyDescent="0.25"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7">
        <f t="shared" ca="1" si="4"/>
        <v>-7.2891400338159079E-3</v>
      </c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</row>
    <row r="311" spans="8:50" x14ac:dyDescent="0.25"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7">
        <f t="shared" ca="1" si="4"/>
        <v>-0.36830323514529179</v>
      </c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</row>
    <row r="312" spans="8:50" x14ac:dyDescent="0.25"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7">
        <f t="shared" ca="1" si="4"/>
        <v>-8.5046789778512877E-3</v>
      </c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</row>
    <row r="313" spans="8:50" x14ac:dyDescent="0.25"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7">
        <f t="shared" ca="1" si="4"/>
        <v>-3.1089272915095265E-2</v>
      </c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</row>
    <row r="314" spans="8:50" x14ac:dyDescent="0.25"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7">
        <f t="shared" ca="1" si="4"/>
        <v>0.12426883287328677</v>
      </c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</row>
    <row r="315" spans="8:50" x14ac:dyDescent="0.25"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7">
        <f t="shared" ca="1" si="4"/>
        <v>-1.2113562873901876E-2</v>
      </c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</row>
    <row r="316" spans="8:50" x14ac:dyDescent="0.25"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7">
        <f t="shared" ca="1" si="4"/>
        <v>1.8579502232077522E-2</v>
      </c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</row>
    <row r="317" spans="8:50" x14ac:dyDescent="0.25"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7">
        <f t="shared" ca="1" si="4"/>
        <v>-0.10262054874565292</v>
      </c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</row>
    <row r="318" spans="8:50" x14ac:dyDescent="0.25"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7">
        <f t="shared" ca="1" si="4"/>
        <v>2.6061136168124388E-2</v>
      </c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</row>
    <row r="319" spans="8:50" x14ac:dyDescent="0.25"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7">
        <f t="shared" ca="1" si="4"/>
        <v>-0.24379142122935538</v>
      </c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</row>
    <row r="320" spans="8:50" x14ac:dyDescent="0.25"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7">
        <f t="shared" ca="1" si="4"/>
        <v>0.17852454937638651</v>
      </c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</row>
    <row r="321" spans="8:50" x14ac:dyDescent="0.25"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7">
        <f t="shared" ca="1" si="4"/>
        <v>0.12922899952050707</v>
      </c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</row>
    <row r="322" spans="8:50" x14ac:dyDescent="0.25"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7">
        <f t="shared" ca="1" si="4"/>
        <v>9.058310471634172E-2</v>
      </c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</row>
    <row r="323" spans="8:50" x14ac:dyDescent="0.25"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7">
        <f t="shared" ca="1" si="4"/>
        <v>2.4395572191341169E-2</v>
      </c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</row>
    <row r="324" spans="8:50" x14ac:dyDescent="0.25"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7">
        <f t="shared" ca="1" si="4"/>
        <v>-6.5809719226950378E-2</v>
      </c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</row>
    <row r="325" spans="8:50" x14ac:dyDescent="0.25"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7">
        <f t="shared" ca="1" si="4"/>
        <v>0.11880590774940919</v>
      </c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</row>
    <row r="326" spans="8:50" x14ac:dyDescent="0.25"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7">
        <f t="shared" ref="W326:W389" ca="1" si="5">+NORMINV(RAND(),$U$2,$U$3)</f>
        <v>0.18761424933389048</v>
      </c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</row>
    <row r="327" spans="8:50" x14ac:dyDescent="0.25"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7">
        <f t="shared" ca="1" si="5"/>
        <v>-0.15715678317024284</v>
      </c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</row>
    <row r="328" spans="8:50" x14ac:dyDescent="0.25"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7">
        <f t="shared" ca="1" si="5"/>
        <v>0.2196047803878533</v>
      </c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</row>
    <row r="329" spans="8:50" x14ac:dyDescent="0.25"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7">
        <f t="shared" ca="1" si="5"/>
        <v>0.23659525118292307</v>
      </c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</row>
    <row r="330" spans="8:50" x14ac:dyDescent="0.25"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7">
        <f t="shared" ca="1" si="5"/>
        <v>0.58852250473123879</v>
      </c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</row>
    <row r="331" spans="8:50" x14ac:dyDescent="0.25"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7">
        <f t="shared" ca="1" si="5"/>
        <v>0.45605118315594056</v>
      </c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</row>
    <row r="332" spans="8:50" x14ac:dyDescent="0.25"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7">
        <f t="shared" ca="1" si="5"/>
        <v>7.8313440683374452E-2</v>
      </c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</row>
    <row r="333" spans="8:50" x14ac:dyDescent="0.25"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7">
        <f t="shared" ca="1" si="5"/>
        <v>-0.3657769399442713</v>
      </c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</row>
    <row r="334" spans="8:50" x14ac:dyDescent="0.25"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7">
        <f t="shared" ca="1" si="5"/>
        <v>-0.13520742808853786</v>
      </c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</row>
    <row r="335" spans="8:50" x14ac:dyDescent="0.25"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7">
        <f t="shared" ca="1" si="5"/>
        <v>3.0116916986125536E-3</v>
      </c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</row>
    <row r="336" spans="8:50" x14ac:dyDescent="0.25"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7">
        <f t="shared" ca="1" si="5"/>
        <v>0.1464686432660795</v>
      </c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</row>
    <row r="337" spans="8:50" x14ac:dyDescent="0.25"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7">
        <f t="shared" ca="1" si="5"/>
        <v>7.8567860484713786E-2</v>
      </c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</row>
    <row r="338" spans="8:50" x14ac:dyDescent="0.25"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7">
        <f t="shared" ca="1" si="5"/>
        <v>0.19465899350723564</v>
      </c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</row>
    <row r="339" spans="8:50" x14ac:dyDescent="0.25"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7">
        <f t="shared" ca="1" si="5"/>
        <v>4.1365481743842664E-2</v>
      </c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</row>
    <row r="340" spans="8:50" x14ac:dyDescent="0.25"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7">
        <f t="shared" ca="1" si="5"/>
        <v>4.8632784046654595E-2</v>
      </c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</row>
    <row r="341" spans="8:50" x14ac:dyDescent="0.25"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7">
        <f t="shared" ca="1" si="5"/>
        <v>1.3672686738396916E-2</v>
      </c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</row>
    <row r="342" spans="8:50" x14ac:dyDescent="0.25"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7">
        <f t="shared" ca="1" si="5"/>
        <v>0.13525889796035812</v>
      </c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</row>
    <row r="343" spans="8:50" x14ac:dyDescent="0.25"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7">
        <f t="shared" ca="1" si="5"/>
        <v>5.6835030825771279E-2</v>
      </c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</row>
    <row r="344" spans="8:50" x14ac:dyDescent="0.25"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7">
        <f t="shared" ca="1" si="5"/>
        <v>0.15069558815486891</v>
      </c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</row>
    <row r="345" spans="8:50" x14ac:dyDescent="0.25"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7">
        <f t="shared" ca="1" si="5"/>
        <v>-7.7803536519793867E-2</v>
      </c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</row>
    <row r="346" spans="8:50" x14ac:dyDescent="0.25"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7">
        <f t="shared" ca="1" si="5"/>
        <v>0.19388476640312988</v>
      </c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</row>
    <row r="347" spans="8:50" x14ac:dyDescent="0.25"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7">
        <f t="shared" ca="1" si="5"/>
        <v>-4.2893237524277886E-2</v>
      </c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</row>
    <row r="348" spans="8:50" x14ac:dyDescent="0.25"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7">
        <f t="shared" ca="1" si="5"/>
        <v>1.7349763912846913E-2</v>
      </c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</row>
    <row r="349" spans="8:50" x14ac:dyDescent="0.25"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7">
        <f t="shared" ca="1" si="5"/>
        <v>1.3995339180003522E-2</v>
      </c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</row>
    <row r="350" spans="8:50" x14ac:dyDescent="0.25"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7">
        <f t="shared" ca="1" si="5"/>
        <v>-5.837697031339871E-2</v>
      </c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</row>
    <row r="351" spans="8:50" x14ac:dyDescent="0.25"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7">
        <f t="shared" ca="1" si="5"/>
        <v>0.33691269905113908</v>
      </c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</row>
    <row r="352" spans="8:50" x14ac:dyDescent="0.25"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7">
        <f t="shared" ca="1" si="5"/>
        <v>8.9996758150469577E-2</v>
      </c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</row>
    <row r="353" spans="8:50" x14ac:dyDescent="0.25"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7">
        <f t="shared" ca="1" si="5"/>
        <v>2.0683644015857747E-2</v>
      </c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</row>
    <row r="354" spans="8:50" x14ac:dyDescent="0.25"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7">
        <f t="shared" ca="1" si="5"/>
        <v>3.5468964824682897E-2</v>
      </c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</row>
    <row r="355" spans="8:50" x14ac:dyDescent="0.25"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7">
        <f t="shared" ca="1" si="5"/>
        <v>0.12814393993846926</v>
      </c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</row>
    <row r="356" spans="8:50" x14ac:dyDescent="0.25"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7">
        <f t="shared" ca="1" si="5"/>
        <v>0.18086629773354235</v>
      </c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</row>
    <row r="357" spans="8:50" x14ac:dyDescent="0.25"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7">
        <f t="shared" ca="1" si="5"/>
        <v>0.40838947964660854</v>
      </c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</row>
    <row r="358" spans="8:50" x14ac:dyDescent="0.25"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7">
        <f t="shared" ca="1" si="5"/>
        <v>-7.4899548326930673E-2</v>
      </c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</row>
    <row r="359" spans="8:50" x14ac:dyDescent="0.25"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7">
        <f t="shared" ca="1" si="5"/>
        <v>-0.12710904430729786</v>
      </c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</row>
    <row r="360" spans="8:50" x14ac:dyDescent="0.25"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7">
        <f t="shared" ca="1" si="5"/>
        <v>5.7960245289292223E-2</v>
      </c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</row>
    <row r="361" spans="8:50" x14ac:dyDescent="0.25"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7">
        <f t="shared" ca="1" si="5"/>
        <v>0.24188508798030289</v>
      </c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</row>
    <row r="362" spans="8:50" x14ac:dyDescent="0.25"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7">
        <f t="shared" ca="1" si="5"/>
        <v>-0.1326683161331762</v>
      </c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</row>
    <row r="363" spans="8:50" x14ac:dyDescent="0.25"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7">
        <f t="shared" ca="1" si="5"/>
        <v>0.32494219317408207</v>
      </c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</row>
    <row r="364" spans="8:50" x14ac:dyDescent="0.25"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7">
        <f t="shared" ca="1" si="5"/>
        <v>8.706342653159542E-2</v>
      </c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</row>
    <row r="365" spans="8:50" x14ac:dyDescent="0.25"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7">
        <f t="shared" ca="1" si="5"/>
        <v>0.33447002541917986</v>
      </c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</row>
    <row r="366" spans="8:50" x14ac:dyDescent="0.25"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7">
        <f t="shared" ca="1" si="5"/>
        <v>2.8205830304233973E-2</v>
      </c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</row>
    <row r="367" spans="8:50" x14ac:dyDescent="0.25"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7">
        <f t="shared" ca="1" si="5"/>
        <v>0.24084224567812634</v>
      </c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</row>
    <row r="368" spans="8:50" x14ac:dyDescent="0.25"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7">
        <f t="shared" ca="1" si="5"/>
        <v>0.1420682202548233</v>
      </c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</row>
    <row r="369" spans="8:50" x14ac:dyDescent="0.25"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7">
        <f t="shared" ca="1" si="5"/>
        <v>3.5345946899373357E-2</v>
      </c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</row>
    <row r="370" spans="8:50" x14ac:dyDescent="0.25"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7">
        <f t="shared" ca="1" si="5"/>
        <v>0.20131889731594416</v>
      </c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</row>
    <row r="371" spans="8:50" x14ac:dyDescent="0.25"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7">
        <f t="shared" ca="1" si="5"/>
        <v>0.1323975624237953</v>
      </c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</row>
    <row r="372" spans="8:50" x14ac:dyDescent="0.25"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7">
        <f t="shared" ca="1" si="5"/>
        <v>0.10423243524867154</v>
      </c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</row>
    <row r="373" spans="8:50" x14ac:dyDescent="0.25"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7">
        <f t="shared" ca="1" si="5"/>
        <v>-7.2260521373949713E-2</v>
      </c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</row>
    <row r="374" spans="8:50" x14ac:dyDescent="0.25"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7">
        <f t="shared" ca="1" si="5"/>
        <v>0.20931638089679053</v>
      </c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</row>
    <row r="375" spans="8:50" x14ac:dyDescent="0.25"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7">
        <f t="shared" ca="1" si="5"/>
        <v>0.12368121607604823</v>
      </c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</row>
    <row r="376" spans="8:50" x14ac:dyDescent="0.25"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7">
        <f t="shared" ca="1" si="5"/>
        <v>0.17170777842571169</v>
      </c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</row>
    <row r="377" spans="8:50" x14ac:dyDescent="0.25"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7">
        <f t="shared" ca="1" si="5"/>
        <v>4.6078267039971282E-2</v>
      </c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</row>
    <row r="378" spans="8:50" x14ac:dyDescent="0.25"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7">
        <f t="shared" ca="1" si="5"/>
        <v>-1.361601536684022E-2</v>
      </c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</row>
    <row r="379" spans="8:50" x14ac:dyDescent="0.25"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7">
        <f t="shared" ca="1" si="5"/>
        <v>0.32859821946667894</v>
      </c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</row>
    <row r="380" spans="8:50" x14ac:dyDescent="0.25"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7">
        <f t="shared" ca="1" si="5"/>
        <v>-8.5509698250904501E-2</v>
      </c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</row>
    <row r="381" spans="8:50" x14ac:dyDescent="0.25"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7">
        <f t="shared" ca="1" si="5"/>
        <v>0.20437159209698935</v>
      </c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</row>
    <row r="382" spans="8:50" x14ac:dyDescent="0.25"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7">
        <f t="shared" ca="1" si="5"/>
        <v>0.20666541488222659</v>
      </c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</row>
    <row r="383" spans="8:50" x14ac:dyDescent="0.25"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7">
        <f t="shared" ca="1" si="5"/>
        <v>1.6420609754011495E-3</v>
      </c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</row>
    <row r="384" spans="8:50" x14ac:dyDescent="0.25"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7">
        <f t="shared" ca="1" si="5"/>
        <v>0.13815571800253132</v>
      </c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</row>
    <row r="385" spans="8:50" x14ac:dyDescent="0.25"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7">
        <f t="shared" ca="1" si="5"/>
        <v>0.28682553573144198</v>
      </c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</row>
    <row r="386" spans="8:50" x14ac:dyDescent="0.25"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7">
        <f t="shared" ca="1" si="5"/>
        <v>8.8026102192026057E-2</v>
      </c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</row>
    <row r="387" spans="8:50" x14ac:dyDescent="0.25"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7">
        <f t="shared" ca="1" si="5"/>
        <v>-1.613935114062659E-3</v>
      </c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</row>
    <row r="388" spans="8:50" x14ac:dyDescent="0.25"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7">
        <f t="shared" ca="1" si="5"/>
        <v>-7.7273956815992403E-2</v>
      </c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</row>
    <row r="389" spans="8:50" x14ac:dyDescent="0.25"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7">
        <f t="shared" ca="1" si="5"/>
        <v>0.23083930027760591</v>
      </c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</row>
    <row r="390" spans="8:50" x14ac:dyDescent="0.25"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7">
        <f t="shared" ref="W390:W453" ca="1" si="6">+NORMINV(RAND(),$U$2,$U$3)</f>
        <v>-4.692563534484509E-3</v>
      </c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</row>
    <row r="391" spans="8:50" x14ac:dyDescent="0.25"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7">
        <f t="shared" ca="1" si="6"/>
        <v>-5.1612620469304801E-2</v>
      </c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</row>
    <row r="392" spans="8:50" x14ac:dyDescent="0.25"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7">
        <f t="shared" ca="1" si="6"/>
        <v>0.28616163556163593</v>
      </c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</row>
    <row r="393" spans="8:50" x14ac:dyDescent="0.25"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7">
        <f t="shared" ca="1" si="6"/>
        <v>0.29258200716573368</v>
      </c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</row>
    <row r="394" spans="8:50" x14ac:dyDescent="0.25"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7">
        <f t="shared" ca="1" si="6"/>
        <v>0.38761504185647017</v>
      </c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</row>
    <row r="395" spans="8:50" x14ac:dyDescent="0.25"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7">
        <f t="shared" ca="1" si="6"/>
        <v>7.4805473720837151E-2</v>
      </c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</row>
    <row r="396" spans="8:50" x14ac:dyDescent="0.25"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7">
        <f t="shared" ca="1" si="6"/>
        <v>0.34934132357336978</v>
      </c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</row>
    <row r="397" spans="8:50" x14ac:dyDescent="0.25"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7">
        <f t="shared" ca="1" si="6"/>
        <v>0.19667924198624664</v>
      </c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</row>
    <row r="398" spans="8:50" x14ac:dyDescent="0.25"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7">
        <f t="shared" ca="1" si="6"/>
        <v>4.2542000580734526E-2</v>
      </c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</row>
    <row r="399" spans="8:50" x14ac:dyDescent="0.25"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7">
        <f t="shared" ca="1" si="6"/>
        <v>0.1122275163809477</v>
      </c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</row>
    <row r="400" spans="8:50" x14ac:dyDescent="0.25"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7">
        <f t="shared" ca="1" si="6"/>
        <v>2.5039642680226668E-2</v>
      </c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</row>
    <row r="401" spans="8:50" x14ac:dyDescent="0.25"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7">
        <f t="shared" ca="1" si="6"/>
        <v>3.0179248921248708E-2</v>
      </c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</row>
    <row r="402" spans="8:50" x14ac:dyDescent="0.25"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7">
        <f t="shared" ca="1" si="6"/>
        <v>-5.1924848675434496E-2</v>
      </c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</row>
    <row r="403" spans="8:50" x14ac:dyDescent="0.25"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7">
        <f t="shared" ca="1" si="6"/>
        <v>0.15836384752392749</v>
      </c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</row>
    <row r="404" spans="8:50" x14ac:dyDescent="0.25"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7">
        <f t="shared" ca="1" si="6"/>
        <v>6.9216261953615618E-2</v>
      </c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</row>
    <row r="405" spans="8:50" x14ac:dyDescent="0.25"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7">
        <f t="shared" ca="1" si="6"/>
        <v>-0.21995652539660177</v>
      </c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</row>
    <row r="406" spans="8:50" x14ac:dyDescent="0.25"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7">
        <f t="shared" ca="1" si="6"/>
        <v>-0.13421540711595981</v>
      </c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</row>
    <row r="407" spans="8:50" x14ac:dyDescent="0.25"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7">
        <f t="shared" ca="1" si="6"/>
        <v>-0.1484264058601239</v>
      </c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</row>
    <row r="408" spans="8:50" x14ac:dyDescent="0.25"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7">
        <f t="shared" ca="1" si="6"/>
        <v>0.25445334657601298</v>
      </c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</row>
    <row r="409" spans="8:50" x14ac:dyDescent="0.25"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7">
        <f t="shared" ca="1" si="6"/>
        <v>0.209862024416471</v>
      </c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</row>
    <row r="410" spans="8:50" x14ac:dyDescent="0.25"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7">
        <f t="shared" ca="1" si="6"/>
        <v>0.2056653170218159</v>
      </c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</row>
    <row r="411" spans="8:50" x14ac:dyDescent="0.25"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7">
        <f t="shared" ca="1" si="6"/>
        <v>0.18079196800821951</v>
      </c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</row>
    <row r="412" spans="8:50" x14ac:dyDescent="0.25"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7">
        <f t="shared" ca="1" si="6"/>
        <v>0.4096028321019819</v>
      </c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</row>
    <row r="413" spans="8:50" x14ac:dyDescent="0.25"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7">
        <f t="shared" ca="1" si="6"/>
        <v>-8.9961443076209263E-3</v>
      </c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</row>
    <row r="414" spans="8:50" x14ac:dyDescent="0.25"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7">
        <f t="shared" ca="1" si="6"/>
        <v>3.1231691909229531E-4</v>
      </c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</row>
    <row r="415" spans="8:50" x14ac:dyDescent="0.25"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7">
        <f t="shared" ca="1" si="6"/>
        <v>0.169521260566451</v>
      </c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</row>
    <row r="416" spans="8:50" x14ac:dyDescent="0.25"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7">
        <f t="shared" ca="1" si="6"/>
        <v>0.39213227270199941</v>
      </c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</row>
    <row r="417" spans="8:50" x14ac:dyDescent="0.25"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7">
        <f t="shared" ca="1" si="6"/>
        <v>0.2175510277028484</v>
      </c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</row>
    <row r="418" spans="8:50" x14ac:dyDescent="0.25"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7">
        <f t="shared" ca="1" si="6"/>
        <v>0.33057203635509136</v>
      </c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</row>
    <row r="419" spans="8:50" x14ac:dyDescent="0.25"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7">
        <f t="shared" ca="1" si="6"/>
        <v>0.14070858252359297</v>
      </c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</row>
    <row r="420" spans="8:50" x14ac:dyDescent="0.25"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7">
        <f t="shared" ca="1" si="6"/>
        <v>0.27297583942657921</v>
      </c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</row>
    <row r="421" spans="8:50" x14ac:dyDescent="0.25"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7">
        <f t="shared" ca="1" si="6"/>
        <v>0.30305608469078943</v>
      </c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</row>
    <row r="422" spans="8:50" x14ac:dyDescent="0.25"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7">
        <f t="shared" ca="1" si="6"/>
        <v>-0.23528448228347698</v>
      </c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</row>
    <row r="423" spans="8:50" x14ac:dyDescent="0.25"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7">
        <f t="shared" ca="1" si="6"/>
        <v>-2.3885481300618974E-2</v>
      </c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</row>
    <row r="424" spans="8:50" x14ac:dyDescent="0.25"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7">
        <f t="shared" ca="1" si="6"/>
        <v>-0.24360857308281642</v>
      </c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</row>
    <row r="425" spans="8:50" x14ac:dyDescent="0.25"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7">
        <f t="shared" ca="1" si="6"/>
        <v>0.10672863203932666</v>
      </c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</row>
    <row r="426" spans="8:50" x14ac:dyDescent="0.25"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7">
        <f t="shared" ca="1" si="6"/>
        <v>-0.10510876947483029</v>
      </c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</row>
    <row r="427" spans="8:50" x14ac:dyDescent="0.25"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7">
        <f t="shared" ca="1" si="6"/>
        <v>-0.23021105135836023</v>
      </c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</row>
    <row r="428" spans="8:50" x14ac:dyDescent="0.25"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7">
        <f t="shared" ca="1" si="6"/>
        <v>-3.2053440105655057E-3</v>
      </c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</row>
    <row r="429" spans="8:50" x14ac:dyDescent="0.25"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7">
        <f t="shared" ca="1" si="6"/>
        <v>0.13304823957267045</v>
      </c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</row>
    <row r="430" spans="8:50" x14ac:dyDescent="0.25"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7">
        <f t="shared" ca="1" si="6"/>
        <v>0.22660568014115651</v>
      </c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</row>
    <row r="431" spans="8:50" x14ac:dyDescent="0.25"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7">
        <f t="shared" ca="1" si="6"/>
        <v>0.18073616510663354</v>
      </c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</row>
    <row r="432" spans="8:50" x14ac:dyDescent="0.25"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7">
        <f t="shared" ca="1" si="6"/>
        <v>-3.9709122629458207E-2</v>
      </c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</row>
    <row r="433" spans="8:50" x14ac:dyDescent="0.25"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7">
        <f t="shared" ca="1" si="6"/>
        <v>0.15986402936395233</v>
      </c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</row>
    <row r="434" spans="8:50" x14ac:dyDescent="0.25"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7">
        <f t="shared" ca="1" si="6"/>
        <v>9.6227378271602382E-2</v>
      </c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</row>
    <row r="435" spans="8:50" x14ac:dyDescent="0.25"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7">
        <f t="shared" ca="1" si="6"/>
        <v>0.25844913157968147</v>
      </c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</row>
    <row r="436" spans="8:50" x14ac:dyDescent="0.25"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7">
        <f t="shared" ca="1" si="6"/>
        <v>-1.6208395450990551E-2</v>
      </c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</row>
    <row r="437" spans="8:50" x14ac:dyDescent="0.25"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7">
        <f t="shared" ca="1" si="6"/>
        <v>0.24970787728617561</v>
      </c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</row>
    <row r="438" spans="8:50" x14ac:dyDescent="0.25"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7">
        <f t="shared" ca="1" si="6"/>
        <v>3.458901787048424E-2</v>
      </c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</row>
    <row r="439" spans="8:50" x14ac:dyDescent="0.25"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7">
        <f t="shared" ca="1" si="6"/>
        <v>0.19308520761688899</v>
      </c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</row>
    <row r="440" spans="8:50" x14ac:dyDescent="0.25"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7">
        <f t="shared" ca="1" si="6"/>
        <v>0.21317834668933633</v>
      </c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</row>
    <row r="441" spans="8:50" x14ac:dyDescent="0.25"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7">
        <f t="shared" ca="1" si="6"/>
        <v>5.9605218409595345E-3</v>
      </c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</row>
    <row r="442" spans="8:50" x14ac:dyDescent="0.25"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7">
        <f t="shared" ca="1" si="6"/>
        <v>0.15994737406944493</v>
      </c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</row>
    <row r="443" spans="8:50" x14ac:dyDescent="0.25"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7">
        <f t="shared" ca="1" si="6"/>
        <v>0.13788275974727709</v>
      </c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</row>
    <row r="444" spans="8:50" x14ac:dyDescent="0.25"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7">
        <f t="shared" ca="1" si="6"/>
        <v>5.9525140812766296E-2</v>
      </c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</row>
    <row r="445" spans="8:50" x14ac:dyDescent="0.25"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7">
        <f t="shared" ca="1" si="6"/>
        <v>0.18056548990000454</v>
      </c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</row>
    <row r="446" spans="8:50" x14ac:dyDescent="0.25"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7">
        <f t="shared" ca="1" si="6"/>
        <v>0.10476740076643819</v>
      </c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</row>
    <row r="447" spans="8:50" x14ac:dyDescent="0.25"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7">
        <f t="shared" ca="1" si="6"/>
        <v>-0.14984828763139213</v>
      </c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</row>
    <row r="448" spans="8:50" x14ac:dyDescent="0.25"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7">
        <f t="shared" ca="1" si="6"/>
        <v>0.13947705985203318</v>
      </c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</row>
    <row r="449" spans="8:50" x14ac:dyDescent="0.25"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7">
        <f t="shared" ca="1" si="6"/>
        <v>4.4843877668326135E-2</v>
      </c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</row>
    <row r="450" spans="8:50" x14ac:dyDescent="0.25"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7">
        <f t="shared" ca="1" si="6"/>
        <v>0.32591589023211887</v>
      </c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</row>
    <row r="451" spans="8:50" x14ac:dyDescent="0.25"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7">
        <f t="shared" ca="1" si="6"/>
        <v>-1.1483002995344591E-2</v>
      </c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</row>
    <row r="452" spans="8:50" x14ac:dyDescent="0.25"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7">
        <f t="shared" ca="1" si="6"/>
        <v>-2.0344109775952413E-3</v>
      </c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</row>
    <row r="453" spans="8:50" x14ac:dyDescent="0.25"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7">
        <f t="shared" ca="1" si="6"/>
        <v>0.48362249570009974</v>
      </c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</row>
    <row r="454" spans="8:50" x14ac:dyDescent="0.25"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7">
        <f t="shared" ref="W454:W517" ca="1" si="7">+NORMINV(RAND(),$U$2,$U$3)</f>
        <v>0.39220110092470445</v>
      </c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</row>
    <row r="455" spans="8:50" x14ac:dyDescent="0.25"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7">
        <f t="shared" ca="1" si="7"/>
        <v>0.10386633870248459</v>
      </c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</row>
    <row r="456" spans="8:50" x14ac:dyDescent="0.25"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7">
        <f t="shared" ca="1" si="7"/>
        <v>0.50214193381910577</v>
      </c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</row>
    <row r="457" spans="8:50" x14ac:dyDescent="0.25"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7">
        <f t="shared" ca="1" si="7"/>
        <v>0.16521803606586624</v>
      </c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</row>
    <row r="458" spans="8:50" x14ac:dyDescent="0.25"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7">
        <f t="shared" ca="1" si="7"/>
        <v>-0.10867591095114566</v>
      </c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</row>
    <row r="459" spans="8:50" x14ac:dyDescent="0.25"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7">
        <f t="shared" ca="1" si="7"/>
        <v>-0.26909860454399537</v>
      </c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</row>
    <row r="460" spans="8:50" x14ac:dyDescent="0.25"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7">
        <f t="shared" ca="1" si="7"/>
        <v>3.1918177863376904E-2</v>
      </c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</row>
    <row r="461" spans="8:50" x14ac:dyDescent="0.25"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7">
        <f t="shared" ca="1" si="7"/>
        <v>0.20730311043083596</v>
      </c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</row>
    <row r="462" spans="8:50" x14ac:dyDescent="0.25"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7">
        <f t="shared" ca="1" si="7"/>
        <v>3.7572338120459195E-2</v>
      </c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</row>
    <row r="463" spans="8:50" x14ac:dyDescent="0.25"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7">
        <f t="shared" ca="1" si="7"/>
        <v>0.14555239105285092</v>
      </c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</row>
    <row r="464" spans="8:50" x14ac:dyDescent="0.25"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7">
        <f t="shared" ca="1" si="7"/>
        <v>0.17145032418006992</v>
      </c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</row>
    <row r="465" spans="8:50" x14ac:dyDescent="0.25"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7">
        <f t="shared" ca="1" si="7"/>
        <v>0.15581643299690273</v>
      </c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</row>
    <row r="466" spans="8:50" x14ac:dyDescent="0.25"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7">
        <f t="shared" ca="1" si="7"/>
        <v>-5.7419803515734877E-2</v>
      </c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</row>
    <row r="467" spans="8:50" x14ac:dyDescent="0.25"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7">
        <f t="shared" ca="1" si="7"/>
        <v>0.31738193858443203</v>
      </c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</row>
    <row r="468" spans="8:50" x14ac:dyDescent="0.25"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7">
        <f t="shared" ca="1" si="7"/>
        <v>-0.20261120630073942</v>
      </c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</row>
    <row r="469" spans="8:50" x14ac:dyDescent="0.25"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7">
        <f t="shared" ca="1" si="7"/>
        <v>0.31384593606975969</v>
      </c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</row>
    <row r="470" spans="8:50" x14ac:dyDescent="0.25"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7">
        <f t="shared" ca="1" si="7"/>
        <v>4.717502663247243E-2</v>
      </c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</row>
    <row r="471" spans="8:50" x14ac:dyDescent="0.25"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7">
        <f t="shared" ca="1" si="7"/>
        <v>0.12324062680617789</v>
      </c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</row>
    <row r="472" spans="8:50" x14ac:dyDescent="0.25"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7">
        <f t="shared" ca="1" si="7"/>
        <v>-4.1645429986927732E-2</v>
      </c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</row>
    <row r="473" spans="8:50" x14ac:dyDescent="0.25"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7">
        <f t="shared" ca="1" si="7"/>
        <v>0.39669639871109746</v>
      </c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</row>
    <row r="474" spans="8:50" x14ac:dyDescent="0.25"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7">
        <f t="shared" ca="1" si="7"/>
        <v>3.6364791349244252E-2</v>
      </c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</row>
    <row r="475" spans="8:50" x14ac:dyDescent="0.25"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7">
        <f t="shared" ca="1" si="7"/>
        <v>0.20084620618173701</v>
      </c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</row>
    <row r="476" spans="8:50" x14ac:dyDescent="0.25"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7">
        <f t="shared" ca="1" si="7"/>
        <v>2.6716296783168988E-2</v>
      </c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</row>
    <row r="477" spans="8:50" x14ac:dyDescent="0.25"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7">
        <f t="shared" ca="1" si="7"/>
        <v>0.21824931827876773</v>
      </c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</row>
    <row r="478" spans="8:50" x14ac:dyDescent="0.25"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7">
        <f t="shared" ca="1" si="7"/>
        <v>0.12679701092891216</v>
      </c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</row>
    <row r="479" spans="8:50" x14ac:dyDescent="0.25"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7">
        <f t="shared" ca="1" si="7"/>
        <v>0.48738462157438656</v>
      </c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</row>
    <row r="480" spans="8:50" x14ac:dyDescent="0.25"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7">
        <f t="shared" ca="1" si="7"/>
        <v>0.26401820125815162</v>
      </c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</row>
    <row r="481" spans="8:50" x14ac:dyDescent="0.25"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7">
        <f t="shared" ca="1" si="7"/>
        <v>0.15499138918792019</v>
      </c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</row>
    <row r="482" spans="8:50" x14ac:dyDescent="0.25"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7">
        <f t="shared" ca="1" si="7"/>
        <v>-0.13422554198313946</v>
      </c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</row>
    <row r="483" spans="8:50" x14ac:dyDescent="0.25"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7">
        <f t="shared" ca="1" si="7"/>
        <v>0.41436175317221957</v>
      </c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</row>
    <row r="484" spans="8:50" x14ac:dyDescent="0.25"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7">
        <f t="shared" ca="1" si="7"/>
        <v>-7.1416861405401641E-2</v>
      </c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</row>
    <row r="485" spans="8:50" x14ac:dyDescent="0.25"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7">
        <f t="shared" ca="1" si="7"/>
        <v>-5.4754113435460591E-2</v>
      </c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</row>
    <row r="486" spans="8:50" x14ac:dyDescent="0.25"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7">
        <f t="shared" ca="1" si="7"/>
        <v>0.10840110056239247</v>
      </c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</row>
    <row r="487" spans="8:50" x14ac:dyDescent="0.25"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7">
        <f t="shared" ca="1" si="7"/>
        <v>2.7822567383938429E-2</v>
      </c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</row>
    <row r="488" spans="8:50" x14ac:dyDescent="0.25"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7">
        <f t="shared" ca="1" si="7"/>
        <v>0.39558259503295357</v>
      </c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</row>
    <row r="489" spans="8:50" x14ac:dyDescent="0.25"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7">
        <f t="shared" ca="1" si="7"/>
        <v>-2.8026264417290961E-2</v>
      </c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</row>
    <row r="490" spans="8:50" x14ac:dyDescent="0.25"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7">
        <f t="shared" ca="1" si="7"/>
        <v>4.2452878385976528E-2</v>
      </c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</row>
    <row r="491" spans="8:50" x14ac:dyDescent="0.25"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7">
        <f t="shared" ca="1" si="7"/>
        <v>9.4649707407236536E-2</v>
      </c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</row>
    <row r="492" spans="8:50" x14ac:dyDescent="0.25"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7">
        <f t="shared" ca="1" si="7"/>
        <v>-0.12428501369313326</v>
      </c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</row>
    <row r="493" spans="8:50" x14ac:dyDescent="0.25"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7">
        <f t="shared" ca="1" si="7"/>
        <v>0.11707865833640195</v>
      </c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</row>
    <row r="494" spans="8:50" x14ac:dyDescent="0.25"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7">
        <f t="shared" ca="1" si="7"/>
        <v>6.4392077036844006E-2</v>
      </c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</row>
    <row r="495" spans="8:50" x14ac:dyDescent="0.25"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7">
        <f t="shared" ca="1" si="7"/>
        <v>-2.4323464276996956E-2</v>
      </c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</row>
    <row r="496" spans="8:50" x14ac:dyDescent="0.25"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7">
        <f t="shared" ca="1" si="7"/>
        <v>0.43604447715855738</v>
      </c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</row>
    <row r="497" spans="8:50" x14ac:dyDescent="0.25"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7">
        <f t="shared" ca="1" si="7"/>
        <v>7.0938276934986499E-2</v>
      </c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</row>
    <row r="498" spans="8:50" x14ac:dyDescent="0.25"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7">
        <f t="shared" ca="1" si="7"/>
        <v>0.26200632064777113</v>
      </c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</row>
    <row r="499" spans="8:50" x14ac:dyDescent="0.25"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7">
        <f t="shared" ca="1" si="7"/>
        <v>-0.16573748924130399</v>
      </c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</row>
    <row r="500" spans="8:50" x14ac:dyDescent="0.25"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7">
        <f t="shared" ca="1" si="7"/>
        <v>0.18019028506338469</v>
      </c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</row>
    <row r="501" spans="8:50" x14ac:dyDescent="0.25"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7">
        <f t="shared" ca="1" si="7"/>
        <v>0.33766801546794611</v>
      </c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</row>
    <row r="502" spans="8:50" x14ac:dyDescent="0.25"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7">
        <f t="shared" ca="1" si="7"/>
        <v>0.12401682926105884</v>
      </c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</row>
    <row r="503" spans="8:50" x14ac:dyDescent="0.25"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7">
        <f t="shared" ca="1" si="7"/>
        <v>0.2773560141898288</v>
      </c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</row>
    <row r="504" spans="8:50" x14ac:dyDescent="0.25"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7">
        <f t="shared" ca="1" si="7"/>
        <v>6.0501883108521795E-2</v>
      </c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</row>
    <row r="505" spans="8:50" x14ac:dyDescent="0.25"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7">
        <f t="shared" ca="1" si="7"/>
        <v>7.0894880713519043E-2</v>
      </c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</row>
    <row r="506" spans="8:50" x14ac:dyDescent="0.25"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7">
        <f t="shared" ca="1" si="7"/>
        <v>-1.2651604455693979E-2</v>
      </c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</row>
    <row r="507" spans="8:50" x14ac:dyDescent="0.25"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7">
        <f t="shared" ca="1" si="7"/>
        <v>-9.7163331709212944E-2</v>
      </c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</row>
    <row r="508" spans="8:50" x14ac:dyDescent="0.25"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7">
        <f t="shared" ca="1" si="7"/>
        <v>0.16454101100304094</v>
      </c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</row>
    <row r="509" spans="8:50" x14ac:dyDescent="0.25"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7">
        <f t="shared" ca="1" si="7"/>
        <v>-8.1038865232691701E-2</v>
      </c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</row>
    <row r="510" spans="8:50" x14ac:dyDescent="0.25"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7">
        <f t="shared" ca="1" si="7"/>
        <v>1.7391881132254872E-2</v>
      </c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</row>
    <row r="511" spans="8:50" x14ac:dyDescent="0.25"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7">
        <f t="shared" ca="1" si="7"/>
        <v>-0.16244615808628277</v>
      </c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</row>
    <row r="512" spans="8:50" x14ac:dyDescent="0.25"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7">
        <f t="shared" ca="1" si="7"/>
        <v>0.16414013937585636</v>
      </c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</row>
    <row r="513" spans="8:50" x14ac:dyDescent="0.25"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7">
        <f t="shared" ca="1" si="7"/>
        <v>0.15075473172032811</v>
      </c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</row>
    <row r="514" spans="8:50" x14ac:dyDescent="0.25"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7">
        <f t="shared" ca="1" si="7"/>
        <v>0.20309740194781556</v>
      </c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</row>
    <row r="515" spans="8:50" x14ac:dyDescent="0.25"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7">
        <f t="shared" ca="1" si="7"/>
        <v>0.31767513152985877</v>
      </c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</row>
    <row r="516" spans="8:50" x14ac:dyDescent="0.25"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7">
        <f t="shared" ca="1" si="7"/>
        <v>-2.2906429559322733E-3</v>
      </c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</row>
    <row r="517" spans="8:50" x14ac:dyDescent="0.25"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7">
        <f t="shared" ca="1" si="7"/>
        <v>0.43169492245386848</v>
      </c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</row>
    <row r="518" spans="8:50" x14ac:dyDescent="0.25"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7">
        <f t="shared" ref="W518:W581" ca="1" si="8">+NORMINV(RAND(),$U$2,$U$3)</f>
        <v>-0.28519497776745001</v>
      </c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</row>
    <row r="519" spans="8:50" x14ac:dyDescent="0.25"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7">
        <f t="shared" ca="1" si="8"/>
        <v>0.19433741608115496</v>
      </c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</row>
    <row r="520" spans="8:50" x14ac:dyDescent="0.25"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7">
        <f t="shared" ca="1" si="8"/>
        <v>0.10904309237662609</v>
      </c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</row>
    <row r="521" spans="8:50" x14ac:dyDescent="0.25"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7">
        <f t="shared" ca="1" si="8"/>
        <v>-0.24860038418909047</v>
      </c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</row>
    <row r="522" spans="8:50" x14ac:dyDescent="0.25"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7">
        <f t="shared" ca="1" si="8"/>
        <v>7.0606420790342905E-2</v>
      </c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</row>
    <row r="523" spans="8:50" x14ac:dyDescent="0.25"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7">
        <f t="shared" ca="1" si="8"/>
        <v>0.34782898599258499</v>
      </c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</row>
    <row r="524" spans="8:50" x14ac:dyDescent="0.25"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7">
        <f t="shared" ca="1" si="8"/>
        <v>-2.6581864582166201E-2</v>
      </c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</row>
    <row r="525" spans="8:50" x14ac:dyDescent="0.25"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7">
        <f t="shared" ca="1" si="8"/>
        <v>-0.10232450438783976</v>
      </c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</row>
    <row r="526" spans="8:50" x14ac:dyDescent="0.25"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7">
        <f t="shared" ca="1" si="8"/>
        <v>0.2951232155318948</v>
      </c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</row>
    <row r="527" spans="8:50" x14ac:dyDescent="0.25"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7">
        <f t="shared" ca="1" si="8"/>
        <v>-3.4363836723292199E-2</v>
      </c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</row>
    <row r="528" spans="8:50" x14ac:dyDescent="0.25"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7">
        <f t="shared" ca="1" si="8"/>
        <v>0.11103163365506456</v>
      </c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</row>
    <row r="529" spans="8:50" x14ac:dyDescent="0.25"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7">
        <f t="shared" ca="1" si="8"/>
        <v>-5.5214941595919456E-2</v>
      </c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</row>
    <row r="530" spans="8:50" x14ac:dyDescent="0.25"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7">
        <f t="shared" ca="1" si="8"/>
        <v>0.10026067205997709</v>
      </c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</row>
    <row r="531" spans="8:50" x14ac:dyDescent="0.25"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7">
        <f t="shared" ca="1" si="8"/>
        <v>0.16931465889195474</v>
      </c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</row>
    <row r="532" spans="8:50" x14ac:dyDescent="0.25"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7">
        <f t="shared" ca="1" si="8"/>
        <v>0.38133527450244264</v>
      </c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</row>
    <row r="533" spans="8:50" x14ac:dyDescent="0.25"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7">
        <f t="shared" ca="1" si="8"/>
        <v>0.44754263354678203</v>
      </c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</row>
    <row r="534" spans="8:50" x14ac:dyDescent="0.25"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7">
        <f t="shared" ca="1" si="8"/>
        <v>-1.3923321348888282E-2</v>
      </c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</row>
    <row r="535" spans="8:50" x14ac:dyDescent="0.25"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7">
        <f t="shared" ca="1" si="8"/>
        <v>0.55116978587062493</v>
      </c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</row>
    <row r="536" spans="8:50" x14ac:dyDescent="0.25"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7">
        <f t="shared" ca="1" si="8"/>
        <v>-7.8778795473405674E-2</v>
      </c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</row>
    <row r="537" spans="8:50" x14ac:dyDescent="0.25"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7">
        <f t="shared" ca="1" si="8"/>
        <v>-1.1472436645437067E-2</v>
      </c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</row>
    <row r="538" spans="8:50" x14ac:dyDescent="0.25"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7">
        <f t="shared" ca="1" si="8"/>
        <v>0.37373591996985622</v>
      </c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</row>
    <row r="539" spans="8:50" x14ac:dyDescent="0.25"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7">
        <f t="shared" ca="1" si="8"/>
        <v>-4.8754322305598133E-2</v>
      </c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</row>
    <row r="540" spans="8:50" x14ac:dyDescent="0.25"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7">
        <f t="shared" ca="1" si="8"/>
        <v>2.8540732387936529E-2</v>
      </c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</row>
    <row r="541" spans="8:50" x14ac:dyDescent="0.25"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7">
        <f t="shared" ca="1" si="8"/>
        <v>0.1146209918353302</v>
      </c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</row>
    <row r="542" spans="8:50" x14ac:dyDescent="0.25"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7">
        <f t="shared" ca="1" si="8"/>
        <v>5.0363565958257278E-3</v>
      </c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</row>
    <row r="543" spans="8:50" x14ac:dyDescent="0.25"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7">
        <f t="shared" ca="1" si="8"/>
        <v>-0.14857050129913657</v>
      </c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</row>
    <row r="544" spans="8:50" x14ac:dyDescent="0.25"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7">
        <f t="shared" ca="1" si="8"/>
        <v>0.31245811767160664</v>
      </c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</row>
    <row r="545" spans="8:50" x14ac:dyDescent="0.25"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7">
        <f t="shared" ca="1" si="8"/>
        <v>-9.6753499166907189E-2</v>
      </c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</row>
    <row r="546" spans="8:50" x14ac:dyDescent="0.25"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7">
        <f t="shared" ca="1" si="8"/>
        <v>0.3305736011175136</v>
      </c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</row>
    <row r="547" spans="8:50" x14ac:dyDescent="0.25"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7">
        <f t="shared" ca="1" si="8"/>
        <v>-0.11570380652229593</v>
      </c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</row>
    <row r="548" spans="8:50" x14ac:dyDescent="0.25"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7">
        <f t="shared" ca="1" si="8"/>
        <v>-4.5144703791997323E-2</v>
      </c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</row>
    <row r="549" spans="8:50" x14ac:dyDescent="0.25"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7">
        <f t="shared" ca="1" si="8"/>
        <v>-0.11718264555821474</v>
      </c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</row>
    <row r="550" spans="8:50" x14ac:dyDescent="0.25"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7">
        <f t="shared" ca="1" si="8"/>
        <v>0.26413066181935951</v>
      </c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</row>
    <row r="551" spans="8:50" x14ac:dyDescent="0.25"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7">
        <f t="shared" ca="1" si="8"/>
        <v>4.3293681328555253E-2</v>
      </c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</row>
    <row r="552" spans="8:50" x14ac:dyDescent="0.25"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7">
        <f t="shared" ca="1" si="8"/>
        <v>7.2568282565052239E-2</v>
      </c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</row>
    <row r="553" spans="8:50" x14ac:dyDescent="0.25"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7">
        <f t="shared" ca="1" si="8"/>
        <v>-6.751774089263439E-2</v>
      </c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</row>
    <row r="554" spans="8:50" x14ac:dyDescent="0.25"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7">
        <f t="shared" ca="1" si="8"/>
        <v>0.29467646658824914</v>
      </c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</row>
    <row r="555" spans="8:50" x14ac:dyDescent="0.25"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7">
        <f t="shared" ca="1" si="8"/>
        <v>0.3667810203246602</v>
      </c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</row>
    <row r="556" spans="8:50" x14ac:dyDescent="0.25"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7">
        <f t="shared" ca="1" si="8"/>
        <v>2.0003754918883468E-2</v>
      </c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</row>
    <row r="557" spans="8:50" x14ac:dyDescent="0.25"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7">
        <f t="shared" ca="1" si="8"/>
        <v>0.21113273087476253</v>
      </c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</row>
    <row r="558" spans="8:50" x14ac:dyDescent="0.25"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7">
        <f t="shared" ca="1" si="8"/>
        <v>-0.23754823857379648</v>
      </c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</row>
    <row r="559" spans="8:50" x14ac:dyDescent="0.25"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7">
        <f t="shared" ca="1" si="8"/>
        <v>0.13453987570241804</v>
      </c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</row>
    <row r="560" spans="8:50" x14ac:dyDescent="0.25"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7">
        <f t="shared" ca="1" si="8"/>
        <v>4.2783643497395288E-2</v>
      </c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</row>
    <row r="561" spans="8:50" x14ac:dyDescent="0.25"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7">
        <f t="shared" ca="1" si="8"/>
        <v>0.16367699140762304</v>
      </c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</row>
    <row r="562" spans="8:50" x14ac:dyDescent="0.25"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7">
        <f t="shared" ca="1" si="8"/>
        <v>-9.7802119939209661E-2</v>
      </c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</row>
    <row r="563" spans="8:50" x14ac:dyDescent="0.25"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7">
        <f t="shared" ca="1" si="8"/>
        <v>0.19412915504519135</v>
      </c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</row>
    <row r="564" spans="8:50" x14ac:dyDescent="0.25"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7">
        <f t="shared" ca="1" si="8"/>
        <v>0.25473229358174865</v>
      </c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</row>
    <row r="565" spans="8:50" x14ac:dyDescent="0.25"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7">
        <f t="shared" ca="1" si="8"/>
        <v>0.43567339438704378</v>
      </c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</row>
    <row r="566" spans="8:50" x14ac:dyDescent="0.25"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7">
        <f t="shared" ca="1" si="8"/>
        <v>2.4895493046147632E-2</v>
      </c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</row>
    <row r="567" spans="8:50" x14ac:dyDescent="0.25"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7">
        <f t="shared" ca="1" si="8"/>
        <v>1.8145679702536374E-2</v>
      </c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</row>
    <row r="568" spans="8:50" x14ac:dyDescent="0.25"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7">
        <f t="shared" ca="1" si="8"/>
        <v>-3.5996236083716271E-3</v>
      </c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</row>
    <row r="569" spans="8:50" x14ac:dyDescent="0.25"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7">
        <f t="shared" ca="1" si="8"/>
        <v>7.4128437307131034E-2</v>
      </c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</row>
    <row r="570" spans="8:50" x14ac:dyDescent="0.25"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7">
        <f t="shared" ca="1" si="8"/>
        <v>3.2473422680626973E-3</v>
      </c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</row>
    <row r="571" spans="8:50" x14ac:dyDescent="0.25"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7">
        <f t="shared" ca="1" si="8"/>
        <v>7.6442599065379799E-2</v>
      </c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</row>
    <row r="572" spans="8:50" x14ac:dyDescent="0.25"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7">
        <f t="shared" ca="1" si="8"/>
        <v>-8.8385687991041975E-2</v>
      </c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</row>
    <row r="573" spans="8:50" x14ac:dyDescent="0.25"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7">
        <f t="shared" ca="1" si="8"/>
        <v>0.13432690759190624</v>
      </c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</row>
    <row r="574" spans="8:50" x14ac:dyDescent="0.25"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7">
        <f t="shared" ca="1" si="8"/>
        <v>3.3900807900456298E-3</v>
      </c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</row>
    <row r="575" spans="8:50" x14ac:dyDescent="0.25"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7">
        <f t="shared" ca="1" si="8"/>
        <v>0.2133355508710954</v>
      </c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</row>
    <row r="576" spans="8:50" x14ac:dyDescent="0.25"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7">
        <f t="shared" ca="1" si="8"/>
        <v>0.10948426029233348</v>
      </c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</row>
    <row r="577" spans="8:50" x14ac:dyDescent="0.25"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7">
        <f t="shared" ca="1" si="8"/>
        <v>0.41005252732364239</v>
      </c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</row>
    <row r="578" spans="8:50" x14ac:dyDescent="0.25"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7">
        <f t="shared" ca="1" si="8"/>
        <v>0.34251737810347682</v>
      </c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</row>
    <row r="579" spans="8:50" x14ac:dyDescent="0.25"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7">
        <f t="shared" ca="1" si="8"/>
        <v>-6.9873774942077485E-2</v>
      </c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</row>
    <row r="580" spans="8:50" x14ac:dyDescent="0.25"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7">
        <f t="shared" ca="1" si="8"/>
        <v>0.20356225344828061</v>
      </c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</row>
    <row r="581" spans="8:50" x14ac:dyDescent="0.25"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7">
        <f t="shared" ca="1" si="8"/>
        <v>-0.21315854800275852</v>
      </c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</row>
    <row r="582" spans="8:50" x14ac:dyDescent="0.25"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7">
        <f t="shared" ref="W582:W645" ca="1" si="9">+NORMINV(RAND(),$U$2,$U$3)</f>
        <v>0.34777872523247938</v>
      </c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</row>
    <row r="583" spans="8:50" x14ac:dyDescent="0.25"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7">
        <f t="shared" ca="1" si="9"/>
        <v>-0.15879784133063735</v>
      </c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</row>
    <row r="584" spans="8:50" x14ac:dyDescent="0.25"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7">
        <f t="shared" ca="1" si="9"/>
        <v>5.1216309444366261E-2</v>
      </c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</row>
    <row r="585" spans="8:50" x14ac:dyDescent="0.25"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7">
        <f t="shared" ca="1" si="9"/>
        <v>8.5043443650921438E-2</v>
      </c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</row>
    <row r="586" spans="8:50" x14ac:dyDescent="0.25"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7">
        <f t="shared" ca="1" si="9"/>
        <v>4.5789578553628335E-2</v>
      </c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</row>
    <row r="587" spans="8:50" x14ac:dyDescent="0.25"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7">
        <f t="shared" ca="1" si="9"/>
        <v>1.7448131252950735E-2</v>
      </c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</row>
    <row r="588" spans="8:50" x14ac:dyDescent="0.25"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7">
        <f t="shared" ca="1" si="9"/>
        <v>0.34340886048396779</v>
      </c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</row>
    <row r="589" spans="8:50" x14ac:dyDescent="0.25"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7">
        <f t="shared" ca="1" si="9"/>
        <v>0.30891908422464071</v>
      </c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</row>
    <row r="590" spans="8:50" x14ac:dyDescent="0.25"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7">
        <f t="shared" ca="1" si="9"/>
        <v>0.29932139252817447</v>
      </c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</row>
    <row r="591" spans="8:50" x14ac:dyDescent="0.25"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7">
        <f t="shared" ca="1" si="9"/>
        <v>0.37062858231229556</v>
      </c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</row>
    <row r="592" spans="8:50" x14ac:dyDescent="0.25"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7">
        <f t="shared" ca="1" si="9"/>
        <v>8.5350433882247195E-2</v>
      </c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</row>
    <row r="593" spans="8:50" x14ac:dyDescent="0.25"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7">
        <f t="shared" ca="1" si="9"/>
        <v>0.10296151185019718</v>
      </c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</row>
    <row r="594" spans="8:50" x14ac:dyDescent="0.25"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7">
        <f t="shared" ca="1" si="9"/>
        <v>0.24575277912089194</v>
      </c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</row>
    <row r="595" spans="8:50" x14ac:dyDescent="0.25"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7">
        <f t="shared" ca="1" si="9"/>
        <v>0.2736601302691557</v>
      </c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</row>
    <row r="596" spans="8:50" x14ac:dyDescent="0.25"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7">
        <f t="shared" ca="1" si="9"/>
        <v>6.3870991433249813E-2</v>
      </c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</row>
    <row r="597" spans="8:50" x14ac:dyDescent="0.25"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7">
        <f t="shared" ca="1" si="9"/>
        <v>6.7564937209310311E-2</v>
      </c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</row>
    <row r="598" spans="8:50" x14ac:dyDescent="0.25"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7">
        <f t="shared" ca="1" si="9"/>
        <v>0.24711289031584593</v>
      </c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</row>
    <row r="599" spans="8:50" x14ac:dyDescent="0.25"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7">
        <f t="shared" ca="1" si="9"/>
        <v>-0.1076870307108065</v>
      </c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</row>
    <row r="600" spans="8:50" x14ac:dyDescent="0.25"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7">
        <f t="shared" ca="1" si="9"/>
        <v>0.23557845094949709</v>
      </c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</row>
    <row r="601" spans="8:50" x14ac:dyDescent="0.25"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7">
        <f t="shared" ca="1" si="9"/>
        <v>-7.5821747351437749E-2</v>
      </c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</row>
    <row r="602" spans="8:50" x14ac:dyDescent="0.25"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7">
        <f t="shared" ca="1" si="9"/>
        <v>0.10230718953784687</v>
      </c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</row>
    <row r="603" spans="8:50" x14ac:dyDescent="0.25"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7">
        <f t="shared" ca="1" si="9"/>
        <v>0.25867666891897251</v>
      </c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</row>
    <row r="604" spans="8:50" x14ac:dyDescent="0.25"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7">
        <f t="shared" ca="1" si="9"/>
        <v>0.10649997123566002</v>
      </c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</row>
    <row r="605" spans="8:50" x14ac:dyDescent="0.25"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7">
        <f t="shared" ca="1" si="9"/>
        <v>0.41574833935569216</v>
      </c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</row>
    <row r="606" spans="8:50" x14ac:dyDescent="0.25"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7">
        <f t="shared" ca="1" si="9"/>
        <v>-2.3210882783740186E-2</v>
      </c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</row>
    <row r="607" spans="8:50" x14ac:dyDescent="0.25"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7">
        <f t="shared" ca="1" si="9"/>
        <v>0.11030590315796213</v>
      </c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</row>
    <row r="608" spans="8:50" x14ac:dyDescent="0.25"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7">
        <f t="shared" ca="1" si="9"/>
        <v>-0.17172393703595928</v>
      </c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</row>
    <row r="609" spans="8:50" x14ac:dyDescent="0.25"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7">
        <f t="shared" ca="1" si="9"/>
        <v>0.10616891228253279</v>
      </c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</row>
    <row r="610" spans="8:50" x14ac:dyDescent="0.25"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7">
        <f t="shared" ca="1" si="9"/>
        <v>4.2707645286917728E-2</v>
      </c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</row>
    <row r="611" spans="8:50" x14ac:dyDescent="0.25"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7">
        <f t="shared" ca="1" si="9"/>
        <v>2.2607329290662878E-2</v>
      </c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</row>
    <row r="612" spans="8:50" x14ac:dyDescent="0.25"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7">
        <f t="shared" ca="1" si="9"/>
        <v>6.4280344264289163E-2</v>
      </c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</row>
    <row r="613" spans="8:50" x14ac:dyDescent="0.25"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7">
        <f t="shared" ca="1" si="9"/>
        <v>0.2318737931018488</v>
      </c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</row>
    <row r="614" spans="8:50" x14ac:dyDescent="0.25"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7">
        <f t="shared" ca="1" si="9"/>
        <v>7.1609040056140091E-2</v>
      </c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</row>
    <row r="615" spans="8:50" x14ac:dyDescent="0.25"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7">
        <f t="shared" ca="1" si="9"/>
        <v>0.20193135663082129</v>
      </c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</row>
    <row r="616" spans="8:50" x14ac:dyDescent="0.25"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7">
        <f t="shared" ca="1" si="9"/>
        <v>0.10078804076547147</v>
      </c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</row>
    <row r="617" spans="8:50" x14ac:dyDescent="0.25"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7">
        <f t="shared" ca="1" si="9"/>
        <v>0.11746003118475354</v>
      </c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</row>
    <row r="618" spans="8:50" x14ac:dyDescent="0.25"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7">
        <f t="shared" ca="1" si="9"/>
        <v>0.16755185816611817</v>
      </c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</row>
    <row r="619" spans="8:50" x14ac:dyDescent="0.25"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7">
        <f t="shared" ca="1" si="9"/>
        <v>0.12190543066914937</v>
      </c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</row>
    <row r="620" spans="8:50" x14ac:dyDescent="0.25"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7">
        <f t="shared" ca="1" si="9"/>
        <v>-8.2016656110894856E-2</v>
      </c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</row>
    <row r="621" spans="8:50" x14ac:dyDescent="0.25"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7">
        <f t="shared" ca="1" si="9"/>
        <v>-4.9825326737717404E-2</v>
      </c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</row>
    <row r="622" spans="8:50" x14ac:dyDescent="0.25"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7">
        <f t="shared" ca="1" si="9"/>
        <v>0.1714105439980943</v>
      </c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</row>
    <row r="623" spans="8:50" x14ac:dyDescent="0.25"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7">
        <f t="shared" ca="1" si="9"/>
        <v>0.19010106678000233</v>
      </c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</row>
    <row r="624" spans="8:50" x14ac:dyDescent="0.25"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7">
        <f t="shared" ca="1" si="9"/>
        <v>-0.30811399027848801</v>
      </c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</row>
    <row r="625" spans="8:50" x14ac:dyDescent="0.25"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7">
        <f t="shared" ca="1" si="9"/>
        <v>8.4404921176344058E-2</v>
      </c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</row>
    <row r="626" spans="8:50" x14ac:dyDescent="0.25"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7">
        <f t="shared" ca="1" si="9"/>
        <v>0.33318208181351838</v>
      </c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</row>
    <row r="627" spans="8:50" x14ac:dyDescent="0.25"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7">
        <f t="shared" ca="1" si="9"/>
        <v>0.36457200127315359</v>
      </c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</row>
    <row r="628" spans="8:50" x14ac:dyDescent="0.25"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7">
        <f t="shared" ca="1" si="9"/>
        <v>8.6088066268539709E-2</v>
      </c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</row>
    <row r="629" spans="8:50" x14ac:dyDescent="0.25"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7">
        <f t="shared" ca="1" si="9"/>
        <v>0.1367232019703423</v>
      </c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</row>
    <row r="630" spans="8:50" x14ac:dyDescent="0.25"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7">
        <f t="shared" ca="1" si="9"/>
        <v>-0.12830519009403374</v>
      </c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</row>
    <row r="631" spans="8:50" x14ac:dyDescent="0.25"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7">
        <f t="shared" ca="1" si="9"/>
        <v>0.11386794033493371</v>
      </c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</row>
    <row r="632" spans="8:50" x14ac:dyDescent="0.25"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7">
        <f t="shared" ca="1" si="9"/>
        <v>0.24517100834181077</v>
      </c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</row>
    <row r="633" spans="8:50" x14ac:dyDescent="0.25"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7">
        <f t="shared" ca="1" si="9"/>
        <v>0.48939631335494432</v>
      </c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</row>
    <row r="634" spans="8:50" x14ac:dyDescent="0.25"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7">
        <f t="shared" ca="1" si="9"/>
        <v>0.51692390481525874</v>
      </c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</row>
    <row r="635" spans="8:50" x14ac:dyDescent="0.25"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7">
        <f t="shared" ca="1" si="9"/>
        <v>0.10487618976669154</v>
      </c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</row>
    <row r="636" spans="8:50" x14ac:dyDescent="0.25"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7">
        <f t="shared" ca="1" si="9"/>
        <v>-0.17460778172456715</v>
      </c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</row>
    <row r="637" spans="8:50" x14ac:dyDescent="0.25"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7">
        <f t="shared" ca="1" si="9"/>
        <v>0.24092914689849515</v>
      </c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</row>
    <row r="638" spans="8:50" x14ac:dyDescent="0.25"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7">
        <f t="shared" ca="1" si="9"/>
        <v>-4.0644829442802607E-2</v>
      </c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</row>
    <row r="639" spans="8:50" x14ac:dyDescent="0.25"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7">
        <f t="shared" ca="1" si="9"/>
        <v>0.19340022598717804</v>
      </c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</row>
    <row r="640" spans="8:50" x14ac:dyDescent="0.25"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7">
        <f t="shared" ca="1" si="9"/>
        <v>8.7690111196570802E-2</v>
      </c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</row>
    <row r="641" spans="8:50" x14ac:dyDescent="0.25"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7">
        <f t="shared" ca="1" si="9"/>
        <v>0.18677939188448078</v>
      </c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</row>
    <row r="642" spans="8:50" x14ac:dyDescent="0.25"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7">
        <f t="shared" ca="1" si="9"/>
        <v>0.16374821830901237</v>
      </c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</row>
    <row r="643" spans="8:50" x14ac:dyDescent="0.25"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7">
        <f t="shared" ca="1" si="9"/>
        <v>7.231177355125426E-2</v>
      </c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</row>
    <row r="644" spans="8:50" x14ac:dyDescent="0.25"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7">
        <f t="shared" ca="1" si="9"/>
        <v>0.34575106781343568</v>
      </c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</row>
    <row r="645" spans="8:50" x14ac:dyDescent="0.25"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7">
        <f t="shared" ca="1" si="9"/>
        <v>-8.8323645700760275E-2</v>
      </c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</row>
    <row r="646" spans="8:50" x14ac:dyDescent="0.25"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7">
        <f t="shared" ref="W646:W709" ca="1" si="10">+NORMINV(RAND(),$U$2,$U$3)</f>
        <v>0.32129520129951233</v>
      </c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</row>
    <row r="647" spans="8:50" x14ac:dyDescent="0.25"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7">
        <f t="shared" ca="1" si="10"/>
        <v>3.1880411616366594E-2</v>
      </c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</row>
    <row r="648" spans="8:50" x14ac:dyDescent="0.25"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7">
        <f t="shared" ca="1" si="10"/>
        <v>7.4814297241489344E-2</v>
      </c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</row>
    <row r="649" spans="8:50" x14ac:dyDescent="0.25"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7">
        <f t="shared" ca="1" si="10"/>
        <v>8.2813483025076837E-2</v>
      </c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</row>
    <row r="650" spans="8:50" x14ac:dyDescent="0.25"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7">
        <f t="shared" ca="1" si="10"/>
        <v>6.6183201291292459E-3</v>
      </c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</row>
    <row r="651" spans="8:50" x14ac:dyDescent="0.25"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7">
        <f t="shared" ca="1" si="10"/>
        <v>0.23468759679577925</v>
      </c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</row>
    <row r="652" spans="8:50" x14ac:dyDescent="0.25"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7">
        <f t="shared" ca="1" si="10"/>
        <v>4.1919239152310855E-3</v>
      </c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</row>
    <row r="653" spans="8:50" x14ac:dyDescent="0.25"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7">
        <f t="shared" ca="1" si="10"/>
        <v>0.19829332906115596</v>
      </c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</row>
    <row r="654" spans="8:50" x14ac:dyDescent="0.25"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7">
        <f t="shared" ca="1" si="10"/>
        <v>-9.5338818995636551E-2</v>
      </c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</row>
    <row r="655" spans="8:50" x14ac:dyDescent="0.25"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7">
        <f t="shared" ca="1" si="10"/>
        <v>-3.7021086309060772E-2</v>
      </c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</row>
    <row r="656" spans="8:50" x14ac:dyDescent="0.25"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7">
        <f t="shared" ca="1" si="10"/>
        <v>0.21535720480439918</v>
      </c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</row>
    <row r="657" spans="8:50" x14ac:dyDescent="0.25"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7">
        <f t="shared" ca="1" si="10"/>
        <v>0.43980892773802172</v>
      </c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</row>
    <row r="658" spans="8:50" x14ac:dyDescent="0.25"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7">
        <f t="shared" ca="1" si="10"/>
        <v>8.7496770815353953E-2</v>
      </c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</row>
    <row r="659" spans="8:50" x14ac:dyDescent="0.25"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7">
        <f t="shared" ca="1" si="10"/>
        <v>0.16048231465968207</v>
      </c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</row>
    <row r="660" spans="8:50" x14ac:dyDescent="0.25"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7">
        <f t="shared" ca="1" si="10"/>
        <v>0.26004145786083388</v>
      </c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</row>
    <row r="661" spans="8:50" x14ac:dyDescent="0.25"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7">
        <f t="shared" ca="1" si="10"/>
        <v>-0.17945691024033217</v>
      </c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</row>
    <row r="662" spans="8:50" x14ac:dyDescent="0.25"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7">
        <f t="shared" ca="1" si="10"/>
        <v>8.9531818281195608E-2</v>
      </c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</row>
    <row r="663" spans="8:50" x14ac:dyDescent="0.25"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7">
        <f t="shared" ca="1" si="10"/>
        <v>-0.31208137595318081</v>
      </c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</row>
    <row r="664" spans="8:50" x14ac:dyDescent="0.25"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7">
        <f t="shared" ca="1" si="10"/>
        <v>7.1580486244024771E-2</v>
      </c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</row>
    <row r="665" spans="8:50" x14ac:dyDescent="0.25"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7">
        <f t="shared" ca="1" si="10"/>
        <v>0.17113426126601608</v>
      </c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</row>
    <row r="666" spans="8:50" x14ac:dyDescent="0.25"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7">
        <f t="shared" ca="1" si="10"/>
        <v>-7.4226072324262565E-3</v>
      </c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</row>
    <row r="667" spans="8:50" x14ac:dyDescent="0.25"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7">
        <f t="shared" ca="1" si="10"/>
        <v>-4.6854162855910778E-2</v>
      </c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</row>
    <row r="668" spans="8:50" x14ac:dyDescent="0.25"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7">
        <f t="shared" ca="1" si="10"/>
        <v>3.6914838696189223E-2</v>
      </c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</row>
    <row r="669" spans="8:50" x14ac:dyDescent="0.25"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7">
        <f t="shared" ca="1" si="10"/>
        <v>7.102175974283445E-2</v>
      </c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</row>
    <row r="670" spans="8:50" x14ac:dyDescent="0.25"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7">
        <f t="shared" ca="1" si="10"/>
        <v>5.2229084449505137E-2</v>
      </c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</row>
    <row r="671" spans="8:50" x14ac:dyDescent="0.25"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7">
        <f t="shared" ca="1" si="10"/>
        <v>0.12239014212871949</v>
      </c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</row>
    <row r="672" spans="8:50" x14ac:dyDescent="0.25"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7">
        <f t="shared" ca="1" si="10"/>
        <v>0.48119740121234406</v>
      </c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</row>
    <row r="673" spans="8:50" x14ac:dyDescent="0.25"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7">
        <f t="shared" ca="1" si="10"/>
        <v>0.14317415747212534</v>
      </c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</row>
    <row r="674" spans="8:50" x14ac:dyDescent="0.25"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7">
        <f t="shared" ca="1" si="10"/>
        <v>-9.3310226525811779E-3</v>
      </c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</row>
    <row r="675" spans="8:50" x14ac:dyDescent="0.25"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7">
        <f t="shared" ca="1" si="10"/>
        <v>0.15325681566722241</v>
      </c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</row>
    <row r="676" spans="8:50" x14ac:dyDescent="0.25"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7">
        <f t="shared" ca="1" si="10"/>
        <v>0.13297720867949869</v>
      </c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</row>
    <row r="677" spans="8:50" x14ac:dyDescent="0.25"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7">
        <f t="shared" ca="1" si="10"/>
        <v>0.30915868771885835</v>
      </c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</row>
    <row r="678" spans="8:50" x14ac:dyDescent="0.25"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7">
        <f t="shared" ca="1" si="10"/>
        <v>8.0398974205314083E-2</v>
      </c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</row>
    <row r="679" spans="8:50" x14ac:dyDescent="0.25"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7">
        <f t="shared" ca="1" si="10"/>
        <v>0.38222073142014912</v>
      </c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</row>
    <row r="680" spans="8:50" x14ac:dyDescent="0.25"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7">
        <f t="shared" ca="1" si="10"/>
        <v>0.23266182579604097</v>
      </c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</row>
    <row r="681" spans="8:50" x14ac:dyDescent="0.25"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7">
        <f t="shared" ca="1" si="10"/>
        <v>0.11775186894244259</v>
      </c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</row>
    <row r="682" spans="8:50" x14ac:dyDescent="0.25"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7">
        <f t="shared" ca="1" si="10"/>
        <v>0.10261387409251288</v>
      </c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</row>
    <row r="683" spans="8:50" x14ac:dyDescent="0.25"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7">
        <f t="shared" ca="1" si="10"/>
        <v>5.5814085266331775E-3</v>
      </c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</row>
    <row r="684" spans="8:50" x14ac:dyDescent="0.25"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7">
        <f t="shared" ca="1" si="10"/>
        <v>0.21626977854516077</v>
      </c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</row>
    <row r="685" spans="8:50" x14ac:dyDescent="0.25"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7">
        <f t="shared" ca="1" si="10"/>
        <v>5.1432742575676545E-2</v>
      </c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</row>
    <row r="686" spans="8:50" x14ac:dyDescent="0.25"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7">
        <f t="shared" ca="1" si="10"/>
        <v>0.2275730403051342</v>
      </c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</row>
    <row r="687" spans="8:50" x14ac:dyDescent="0.25"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7">
        <f t="shared" ca="1" si="10"/>
        <v>-7.2042217555888147E-2</v>
      </c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</row>
    <row r="688" spans="8:50" x14ac:dyDescent="0.25"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7">
        <f t="shared" ca="1" si="10"/>
        <v>-0.10096460221381283</v>
      </c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</row>
    <row r="689" spans="8:50" x14ac:dyDescent="0.25"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7">
        <f t="shared" ca="1" si="10"/>
        <v>-9.2859664824200258E-2</v>
      </c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</row>
    <row r="690" spans="8:50" x14ac:dyDescent="0.25"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7">
        <f t="shared" ca="1" si="10"/>
        <v>0.33998696764616859</v>
      </c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</row>
    <row r="691" spans="8:50" x14ac:dyDescent="0.25"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7">
        <f t="shared" ca="1" si="10"/>
        <v>0.34906160711979184</v>
      </c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</row>
    <row r="692" spans="8:50" x14ac:dyDescent="0.25"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7">
        <f t="shared" ca="1" si="10"/>
        <v>-4.9522557588103103E-2</v>
      </c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</row>
    <row r="693" spans="8:50" x14ac:dyDescent="0.25"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7">
        <f t="shared" ca="1" si="10"/>
        <v>6.5819689074580204E-2</v>
      </c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</row>
    <row r="694" spans="8:50" x14ac:dyDescent="0.25"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7">
        <f t="shared" ca="1" si="10"/>
        <v>0.3156297265888427</v>
      </c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</row>
    <row r="695" spans="8:50" x14ac:dyDescent="0.25"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7">
        <f t="shared" ca="1" si="10"/>
        <v>0.35197112367025651</v>
      </c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</row>
    <row r="696" spans="8:50" x14ac:dyDescent="0.25"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7">
        <f t="shared" ca="1" si="10"/>
        <v>0.24569608179682412</v>
      </c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</row>
    <row r="697" spans="8:50" x14ac:dyDescent="0.25"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7">
        <f t="shared" ca="1" si="10"/>
        <v>0.31548029681288509</v>
      </c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</row>
    <row r="698" spans="8:50" x14ac:dyDescent="0.25"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7">
        <f t="shared" ca="1" si="10"/>
        <v>0.40534703900112629</v>
      </c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</row>
    <row r="699" spans="8:50" x14ac:dyDescent="0.25"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7">
        <f t="shared" ca="1" si="10"/>
        <v>-4.6145781588491239E-2</v>
      </c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</row>
    <row r="700" spans="8:50" x14ac:dyDescent="0.25"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7">
        <f t="shared" ca="1" si="10"/>
        <v>0.10721935219129376</v>
      </c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</row>
    <row r="701" spans="8:50" x14ac:dyDescent="0.25"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7">
        <f t="shared" ca="1" si="10"/>
        <v>0.37535354648231228</v>
      </c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</row>
    <row r="702" spans="8:50" x14ac:dyDescent="0.25"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7">
        <f t="shared" ca="1" si="10"/>
        <v>-6.3769657002603578E-2</v>
      </c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</row>
    <row r="703" spans="8:50" x14ac:dyDescent="0.25"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7">
        <f t="shared" ca="1" si="10"/>
        <v>0.23097718297034719</v>
      </c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</row>
    <row r="704" spans="8:50" x14ac:dyDescent="0.25"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7">
        <f t="shared" ca="1" si="10"/>
        <v>0.1330224274374957</v>
      </c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</row>
    <row r="705" spans="8:50" x14ac:dyDescent="0.25"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7">
        <f t="shared" ca="1" si="10"/>
        <v>3.9301301957979221E-2</v>
      </c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</row>
    <row r="706" spans="8:50" x14ac:dyDescent="0.25"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7">
        <f t="shared" ca="1" si="10"/>
        <v>0.30340105826408964</v>
      </c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</row>
    <row r="707" spans="8:50" x14ac:dyDescent="0.25"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7">
        <f t="shared" ca="1" si="10"/>
        <v>0.12107663720194448</v>
      </c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</row>
    <row r="708" spans="8:50" x14ac:dyDescent="0.25"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7">
        <f t="shared" ca="1" si="10"/>
        <v>0.38349827765915212</v>
      </c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</row>
    <row r="709" spans="8:50" x14ac:dyDescent="0.25"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7">
        <f t="shared" ca="1" si="10"/>
        <v>0.46123705818049743</v>
      </c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</row>
    <row r="710" spans="8:50" x14ac:dyDescent="0.25"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7">
        <f t="shared" ref="W710:W773" ca="1" si="11">+NORMINV(RAND(),$U$2,$U$3)</f>
        <v>0.30386210717275397</v>
      </c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</row>
    <row r="711" spans="8:50" x14ac:dyDescent="0.25"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7">
        <f t="shared" ca="1" si="11"/>
        <v>-2.6127373634246956E-2</v>
      </c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</row>
    <row r="712" spans="8:50" x14ac:dyDescent="0.25"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7">
        <f t="shared" ca="1" si="11"/>
        <v>0.35454080055909221</v>
      </c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</row>
    <row r="713" spans="8:50" x14ac:dyDescent="0.25"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7">
        <f t="shared" ca="1" si="11"/>
        <v>0.14572533752452488</v>
      </c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</row>
    <row r="714" spans="8:50" x14ac:dyDescent="0.25"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7">
        <f t="shared" ca="1" si="11"/>
        <v>1.6328648051262967E-2</v>
      </c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</row>
    <row r="715" spans="8:50" x14ac:dyDescent="0.25"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7">
        <f t="shared" ca="1" si="11"/>
        <v>0.16727114579587973</v>
      </c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</row>
    <row r="716" spans="8:50" x14ac:dyDescent="0.25"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7">
        <f t="shared" ca="1" si="11"/>
        <v>3.1365999832226002E-2</v>
      </c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</row>
    <row r="717" spans="8:50" x14ac:dyDescent="0.25"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7">
        <f t="shared" ca="1" si="11"/>
        <v>-8.93602088689327E-4</v>
      </c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</row>
    <row r="718" spans="8:50" x14ac:dyDescent="0.25"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7">
        <f t="shared" ca="1" si="11"/>
        <v>0.17945759782250448</v>
      </c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</row>
    <row r="719" spans="8:50" x14ac:dyDescent="0.25"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7">
        <f t="shared" ca="1" si="11"/>
        <v>-0.16467599853769987</v>
      </c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</row>
    <row r="720" spans="8:50" x14ac:dyDescent="0.25"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7">
        <f t="shared" ca="1" si="11"/>
        <v>0.57320346556770174</v>
      </c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</row>
    <row r="721" spans="8:50" x14ac:dyDescent="0.25"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7">
        <f t="shared" ca="1" si="11"/>
        <v>0.1112146995690127</v>
      </c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</row>
    <row r="722" spans="8:50" x14ac:dyDescent="0.25"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7">
        <f t="shared" ca="1" si="11"/>
        <v>0.11872870884755511</v>
      </c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</row>
    <row r="723" spans="8:50" x14ac:dyDescent="0.25"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7">
        <f t="shared" ca="1" si="11"/>
        <v>0.12014991675976744</v>
      </c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</row>
    <row r="724" spans="8:50" x14ac:dyDescent="0.25"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7">
        <f t="shared" ca="1" si="11"/>
        <v>0.28556212526683589</v>
      </c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</row>
    <row r="725" spans="8:50" x14ac:dyDescent="0.25"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7">
        <f t="shared" ca="1" si="11"/>
        <v>0.4184387184077652</v>
      </c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</row>
    <row r="726" spans="8:50" x14ac:dyDescent="0.25"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7">
        <f t="shared" ca="1" si="11"/>
        <v>0.41154937387595042</v>
      </c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</row>
    <row r="727" spans="8:50" x14ac:dyDescent="0.25"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7">
        <f t="shared" ca="1" si="11"/>
        <v>0.25234810859182011</v>
      </c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</row>
    <row r="728" spans="8:50" x14ac:dyDescent="0.25"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7">
        <f t="shared" ca="1" si="11"/>
        <v>0.24493128807036524</v>
      </c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</row>
    <row r="729" spans="8:50" x14ac:dyDescent="0.25"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7">
        <f t="shared" ca="1" si="11"/>
        <v>7.6384273897506794E-3</v>
      </c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</row>
    <row r="730" spans="8:50" x14ac:dyDescent="0.25"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7">
        <f t="shared" ca="1" si="11"/>
        <v>-8.7989495523425179E-2</v>
      </c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</row>
    <row r="731" spans="8:50" x14ac:dyDescent="0.25"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7">
        <f t="shared" ca="1" si="11"/>
        <v>0.30806696668463257</v>
      </c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</row>
    <row r="732" spans="8:50" x14ac:dyDescent="0.25"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7">
        <f t="shared" ca="1" si="11"/>
        <v>5.2942113447565102E-2</v>
      </c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</row>
    <row r="733" spans="8:50" x14ac:dyDescent="0.25"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7">
        <f t="shared" ca="1" si="11"/>
        <v>0.2288175940822276</v>
      </c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</row>
    <row r="734" spans="8:50" x14ac:dyDescent="0.25"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7">
        <f t="shared" ca="1" si="11"/>
        <v>-3.8495882137981149E-2</v>
      </c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</row>
    <row r="735" spans="8:50" x14ac:dyDescent="0.25"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7">
        <f t="shared" ca="1" si="11"/>
        <v>0.13666392788116666</v>
      </c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</row>
    <row r="736" spans="8:50" x14ac:dyDescent="0.25"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7">
        <f t="shared" ca="1" si="11"/>
        <v>0.35000036503031545</v>
      </c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</row>
    <row r="737" spans="8:50" x14ac:dyDescent="0.25"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7">
        <f t="shared" ca="1" si="11"/>
        <v>0.1702135449696846</v>
      </c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</row>
    <row r="738" spans="8:50" x14ac:dyDescent="0.25"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7">
        <f t="shared" ca="1" si="11"/>
        <v>0.3631567052837853</v>
      </c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</row>
    <row r="739" spans="8:50" x14ac:dyDescent="0.25"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7">
        <f t="shared" ca="1" si="11"/>
        <v>1.564880447904049E-2</v>
      </c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</row>
    <row r="740" spans="8:50" x14ac:dyDescent="0.25"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7">
        <f t="shared" ca="1" si="11"/>
        <v>-3.2302540885849426E-2</v>
      </c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</row>
    <row r="741" spans="8:50" x14ac:dyDescent="0.25"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7">
        <f t="shared" ca="1" si="11"/>
        <v>0.10790959649312493</v>
      </c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</row>
    <row r="742" spans="8:50" x14ac:dyDescent="0.25"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7">
        <f t="shared" ca="1" si="11"/>
        <v>-0.13681181569381817</v>
      </c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</row>
    <row r="743" spans="8:50" x14ac:dyDescent="0.25"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7">
        <f t="shared" ca="1" si="11"/>
        <v>1.5497267736240258E-2</v>
      </c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</row>
    <row r="744" spans="8:50" x14ac:dyDescent="0.25"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7">
        <f t="shared" ca="1" si="11"/>
        <v>0.90699381140012192</v>
      </c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</row>
    <row r="745" spans="8:50" x14ac:dyDescent="0.25"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7">
        <f t="shared" ca="1" si="11"/>
        <v>0.10331549606820724</v>
      </c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</row>
    <row r="746" spans="8:50" x14ac:dyDescent="0.25"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7">
        <f t="shared" ca="1" si="11"/>
        <v>0.19022801302166842</v>
      </c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</row>
    <row r="747" spans="8:50" x14ac:dyDescent="0.25"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7">
        <f t="shared" ca="1" si="11"/>
        <v>0.31115080945545193</v>
      </c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</row>
    <row r="748" spans="8:50" x14ac:dyDescent="0.25"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7">
        <f t="shared" ca="1" si="11"/>
        <v>3.6807700841278782E-2</v>
      </c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</row>
    <row r="749" spans="8:50" x14ac:dyDescent="0.25"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7">
        <f t="shared" ca="1" si="11"/>
        <v>0.1656293147049927</v>
      </c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</row>
    <row r="750" spans="8:50" x14ac:dyDescent="0.25"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7">
        <f t="shared" ca="1" si="11"/>
        <v>-9.9012920186406644E-3</v>
      </c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</row>
    <row r="751" spans="8:50" x14ac:dyDescent="0.25"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7">
        <f t="shared" ca="1" si="11"/>
        <v>0.37459094564895401</v>
      </c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</row>
    <row r="752" spans="8:50" x14ac:dyDescent="0.25"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7">
        <f t="shared" ca="1" si="11"/>
        <v>-0.12048048212104341</v>
      </c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</row>
    <row r="753" spans="8:50" x14ac:dyDescent="0.25"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7">
        <f t="shared" ca="1" si="11"/>
        <v>0.10392456935015822</v>
      </c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</row>
    <row r="754" spans="8:50" x14ac:dyDescent="0.25"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7">
        <f t="shared" ca="1" si="11"/>
        <v>-0.14751667956256176</v>
      </c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</row>
    <row r="755" spans="8:50" x14ac:dyDescent="0.25"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7">
        <f t="shared" ca="1" si="11"/>
        <v>0.17873206256802243</v>
      </c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</row>
    <row r="756" spans="8:50" x14ac:dyDescent="0.25"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7">
        <f t="shared" ca="1" si="11"/>
        <v>7.0731690726059837E-2</v>
      </c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</row>
    <row r="757" spans="8:50" x14ac:dyDescent="0.25"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7">
        <f t="shared" ca="1" si="11"/>
        <v>0.19247598919359851</v>
      </c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</row>
    <row r="758" spans="8:50" x14ac:dyDescent="0.25"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7">
        <f t="shared" ca="1" si="11"/>
        <v>0.11795889778871894</v>
      </c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</row>
    <row r="759" spans="8:50" x14ac:dyDescent="0.25"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7">
        <f t="shared" ca="1" si="11"/>
        <v>0.27850409274247673</v>
      </c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</row>
    <row r="760" spans="8:50" x14ac:dyDescent="0.25"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7">
        <f t="shared" ca="1" si="11"/>
        <v>0.24203572308447874</v>
      </c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</row>
    <row r="761" spans="8:50" x14ac:dyDescent="0.25"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7">
        <f t="shared" ca="1" si="11"/>
        <v>-0.12657818656577835</v>
      </c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</row>
    <row r="762" spans="8:50" x14ac:dyDescent="0.25"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7">
        <f t="shared" ca="1" si="11"/>
        <v>0.32124393877356577</v>
      </c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</row>
    <row r="763" spans="8:50" x14ac:dyDescent="0.25"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7">
        <f t="shared" ca="1" si="11"/>
        <v>-9.4289662896695894E-2</v>
      </c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</row>
    <row r="764" spans="8:50" x14ac:dyDescent="0.25"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7">
        <f t="shared" ca="1" si="11"/>
        <v>-3.21687291238857E-2</v>
      </c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</row>
    <row r="765" spans="8:50" x14ac:dyDescent="0.25"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7">
        <f t="shared" ca="1" si="11"/>
        <v>-3.7733319441139238E-2</v>
      </c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</row>
    <row r="766" spans="8:50" x14ac:dyDescent="0.25"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7">
        <f t="shared" ca="1" si="11"/>
        <v>2.5082275424529385E-2</v>
      </c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</row>
    <row r="767" spans="8:50" x14ac:dyDescent="0.25"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7">
        <f t="shared" ca="1" si="11"/>
        <v>0.28227823406540553</v>
      </c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</row>
    <row r="768" spans="8:50" x14ac:dyDescent="0.25"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7">
        <f t="shared" ca="1" si="11"/>
        <v>-1.8301078286695235E-2</v>
      </c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</row>
    <row r="769" spans="8:50" x14ac:dyDescent="0.25"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7">
        <f t="shared" ca="1" si="11"/>
        <v>-0.24812491501248085</v>
      </c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</row>
    <row r="770" spans="8:50" x14ac:dyDescent="0.25"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7">
        <f t="shared" ca="1" si="11"/>
        <v>7.6307789834236361E-2</v>
      </c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</row>
    <row r="771" spans="8:50" x14ac:dyDescent="0.25"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7">
        <f t="shared" ca="1" si="11"/>
        <v>0.3772881018747628</v>
      </c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</row>
    <row r="772" spans="8:50" x14ac:dyDescent="0.25"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7">
        <f t="shared" ca="1" si="11"/>
        <v>0.29069402933055982</v>
      </c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</row>
    <row r="773" spans="8:50" x14ac:dyDescent="0.25"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7">
        <f t="shared" ca="1" si="11"/>
        <v>-4.6048783838693527E-2</v>
      </c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</row>
    <row r="774" spans="8:50" x14ac:dyDescent="0.25"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7">
        <f t="shared" ref="W774:W837" ca="1" si="12">+NORMINV(RAND(),$U$2,$U$3)</f>
        <v>9.2296256960546982E-2</v>
      </c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</row>
    <row r="775" spans="8:50" x14ac:dyDescent="0.25"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7">
        <f t="shared" ca="1" si="12"/>
        <v>-8.2166322705732944E-2</v>
      </c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</row>
    <row r="776" spans="8:50" x14ac:dyDescent="0.25"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7">
        <f t="shared" ca="1" si="12"/>
        <v>0.39999030204443137</v>
      </c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</row>
    <row r="777" spans="8:50" x14ac:dyDescent="0.25"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7">
        <f t="shared" ca="1" si="12"/>
        <v>-0.14238709556322454</v>
      </c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</row>
    <row r="778" spans="8:50" x14ac:dyDescent="0.25"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7">
        <f t="shared" ca="1" si="12"/>
        <v>0.25155353416973708</v>
      </c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</row>
    <row r="779" spans="8:50" x14ac:dyDescent="0.25"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7">
        <f t="shared" ca="1" si="12"/>
        <v>0.24916860467290142</v>
      </c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</row>
    <row r="780" spans="8:50" x14ac:dyDescent="0.25"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7">
        <f t="shared" ca="1" si="12"/>
        <v>0.45803408991150268</v>
      </c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</row>
    <row r="781" spans="8:50" x14ac:dyDescent="0.25"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7">
        <f t="shared" ca="1" si="12"/>
        <v>0.12509597164826569</v>
      </c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</row>
    <row r="782" spans="8:50" x14ac:dyDescent="0.25"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7">
        <f t="shared" ca="1" si="12"/>
        <v>0.20214900130785976</v>
      </c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</row>
    <row r="783" spans="8:50" x14ac:dyDescent="0.25"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7">
        <f t="shared" ca="1" si="12"/>
        <v>0.36787689410744123</v>
      </c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</row>
    <row r="784" spans="8:50" x14ac:dyDescent="0.25"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7">
        <f t="shared" ca="1" si="12"/>
        <v>8.5624198198350418E-2</v>
      </c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</row>
    <row r="785" spans="8:50" x14ac:dyDescent="0.25"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7">
        <f t="shared" ca="1" si="12"/>
        <v>0.2999263473045497</v>
      </c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</row>
    <row r="786" spans="8:50" x14ac:dyDescent="0.25"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7">
        <f t="shared" ca="1" si="12"/>
        <v>-4.8530504057565996E-2</v>
      </c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</row>
    <row r="787" spans="8:50" x14ac:dyDescent="0.25"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7">
        <f t="shared" ca="1" si="12"/>
        <v>-6.8929389050446363E-2</v>
      </c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</row>
    <row r="788" spans="8:50" x14ac:dyDescent="0.25"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7">
        <f t="shared" ca="1" si="12"/>
        <v>0.12111297463287392</v>
      </c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</row>
    <row r="789" spans="8:50" x14ac:dyDescent="0.25"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7">
        <f t="shared" ca="1" si="12"/>
        <v>8.5889858752476123E-2</v>
      </c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</row>
    <row r="790" spans="8:50" x14ac:dyDescent="0.25"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7">
        <f t="shared" ca="1" si="12"/>
        <v>0.40688393174048371</v>
      </c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</row>
    <row r="791" spans="8:50" x14ac:dyDescent="0.25"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7">
        <f t="shared" ca="1" si="12"/>
        <v>8.0392913959109275E-2</v>
      </c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</row>
    <row r="792" spans="8:50" x14ac:dyDescent="0.25"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7">
        <f t="shared" ca="1" si="12"/>
        <v>0.21745603014727655</v>
      </c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</row>
    <row r="793" spans="8:50" x14ac:dyDescent="0.25"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7">
        <f t="shared" ca="1" si="12"/>
        <v>0.1315495674517228</v>
      </c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</row>
    <row r="794" spans="8:50" x14ac:dyDescent="0.25"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7">
        <f t="shared" ca="1" si="12"/>
        <v>3.7929931072177667E-2</v>
      </c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</row>
    <row r="795" spans="8:50" x14ac:dyDescent="0.25"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7">
        <f t="shared" ca="1" si="12"/>
        <v>6.9815263500652924E-2</v>
      </c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</row>
    <row r="796" spans="8:50" x14ac:dyDescent="0.25"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7">
        <f t="shared" ca="1" si="12"/>
        <v>0.12945007046571108</v>
      </c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</row>
    <row r="797" spans="8:50" x14ac:dyDescent="0.25"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7">
        <f t="shared" ca="1" si="12"/>
        <v>-0.12328900614230957</v>
      </c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</row>
    <row r="798" spans="8:50" x14ac:dyDescent="0.25"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7">
        <f t="shared" ca="1" si="12"/>
        <v>0.26525404168262406</v>
      </c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</row>
    <row r="799" spans="8:50" x14ac:dyDescent="0.25"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7">
        <f t="shared" ca="1" si="12"/>
        <v>0.45094548157593567</v>
      </c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</row>
    <row r="800" spans="8:50" x14ac:dyDescent="0.25"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7">
        <f t="shared" ca="1" si="12"/>
        <v>0.27035301499468795</v>
      </c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</row>
    <row r="801" spans="8:50" x14ac:dyDescent="0.25"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7">
        <f t="shared" ca="1" si="12"/>
        <v>8.7651358575329352E-2</v>
      </c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</row>
    <row r="802" spans="8:50" x14ac:dyDescent="0.25"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7">
        <f t="shared" ca="1" si="12"/>
        <v>0.27583729074932262</v>
      </c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</row>
    <row r="803" spans="8:50" x14ac:dyDescent="0.25"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7">
        <f t="shared" ca="1" si="12"/>
        <v>0.1625912366379143</v>
      </c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</row>
    <row r="804" spans="8:50" x14ac:dyDescent="0.25"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7">
        <f t="shared" ca="1" si="12"/>
        <v>-9.5293891527964955E-2</v>
      </c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</row>
    <row r="805" spans="8:50" x14ac:dyDescent="0.25"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7">
        <f t="shared" ca="1" si="12"/>
        <v>-0.22100917694319988</v>
      </c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</row>
    <row r="806" spans="8:50" x14ac:dyDescent="0.25"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7">
        <f t="shared" ca="1" si="12"/>
        <v>0.29106426767809385</v>
      </c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</row>
    <row r="807" spans="8:50" x14ac:dyDescent="0.25"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7">
        <f t="shared" ca="1" si="12"/>
        <v>0.31219612344757158</v>
      </c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</row>
    <row r="808" spans="8:50" x14ac:dyDescent="0.25"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7">
        <f t="shared" ca="1" si="12"/>
        <v>0.23637212676063776</v>
      </c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</row>
    <row r="809" spans="8:50" x14ac:dyDescent="0.25"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7">
        <f t="shared" ca="1" si="12"/>
        <v>0.14906892334663221</v>
      </c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</row>
    <row r="810" spans="8:50" x14ac:dyDescent="0.25"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7">
        <f t="shared" ca="1" si="12"/>
        <v>0.19109296388968142</v>
      </c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</row>
    <row r="811" spans="8:50" x14ac:dyDescent="0.25"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7">
        <f t="shared" ca="1" si="12"/>
        <v>0.14830210468065708</v>
      </c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</row>
    <row r="812" spans="8:50" x14ac:dyDescent="0.25"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7">
        <f t="shared" ca="1" si="12"/>
        <v>2.2293039049695179E-2</v>
      </c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</row>
    <row r="813" spans="8:50" x14ac:dyDescent="0.25"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7">
        <f t="shared" ca="1" si="12"/>
        <v>8.7365527098653653E-2</v>
      </c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</row>
    <row r="814" spans="8:50" x14ac:dyDescent="0.25"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7">
        <f t="shared" ca="1" si="12"/>
        <v>0.37348432466738563</v>
      </c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</row>
    <row r="815" spans="8:50" x14ac:dyDescent="0.25"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7">
        <f t="shared" ca="1" si="12"/>
        <v>0.33562181839757232</v>
      </c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</row>
    <row r="816" spans="8:50" x14ac:dyDescent="0.25"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7">
        <f t="shared" ca="1" si="12"/>
        <v>4.730231341824416E-2</v>
      </c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</row>
    <row r="817" spans="8:50" x14ac:dyDescent="0.25"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7">
        <f t="shared" ca="1" si="12"/>
        <v>0.17429616415076199</v>
      </c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</row>
    <row r="818" spans="8:50" x14ac:dyDescent="0.25"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7">
        <f t="shared" ca="1" si="12"/>
        <v>0.25127022473896721</v>
      </c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</row>
    <row r="819" spans="8:50" x14ac:dyDescent="0.25"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7">
        <f t="shared" ca="1" si="12"/>
        <v>2.9150789641862462E-3</v>
      </c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</row>
    <row r="820" spans="8:50" x14ac:dyDescent="0.25"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7">
        <f t="shared" ca="1" si="12"/>
        <v>0.1497939562402118</v>
      </c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</row>
    <row r="821" spans="8:50" x14ac:dyDescent="0.25"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7">
        <f t="shared" ca="1" si="12"/>
        <v>9.6419084788398612E-3</v>
      </c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</row>
    <row r="822" spans="8:50" x14ac:dyDescent="0.25"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7">
        <f t="shared" ca="1" si="12"/>
        <v>6.7233289096994678E-2</v>
      </c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</row>
    <row r="823" spans="8:50" x14ac:dyDescent="0.25"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7">
        <f t="shared" ca="1" si="12"/>
        <v>0.3905346195395929</v>
      </c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</row>
    <row r="824" spans="8:50" x14ac:dyDescent="0.25"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7">
        <f t="shared" ca="1" si="12"/>
        <v>0.2182608226998477</v>
      </c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</row>
    <row r="825" spans="8:50" x14ac:dyDescent="0.25"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7">
        <f t="shared" ca="1" si="12"/>
        <v>-7.7495094836551356E-2</v>
      </c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</row>
    <row r="826" spans="8:50" x14ac:dyDescent="0.25"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7">
        <f t="shared" ca="1" si="12"/>
        <v>0.40078981878030479</v>
      </c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</row>
    <row r="827" spans="8:50" x14ac:dyDescent="0.25"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7">
        <f t="shared" ca="1" si="12"/>
        <v>0.4453428982519097</v>
      </c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</row>
    <row r="828" spans="8:50" x14ac:dyDescent="0.25"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7">
        <f t="shared" ca="1" si="12"/>
        <v>0.58807210603068294</v>
      </c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</row>
    <row r="829" spans="8:50" x14ac:dyDescent="0.25"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7">
        <f t="shared" ca="1" si="12"/>
        <v>0.2641819228242952</v>
      </c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</row>
    <row r="830" spans="8:50" x14ac:dyDescent="0.25"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7">
        <f t="shared" ca="1" si="12"/>
        <v>0.23037224805492026</v>
      </c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</row>
    <row r="831" spans="8:50" x14ac:dyDescent="0.25"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7">
        <f t="shared" ca="1" si="12"/>
        <v>0.32949576258044155</v>
      </c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</row>
    <row r="832" spans="8:50" x14ac:dyDescent="0.25"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7">
        <f t="shared" ca="1" si="12"/>
        <v>-4.9661538263387192E-2</v>
      </c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</row>
    <row r="833" spans="8:50" x14ac:dyDescent="0.25"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7">
        <f t="shared" ca="1" si="12"/>
        <v>0.15595915787057363</v>
      </c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</row>
    <row r="834" spans="8:50" x14ac:dyDescent="0.25"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7">
        <f t="shared" ca="1" si="12"/>
        <v>-0.28941979223237968</v>
      </c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</row>
    <row r="835" spans="8:50" x14ac:dyDescent="0.25"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7">
        <f t="shared" ca="1" si="12"/>
        <v>0.14766834921153585</v>
      </c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</row>
    <row r="836" spans="8:50" x14ac:dyDescent="0.25"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7">
        <f t="shared" ca="1" si="12"/>
        <v>0.37573147103896898</v>
      </c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</row>
    <row r="837" spans="8:50" x14ac:dyDescent="0.25"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7">
        <f t="shared" ca="1" si="12"/>
        <v>0.27424104823910606</v>
      </c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</row>
    <row r="838" spans="8:50" x14ac:dyDescent="0.25"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7">
        <f t="shared" ref="W838:W901" ca="1" si="13">+NORMINV(RAND(),$U$2,$U$3)</f>
        <v>0.16645532902819271</v>
      </c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</row>
    <row r="839" spans="8:50" x14ac:dyDescent="0.25"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7">
        <f t="shared" ca="1" si="13"/>
        <v>0.33811776380883951</v>
      </c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</row>
    <row r="840" spans="8:50" x14ac:dyDescent="0.25"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7">
        <f t="shared" ca="1" si="13"/>
        <v>1.6174484397956504E-2</v>
      </c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</row>
    <row r="841" spans="8:50" x14ac:dyDescent="0.25"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7">
        <f t="shared" ca="1" si="13"/>
        <v>0.30273346489384112</v>
      </c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</row>
    <row r="842" spans="8:50" x14ac:dyDescent="0.25"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7">
        <f t="shared" ca="1" si="13"/>
        <v>0.2871926115113036</v>
      </c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</row>
    <row r="843" spans="8:50" x14ac:dyDescent="0.25"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7">
        <f t="shared" ca="1" si="13"/>
        <v>0.1533971487041336</v>
      </c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</row>
    <row r="844" spans="8:50" x14ac:dyDescent="0.25"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7">
        <f t="shared" ca="1" si="13"/>
        <v>-0.23550365148601121</v>
      </c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</row>
    <row r="845" spans="8:50" x14ac:dyDescent="0.25"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7">
        <f t="shared" ca="1" si="13"/>
        <v>-5.1983982656201702E-2</v>
      </c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</row>
    <row r="846" spans="8:50" x14ac:dyDescent="0.25"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7">
        <f t="shared" ca="1" si="13"/>
        <v>-9.2333679874757532E-2</v>
      </c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</row>
    <row r="847" spans="8:50" x14ac:dyDescent="0.25"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7">
        <f t="shared" ca="1" si="13"/>
        <v>-0.2624780361220127</v>
      </c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</row>
    <row r="848" spans="8:50" x14ac:dyDescent="0.25"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7">
        <f t="shared" ca="1" si="13"/>
        <v>0.13057655964819301</v>
      </c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</row>
    <row r="849" spans="8:50" x14ac:dyDescent="0.25"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7">
        <f t="shared" ca="1" si="13"/>
        <v>0.22929747571669501</v>
      </c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</row>
    <row r="850" spans="8:50" x14ac:dyDescent="0.25"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7">
        <f t="shared" ca="1" si="13"/>
        <v>0.12450011868752013</v>
      </c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</row>
    <row r="851" spans="8:50" x14ac:dyDescent="0.25"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7">
        <f t="shared" ca="1" si="13"/>
        <v>-0.16682838052531673</v>
      </c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</row>
    <row r="852" spans="8:50" x14ac:dyDescent="0.25"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7">
        <f t="shared" ca="1" si="13"/>
        <v>0.35017903382815618</v>
      </c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</row>
    <row r="853" spans="8:50" x14ac:dyDescent="0.25"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7">
        <f t="shared" ca="1" si="13"/>
        <v>0.36351886815206552</v>
      </c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</row>
    <row r="854" spans="8:50" x14ac:dyDescent="0.25"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7">
        <f t="shared" ca="1" si="13"/>
        <v>6.2270783069470752E-2</v>
      </c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</row>
    <row r="855" spans="8:50" x14ac:dyDescent="0.25"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7">
        <f t="shared" ca="1" si="13"/>
        <v>1.9611013805301336E-2</v>
      </c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</row>
    <row r="856" spans="8:50" x14ac:dyDescent="0.25"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7">
        <f t="shared" ca="1" si="13"/>
        <v>-8.3580163959681389E-2</v>
      </c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</row>
    <row r="857" spans="8:50" x14ac:dyDescent="0.25"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7">
        <f t="shared" ca="1" si="13"/>
        <v>0.22256702627625696</v>
      </c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</row>
    <row r="858" spans="8:50" x14ac:dyDescent="0.25"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7">
        <f t="shared" ca="1" si="13"/>
        <v>9.0830299500783404E-2</v>
      </c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</row>
    <row r="859" spans="8:50" x14ac:dyDescent="0.25"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7">
        <f t="shared" ca="1" si="13"/>
        <v>0.22341405142312462</v>
      </c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</row>
    <row r="860" spans="8:50" x14ac:dyDescent="0.25"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7">
        <f t="shared" ca="1" si="13"/>
        <v>0.40005513853977825</v>
      </c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</row>
    <row r="861" spans="8:50" x14ac:dyDescent="0.25"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7">
        <f t="shared" ca="1" si="13"/>
        <v>0.28489556779365732</v>
      </c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</row>
    <row r="862" spans="8:50" x14ac:dyDescent="0.25"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7">
        <f t="shared" ca="1" si="13"/>
        <v>-0.16314018032415667</v>
      </c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</row>
    <row r="863" spans="8:50" x14ac:dyDescent="0.25"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7">
        <f t="shared" ca="1" si="13"/>
        <v>-3.0860623358667363E-2</v>
      </c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</row>
    <row r="864" spans="8:50" x14ac:dyDescent="0.25"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7">
        <f t="shared" ca="1" si="13"/>
        <v>0.13132927597884839</v>
      </c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</row>
    <row r="865" spans="8:50" x14ac:dyDescent="0.25"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7">
        <f t="shared" ca="1" si="13"/>
        <v>0.16826932945471196</v>
      </c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</row>
    <row r="866" spans="8:50" x14ac:dyDescent="0.25"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7">
        <f t="shared" ca="1" si="13"/>
        <v>-1.7379348463096397E-2</v>
      </c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</row>
    <row r="867" spans="8:50" x14ac:dyDescent="0.25"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7">
        <f t="shared" ca="1" si="13"/>
        <v>0.13655096794260535</v>
      </c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</row>
    <row r="868" spans="8:50" x14ac:dyDescent="0.25"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7">
        <f t="shared" ca="1" si="13"/>
        <v>-6.2592557030271292E-2</v>
      </c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</row>
    <row r="869" spans="8:50" x14ac:dyDescent="0.25"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7">
        <f t="shared" ca="1" si="13"/>
        <v>0.24601425287327627</v>
      </c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</row>
    <row r="870" spans="8:50" x14ac:dyDescent="0.25"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7">
        <f t="shared" ca="1" si="13"/>
        <v>-5.9199910647383322E-2</v>
      </c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</row>
    <row r="871" spans="8:50" x14ac:dyDescent="0.25"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7">
        <f t="shared" ca="1" si="13"/>
        <v>1.2184921356866871E-2</v>
      </c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</row>
    <row r="872" spans="8:50" x14ac:dyDescent="0.25"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7">
        <f t="shared" ca="1" si="13"/>
        <v>0.15906229286207552</v>
      </c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</row>
    <row r="873" spans="8:50" x14ac:dyDescent="0.25"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7">
        <f t="shared" ca="1" si="13"/>
        <v>0.14549046810885963</v>
      </c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</row>
    <row r="874" spans="8:50" x14ac:dyDescent="0.25"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7">
        <f t="shared" ca="1" si="13"/>
        <v>-0.25383606751953475</v>
      </c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</row>
    <row r="875" spans="8:50" x14ac:dyDescent="0.25"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7">
        <f t="shared" ca="1" si="13"/>
        <v>3.9587488158448814E-2</v>
      </c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</row>
    <row r="876" spans="8:50" x14ac:dyDescent="0.25"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7">
        <f t="shared" ca="1" si="13"/>
        <v>0.1220683291015828</v>
      </c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</row>
    <row r="877" spans="8:50" x14ac:dyDescent="0.25"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7">
        <f t="shared" ca="1" si="13"/>
        <v>3.6141680024741538E-2</v>
      </c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</row>
    <row r="878" spans="8:50" x14ac:dyDescent="0.25"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7">
        <f t="shared" ca="1" si="13"/>
        <v>0.23557075233360764</v>
      </c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</row>
    <row r="879" spans="8:50" x14ac:dyDescent="0.25"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7">
        <f t="shared" ca="1" si="13"/>
        <v>0.16904020971627678</v>
      </c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</row>
    <row r="880" spans="8:50" x14ac:dyDescent="0.25"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7">
        <f t="shared" ca="1" si="13"/>
        <v>5.8829231660703279E-2</v>
      </c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</row>
    <row r="881" spans="8:50" x14ac:dyDescent="0.25"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7">
        <f t="shared" ca="1" si="13"/>
        <v>0.18739900752438071</v>
      </c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</row>
    <row r="882" spans="8:50" x14ac:dyDescent="0.25"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7">
        <f t="shared" ca="1" si="13"/>
        <v>-4.9171389078187952E-2</v>
      </c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</row>
    <row r="883" spans="8:50" x14ac:dyDescent="0.25"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7">
        <f t="shared" ca="1" si="13"/>
        <v>0.13838913262067382</v>
      </c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</row>
    <row r="884" spans="8:50" x14ac:dyDescent="0.25"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7">
        <f t="shared" ca="1" si="13"/>
        <v>0.35217485512681168</v>
      </c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</row>
    <row r="885" spans="8:50" x14ac:dyDescent="0.25"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7">
        <f t="shared" ca="1" si="13"/>
        <v>2.5147229291696896E-2</v>
      </c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</row>
    <row r="886" spans="8:50" x14ac:dyDescent="0.25"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7">
        <f t="shared" ca="1" si="13"/>
        <v>-9.4691264683408091E-2</v>
      </c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</row>
    <row r="887" spans="8:50" x14ac:dyDescent="0.25"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7">
        <f t="shared" ca="1" si="13"/>
        <v>0.41517656382785689</v>
      </c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</row>
    <row r="888" spans="8:50" x14ac:dyDescent="0.25"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7">
        <f t="shared" ca="1" si="13"/>
        <v>0.13183343431524466</v>
      </c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</row>
    <row r="889" spans="8:50" x14ac:dyDescent="0.25"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7">
        <f t="shared" ca="1" si="13"/>
        <v>0.27869419001333084</v>
      </c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</row>
    <row r="890" spans="8:50" x14ac:dyDescent="0.25"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7">
        <f t="shared" ca="1" si="13"/>
        <v>0.14638721957406228</v>
      </c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</row>
    <row r="891" spans="8:50" x14ac:dyDescent="0.25"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7">
        <f t="shared" ca="1" si="13"/>
        <v>0.60777649995718508</v>
      </c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</row>
    <row r="892" spans="8:50" x14ac:dyDescent="0.25"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7">
        <f t="shared" ca="1" si="13"/>
        <v>0.16902296077710061</v>
      </c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</row>
    <row r="893" spans="8:50" x14ac:dyDescent="0.25"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7">
        <f t="shared" ca="1" si="13"/>
        <v>-0.2261860819636165</v>
      </c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</row>
    <row r="894" spans="8:50" x14ac:dyDescent="0.25"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7">
        <f t="shared" ca="1" si="13"/>
        <v>0.24654055209848325</v>
      </c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</row>
    <row r="895" spans="8:50" x14ac:dyDescent="0.25"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7">
        <f t="shared" ca="1" si="13"/>
        <v>0.33935406665792972</v>
      </c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</row>
    <row r="896" spans="8:50" x14ac:dyDescent="0.25"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7">
        <f t="shared" ca="1" si="13"/>
        <v>0.28182362515555415</v>
      </c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</row>
    <row r="897" spans="8:50" x14ac:dyDescent="0.25"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7">
        <f t="shared" ca="1" si="13"/>
        <v>6.1620651072812907E-2</v>
      </c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</row>
    <row r="898" spans="8:50" x14ac:dyDescent="0.25"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7">
        <f t="shared" ca="1" si="13"/>
        <v>0.19210551385682534</v>
      </c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</row>
    <row r="899" spans="8:50" x14ac:dyDescent="0.25"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7">
        <f t="shared" ca="1" si="13"/>
        <v>0.12501582494384855</v>
      </c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</row>
    <row r="900" spans="8:50" x14ac:dyDescent="0.25"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7">
        <f t="shared" ca="1" si="13"/>
        <v>0.46246674575123231</v>
      </c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</row>
    <row r="901" spans="8:50" x14ac:dyDescent="0.25"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7">
        <f t="shared" ca="1" si="13"/>
        <v>0.20229925352021855</v>
      </c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</row>
    <row r="902" spans="8:50" x14ac:dyDescent="0.25"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7">
        <f t="shared" ref="W902:W965" ca="1" si="14">+NORMINV(RAND(),$U$2,$U$3)</f>
        <v>0.3910289356155508</v>
      </c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</row>
    <row r="903" spans="8:50" x14ac:dyDescent="0.25"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7">
        <f t="shared" ca="1" si="14"/>
        <v>0.18698880090506412</v>
      </c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</row>
    <row r="904" spans="8:50" x14ac:dyDescent="0.25"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7">
        <f t="shared" ca="1" si="14"/>
        <v>0.30872901398302988</v>
      </c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</row>
    <row r="905" spans="8:50" x14ac:dyDescent="0.25"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7">
        <f t="shared" ca="1" si="14"/>
        <v>0.13822157537041702</v>
      </c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</row>
    <row r="906" spans="8:50" x14ac:dyDescent="0.25"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7">
        <f t="shared" ca="1" si="14"/>
        <v>-6.6232042539746502E-2</v>
      </c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</row>
    <row r="907" spans="8:50" x14ac:dyDescent="0.25"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7">
        <f t="shared" ca="1" si="14"/>
        <v>0.20518317169529229</v>
      </c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</row>
    <row r="908" spans="8:50" x14ac:dyDescent="0.25"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7">
        <f t="shared" ca="1" si="14"/>
        <v>-0.19119520043288857</v>
      </c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</row>
    <row r="909" spans="8:50" x14ac:dyDescent="0.25"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7">
        <f t="shared" ca="1" si="14"/>
        <v>0.18765032333199905</v>
      </c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</row>
    <row r="910" spans="8:50" x14ac:dyDescent="0.25"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7">
        <f t="shared" ca="1" si="14"/>
        <v>-5.6581623867942063E-2</v>
      </c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</row>
    <row r="911" spans="8:50" x14ac:dyDescent="0.25"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7">
        <f t="shared" ca="1" si="14"/>
        <v>0.10623368663119234</v>
      </c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</row>
    <row r="912" spans="8:50" x14ac:dyDescent="0.25"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7">
        <f t="shared" ca="1" si="14"/>
        <v>0.31547435362976062</v>
      </c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</row>
    <row r="913" spans="8:50" x14ac:dyDescent="0.25"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7">
        <f t="shared" ca="1" si="14"/>
        <v>0.1065673330347639</v>
      </c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</row>
    <row r="914" spans="8:50" x14ac:dyDescent="0.25"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7">
        <f t="shared" ca="1" si="14"/>
        <v>0.2423213643787876</v>
      </c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</row>
    <row r="915" spans="8:50" x14ac:dyDescent="0.25"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7">
        <f t="shared" ca="1" si="14"/>
        <v>-0.21569742769553429</v>
      </c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</row>
    <row r="916" spans="8:50" x14ac:dyDescent="0.25"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7">
        <f t="shared" ca="1" si="14"/>
        <v>2.0307351383981265E-2</v>
      </c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</row>
    <row r="917" spans="8:50" x14ac:dyDescent="0.25"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7">
        <f t="shared" ca="1" si="14"/>
        <v>0.21536207754833459</v>
      </c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</row>
    <row r="918" spans="8:50" x14ac:dyDescent="0.25"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7">
        <f t="shared" ca="1" si="14"/>
        <v>0.44713994930375722</v>
      </c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</row>
    <row r="919" spans="8:50" x14ac:dyDescent="0.25"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7">
        <f t="shared" ca="1" si="14"/>
        <v>2.5796236583214283E-4</v>
      </c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</row>
    <row r="920" spans="8:50" x14ac:dyDescent="0.25"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7">
        <f t="shared" ca="1" si="14"/>
        <v>9.3491372676793277E-2</v>
      </c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</row>
    <row r="921" spans="8:50" x14ac:dyDescent="0.25"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7">
        <f t="shared" ca="1" si="14"/>
        <v>-3.8054779543151215E-2</v>
      </c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</row>
    <row r="922" spans="8:50" x14ac:dyDescent="0.25"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7">
        <f t="shared" ca="1" si="14"/>
        <v>-2.5634062529100263E-2</v>
      </c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</row>
    <row r="923" spans="8:50" x14ac:dyDescent="0.25"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7">
        <f t="shared" ca="1" si="14"/>
        <v>0.23177018325887561</v>
      </c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</row>
    <row r="924" spans="8:50" x14ac:dyDescent="0.25"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7">
        <f t="shared" ca="1" si="14"/>
        <v>0.35664874822116166</v>
      </c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</row>
    <row r="925" spans="8:50" x14ac:dyDescent="0.25"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7">
        <f t="shared" ca="1" si="14"/>
        <v>0.2611511405767778</v>
      </c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</row>
    <row r="926" spans="8:50" x14ac:dyDescent="0.25"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7">
        <f t="shared" ca="1" si="14"/>
        <v>0.22718585722058665</v>
      </c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</row>
    <row r="927" spans="8:50" x14ac:dyDescent="0.25"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7">
        <f t="shared" ca="1" si="14"/>
        <v>0.42131139466963008</v>
      </c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</row>
    <row r="928" spans="8:50" x14ac:dyDescent="0.25"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7">
        <f t="shared" ca="1" si="14"/>
        <v>-0.11051452874261329</v>
      </c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</row>
    <row r="929" spans="8:50" x14ac:dyDescent="0.25"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7">
        <f t="shared" ca="1" si="14"/>
        <v>0.33436908782644614</v>
      </c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</row>
    <row r="930" spans="8:50" x14ac:dyDescent="0.25"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7">
        <f t="shared" ca="1" si="14"/>
        <v>0.1413014526547981</v>
      </c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</row>
    <row r="931" spans="8:50" x14ac:dyDescent="0.25"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7">
        <f t="shared" ca="1" si="14"/>
        <v>5.4855395968327843E-2</v>
      </c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</row>
    <row r="932" spans="8:50" x14ac:dyDescent="0.25"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7">
        <f t="shared" ca="1" si="14"/>
        <v>-0.22362466100822048</v>
      </c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</row>
    <row r="933" spans="8:50" x14ac:dyDescent="0.25"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7">
        <f t="shared" ca="1" si="14"/>
        <v>0.22564621754150749</v>
      </c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</row>
    <row r="934" spans="8:50" x14ac:dyDescent="0.25"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7">
        <f t="shared" ca="1" si="14"/>
        <v>8.9118152471737155E-4</v>
      </c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</row>
    <row r="935" spans="8:50" x14ac:dyDescent="0.25"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7">
        <f t="shared" ca="1" si="14"/>
        <v>0.238999689206641</v>
      </c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</row>
    <row r="936" spans="8:50" x14ac:dyDescent="0.25"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7">
        <f t="shared" ca="1" si="14"/>
        <v>4.3345721587786171E-2</v>
      </c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</row>
    <row r="937" spans="8:50" x14ac:dyDescent="0.25"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7">
        <f t="shared" ca="1" si="14"/>
        <v>-0.17988705690850854</v>
      </c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</row>
    <row r="938" spans="8:50" x14ac:dyDescent="0.25"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7">
        <f t="shared" ca="1" si="14"/>
        <v>0.16643125419721566</v>
      </c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</row>
    <row r="939" spans="8:50" x14ac:dyDescent="0.25"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7">
        <f t="shared" ca="1" si="14"/>
        <v>0.35044040772593177</v>
      </c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</row>
    <row r="940" spans="8:50" x14ac:dyDescent="0.25"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7">
        <f t="shared" ca="1" si="14"/>
        <v>9.5558480320308878E-2</v>
      </c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</row>
    <row r="941" spans="8:50" x14ac:dyDescent="0.25"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7">
        <f t="shared" ca="1" si="14"/>
        <v>0.2166513557065825</v>
      </c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</row>
    <row r="942" spans="8:50" x14ac:dyDescent="0.25"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7">
        <f t="shared" ca="1" si="14"/>
        <v>5.8703836066402899E-2</v>
      </c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</row>
    <row r="943" spans="8:50" x14ac:dyDescent="0.25"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7">
        <f t="shared" ca="1" si="14"/>
        <v>0.17167011972771595</v>
      </c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</row>
    <row r="944" spans="8:50" x14ac:dyDescent="0.25"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7">
        <f t="shared" ca="1" si="14"/>
        <v>0.31086403820393799</v>
      </c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</row>
    <row r="945" spans="8:50" x14ac:dyDescent="0.25"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7">
        <f t="shared" ca="1" si="14"/>
        <v>0.21784010737077514</v>
      </c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</row>
    <row r="946" spans="8:50" x14ac:dyDescent="0.25"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7">
        <f t="shared" ca="1" si="14"/>
        <v>-0.13650838478156702</v>
      </c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</row>
    <row r="947" spans="8:50" x14ac:dyDescent="0.25"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7">
        <f t="shared" ca="1" si="14"/>
        <v>-5.8214659363975449E-2</v>
      </c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</row>
    <row r="948" spans="8:50" x14ac:dyDescent="0.25"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7">
        <f t="shared" ca="1" si="14"/>
        <v>0.16359665076779922</v>
      </c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</row>
    <row r="949" spans="8:50" x14ac:dyDescent="0.25"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7">
        <f t="shared" ca="1" si="14"/>
        <v>0.38191360837502314</v>
      </c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</row>
    <row r="950" spans="8:50" x14ac:dyDescent="0.25"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7">
        <f t="shared" ca="1" si="14"/>
        <v>0.12019197024275263</v>
      </c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</row>
    <row r="951" spans="8:50" x14ac:dyDescent="0.25"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7">
        <f t="shared" ca="1" si="14"/>
        <v>0.10646955519420638</v>
      </c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</row>
    <row r="952" spans="8:50" x14ac:dyDescent="0.25"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7">
        <f t="shared" ca="1" si="14"/>
        <v>-3.6490760196976751E-3</v>
      </c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</row>
    <row r="953" spans="8:50" x14ac:dyDescent="0.25"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7">
        <f t="shared" ca="1" si="14"/>
        <v>0.27303725098580411</v>
      </c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</row>
    <row r="954" spans="8:50" x14ac:dyDescent="0.25"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7">
        <f t="shared" ca="1" si="14"/>
        <v>0.11427798578493779</v>
      </c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</row>
    <row r="955" spans="8:50" x14ac:dyDescent="0.25"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7">
        <f t="shared" ca="1" si="14"/>
        <v>6.9475728861151026E-2</v>
      </c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</row>
    <row r="956" spans="8:50" x14ac:dyDescent="0.25"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7">
        <f t="shared" ca="1" si="14"/>
        <v>0.37983647772058177</v>
      </c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</row>
    <row r="957" spans="8:50" x14ac:dyDescent="0.25"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7">
        <f t="shared" ca="1" si="14"/>
        <v>0.23953026946101008</v>
      </c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</row>
    <row r="958" spans="8:50" x14ac:dyDescent="0.25"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7">
        <f t="shared" ca="1" si="14"/>
        <v>9.0366305530073313E-2</v>
      </c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</row>
    <row r="959" spans="8:50" x14ac:dyDescent="0.25"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7">
        <f t="shared" ca="1" si="14"/>
        <v>0.11125857121951353</v>
      </c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</row>
    <row r="960" spans="8:50" x14ac:dyDescent="0.25"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7">
        <f t="shared" ca="1" si="14"/>
        <v>9.2066655622815921E-2</v>
      </c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</row>
    <row r="961" spans="8:50" x14ac:dyDescent="0.25"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7">
        <f t="shared" ca="1" si="14"/>
        <v>0.1185469082540952</v>
      </c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</row>
    <row r="962" spans="8:50" x14ac:dyDescent="0.25"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7">
        <f t="shared" ca="1" si="14"/>
        <v>0.21943715660267477</v>
      </c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</row>
    <row r="963" spans="8:50" x14ac:dyDescent="0.25"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7">
        <f t="shared" ca="1" si="14"/>
        <v>0.22366422557244148</v>
      </c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</row>
    <row r="964" spans="8:50" x14ac:dyDescent="0.25"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7">
        <f t="shared" ca="1" si="14"/>
        <v>0.29266499021096454</v>
      </c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</row>
    <row r="965" spans="8:50" x14ac:dyDescent="0.25"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7">
        <f t="shared" ca="1" si="14"/>
        <v>4.72799472916349E-2</v>
      </c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</row>
    <row r="966" spans="8:50" x14ac:dyDescent="0.25"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7">
        <f t="shared" ref="W966:W1029" ca="1" si="15">+NORMINV(RAND(),$U$2,$U$3)</f>
        <v>0.18082161977290478</v>
      </c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</row>
    <row r="967" spans="8:50" x14ac:dyDescent="0.25"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7">
        <f t="shared" ca="1" si="15"/>
        <v>0.37659681659161576</v>
      </c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</row>
    <row r="968" spans="8:50" x14ac:dyDescent="0.25"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7">
        <f t="shared" ca="1" si="15"/>
        <v>1.4299139132515543E-2</v>
      </c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</row>
    <row r="969" spans="8:50" x14ac:dyDescent="0.25"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7">
        <f t="shared" ca="1" si="15"/>
        <v>1.7746502034847872E-3</v>
      </c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</row>
    <row r="970" spans="8:50" x14ac:dyDescent="0.25"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7">
        <f t="shared" ca="1" si="15"/>
        <v>4.2424859128613532E-2</v>
      </c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</row>
    <row r="971" spans="8:50" x14ac:dyDescent="0.25"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7">
        <f t="shared" ca="1" si="15"/>
        <v>-0.34418892272351559</v>
      </c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</row>
    <row r="972" spans="8:50" x14ac:dyDescent="0.25"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7">
        <f t="shared" ca="1" si="15"/>
        <v>0.33170735081349789</v>
      </c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</row>
    <row r="973" spans="8:50" x14ac:dyDescent="0.25"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7">
        <f t="shared" ca="1" si="15"/>
        <v>0.23682021848713253</v>
      </c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</row>
    <row r="974" spans="8:50" x14ac:dyDescent="0.25"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7">
        <f t="shared" ca="1" si="15"/>
        <v>-9.6465567831135926E-2</v>
      </c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</row>
    <row r="975" spans="8:50" x14ac:dyDescent="0.25"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7">
        <f t="shared" ca="1" si="15"/>
        <v>0.23845326862982275</v>
      </c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</row>
    <row r="976" spans="8:50" x14ac:dyDescent="0.25"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7">
        <f t="shared" ca="1" si="15"/>
        <v>-2.0661141958095777E-2</v>
      </c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</row>
    <row r="977" spans="8:50" x14ac:dyDescent="0.25"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7">
        <f t="shared" ca="1" si="15"/>
        <v>-8.7109234232181018E-2</v>
      </c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</row>
    <row r="978" spans="8:50" x14ac:dyDescent="0.25"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7">
        <f t="shared" ca="1" si="15"/>
        <v>5.8281079393530451E-2</v>
      </c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</row>
    <row r="979" spans="8:50" x14ac:dyDescent="0.25"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7">
        <f t="shared" ca="1" si="15"/>
        <v>0.31453931170915489</v>
      </c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</row>
    <row r="980" spans="8:50" x14ac:dyDescent="0.25"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7">
        <f t="shared" ca="1" si="15"/>
        <v>6.0589843105672447E-2</v>
      </c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</row>
    <row r="981" spans="8:50" x14ac:dyDescent="0.25"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7">
        <f t="shared" ca="1" si="15"/>
        <v>0.29924648529223896</v>
      </c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</row>
    <row r="982" spans="8:50" x14ac:dyDescent="0.25"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7">
        <f t="shared" ca="1" si="15"/>
        <v>-0.14222919945076862</v>
      </c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</row>
    <row r="983" spans="8:50" x14ac:dyDescent="0.25"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7">
        <f t="shared" ca="1" si="15"/>
        <v>8.3616470361128903E-2</v>
      </c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</row>
    <row r="984" spans="8:50" x14ac:dyDescent="0.25"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7">
        <f t="shared" ca="1" si="15"/>
        <v>3.0290014314420341E-2</v>
      </c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</row>
    <row r="985" spans="8:50" x14ac:dyDescent="0.25"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7">
        <f t="shared" ca="1" si="15"/>
        <v>0.48327375892236779</v>
      </c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</row>
    <row r="986" spans="8:50" x14ac:dyDescent="0.25"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7">
        <f t="shared" ca="1" si="15"/>
        <v>7.1544606965927043E-2</v>
      </c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</row>
    <row r="987" spans="8:50" x14ac:dyDescent="0.25"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7">
        <f t="shared" ca="1" si="15"/>
        <v>0.22200237482471877</v>
      </c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</row>
    <row r="988" spans="8:50" x14ac:dyDescent="0.25"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7">
        <f t="shared" ca="1" si="15"/>
        <v>0.33711221670604663</v>
      </c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</row>
    <row r="989" spans="8:50" x14ac:dyDescent="0.25"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7">
        <f t="shared" ca="1" si="15"/>
        <v>0.10239588870456727</v>
      </c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</row>
    <row r="990" spans="8:50" x14ac:dyDescent="0.25"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7">
        <f t="shared" ca="1" si="15"/>
        <v>0.22629377013405039</v>
      </c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</row>
    <row r="991" spans="8:50" x14ac:dyDescent="0.25"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7">
        <f t="shared" ca="1" si="15"/>
        <v>5.5923732173458682E-2</v>
      </c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</row>
    <row r="992" spans="8:50" x14ac:dyDescent="0.25"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7">
        <f t="shared" ca="1" si="15"/>
        <v>3.0309024777115806E-2</v>
      </c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</row>
    <row r="993" spans="8:50" x14ac:dyDescent="0.25"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7">
        <f t="shared" ca="1" si="15"/>
        <v>0.24855713449957167</v>
      </c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</row>
    <row r="994" spans="8:50" x14ac:dyDescent="0.25"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7">
        <f t="shared" ca="1" si="15"/>
        <v>0.13303818741329662</v>
      </c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</row>
    <row r="995" spans="8:50" x14ac:dyDescent="0.25"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7">
        <f t="shared" ca="1" si="15"/>
        <v>-0.27706819808153021</v>
      </c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</row>
    <row r="996" spans="8:50" x14ac:dyDescent="0.25"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7">
        <f t="shared" ca="1" si="15"/>
        <v>7.2873212824200007E-2</v>
      </c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</row>
    <row r="997" spans="8:50" x14ac:dyDescent="0.25"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7">
        <f t="shared" ca="1" si="15"/>
        <v>0.20859476378558856</v>
      </c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</row>
    <row r="998" spans="8:50" x14ac:dyDescent="0.25"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7">
        <f t="shared" ca="1" si="15"/>
        <v>6.7691330960677754E-3</v>
      </c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</row>
    <row r="999" spans="8:50" x14ac:dyDescent="0.25"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7">
        <f t="shared" ca="1" si="15"/>
        <v>0.22341516500716962</v>
      </c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</row>
    <row r="1000" spans="8:50" x14ac:dyDescent="0.25"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7">
        <f t="shared" ca="1" si="15"/>
        <v>-0.24022041020534529</v>
      </c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</row>
    <row r="1001" spans="8:50" x14ac:dyDescent="0.25"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7">
        <f t="shared" ca="1" si="15"/>
        <v>0.13447263666729597</v>
      </c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</row>
    <row r="1002" spans="8:50" x14ac:dyDescent="0.25"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7">
        <f t="shared" ca="1" si="15"/>
        <v>-8.022652205660287E-2</v>
      </c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</row>
    <row r="1003" spans="8:50" x14ac:dyDescent="0.25"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7">
        <f t="shared" ca="1" si="15"/>
        <v>0.2171383289310595</v>
      </c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</row>
    <row r="1004" spans="8:50" x14ac:dyDescent="0.25"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7">
        <f t="shared" ca="1" si="15"/>
        <v>0.20624547915249364</v>
      </c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</row>
    <row r="1005" spans="8:50" x14ac:dyDescent="0.25"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7">
        <f t="shared" ca="1" si="15"/>
        <v>3.470854279821331E-2</v>
      </c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</row>
    <row r="1006" spans="8:50" x14ac:dyDescent="0.25"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7">
        <f t="shared" ca="1" si="15"/>
        <v>0.11453388853142785</v>
      </c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</row>
    <row r="1007" spans="8:50" x14ac:dyDescent="0.25"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7">
        <f t="shared" ca="1" si="15"/>
        <v>0.15985469926694923</v>
      </c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</row>
    <row r="1008" spans="8:50" x14ac:dyDescent="0.25"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7">
        <f t="shared" ca="1" si="15"/>
        <v>0.30242583809152684</v>
      </c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  <c r="AP1008" s="3"/>
      <c r="AQ1008" s="3"/>
      <c r="AR1008" s="3"/>
      <c r="AS1008" s="3"/>
      <c r="AT1008" s="3"/>
      <c r="AU1008" s="3"/>
      <c r="AV1008" s="3"/>
      <c r="AW1008" s="3"/>
      <c r="AX1008" s="3"/>
    </row>
    <row r="1009" spans="8:50" x14ac:dyDescent="0.25"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7">
        <f t="shared" ca="1" si="15"/>
        <v>-5.6393610640384464E-2</v>
      </c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3"/>
      <c r="AV1009" s="3"/>
      <c r="AW1009" s="3"/>
      <c r="AX1009" s="3"/>
    </row>
    <row r="1010" spans="8:50" x14ac:dyDescent="0.25"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7">
        <f t="shared" ca="1" si="15"/>
        <v>0.22571328167552945</v>
      </c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</row>
    <row r="1011" spans="8:50" x14ac:dyDescent="0.25"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7">
        <f t="shared" ca="1" si="15"/>
        <v>5.5465191224079766E-2</v>
      </c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</row>
    <row r="1012" spans="8:50" x14ac:dyDescent="0.25"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7">
        <f t="shared" ca="1" si="15"/>
        <v>3.4364621920662058E-2</v>
      </c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</row>
    <row r="1013" spans="8:50" x14ac:dyDescent="0.25"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7">
        <f t="shared" ca="1" si="15"/>
        <v>0.36683086931922942</v>
      </c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</row>
    <row r="1014" spans="8:50" x14ac:dyDescent="0.25"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7">
        <f t="shared" ca="1" si="15"/>
        <v>0.12141727339342226</v>
      </c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</row>
    <row r="1015" spans="8:50" x14ac:dyDescent="0.25"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7">
        <f t="shared" ca="1" si="15"/>
        <v>0.22937727285797163</v>
      </c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</row>
    <row r="1016" spans="8:50" x14ac:dyDescent="0.25"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7">
        <f t="shared" ca="1" si="15"/>
        <v>-4.2561567313208079E-2</v>
      </c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</row>
    <row r="1017" spans="8:50" x14ac:dyDescent="0.25"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7">
        <f t="shared" ca="1" si="15"/>
        <v>3.3267228257005663E-2</v>
      </c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</row>
    <row r="1018" spans="8:50" x14ac:dyDescent="0.25"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7">
        <f t="shared" ca="1" si="15"/>
        <v>-2.7129349101551917E-2</v>
      </c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</row>
    <row r="1019" spans="8:50" x14ac:dyDescent="0.25"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7">
        <f t="shared" ca="1" si="15"/>
        <v>0.30399082164590963</v>
      </c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</row>
    <row r="1020" spans="8:50" x14ac:dyDescent="0.25"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7">
        <f t="shared" ca="1" si="15"/>
        <v>0.22849036933151445</v>
      </c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</row>
    <row r="1021" spans="8:50" x14ac:dyDescent="0.25"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7">
        <f t="shared" ca="1" si="15"/>
        <v>0.50325281529132704</v>
      </c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</row>
    <row r="1022" spans="8:50" x14ac:dyDescent="0.25"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7">
        <f t="shared" ca="1" si="15"/>
        <v>-2.8317607721450297E-2</v>
      </c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  <c r="AH1022" s="3"/>
      <c r="AI1022" s="3"/>
      <c r="AJ1022" s="3"/>
      <c r="AK1022" s="3"/>
      <c r="AL1022" s="3"/>
      <c r="AM1022" s="3"/>
      <c r="AN1022" s="3"/>
      <c r="AO1022" s="3"/>
      <c r="AP1022" s="3"/>
      <c r="AQ1022" s="3"/>
      <c r="AR1022" s="3"/>
      <c r="AS1022" s="3"/>
      <c r="AT1022" s="3"/>
      <c r="AU1022" s="3"/>
      <c r="AV1022" s="3"/>
      <c r="AW1022" s="3"/>
      <c r="AX1022" s="3"/>
    </row>
    <row r="1023" spans="8:50" x14ac:dyDescent="0.25"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7">
        <f t="shared" ca="1" si="15"/>
        <v>0.47290156051609894</v>
      </c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  <c r="AH1023" s="3"/>
      <c r="AI1023" s="3"/>
      <c r="AJ1023" s="3"/>
      <c r="AK1023" s="3"/>
      <c r="AL1023" s="3"/>
      <c r="AM1023" s="3"/>
      <c r="AN1023" s="3"/>
      <c r="AO1023" s="3"/>
      <c r="AP1023" s="3"/>
      <c r="AQ1023" s="3"/>
      <c r="AR1023" s="3"/>
      <c r="AS1023" s="3"/>
      <c r="AT1023" s="3"/>
      <c r="AU1023" s="3"/>
      <c r="AV1023" s="3"/>
      <c r="AW1023" s="3"/>
      <c r="AX1023" s="3"/>
    </row>
    <row r="1024" spans="8:50" x14ac:dyDescent="0.25"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7">
        <f t="shared" ca="1" si="15"/>
        <v>0.16120799643706937</v>
      </c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</row>
    <row r="1025" spans="8:50" x14ac:dyDescent="0.25"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7">
        <f t="shared" ca="1" si="15"/>
        <v>0.22154468779259257</v>
      </c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</row>
    <row r="1026" spans="8:50" x14ac:dyDescent="0.25"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7">
        <f t="shared" ca="1" si="15"/>
        <v>0.41457397656837469</v>
      </c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</row>
    <row r="1027" spans="8:50" x14ac:dyDescent="0.25"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7">
        <f t="shared" ca="1" si="15"/>
        <v>8.3224123309267789E-2</v>
      </c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</row>
    <row r="1028" spans="8:50" x14ac:dyDescent="0.25"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7">
        <f t="shared" ca="1" si="15"/>
        <v>0.26274766929814047</v>
      </c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</row>
    <row r="1029" spans="8:50" x14ac:dyDescent="0.25"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7">
        <f t="shared" ca="1" si="15"/>
        <v>0.25317532815603466</v>
      </c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</row>
    <row r="1030" spans="8:50" x14ac:dyDescent="0.25"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7">
        <f t="shared" ref="W1030:W1093" ca="1" si="16">+NORMINV(RAND(),$U$2,$U$3)</f>
        <v>0.19057528944439267</v>
      </c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</row>
    <row r="1031" spans="8:50" x14ac:dyDescent="0.25"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7">
        <f t="shared" ca="1" si="16"/>
        <v>-1.9263825141172947E-3</v>
      </c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</row>
    <row r="1032" spans="8:50" x14ac:dyDescent="0.25"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7">
        <f t="shared" ca="1" si="16"/>
        <v>-3.048367576019563E-2</v>
      </c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</row>
    <row r="1033" spans="8:50" x14ac:dyDescent="0.25"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7">
        <f t="shared" ca="1" si="16"/>
        <v>6.3881762478814608E-2</v>
      </c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</row>
    <row r="1034" spans="8:50" x14ac:dyDescent="0.25"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7">
        <f t="shared" ca="1" si="16"/>
        <v>-2.8183592122511494E-2</v>
      </c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</row>
    <row r="1035" spans="8:50" x14ac:dyDescent="0.25"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7">
        <f t="shared" ca="1" si="16"/>
        <v>1.6656377612705928E-2</v>
      </c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</row>
    <row r="1036" spans="8:50" x14ac:dyDescent="0.25"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7">
        <f t="shared" ca="1" si="16"/>
        <v>4.4349327120009122E-2</v>
      </c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  <c r="AV1036" s="3"/>
      <c r="AW1036" s="3"/>
      <c r="AX1036" s="3"/>
    </row>
    <row r="1037" spans="8:50" x14ac:dyDescent="0.25"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7">
        <f t="shared" ca="1" si="16"/>
        <v>0.33319775370220955</v>
      </c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  <c r="AV1037" s="3"/>
      <c r="AW1037" s="3"/>
      <c r="AX1037" s="3"/>
    </row>
    <row r="1038" spans="8:50" x14ac:dyDescent="0.25"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7">
        <f t="shared" ca="1" si="16"/>
        <v>-6.1003043573812921E-3</v>
      </c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</row>
    <row r="1039" spans="8:50" x14ac:dyDescent="0.25"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7">
        <f t="shared" ca="1" si="16"/>
        <v>0.17067135691121582</v>
      </c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</row>
    <row r="1040" spans="8:50" x14ac:dyDescent="0.25"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7">
        <f t="shared" ca="1" si="16"/>
        <v>0.21159802211911233</v>
      </c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</row>
    <row r="1041" spans="8:50" x14ac:dyDescent="0.25"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7">
        <f t="shared" ca="1" si="16"/>
        <v>1.1668545798112065E-2</v>
      </c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</row>
    <row r="1042" spans="8:50" x14ac:dyDescent="0.25"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7">
        <f t="shared" ca="1" si="16"/>
        <v>-4.4848180504718962E-2</v>
      </c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</row>
    <row r="1043" spans="8:50" x14ac:dyDescent="0.25"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7">
        <f t="shared" ca="1" si="16"/>
        <v>-0.19499522444541578</v>
      </c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</row>
    <row r="1044" spans="8:50" x14ac:dyDescent="0.25"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7">
        <f t="shared" ca="1" si="16"/>
        <v>-6.3253701393536088E-3</v>
      </c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</row>
    <row r="1045" spans="8:50" x14ac:dyDescent="0.25"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7">
        <f t="shared" ca="1" si="16"/>
        <v>0.12946607132540938</v>
      </c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</row>
    <row r="1046" spans="8:50" x14ac:dyDescent="0.25"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7">
        <f t="shared" ca="1" si="16"/>
        <v>0.18349367287160456</v>
      </c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</row>
    <row r="1047" spans="8:50" x14ac:dyDescent="0.25"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7">
        <f t="shared" ca="1" si="16"/>
        <v>1.078481509872406E-2</v>
      </c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</row>
    <row r="1048" spans="8:50" x14ac:dyDescent="0.25"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7">
        <f t="shared" ca="1" si="16"/>
        <v>0.14287979483218041</v>
      </c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</row>
    <row r="1049" spans="8:50" x14ac:dyDescent="0.25"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7">
        <f t="shared" ca="1" si="16"/>
        <v>4.958469944612201E-3</v>
      </c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</row>
    <row r="1050" spans="8:50" x14ac:dyDescent="0.25"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7">
        <f t="shared" ca="1" si="16"/>
        <v>0.18763923104922933</v>
      </c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  <c r="AH1050" s="3"/>
      <c r="AI1050" s="3"/>
      <c r="AJ1050" s="3"/>
      <c r="AK1050" s="3"/>
      <c r="AL1050" s="3"/>
      <c r="AM1050" s="3"/>
      <c r="AN1050" s="3"/>
      <c r="AO1050" s="3"/>
      <c r="AP1050" s="3"/>
      <c r="AQ1050" s="3"/>
      <c r="AR1050" s="3"/>
      <c r="AS1050" s="3"/>
      <c r="AT1050" s="3"/>
      <c r="AU1050" s="3"/>
      <c r="AV1050" s="3"/>
      <c r="AW1050" s="3"/>
      <c r="AX1050" s="3"/>
    </row>
    <row r="1051" spans="8:50" x14ac:dyDescent="0.25"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7">
        <f t="shared" ca="1" si="16"/>
        <v>-0.1602705226544397</v>
      </c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  <c r="AH1051" s="3"/>
      <c r="AI1051" s="3"/>
      <c r="AJ1051" s="3"/>
      <c r="AK1051" s="3"/>
      <c r="AL1051" s="3"/>
      <c r="AM1051" s="3"/>
      <c r="AN1051" s="3"/>
      <c r="AO1051" s="3"/>
      <c r="AP1051" s="3"/>
      <c r="AQ1051" s="3"/>
      <c r="AR1051" s="3"/>
      <c r="AS1051" s="3"/>
      <c r="AT1051" s="3"/>
      <c r="AU1051" s="3"/>
      <c r="AV1051" s="3"/>
      <c r="AW1051" s="3"/>
      <c r="AX1051" s="3"/>
    </row>
    <row r="1052" spans="8:50" x14ac:dyDescent="0.25"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7">
        <f t="shared" ca="1" si="16"/>
        <v>0.12384188994884174</v>
      </c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</row>
    <row r="1053" spans="8:50" x14ac:dyDescent="0.25"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7">
        <f t="shared" ca="1" si="16"/>
        <v>2.8471628149091863E-2</v>
      </c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</row>
    <row r="1054" spans="8:50" x14ac:dyDescent="0.25"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7">
        <f t="shared" ca="1" si="16"/>
        <v>-0.12531796450201321</v>
      </c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</row>
    <row r="1055" spans="8:50" x14ac:dyDescent="0.25"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7">
        <f t="shared" ca="1" si="16"/>
        <v>0.6866681260326789</v>
      </c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</row>
    <row r="1056" spans="8:50" x14ac:dyDescent="0.25"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7">
        <f t="shared" ca="1" si="16"/>
        <v>8.1863049329842313E-2</v>
      </c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</row>
    <row r="1057" spans="8:50" x14ac:dyDescent="0.25"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7">
        <f t="shared" ca="1" si="16"/>
        <v>0.2716520860902224</v>
      </c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</row>
    <row r="1058" spans="8:50" x14ac:dyDescent="0.25"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7">
        <f t="shared" ca="1" si="16"/>
        <v>-2.5801559208538938E-3</v>
      </c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</row>
    <row r="1059" spans="8:50" x14ac:dyDescent="0.25"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7">
        <f t="shared" ca="1" si="16"/>
        <v>8.8079607489608358E-2</v>
      </c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</row>
    <row r="1060" spans="8:50" x14ac:dyDescent="0.25"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7">
        <f t="shared" ca="1" si="16"/>
        <v>0.19204449119524697</v>
      </c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</row>
    <row r="1061" spans="8:50" x14ac:dyDescent="0.25"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7">
        <f t="shared" ca="1" si="16"/>
        <v>0.36622336235393249</v>
      </c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</row>
    <row r="1062" spans="8:50" x14ac:dyDescent="0.25"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7">
        <f t="shared" ca="1" si="16"/>
        <v>0.12254669667277969</v>
      </c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</row>
    <row r="1063" spans="8:50" x14ac:dyDescent="0.25"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7">
        <f t="shared" ca="1" si="16"/>
        <v>0.37024471454329561</v>
      </c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</row>
    <row r="1064" spans="8:50" x14ac:dyDescent="0.25"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7">
        <f t="shared" ca="1" si="16"/>
        <v>-8.5964497448922303E-2</v>
      </c>
      <c r="X1064" s="3"/>
      <c r="Y1064" s="3"/>
      <c r="Z1064" s="3"/>
      <c r="AA1064" s="3"/>
      <c r="AB1064" s="3"/>
      <c r="AC1064" s="3"/>
      <c r="AD1064" s="3"/>
      <c r="AE1064" s="3"/>
      <c r="AF1064" s="3"/>
      <c r="AG1064" s="3"/>
      <c r="AH1064" s="3"/>
      <c r="AI1064" s="3"/>
      <c r="AJ1064" s="3"/>
      <c r="AK1064" s="3"/>
      <c r="AL1064" s="3"/>
      <c r="AM1064" s="3"/>
      <c r="AN1064" s="3"/>
      <c r="AO1064" s="3"/>
      <c r="AP1064" s="3"/>
      <c r="AQ1064" s="3"/>
      <c r="AR1064" s="3"/>
      <c r="AS1064" s="3"/>
      <c r="AT1064" s="3"/>
      <c r="AU1064" s="3"/>
      <c r="AV1064" s="3"/>
      <c r="AW1064" s="3"/>
      <c r="AX1064" s="3"/>
    </row>
    <row r="1065" spans="8:50" x14ac:dyDescent="0.25"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7">
        <f t="shared" ca="1" si="16"/>
        <v>0.28620327269232426</v>
      </c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  <c r="AH1065" s="3"/>
      <c r="AI1065" s="3"/>
      <c r="AJ1065" s="3"/>
      <c r="AK1065" s="3"/>
      <c r="AL1065" s="3"/>
      <c r="AM1065" s="3"/>
      <c r="AN1065" s="3"/>
      <c r="AO1065" s="3"/>
      <c r="AP1065" s="3"/>
      <c r="AQ1065" s="3"/>
      <c r="AR1065" s="3"/>
      <c r="AS1065" s="3"/>
      <c r="AT1065" s="3"/>
      <c r="AU1065" s="3"/>
      <c r="AV1065" s="3"/>
      <c r="AW1065" s="3"/>
      <c r="AX1065" s="3"/>
    </row>
    <row r="1066" spans="8:50" x14ac:dyDescent="0.25"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7">
        <f t="shared" ca="1" si="16"/>
        <v>0.20327615435908197</v>
      </c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</row>
    <row r="1067" spans="8:50" x14ac:dyDescent="0.25"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7">
        <f t="shared" ca="1" si="16"/>
        <v>-7.6127286127892532E-2</v>
      </c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</row>
    <row r="1068" spans="8:50" x14ac:dyDescent="0.25"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7">
        <f t="shared" ca="1" si="16"/>
        <v>-3.5313364221144769E-2</v>
      </c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</row>
    <row r="1069" spans="8:50" x14ac:dyDescent="0.25"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7">
        <f t="shared" ca="1" si="16"/>
        <v>-0.21930157642706494</v>
      </c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</row>
    <row r="1070" spans="8:50" x14ac:dyDescent="0.25"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7">
        <f t="shared" ca="1" si="16"/>
        <v>0.30220561388583511</v>
      </c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</row>
    <row r="1071" spans="8:50" x14ac:dyDescent="0.25"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7">
        <f t="shared" ca="1" si="16"/>
        <v>0.14429632059755701</v>
      </c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</row>
    <row r="1072" spans="8:50" x14ac:dyDescent="0.25"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7">
        <f t="shared" ca="1" si="16"/>
        <v>0.10532651659826255</v>
      </c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</row>
    <row r="1073" spans="8:50" x14ac:dyDescent="0.25"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7">
        <f t="shared" ca="1" si="16"/>
        <v>0.20665014316988936</v>
      </c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</row>
    <row r="1074" spans="8:50" x14ac:dyDescent="0.25"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7">
        <f t="shared" ca="1" si="16"/>
        <v>0.16647411586315344</v>
      </c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</row>
    <row r="1075" spans="8:50" x14ac:dyDescent="0.25"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7">
        <f t="shared" ca="1" si="16"/>
        <v>-3.0968788957493457E-2</v>
      </c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</row>
    <row r="1076" spans="8:50" x14ac:dyDescent="0.25"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7">
        <f t="shared" ca="1" si="16"/>
        <v>0.19164829622741719</v>
      </c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</row>
    <row r="1077" spans="8:50" x14ac:dyDescent="0.25"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7">
        <f t="shared" ca="1" si="16"/>
        <v>-8.0026573348430649E-2</v>
      </c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</row>
    <row r="1078" spans="8:50" x14ac:dyDescent="0.25"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7">
        <f t="shared" ca="1" si="16"/>
        <v>4.0626902400409531E-2</v>
      </c>
      <c r="X1078" s="3"/>
      <c r="Y1078" s="3"/>
      <c r="Z1078" s="3"/>
      <c r="AA1078" s="3"/>
      <c r="AB1078" s="3"/>
      <c r="AC1078" s="3"/>
      <c r="AD1078" s="3"/>
      <c r="AE1078" s="3"/>
      <c r="AF1078" s="3"/>
      <c r="AG1078" s="3"/>
      <c r="AH1078" s="3"/>
      <c r="AI1078" s="3"/>
      <c r="AJ1078" s="3"/>
      <c r="AK1078" s="3"/>
      <c r="AL1078" s="3"/>
      <c r="AM1078" s="3"/>
      <c r="AN1078" s="3"/>
      <c r="AO1078" s="3"/>
      <c r="AP1078" s="3"/>
      <c r="AQ1078" s="3"/>
      <c r="AR1078" s="3"/>
      <c r="AS1078" s="3"/>
      <c r="AT1078" s="3"/>
      <c r="AU1078" s="3"/>
      <c r="AV1078" s="3"/>
      <c r="AW1078" s="3"/>
      <c r="AX1078" s="3"/>
    </row>
    <row r="1079" spans="8:50" x14ac:dyDescent="0.25"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7">
        <f t="shared" ca="1" si="16"/>
        <v>0.4609583385513249</v>
      </c>
      <c r="X1079" s="3"/>
      <c r="Y1079" s="3"/>
      <c r="Z1079" s="3"/>
      <c r="AA1079" s="3"/>
      <c r="AB1079" s="3"/>
      <c r="AC1079" s="3"/>
      <c r="AD1079" s="3"/>
      <c r="AE1079" s="3"/>
      <c r="AF1079" s="3"/>
      <c r="AG1079" s="3"/>
      <c r="AH1079" s="3"/>
      <c r="AI1079" s="3"/>
      <c r="AJ1079" s="3"/>
      <c r="AK1079" s="3"/>
      <c r="AL1079" s="3"/>
      <c r="AM1079" s="3"/>
      <c r="AN1079" s="3"/>
      <c r="AO1079" s="3"/>
      <c r="AP1079" s="3"/>
      <c r="AQ1079" s="3"/>
      <c r="AR1079" s="3"/>
      <c r="AS1079" s="3"/>
      <c r="AT1079" s="3"/>
      <c r="AU1079" s="3"/>
      <c r="AV1079" s="3"/>
      <c r="AW1079" s="3"/>
      <c r="AX1079" s="3"/>
    </row>
    <row r="1080" spans="8:50" x14ac:dyDescent="0.25"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7">
        <f t="shared" ca="1" si="16"/>
        <v>0.25524640519800823</v>
      </c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</row>
    <row r="1081" spans="8:50" x14ac:dyDescent="0.25"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7">
        <f t="shared" ca="1" si="16"/>
        <v>-6.1800316994607835E-3</v>
      </c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</row>
    <row r="1082" spans="8:50" x14ac:dyDescent="0.25"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7">
        <f t="shared" ca="1" si="16"/>
        <v>-1.5565687631758626E-2</v>
      </c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</row>
    <row r="1083" spans="8:50" x14ac:dyDescent="0.25"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7">
        <f t="shared" ca="1" si="16"/>
        <v>0.11808306549199221</v>
      </c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</row>
    <row r="1084" spans="8:50" x14ac:dyDescent="0.25"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7">
        <f t="shared" ca="1" si="16"/>
        <v>0.30122161638484468</v>
      </c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</row>
    <row r="1085" spans="8:50" x14ac:dyDescent="0.25"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7">
        <f t="shared" ca="1" si="16"/>
        <v>0.18145265187685009</v>
      </c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</row>
    <row r="1086" spans="8:50" x14ac:dyDescent="0.25"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7">
        <f t="shared" ca="1" si="16"/>
        <v>-0.13359809214540325</v>
      </c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</row>
    <row r="1087" spans="8:50" x14ac:dyDescent="0.25"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7">
        <f t="shared" ca="1" si="16"/>
        <v>0.37138034349751475</v>
      </c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</row>
    <row r="1088" spans="8:50" x14ac:dyDescent="0.25"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7">
        <f t="shared" ca="1" si="16"/>
        <v>0.27654908532933331</v>
      </c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</row>
    <row r="1089" spans="8:50" x14ac:dyDescent="0.25"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7">
        <f t="shared" ca="1" si="16"/>
        <v>5.6339051720776079E-2</v>
      </c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</row>
    <row r="1090" spans="8:50" x14ac:dyDescent="0.25"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7">
        <f t="shared" ca="1" si="16"/>
        <v>0.16419411441090329</v>
      </c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</row>
    <row r="1091" spans="8:50" x14ac:dyDescent="0.25"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7">
        <f t="shared" ca="1" si="16"/>
        <v>0.47418247177454043</v>
      </c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</row>
    <row r="1092" spans="8:50" x14ac:dyDescent="0.25"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7">
        <f t="shared" ca="1" si="16"/>
        <v>-4.6541319223922364E-2</v>
      </c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  <c r="AH1092" s="3"/>
      <c r="AI1092" s="3"/>
      <c r="AJ1092" s="3"/>
      <c r="AK1092" s="3"/>
      <c r="AL1092" s="3"/>
      <c r="AM1092" s="3"/>
      <c r="AN1092" s="3"/>
      <c r="AO1092" s="3"/>
      <c r="AP1092" s="3"/>
      <c r="AQ1092" s="3"/>
      <c r="AR1092" s="3"/>
      <c r="AS1092" s="3"/>
      <c r="AT1092" s="3"/>
      <c r="AU1092" s="3"/>
      <c r="AV1092" s="3"/>
      <c r="AW1092" s="3"/>
      <c r="AX1092" s="3"/>
    </row>
    <row r="1093" spans="8:50" x14ac:dyDescent="0.25"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7">
        <f t="shared" ca="1" si="16"/>
        <v>0.11478629960296168</v>
      </c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  <c r="AH1093" s="3"/>
      <c r="AI1093" s="3"/>
      <c r="AJ1093" s="3"/>
      <c r="AK1093" s="3"/>
      <c r="AL1093" s="3"/>
      <c r="AM1093" s="3"/>
      <c r="AN1093" s="3"/>
      <c r="AO1093" s="3"/>
      <c r="AP1093" s="3"/>
      <c r="AQ1093" s="3"/>
      <c r="AR1093" s="3"/>
      <c r="AS1093" s="3"/>
      <c r="AT1093" s="3"/>
      <c r="AU1093" s="3"/>
      <c r="AV1093" s="3"/>
      <c r="AW1093" s="3"/>
      <c r="AX1093" s="3"/>
    </row>
    <row r="1094" spans="8:50" x14ac:dyDescent="0.25"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7">
        <f t="shared" ref="W1094:W1157" ca="1" si="17">+NORMINV(RAND(),$U$2,$U$3)</f>
        <v>0.22638895211874144</v>
      </c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</row>
    <row r="1095" spans="8:50" x14ac:dyDescent="0.25"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7">
        <f t="shared" ca="1" si="17"/>
        <v>0.1954448626989635</v>
      </c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</row>
    <row r="1096" spans="8:50" x14ac:dyDescent="0.25"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7">
        <f t="shared" ca="1" si="17"/>
        <v>0.19148493819187784</v>
      </c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</row>
    <row r="1097" spans="8:50" x14ac:dyDescent="0.25"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7">
        <f t="shared" ca="1" si="17"/>
        <v>9.3156890845954576E-2</v>
      </c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</row>
    <row r="1098" spans="8:50" x14ac:dyDescent="0.25"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7">
        <f t="shared" ca="1" si="17"/>
        <v>0.11915208856246338</v>
      </c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</row>
    <row r="1099" spans="8:50" x14ac:dyDescent="0.25"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7">
        <f t="shared" ca="1" si="17"/>
        <v>0.46938752360240421</v>
      </c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</row>
    <row r="1100" spans="8:50" x14ac:dyDescent="0.25"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7">
        <f t="shared" ca="1" si="17"/>
        <v>0.27281650251217954</v>
      </c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</row>
    <row r="1101" spans="8:50" x14ac:dyDescent="0.25"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7">
        <f t="shared" ca="1" si="17"/>
        <v>7.7136098909225292E-2</v>
      </c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</row>
    <row r="1102" spans="8:50" x14ac:dyDescent="0.25"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7">
        <f t="shared" ca="1" si="17"/>
        <v>7.6398983298535866E-2</v>
      </c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</row>
    <row r="1103" spans="8:50" x14ac:dyDescent="0.25"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7">
        <f t="shared" ca="1" si="17"/>
        <v>-1.2037514247012063E-2</v>
      </c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</row>
    <row r="1104" spans="8:50" x14ac:dyDescent="0.25"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7">
        <f t="shared" ca="1" si="17"/>
        <v>8.9746107681252768E-2</v>
      </c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</row>
    <row r="1105" spans="8:50" x14ac:dyDescent="0.25"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7">
        <f t="shared" ca="1" si="17"/>
        <v>-4.6646635839103098E-2</v>
      </c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</row>
    <row r="1106" spans="8:50" x14ac:dyDescent="0.25"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7">
        <f t="shared" ca="1" si="17"/>
        <v>2.1391963588823976E-2</v>
      </c>
      <c r="X1106" s="3"/>
      <c r="Y1106" s="3"/>
      <c r="Z1106" s="3"/>
      <c r="AA1106" s="3"/>
      <c r="AB1106" s="3"/>
      <c r="AC1106" s="3"/>
      <c r="AD1106" s="3"/>
      <c r="AE1106" s="3"/>
      <c r="AF1106" s="3"/>
      <c r="AG1106" s="3"/>
      <c r="AH1106" s="3"/>
      <c r="AI1106" s="3"/>
      <c r="AJ1106" s="3"/>
      <c r="AK1106" s="3"/>
      <c r="AL1106" s="3"/>
      <c r="AM1106" s="3"/>
      <c r="AN1106" s="3"/>
      <c r="AO1106" s="3"/>
      <c r="AP1106" s="3"/>
      <c r="AQ1106" s="3"/>
      <c r="AR1106" s="3"/>
      <c r="AS1106" s="3"/>
      <c r="AT1106" s="3"/>
      <c r="AU1106" s="3"/>
      <c r="AV1106" s="3"/>
      <c r="AW1106" s="3"/>
      <c r="AX1106" s="3"/>
    </row>
    <row r="1107" spans="8:50" x14ac:dyDescent="0.25"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7">
        <f t="shared" ca="1" si="17"/>
        <v>5.0675371920354984E-2</v>
      </c>
      <c r="X1107" s="3"/>
      <c r="Y1107" s="3"/>
      <c r="Z1107" s="3"/>
      <c r="AA1107" s="3"/>
      <c r="AB1107" s="3"/>
      <c r="AC1107" s="3"/>
      <c r="AD1107" s="3"/>
      <c r="AE1107" s="3"/>
      <c r="AF1107" s="3"/>
      <c r="AG1107" s="3"/>
      <c r="AH1107" s="3"/>
      <c r="AI1107" s="3"/>
      <c r="AJ1107" s="3"/>
      <c r="AK1107" s="3"/>
      <c r="AL1107" s="3"/>
      <c r="AM1107" s="3"/>
      <c r="AN1107" s="3"/>
      <c r="AO1107" s="3"/>
      <c r="AP1107" s="3"/>
      <c r="AQ1107" s="3"/>
      <c r="AR1107" s="3"/>
      <c r="AS1107" s="3"/>
      <c r="AT1107" s="3"/>
      <c r="AU1107" s="3"/>
      <c r="AV1107" s="3"/>
      <c r="AW1107" s="3"/>
      <c r="AX1107" s="3"/>
    </row>
    <row r="1108" spans="8:50" x14ac:dyDescent="0.25"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7">
        <f t="shared" ca="1" si="17"/>
        <v>0.33076487043404351</v>
      </c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</row>
    <row r="1109" spans="8:50" x14ac:dyDescent="0.25"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7">
        <f t="shared" ca="1" si="17"/>
        <v>0.22785360366053911</v>
      </c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</row>
    <row r="1110" spans="8:50" x14ac:dyDescent="0.25"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7">
        <f t="shared" ca="1" si="17"/>
        <v>0.29052712334427494</v>
      </c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</row>
    <row r="1111" spans="8:50" x14ac:dyDescent="0.25"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7">
        <f t="shared" ca="1" si="17"/>
        <v>0.21339739188616352</v>
      </c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</row>
    <row r="1112" spans="8:50" x14ac:dyDescent="0.25"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7">
        <f t="shared" ca="1" si="17"/>
        <v>6.4085252513921845E-2</v>
      </c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</row>
    <row r="1113" spans="8:50" x14ac:dyDescent="0.25"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7">
        <f t="shared" ca="1" si="17"/>
        <v>0.11527669928464519</v>
      </c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</row>
    <row r="1114" spans="8:50" x14ac:dyDescent="0.25"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7">
        <f t="shared" ca="1" si="17"/>
        <v>0.26579391547975761</v>
      </c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</row>
    <row r="1115" spans="8:50" x14ac:dyDescent="0.25"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7">
        <f t="shared" ca="1" si="17"/>
        <v>3.360319228815957E-2</v>
      </c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</row>
    <row r="1116" spans="8:50" x14ac:dyDescent="0.25"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7">
        <f t="shared" ca="1" si="17"/>
        <v>0.22769377685172354</v>
      </c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</row>
    <row r="1117" spans="8:50" x14ac:dyDescent="0.25"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7">
        <f t="shared" ca="1" si="17"/>
        <v>2.3822738040633187E-2</v>
      </c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</row>
    <row r="1118" spans="8:50" x14ac:dyDescent="0.25"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7">
        <f t="shared" ca="1" si="17"/>
        <v>0.25031469442643883</v>
      </c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</row>
    <row r="1119" spans="8:50" x14ac:dyDescent="0.25"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7">
        <f t="shared" ca="1" si="17"/>
        <v>0.11016480515297401</v>
      </c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</row>
    <row r="1120" spans="8:50" x14ac:dyDescent="0.25"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7">
        <f t="shared" ca="1" si="17"/>
        <v>-0.12104852996623634</v>
      </c>
      <c r="X1120" s="3"/>
      <c r="Y1120" s="3"/>
      <c r="Z1120" s="3"/>
      <c r="AA1120" s="3"/>
      <c r="AB1120" s="3"/>
      <c r="AC1120" s="3"/>
      <c r="AD1120" s="3"/>
      <c r="AE1120" s="3"/>
      <c r="AF1120" s="3"/>
      <c r="AG1120" s="3"/>
      <c r="AH1120" s="3"/>
      <c r="AI1120" s="3"/>
      <c r="AJ1120" s="3"/>
      <c r="AK1120" s="3"/>
      <c r="AL1120" s="3"/>
      <c r="AM1120" s="3"/>
      <c r="AN1120" s="3"/>
      <c r="AO1120" s="3"/>
      <c r="AP1120" s="3"/>
      <c r="AQ1120" s="3"/>
      <c r="AR1120" s="3"/>
      <c r="AS1120" s="3"/>
      <c r="AT1120" s="3"/>
      <c r="AU1120" s="3"/>
      <c r="AV1120" s="3"/>
      <c r="AW1120" s="3"/>
      <c r="AX1120" s="3"/>
    </row>
    <row r="1121" spans="8:50" x14ac:dyDescent="0.25"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7">
        <f t="shared" ca="1" si="17"/>
        <v>0.3333700280791464</v>
      </c>
      <c r="X1121" s="3"/>
      <c r="Y1121" s="3"/>
      <c r="Z1121" s="3"/>
      <c r="AA1121" s="3"/>
      <c r="AB1121" s="3"/>
      <c r="AC1121" s="3"/>
      <c r="AD1121" s="3"/>
      <c r="AE1121" s="3"/>
      <c r="AF1121" s="3"/>
      <c r="AG1121" s="3"/>
      <c r="AH1121" s="3"/>
      <c r="AI1121" s="3"/>
      <c r="AJ1121" s="3"/>
      <c r="AK1121" s="3"/>
      <c r="AL1121" s="3"/>
      <c r="AM1121" s="3"/>
      <c r="AN1121" s="3"/>
      <c r="AO1121" s="3"/>
      <c r="AP1121" s="3"/>
      <c r="AQ1121" s="3"/>
      <c r="AR1121" s="3"/>
      <c r="AS1121" s="3"/>
      <c r="AT1121" s="3"/>
      <c r="AU1121" s="3"/>
      <c r="AV1121" s="3"/>
      <c r="AW1121" s="3"/>
      <c r="AX1121" s="3"/>
    </row>
    <row r="1122" spans="8:50" x14ac:dyDescent="0.25"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7">
        <f t="shared" ca="1" si="17"/>
        <v>9.3206438380185774E-2</v>
      </c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</row>
    <row r="1123" spans="8:50" x14ac:dyDescent="0.25"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7">
        <f t="shared" ca="1" si="17"/>
        <v>1.9506286611578036E-2</v>
      </c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</row>
    <row r="1124" spans="8:50" x14ac:dyDescent="0.25"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7">
        <f t="shared" ca="1" si="17"/>
        <v>0.16359636270393577</v>
      </c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</row>
    <row r="1125" spans="8:50" x14ac:dyDescent="0.25"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7">
        <f t="shared" ca="1" si="17"/>
        <v>-4.5608876938665485E-2</v>
      </c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</row>
    <row r="1126" spans="8:50" x14ac:dyDescent="0.25"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7">
        <f t="shared" ca="1" si="17"/>
        <v>-0.14950259032855656</v>
      </c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</row>
    <row r="1127" spans="8:50" x14ac:dyDescent="0.25"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7">
        <f t="shared" ca="1" si="17"/>
        <v>-1.4056737791423593E-2</v>
      </c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</row>
    <row r="1128" spans="8:50" x14ac:dyDescent="0.25"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7">
        <f t="shared" ca="1" si="17"/>
        <v>-0.17882851039422071</v>
      </c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</row>
    <row r="1129" spans="8:50" x14ac:dyDescent="0.25"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7">
        <f t="shared" ca="1" si="17"/>
        <v>0.32655542168971047</v>
      </c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</row>
    <row r="1130" spans="8:50" x14ac:dyDescent="0.25"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7">
        <f t="shared" ca="1" si="17"/>
        <v>-8.1974940226120688E-2</v>
      </c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</row>
    <row r="1131" spans="8:50" x14ac:dyDescent="0.25"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7">
        <f t="shared" ca="1" si="17"/>
        <v>-7.5467305585550828E-2</v>
      </c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</row>
    <row r="1132" spans="8:50" x14ac:dyDescent="0.25"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7">
        <f t="shared" ca="1" si="17"/>
        <v>-0.14359536331254663</v>
      </c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</row>
    <row r="1133" spans="8:50" x14ac:dyDescent="0.25"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7">
        <f t="shared" ca="1" si="17"/>
        <v>0.24764830876901289</v>
      </c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</row>
    <row r="1134" spans="8:50" x14ac:dyDescent="0.25"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7">
        <f t="shared" ca="1" si="17"/>
        <v>0.2419302934325353</v>
      </c>
      <c r="X1134" s="3"/>
      <c r="Y1134" s="3"/>
      <c r="Z1134" s="3"/>
      <c r="AA1134" s="3"/>
      <c r="AB1134" s="3"/>
      <c r="AC1134" s="3"/>
      <c r="AD1134" s="3"/>
      <c r="AE1134" s="3"/>
      <c r="AF1134" s="3"/>
      <c r="AG1134" s="3"/>
      <c r="AH1134" s="3"/>
      <c r="AI1134" s="3"/>
      <c r="AJ1134" s="3"/>
      <c r="AK1134" s="3"/>
      <c r="AL1134" s="3"/>
      <c r="AM1134" s="3"/>
      <c r="AN1134" s="3"/>
      <c r="AO1134" s="3"/>
      <c r="AP1134" s="3"/>
      <c r="AQ1134" s="3"/>
      <c r="AR1134" s="3"/>
      <c r="AS1134" s="3"/>
      <c r="AT1134" s="3"/>
      <c r="AU1134" s="3"/>
      <c r="AV1134" s="3"/>
      <c r="AW1134" s="3"/>
      <c r="AX1134" s="3"/>
    </row>
    <row r="1135" spans="8:50" x14ac:dyDescent="0.25"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7">
        <f t="shared" ca="1" si="17"/>
        <v>0.25590389691513499</v>
      </c>
      <c r="X1135" s="3"/>
      <c r="Y1135" s="3"/>
      <c r="Z1135" s="3"/>
      <c r="AA1135" s="3"/>
      <c r="AB1135" s="3"/>
      <c r="AC1135" s="3"/>
      <c r="AD1135" s="3"/>
      <c r="AE1135" s="3"/>
      <c r="AF1135" s="3"/>
      <c r="AG1135" s="3"/>
      <c r="AH1135" s="3"/>
      <c r="AI1135" s="3"/>
      <c r="AJ1135" s="3"/>
      <c r="AK1135" s="3"/>
      <c r="AL1135" s="3"/>
      <c r="AM1135" s="3"/>
      <c r="AN1135" s="3"/>
      <c r="AO1135" s="3"/>
      <c r="AP1135" s="3"/>
      <c r="AQ1135" s="3"/>
      <c r="AR1135" s="3"/>
      <c r="AS1135" s="3"/>
      <c r="AT1135" s="3"/>
      <c r="AU1135" s="3"/>
      <c r="AV1135" s="3"/>
      <c r="AW1135" s="3"/>
      <c r="AX1135" s="3"/>
    </row>
    <row r="1136" spans="8:50" x14ac:dyDescent="0.25"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7">
        <f t="shared" ca="1" si="17"/>
        <v>1.011784558688085E-2</v>
      </c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</row>
    <row r="1137" spans="8:50" x14ac:dyDescent="0.25"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7">
        <f t="shared" ca="1" si="17"/>
        <v>6.6957926965613118E-2</v>
      </c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</row>
    <row r="1138" spans="8:50" x14ac:dyDescent="0.25"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7">
        <f t="shared" ca="1" si="17"/>
        <v>7.5921652630722147E-2</v>
      </c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</row>
    <row r="1139" spans="8:50" x14ac:dyDescent="0.25"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7">
        <f t="shared" ca="1" si="17"/>
        <v>6.000351070476978E-2</v>
      </c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</row>
    <row r="1140" spans="8:50" x14ac:dyDescent="0.25"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7">
        <f t="shared" ca="1" si="17"/>
        <v>1.4390383856927785E-2</v>
      </c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</row>
    <row r="1141" spans="8:50" x14ac:dyDescent="0.25"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7">
        <f t="shared" ca="1" si="17"/>
        <v>0.12804910447413895</v>
      </c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</row>
    <row r="1142" spans="8:50" x14ac:dyDescent="0.25"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7">
        <f t="shared" ca="1" si="17"/>
        <v>5.2590631850765859E-2</v>
      </c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</row>
    <row r="1143" spans="8:50" x14ac:dyDescent="0.25"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7">
        <f t="shared" ca="1" si="17"/>
        <v>1.4189918404481125E-2</v>
      </c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</row>
    <row r="1144" spans="8:50" x14ac:dyDescent="0.25"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7">
        <f t="shared" ca="1" si="17"/>
        <v>-9.8207100118996346E-2</v>
      </c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</row>
    <row r="1145" spans="8:50" x14ac:dyDescent="0.25"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7">
        <f t="shared" ca="1" si="17"/>
        <v>0.19512032154904069</v>
      </c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</row>
    <row r="1146" spans="8:50" x14ac:dyDescent="0.25"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7">
        <f t="shared" ca="1" si="17"/>
        <v>8.3178666489208741E-2</v>
      </c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</row>
    <row r="1147" spans="8:50" x14ac:dyDescent="0.25"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7">
        <f t="shared" ca="1" si="17"/>
        <v>0.17496525607513344</v>
      </c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</row>
    <row r="1148" spans="8:50" x14ac:dyDescent="0.25"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7">
        <f t="shared" ca="1" si="17"/>
        <v>0.47213725184352062</v>
      </c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  <c r="AV1148" s="3"/>
      <c r="AW1148" s="3"/>
      <c r="AX1148" s="3"/>
    </row>
    <row r="1149" spans="8:50" x14ac:dyDescent="0.25"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7">
        <f t="shared" ca="1" si="17"/>
        <v>0.1236012239838206</v>
      </c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  <c r="AR1149" s="3"/>
      <c r="AS1149" s="3"/>
      <c r="AT1149" s="3"/>
      <c r="AU1149" s="3"/>
      <c r="AV1149" s="3"/>
      <c r="AW1149" s="3"/>
      <c r="AX1149" s="3"/>
    </row>
    <row r="1150" spans="8:50" x14ac:dyDescent="0.25"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7">
        <f t="shared" ca="1" si="17"/>
        <v>-3.1683612001990727E-2</v>
      </c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</row>
    <row r="1151" spans="8:50" x14ac:dyDescent="0.25"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7">
        <f t="shared" ca="1" si="17"/>
        <v>0.3780462487874191</v>
      </c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</row>
    <row r="1152" spans="8:50" x14ac:dyDescent="0.25"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7">
        <f t="shared" ca="1" si="17"/>
        <v>4.9732608274510995E-2</v>
      </c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</row>
    <row r="1153" spans="8:50" x14ac:dyDescent="0.25"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7">
        <f t="shared" ca="1" si="17"/>
        <v>8.3383029233565678E-2</v>
      </c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</row>
    <row r="1154" spans="8:50" x14ac:dyDescent="0.25"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7">
        <f t="shared" ca="1" si="17"/>
        <v>0.21163647279251069</v>
      </c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</row>
    <row r="1155" spans="8:50" x14ac:dyDescent="0.25"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7">
        <f t="shared" ca="1" si="17"/>
        <v>8.5462875807067518E-2</v>
      </c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</row>
    <row r="1156" spans="8:50" x14ac:dyDescent="0.25"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7">
        <f t="shared" ca="1" si="17"/>
        <v>-0.17078561064067538</v>
      </c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</row>
    <row r="1157" spans="8:50" x14ac:dyDescent="0.25"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7">
        <f t="shared" ca="1" si="17"/>
        <v>-3.9073663537132347E-3</v>
      </c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</row>
    <row r="1158" spans="8:50" x14ac:dyDescent="0.25"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7">
        <f t="shared" ref="W1158:W1221" ca="1" si="18">+NORMINV(RAND(),$U$2,$U$3)</f>
        <v>0.12003774282532934</v>
      </c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</row>
    <row r="1159" spans="8:50" x14ac:dyDescent="0.25"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7">
        <f t="shared" ca="1" si="18"/>
        <v>1.1841494239694786E-2</v>
      </c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</row>
    <row r="1160" spans="8:50" x14ac:dyDescent="0.25"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7">
        <f t="shared" ca="1" si="18"/>
        <v>0.24551726094315079</v>
      </c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</row>
    <row r="1161" spans="8:50" x14ac:dyDescent="0.25"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7">
        <f t="shared" ca="1" si="18"/>
        <v>0.34036767440699334</v>
      </c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</row>
    <row r="1162" spans="8:50" x14ac:dyDescent="0.25"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7">
        <f t="shared" ca="1" si="18"/>
        <v>0.31304684473879091</v>
      </c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</row>
    <row r="1163" spans="8:50" x14ac:dyDescent="0.25"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7">
        <f t="shared" ca="1" si="18"/>
        <v>-4.9472078487771062E-2</v>
      </c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</row>
    <row r="1164" spans="8:50" x14ac:dyDescent="0.25"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7">
        <f t="shared" ca="1" si="18"/>
        <v>-7.5282262551043255E-3</v>
      </c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</row>
    <row r="1165" spans="8:50" x14ac:dyDescent="0.25"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7">
        <f t="shared" ca="1" si="18"/>
        <v>-4.6619377943378018E-2</v>
      </c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</row>
    <row r="1166" spans="8:50" x14ac:dyDescent="0.25"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7">
        <f t="shared" ca="1" si="18"/>
        <v>-0.1758762353993894</v>
      </c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  <c r="AR1166" s="3"/>
      <c r="AS1166" s="3"/>
      <c r="AT1166" s="3"/>
      <c r="AU1166" s="3"/>
      <c r="AV1166" s="3"/>
      <c r="AW1166" s="3"/>
      <c r="AX1166" s="3"/>
    </row>
    <row r="1167" spans="8:50" x14ac:dyDescent="0.25"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7">
        <f t="shared" ca="1" si="18"/>
        <v>-0.17886357792167318</v>
      </c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  <c r="AV1167" s="3"/>
      <c r="AW1167" s="3"/>
      <c r="AX1167" s="3"/>
    </row>
    <row r="1168" spans="8:50" x14ac:dyDescent="0.25"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7">
        <f t="shared" ca="1" si="18"/>
        <v>9.5098076526089953E-2</v>
      </c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  <c r="AH1168" s="3"/>
      <c r="AI1168" s="3"/>
      <c r="AJ1168" s="3"/>
      <c r="AK1168" s="3"/>
      <c r="AL1168" s="3"/>
      <c r="AM1168" s="3"/>
      <c r="AN1168" s="3"/>
      <c r="AO1168" s="3"/>
      <c r="AP1168" s="3"/>
      <c r="AQ1168" s="3"/>
      <c r="AR1168" s="3"/>
      <c r="AS1168" s="3"/>
      <c r="AT1168" s="3"/>
      <c r="AU1168" s="3"/>
      <c r="AV1168" s="3"/>
      <c r="AW1168" s="3"/>
      <c r="AX1168" s="3"/>
    </row>
    <row r="1169" spans="8:50" x14ac:dyDescent="0.25"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7">
        <f t="shared" ca="1" si="18"/>
        <v>0.22770486467224524</v>
      </c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  <c r="AH1169" s="3"/>
      <c r="AI1169" s="3"/>
      <c r="AJ1169" s="3"/>
      <c r="AK1169" s="3"/>
      <c r="AL1169" s="3"/>
      <c r="AM1169" s="3"/>
      <c r="AN1169" s="3"/>
      <c r="AO1169" s="3"/>
      <c r="AP1169" s="3"/>
      <c r="AQ1169" s="3"/>
      <c r="AR1169" s="3"/>
      <c r="AS1169" s="3"/>
      <c r="AT1169" s="3"/>
      <c r="AU1169" s="3"/>
      <c r="AV1169" s="3"/>
      <c r="AW1169" s="3"/>
      <c r="AX1169" s="3"/>
    </row>
    <row r="1170" spans="8:50" x14ac:dyDescent="0.25"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7">
        <f t="shared" ca="1" si="18"/>
        <v>0.4329337203262118</v>
      </c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  <c r="AV1170" s="3"/>
      <c r="AW1170" s="3"/>
      <c r="AX1170" s="3"/>
    </row>
    <row r="1171" spans="8:50" x14ac:dyDescent="0.25"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7">
        <f t="shared" ca="1" si="18"/>
        <v>0.31959418077553708</v>
      </c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  <c r="AV1171" s="3"/>
      <c r="AW1171" s="3"/>
      <c r="AX1171" s="3"/>
    </row>
    <row r="1172" spans="8:50" x14ac:dyDescent="0.25"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7">
        <f t="shared" ca="1" si="18"/>
        <v>0.18995928166834683</v>
      </c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  <c r="AR1172" s="3"/>
      <c r="AS1172" s="3"/>
      <c r="AT1172" s="3"/>
      <c r="AU1172" s="3"/>
      <c r="AV1172" s="3"/>
      <c r="AW1172" s="3"/>
      <c r="AX1172" s="3"/>
    </row>
    <row r="1173" spans="8:50" x14ac:dyDescent="0.25"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7">
        <f t="shared" ca="1" si="18"/>
        <v>0.17113762885280542</v>
      </c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  <c r="AR1173" s="3"/>
      <c r="AS1173" s="3"/>
      <c r="AT1173" s="3"/>
      <c r="AU1173" s="3"/>
      <c r="AV1173" s="3"/>
      <c r="AW1173" s="3"/>
      <c r="AX1173" s="3"/>
    </row>
    <row r="1174" spans="8:50" x14ac:dyDescent="0.25"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7">
        <f t="shared" ca="1" si="18"/>
        <v>4.1770727164471319E-2</v>
      </c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  <c r="AR1174" s="3"/>
      <c r="AS1174" s="3"/>
      <c r="AT1174" s="3"/>
      <c r="AU1174" s="3"/>
      <c r="AV1174" s="3"/>
      <c r="AW1174" s="3"/>
      <c r="AX1174" s="3"/>
    </row>
    <row r="1175" spans="8:50" x14ac:dyDescent="0.25"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7">
        <f t="shared" ca="1" si="18"/>
        <v>-6.7451253890352517E-2</v>
      </c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  <c r="AR1175" s="3"/>
      <c r="AS1175" s="3"/>
      <c r="AT1175" s="3"/>
      <c r="AU1175" s="3"/>
      <c r="AV1175" s="3"/>
      <c r="AW1175" s="3"/>
      <c r="AX1175" s="3"/>
    </row>
    <row r="1176" spans="8:50" x14ac:dyDescent="0.25"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7">
        <f t="shared" ca="1" si="18"/>
        <v>0.18495168548896171</v>
      </c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  <c r="AR1176" s="3"/>
      <c r="AS1176" s="3"/>
      <c r="AT1176" s="3"/>
      <c r="AU1176" s="3"/>
      <c r="AV1176" s="3"/>
      <c r="AW1176" s="3"/>
      <c r="AX1176" s="3"/>
    </row>
    <row r="1177" spans="8:50" x14ac:dyDescent="0.25"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7">
        <f t="shared" ca="1" si="18"/>
        <v>0.19224804985705257</v>
      </c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  <c r="AR1177" s="3"/>
      <c r="AS1177" s="3"/>
      <c r="AT1177" s="3"/>
      <c r="AU1177" s="3"/>
      <c r="AV1177" s="3"/>
      <c r="AW1177" s="3"/>
      <c r="AX1177" s="3"/>
    </row>
    <row r="1178" spans="8:50" x14ac:dyDescent="0.25"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7">
        <f t="shared" ca="1" si="18"/>
        <v>0.24241778855755969</v>
      </c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  <c r="AR1178" s="3"/>
      <c r="AS1178" s="3"/>
      <c r="AT1178" s="3"/>
      <c r="AU1178" s="3"/>
      <c r="AV1178" s="3"/>
      <c r="AW1178" s="3"/>
      <c r="AX1178" s="3"/>
    </row>
    <row r="1179" spans="8:50" x14ac:dyDescent="0.25"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7">
        <f t="shared" ca="1" si="18"/>
        <v>-0.20453721870567004</v>
      </c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  <c r="AR1179" s="3"/>
      <c r="AS1179" s="3"/>
      <c r="AT1179" s="3"/>
      <c r="AU1179" s="3"/>
      <c r="AV1179" s="3"/>
      <c r="AW1179" s="3"/>
      <c r="AX1179" s="3"/>
    </row>
    <row r="1180" spans="8:50" x14ac:dyDescent="0.25"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7">
        <f t="shared" ca="1" si="18"/>
        <v>-2.6604449107338404E-2</v>
      </c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  <c r="AR1180" s="3"/>
      <c r="AS1180" s="3"/>
      <c r="AT1180" s="3"/>
      <c r="AU1180" s="3"/>
      <c r="AV1180" s="3"/>
      <c r="AW1180" s="3"/>
      <c r="AX1180" s="3"/>
    </row>
    <row r="1181" spans="8:50" x14ac:dyDescent="0.25"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7">
        <f t="shared" ca="1" si="18"/>
        <v>0.11852134319637014</v>
      </c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  <c r="AR1181" s="3"/>
      <c r="AS1181" s="3"/>
      <c r="AT1181" s="3"/>
      <c r="AU1181" s="3"/>
      <c r="AV1181" s="3"/>
      <c r="AW1181" s="3"/>
      <c r="AX1181" s="3"/>
    </row>
    <row r="1182" spans="8:50" x14ac:dyDescent="0.25"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7">
        <f t="shared" ca="1" si="18"/>
        <v>-5.2636289304289027E-2</v>
      </c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  <c r="AR1182" s="3"/>
      <c r="AS1182" s="3"/>
      <c r="AT1182" s="3"/>
      <c r="AU1182" s="3"/>
      <c r="AV1182" s="3"/>
      <c r="AW1182" s="3"/>
      <c r="AX1182" s="3"/>
    </row>
    <row r="1183" spans="8:50" x14ac:dyDescent="0.25"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7">
        <f t="shared" ca="1" si="18"/>
        <v>-0.34941112162284216</v>
      </c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  <c r="AR1183" s="3"/>
      <c r="AS1183" s="3"/>
      <c r="AT1183" s="3"/>
      <c r="AU1183" s="3"/>
      <c r="AV1183" s="3"/>
      <c r="AW1183" s="3"/>
      <c r="AX1183" s="3"/>
    </row>
    <row r="1184" spans="8:50" x14ac:dyDescent="0.25"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7">
        <f t="shared" ca="1" si="18"/>
        <v>0.10207675776564173</v>
      </c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  <c r="AV1184" s="3"/>
      <c r="AW1184" s="3"/>
      <c r="AX1184" s="3"/>
    </row>
    <row r="1185" spans="8:50" x14ac:dyDescent="0.25"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7">
        <f t="shared" ca="1" si="18"/>
        <v>-0.11185553030182631</v>
      </c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</row>
    <row r="1186" spans="8:50" x14ac:dyDescent="0.25"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7">
        <f t="shared" ca="1" si="18"/>
        <v>0.24191240669582481</v>
      </c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</row>
    <row r="1187" spans="8:50" x14ac:dyDescent="0.25"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7">
        <f t="shared" ca="1" si="18"/>
        <v>8.3058538234829227E-2</v>
      </c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</row>
    <row r="1188" spans="8:50" x14ac:dyDescent="0.25"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7">
        <f t="shared" ca="1" si="18"/>
        <v>0.15710051304284137</v>
      </c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</row>
    <row r="1189" spans="8:50" x14ac:dyDescent="0.25"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7">
        <f t="shared" ca="1" si="18"/>
        <v>0.3195317193646609</v>
      </c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</row>
    <row r="1190" spans="8:50" x14ac:dyDescent="0.25"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7">
        <f t="shared" ca="1" si="18"/>
        <v>-0.16721653398600439</v>
      </c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  <c r="AR1190" s="3"/>
      <c r="AS1190" s="3"/>
      <c r="AT1190" s="3"/>
      <c r="AU1190" s="3"/>
      <c r="AV1190" s="3"/>
      <c r="AW1190" s="3"/>
      <c r="AX1190" s="3"/>
    </row>
    <row r="1191" spans="8:50" x14ac:dyDescent="0.25"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7">
        <f t="shared" ca="1" si="18"/>
        <v>-0.44318448953292344</v>
      </c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  <c r="AR1191" s="3"/>
      <c r="AS1191" s="3"/>
      <c r="AT1191" s="3"/>
      <c r="AU1191" s="3"/>
      <c r="AV1191" s="3"/>
      <c r="AW1191" s="3"/>
      <c r="AX1191" s="3"/>
    </row>
    <row r="1192" spans="8:50" x14ac:dyDescent="0.25"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7">
        <f t="shared" ca="1" si="18"/>
        <v>5.5727851668065244E-2</v>
      </c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  <c r="AR1192" s="3"/>
      <c r="AS1192" s="3"/>
      <c r="AT1192" s="3"/>
      <c r="AU1192" s="3"/>
      <c r="AV1192" s="3"/>
      <c r="AW1192" s="3"/>
      <c r="AX1192" s="3"/>
    </row>
    <row r="1193" spans="8:50" x14ac:dyDescent="0.25"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7">
        <f t="shared" ca="1" si="18"/>
        <v>0.11426686426366969</v>
      </c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  <c r="AR1193" s="3"/>
      <c r="AS1193" s="3"/>
      <c r="AT1193" s="3"/>
      <c r="AU1193" s="3"/>
      <c r="AV1193" s="3"/>
      <c r="AW1193" s="3"/>
      <c r="AX1193" s="3"/>
    </row>
    <row r="1194" spans="8:50" x14ac:dyDescent="0.25"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7">
        <f t="shared" ca="1" si="18"/>
        <v>0.2691249711889645</v>
      </c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  <c r="AR1194" s="3"/>
      <c r="AS1194" s="3"/>
      <c r="AT1194" s="3"/>
      <c r="AU1194" s="3"/>
      <c r="AV1194" s="3"/>
      <c r="AW1194" s="3"/>
      <c r="AX1194" s="3"/>
    </row>
    <row r="1195" spans="8:50" x14ac:dyDescent="0.25"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7">
        <f t="shared" ca="1" si="18"/>
        <v>-5.0363595433085759E-2</v>
      </c>
      <c r="X1195" s="3"/>
      <c r="Y1195" s="3"/>
      <c r="Z1195" s="3"/>
      <c r="AA1195" s="3"/>
      <c r="AB1195" s="3"/>
      <c r="AC1195" s="3"/>
      <c r="AD1195" s="3"/>
      <c r="AE1195" s="3"/>
      <c r="AF1195" s="3"/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  <c r="AR1195" s="3"/>
      <c r="AS1195" s="3"/>
      <c r="AT1195" s="3"/>
      <c r="AU1195" s="3"/>
      <c r="AV1195" s="3"/>
      <c r="AW1195" s="3"/>
      <c r="AX1195" s="3"/>
    </row>
    <row r="1196" spans="8:50" x14ac:dyDescent="0.25"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7">
        <f t="shared" ca="1" si="18"/>
        <v>0.32535108608165236</v>
      </c>
      <c r="X1196" s="3"/>
      <c r="Y1196" s="3"/>
      <c r="Z1196" s="3"/>
      <c r="AA1196" s="3"/>
      <c r="AB1196" s="3"/>
      <c r="AC1196" s="3"/>
      <c r="AD1196" s="3"/>
      <c r="AE1196" s="3"/>
      <c r="AF1196" s="3"/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  <c r="AR1196" s="3"/>
      <c r="AS1196" s="3"/>
      <c r="AT1196" s="3"/>
      <c r="AU1196" s="3"/>
      <c r="AV1196" s="3"/>
      <c r="AW1196" s="3"/>
      <c r="AX1196" s="3"/>
    </row>
    <row r="1197" spans="8:50" x14ac:dyDescent="0.25"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7">
        <f t="shared" ca="1" si="18"/>
        <v>0.22705958155247263</v>
      </c>
      <c r="X1197" s="3"/>
      <c r="Y1197" s="3"/>
      <c r="Z1197" s="3"/>
      <c r="AA1197" s="3"/>
      <c r="AB1197" s="3"/>
      <c r="AC1197" s="3"/>
      <c r="AD1197" s="3"/>
      <c r="AE1197" s="3"/>
      <c r="AF1197" s="3"/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  <c r="AR1197" s="3"/>
      <c r="AS1197" s="3"/>
      <c r="AT1197" s="3"/>
      <c r="AU1197" s="3"/>
      <c r="AV1197" s="3"/>
      <c r="AW1197" s="3"/>
      <c r="AX1197" s="3"/>
    </row>
    <row r="1198" spans="8:50" x14ac:dyDescent="0.25"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7">
        <f t="shared" ca="1" si="18"/>
        <v>0.15572851386851549</v>
      </c>
      <c r="X1198" s="3"/>
      <c r="Y1198" s="3"/>
      <c r="Z1198" s="3"/>
      <c r="AA1198" s="3"/>
      <c r="AB1198" s="3"/>
      <c r="AC1198" s="3"/>
      <c r="AD1198" s="3"/>
      <c r="AE1198" s="3"/>
      <c r="AF1198" s="3"/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  <c r="AR1198" s="3"/>
      <c r="AS1198" s="3"/>
      <c r="AT1198" s="3"/>
      <c r="AU1198" s="3"/>
      <c r="AV1198" s="3"/>
      <c r="AW1198" s="3"/>
      <c r="AX1198" s="3"/>
    </row>
    <row r="1199" spans="8:50" x14ac:dyDescent="0.25"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7">
        <f t="shared" ca="1" si="18"/>
        <v>-1.3773399293323038E-2</v>
      </c>
      <c r="X1199" s="3"/>
      <c r="Y1199" s="3"/>
      <c r="Z1199" s="3"/>
      <c r="AA1199" s="3"/>
      <c r="AB1199" s="3"/>
      <c r="AC1199" s="3"/>
      <c r="AD1199" s="3"/>
      <c r="AE1199" s="3"/>
      <c r="AF1199" s="3"/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  <c r="AR1199" s="3"/>
      <c r="AS1199" s="3"/>
      <c r="AT1199" s="3"/>
      <c r="AU1199" s="3"/>
      <c r="AV1199" s="3"/>
      <c r="AW1199" s="3"/>
      <c r="AX1199" s="3"/>
    </row>
    <row r="1200" spans="8:50" x14ac:dyDescent="0.25"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7">
        <f t="shared" ca="1" si="18"/>
        <v>0.17619079958203976</v>
      </c>
      <c r="X1200" s="3"/>
      <c r="Y1200" s="3"/>
      <c r="Z1200" s="3"/>
      <c r="AA1200" s="3"/>
      <c r="AB1200" s="3"/>
      <c r="AC1200" s="3"/>
      <c r="AD1200" s="3"/>
      <c r="AE1200" s="3"/>
      <c r="AF1200" s="3"/>
      <c r="AG1200" s="3"/>
      <c r="AH1200" s="3"/>
      <c r="AI1200" s="3"/>
      <c r="AJ1200" s="3"/>
      <c r="AK1200" s="3"/>
      <c r="AL1200" s="3"/>
      <c r="AM1200" s="3"/>
      <c r="AN1200" s="3"/>
      <c r="AO1200" s="3"/>
      <c r="AP1200" s="3"/>
      <c r="AQ1200" s="3"/>
      <c r="AR1200" s="3"/>
      <c r="AS1200" s="3"/>
      <c r="AT1200" s="3"/>
      <c r="AU1200" s="3"/>
      <c r="AV1200" s="3"/>
      <c r="AW1200" s="3"/>
      <c r="AX1200" s="3"/>
    </row>
    <row r="1201" spans="8:50" x14ac:dyDescent="0.25"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7">
        <f t="shared" ca="1" si="18"/>
        <v>0.31957185856882225</v>
      </c>
      <c r="X1201" s="3"/>
      <c r="Y1201" s="3"/>
      <c r="Z1201" s="3"/>
      <c r="AA1201" s="3"/>
      <c r="AB1201" s="3"/>
      <c r="AC1201" s="3"/>
      <c r="AD1201" s="3"/>
      <c r="AE1201" s="3"/>
      <c r="AF1201" s="3"/>
      <c r="AG1201" s="3"/>
      <c r="AH1201" s="3"/>
      <c r="AI1201" s="3"/>
      <c r="AJ1201" s="3"/>
      <c r="AK1201" s="3"/>
      <c r="AL1201" s="3"/>
      <c r="AM1201" s="3"/>
      <c r="AN1201" s="3"/>
      <c r="AO1201" s="3"/>
      <c r="AP1201" s="3"/>
      <c r="AQ1201" s="3"/>
      <c r="AR1201" s="3"/>
      <c r="AS1201" s="3"/>
      <c r="AT1201" s="3"/>
      <c r="AU1201" s="3"/>
      <c r="AV1201" s="3"/>
      <c r="AW1201" s="3"/>
      <c r="AX1201" s="3"/>
    </row>
    <row r="1202" spans="8:50" x14ac:dyDescent="0.25"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7">
        <f t="shared" ca="1" si="18"/>
        <v>0.36564732537182776</v>
      </c>
      <c r="X1202" s="3"/>
      <c r="Y1202" s="3"/>
      <c r="Z1202" s="3"/>
      <c r="AA1202" s="3"/>
      <c r="AB1202" s="3"/>
      <c r="AC1202" s="3"/>
      <c r="AD1202" s="3"/>
      <c r="AE1202" s="3"/>
      <c r="AF1202" s="3"/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  <c r="AR1202" s="3"/>
      <c r="AS1202" s="3"/>
      <c r="AT1202" s="3"/>
      <c r="AU1202" s="3"/>
      <c r="AV1202" s="3"/>
      <c r="AW1202" s="3"/>
      <c r="AX1202" s="3"/>
    </row>
    <row r="1203" spans="8:50" x14ac:dyDescent="0.25"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7">
        <f t="shared" ca="1" si="18"/>
        <v>6.9497876707297346E-4</v>
      </c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  <c r="AR1203" s="3"/>
      <c r="AS1203" s="3"/>
      <c r="AT1203" s="3"/>
      <c r="AU1203" s="3"/>
      <c r="AV1203" s="3"/>
      <c r="AW1203" s="3"/>
      <c r="AX1203" s="3"/>
    </row>
    <row r="1204" spans="8:50" x14ac:dyDescent="0.25"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7">
        <f t="shared" ca="1" si="18"/>
        <v>5.9601227022779722E-2</v>
      </c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  <c r="AR1204" s="3"/>
      <c r="AS1204" s="3"/>
      <c r="AT1204" s="3"/>
      <c r="AU1204" s="3"/>
      <c r="AV1204" s="3"/>
      <c r="AW1204" s="3"/>
      <c r="AX1204" s="3"/>
    </row>
    <row r="1205" spans="8:50" x14ac:dyDescent="0.25"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7">
        <f t="shared" ca="1" si="18"/>
        <v>-0.26531023158211708</v>
      </c>
      <c r="X1205" s="3"/>
      <c r="Y1205" s="3"/>
      <c r="Z1205" s="3"/>
      <c r="AA1205" s="3"/>
      <c r="AB1205" s="3"/>
      <c r="AC1205" s="3"/>
      <c r="AD1205" s="3"/>
      <c r="AE1205" s="3"/>
      <c r="AF1205" s="3"/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  <c r="AR1205" s="3"/>
      <c r="AS1205" s="3"/>
      <c r="AT1205" s="3"/>
      <c r="AU1205" s="3"/>
      <c r="AV1205" s="3"/>
      <c r="AW1205" s="3"/>
      <c r="AX1205" s="3"/>
    </row>
    <row r="1206" spans="8:50" x14ac:dyDescent="0.25"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7">
        <f t="shared" ca="1" si="18"/>
        <v>0.30873498659512333</v>
      </c>
      <c r="X1206" s="3"/>
      <c r="Y1206" s="3"/>
      <c r="Z1206" s="3"/>
      <c r="AA1206" s="3"/>
      <c r="AB1206" s="3"/>
      <c r="AC1206" s="3"/>
      <c r="AD1206" s="3"/>
      <c r="AE1206" s="3"/>
      <c r="AF1206" s="3"/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  <c r="AR1206" s="3"/>
      <c r="AS1206" s="3"/>
      <c r="AT1206" s="3"/>
      <c r="AU1206" s="3"/>
      <c r="AV1206" s="3"/>
      <c r="AW1206" s="3"/>
      <c r="AX1206" s="3"/>
    </row>
    <row r="1207" spans="8:50" x14ac:dyDescent="0.25"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7">
        <f t="shared" ca="1" si="18"/>
        <v>-2.9764320257236979E-2</v>
      </c>
      <c r="X1207" s="3"/>
      <c r="Y1207" s="3"/>
      <c r="Z1207" s="3"/>
      <c r="AA1207" s="3"/>
      <c r="AB1207" s="3"/>
      <c r="AC1207" s="3"/>
      <c r="AD1207" s="3"/>
      <c r="AE1207" s="3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  <c r="AS1207" s="3"/>
      <c r="AT1207" s="3"/>
      <c r="AU1207" s="3"/>
      <c r="AV1207" s="3"/>
      <c r="AW1207" s="3"/>
      <c r="AX1207" s="3"/>
    </row>
    <row r="1208" spans="8:50" x14ac:dyDescent="0.25"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7">
        <f t="shared" ca="1" si="18"/>
        <v>0.12103908349624135</v>
      </c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</row>
    <row r="1209" spans="8:50" x14ac:dyDescent="0.25"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7">
        <f t="shared" ca="1" si="18"/>
        <v>0.19794090358173611</v>
      </c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</row>
    <row r="1210" spans="8:50" x14ac:dyDescent="0.25"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7">
        <f t="shared" ca="1" si="18"/>
        <v>0.15478728347256718</v>
      </c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</row>
    <row r="1211" spans="8:50" x14ac:dyDescent="0.25"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7">
        <f t="shared" ca="1" si="18"/>
        <v>-2.4869631346479001E-2</v>
      </c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</row>
    <row r="1212" spans="8:50" x14ac:dyDescent="0.25"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7">
        <f t="shared" ca="1" si="18"/>
        <v>0.18963693139480636</v>
      </c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</row>
    <row r="1213" spans="8:50" x14ac:dyDescent="0.25"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7">
        <f t="shared" ca="1" si="18"/>
        <v>0.10428497120414952</v>
      </c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</row>
    <row r="1214" spans="8:50" x14ac:dyDescent="0.25"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7">
        <f t="shared" ca="1" si="18"/>
        <v>0.40786401647540443</v>
      </c>
      <c r="X1214" s="3"/>
      <c r="Y1214" s="3"/>
      <c r="Z1214" s="3"/>
      <c r="AA1214" s="3"/>
      <c r="AB1214" s="3"/>
      <c r="AC1214" s="3"/>
      <c r="AD1214" s="3"/>
      <c r="AE1214" s="3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  <c r="AS1214" s="3"/>
      <c r="AT1214" s="3"/>
      <c r="AU1214" s="3"/>
      <c r="AV1214" s="3"/>
      <c r="AW1214" s="3"/>
      <c r="AX1214" s="3"/>
    </row>
    <row r="1215" spans="8:50" x14ac:dyDescent="0.25"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7">
        <f t="shared" ca="1" si="18"/>
        <v>0.18901657594145316</v>
      </c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  <c r="AS1215" s="3"/>
      <c r="AT1215" s="3"/>
      <c r="AU1215" s="3"/>
      <c r="AV1215" s="3"/>
      <c r="AW1215" s="3"/>
      <c r="AX1215" s="3"/>
    </row>
    <row r="1216" spans="8:50" x14ac:dyDescent="0.25"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7">
        <f t="shared" ca="1" si="18"/>
        <v>-4.3561957615170885E-2</v>
      </c>
      <c r="X1216" s="3"/>
      <c r="Y1216" s="3"/>
      <c r="Z1216" s="3"/>
      <c r="AA1216" s="3"/>
      <c r="AB1216" s="3"/>
      <c r="AC1216" s="3"/>
      <c r="AD1216" s="3"/>
      <c r="AE1216" s="3"/>
      <c r="AF1216" s="3"/>
      <c r="AG1216" s="3"/>
      <c r="AH1216" s="3"/>
      <c r="AI1216" s="3"/>
      <c r="AJ1216" s="3"/>
      <c r="AK1216" s="3"/>
      <c r="AL1216" s="3"/>
      <c r="AM1216" s="3"/>
      <c r="AN1216" s="3"/>
      <c r="AO1216" s="3"/>
      <c r="AP1216" s="3"/>
      <c r="AQ1216" s="3"/>
      <c r="AR1216" s="3"/>
      <c r="AS1216" s="3"/>
      <c r="AT1216" s="3"/>
      <c r="AU1216" s="3"/>
      <c r="AV1216" s="3"/>
      <c r="AW1216" s="3"/>
      <c r="AX1216" s="3"/>
    </row>
    <row r="1217" spans="8:50" x14ac:dyDescent="0.25"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7">
        <f t="shared" ca="1" si="18"/>
        <v>-0.10339512818670317</v>
      </c>
      <c r="X1217" s="3"/>
      <c r="Y1217" s="3"/>
      <c r="Z1217" s="3"/>
      <c r="AA1217" s="3"/>
      <c r="AB1217" s="3"/>
      <c r="AC1217" s="3"/>
      <c r="AD1217" s="3"/>
      <c r="AE1217" s="3"/>
      <c r="AF1217" s="3"/>
      <c r="AG1217" s="3"/>
      <c r="AH1217" s="3"/>
      <c r="AI1217" s="3"/>
      <c r="AJ1217" s="3"/>
      <c r="AK1217" s="3"/>
      <c r="AL1217" s="3"/>
      <c r="AM1217" s="3"/>
      <c r="AN1217" s="3"/>
      <c r="AO1217" s="3"/>
      <c r="AP1217" s="3"/>
      <c r="AQ1217" s="3"/>
      <c r="AR1217" s="3"/>
      <c r="AS1217" s="3"/>
      <c r="AT1217" s="3"/>
      <c r="AU1217" s="3"/>
      <c r="AV1217" s="3"/>
      <c r="AW1217" s="3"/>
      <c r="AX1217" s="3"/>
    </row>
    <row r="1218" spans="8:50" x14ac:dyDescent="0.25"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7">
        <f t="shared" ca="1" si="18"/>
        <v>0.31296152127101323</v>
      </c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  <c r="AS1218" s="3"/>
      <c r="AT1218" s="3"/>
      <c r="AU1218" s="3"/>
      <c r="AV1218" s="3"/>
      <c r="AW1218" s="3"/>
      <c r="AX1218" s="3"/>
    </row>
    <row r="1219" spans="8:50" x14ac:dyDescent="0.25"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7">
        <f t="shared" ca="1" si="18"/>
        <v>-2.8458900507761745E-2</v>
      </c>
      <c r="X1219" s="3"/>
      <c r="Y1219" s="3"/>
      <c r="Z1219" s="3"/>
      <c r="AA1219" s="3"/>
      <c r="AB1219" s="3"/>
      <c r="AC1219" s="3"/>
      <c r="AD1219" s="3"/>
      <c r="AE1219" s="3"/>
      <c r="AF1219" s="3"/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  <c r="AR1219" s="3"/>
      <c r="AS1219" s="3"/>
      <c r="AT1219" s="3"/>
      <c r="AU1219" s="3"/>
      <c r="AV1219" s="3"/>
      <c r="AW1219" s="3"/>
      <c r="AX1219" s="3"/>
    </row>
    <row r="1220" spans="8:50" x14ac:dyDescent="0.25"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7">
        <f t="shared" ca="1" si="18"/>
        <v>1.1055384892304287E-2</v>
      </c>
      <c r="X1220" s="3"/>
      <c r="Y1220" s="3"/>
      <c r="Z1220" s="3"/>
      <c r="AA1220" s="3"/>
      <c r="AB1220" s="3"/>
      <c r="AC1220" s="3"/>
      <c r="AD1220" s="3"/>
      <c r="AE1220" s="3"/>
      <c r="AF1220" s="3"/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  <c r="AR1220" s="3"/>
      <c r="AS1220" s="3"/>
      <c r="AT1220" s="3"/>
      <c r="AU1220" s="3"/>
      <c r="AV1220" s="3"/>
      <c r="AW1220" s="3"/>
      <c r="AX1220" s="3"/>
    </row>
    <row r="1221" spans="8:50" x14ac:dyDescent="0.25"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7">
        <f t="shared" ca="1" si="18"/>
        <v>6.3528813843498538E-2</v>
      </c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  <c r="AR1221" s="3"/>
      <c r="AS1221" s="3"/>
      <c r="AT1221" s="3"/>
      <c r="AU1221" s="3"/>
      <c r="AV1221" s="3"/>
      <c r="AW1221" s="3"/>
      <c r="AX1221" s="3"/>
    </row>
    <row r="1222" spans="8:50" x14ac:dyDescent="0.25"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7">
        <f t="shared" ref="W1222:W1285" ca="1" si="19">+NORMINV(RAND(),$U$2,$U$3)</f>
        <v>-7.6126822886505449E-2</v>
      </c>
      <c r="X1222" s="3"/>
      <c r="Y1222" s="3"/>
      <c r="Z1222" s="3"/>
      <c r="AA1222" s="3"/>
      <c r="AB1222" s="3"/>
      <c r="AC1222" s="3"/>
      <c r="AD1222" s="3"/>
      <c r="AE1222" s="3"/>
      <c r="AF1222" s="3"/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  <c r="AR1222" s="3"/>
      <c r="AS1222" s="3"/>
      <c r="AT1222" s="3"/>
      <c r="AU1222" s="3"/>
      <c r="AV1222" s="3"/>
      <c r="AW1222" s="3"/>
      <c r="AX1222" s="3"/>
    </row>
    <row r="1223" spans="8:50" x14ac:dyDescent="0.25"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7">
        <f t="shared" ca="1" si="19"/>
        <v>0.48542344746052918</v>
      </c>
      <c r="X1223" s="3"/>
      <c r="Y1223" s="3"/>
      <c r="Z1223" s="3"/>
      <c r="AA1223" s="3"/>
      <c r="AB1223" s="3"/>
      <c r="AC1223" s="3"/>
      <c r="AD1223" s="3"/>
      <c r="AE1223" s="3"/>
      <c r="AF1223" s="3"/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  <c r="AR1223" s="3"/>
      <c r="AS1223" s="3"/>
      <c r="AT1223" s="3"/>
      <c r="AU1223" s="3"/>
      <c r="AV1223" s="3"/>
      <c r="AW1223" s="3"/>
      <c r="AX1223" s="3"/>
    </row>
    <row r="1224" spans="8:50" x14ac:dyDescent="0.25"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7">
        <f t="shared" ca="1" si="19"/>
        <v>-0.11452184023738309</v>
      </c>
      <c r="X1224" s="3"/>
      <c r="Y1224" s="3"/>
      <c r="Z1224" s="3"/>
      <c r="AA1224" s="3"/>
      <c r="AB1224" s="3"/>
      <c r="AC1224" s="3"/>
      <c r="AD1224" s="3"/>
      <c r="AE1224" s="3"/>
      <c r="AF1224" s="3"/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  <c r="AR1224" s="3"/>
      <c r="AS1224" s="3"/>
      <c r="AT1224" s="3"/>
      <c r="AU1224" s="3"/>
      <c r="AV1224" s="3"/>
      <c r="AW1224" s="3"/>
      <c r="AX1224" s="3"/>
    </row>
    <row r="1225" spans="8:50" x14ac:dyDescent="0.25"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7">
        <f t="shared" ca="1" si="19"/>
        <v>9.8483349471990625E-2</v>
      </c>
      <c r="X1225" s="3"/>
      <c r="Y1225" s="3"/>
      <c r="Z1225" s="3"/>
      <c r="AA1225" s="3"/>
      <c r="AB1225" s="3"/>
      <c r="AC1225" s="3"/>
      <c r="AD1225" s="3"/>
      <c r="AE1225" s="3"/>
      <c r="AF1225" s="3"/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  <c r="AR1225" s="3"/>
      <c r="AS1225" s="3"/>
      <c r="AT1225" s="3"/>
      <c r="AU1225" s="3"/>
      <c r="AV1225" s="3"/>
      <c r="AW1225" s="3"/>
      <c r="AX1225" s="3"/>
    </row>
    <row r="1226" spans="8:50" x14ac:dyDescent="0.25"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7">
        <f t="shared" ca="1" si="19"/>
        <v>0.25113944867947308</v>
      </c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  <c r="AR1226" s="3"/>
      <c r="AS1226" s="3"/>
      <c r="AT1226" s="3"/>
      <c r="AU1226" s="3"/>
      <c r="AV1226" s="3"/>
      <c r="AW1226" s="3"/>
      <c r="AX1226" s="3"/>
    </row>
    <row r="1227" spans="8:50" x14ac:dyDescent="0.25"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7">
        <f t="shared" ca="1" si="19"/>
        <v>2.5423769030036791E-2</v>
      </c>
      <c r="X1227" s="3"/>
      <c r="Y1227" s="3"/>
      <c r="Z1227" s="3"/>
      <c r="AA1227" s="3"/>
      <c r="AB1227" s="3"/>
      <c r="AC1227" s="3"/>
      <c r="AD1227" s="3"/>
      <c r="AE1227" s="3"/>
      <c r="AF1227" s="3"/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  <c r="AR1227" s="3"/>
      <c r="AS1227" s="3"/>
      <c r="AT1227" s="3"/>
      <c r="AU1227" s="3"/>
      <c r="AV1227" s="3"/>
      <c r="AW1227" s="3"/>
      <c r="AX1227" s="3"/>
    </row>
    <row r="1228" spans="8:50" x14ac:dyDescent="0.25"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7">
        <f t="shared" ca="1" si="19"/>
        <v>0.18086565817954914</v>
      </c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  <c r="AR1228" s="3"/>
      <c r="AS1228" s="3"/>
      <c r="AT1228" s="3"/>
      <c r="AU1228" s="3"/>
      <c r="AV1228" s="3"/>
      <c r="AW1228" s="3"/>
      <c r="AX1228" s="3"/>
    </row>
    <row r="1229" spans="8:50" x14ac:dyDescent="0.25"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7">
        <f t="shared" ca="1" si="19"/>
        <v>0.29124046869651204</v>
      </c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  <c r="AR1229" s="3"/>
      <c r="AS1229" s="3"/>
      <c r="AT1229" s="3"/>
      <c r="AU1229" s="3"/>
      <c r="AV1229" s="3"/>
      <c r="AW1229" s="3"/>
      <c r="AX1229" s="3"/>
    </row>
    <row r="1230" spans="8:50" x14ac:dyDescent="0.25"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7">
        <f t="shared" ca="1" si="19"/>
        <v>5.024131460495114E-2</v>
      </c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  <c r="AR1230" s="3"/>
      <c r="AS1230" s="3"/>
      <c r="AT1230" s="3"/>
      <c r="AU1230" s="3"/>
      <c r="AV1230" s="3"/>
      <c r="AW1230" s="3"/>
      <c r="AX1230" s="3"/>
    </row>
    <row r="1231" spans="8:50" x14ac:dyDescent="0.25"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7">
        <f t="shared" ca="1" si="19"/>
        <v>0.1777989225329912</v>
      </c>
      <c r="X1231" s="3"/>
      <c r="Y1231" s="3"/>
      <c r="Z1231" s="3"/>
      <c r="AA1231" s="3"/>
      <c r="AB1231" s="3"/>
      <c r="AC1231" s="3"/>
      <c r="AD1231" s="3"/>
      <c r="AE1231" s="3"/>
      <c r="AF1231" s="3"/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  <c r="AR1231" s="3"/>
      <c r="AS1231" s="3"/>
      <c r="AT1231" s="3"/>
      <c r="AU1231" s="3"/>
      <c r="AV1231" s="3"/>
      <c r="AW1231" s="3"/>
      <c r="AX1231" s="3"/>
    </row>
    <row r="1232" spans="8:50" x14ac:dyDescent="0.25"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7">
        <f t="shared" ca="1" si="19"/>
        <v>9.6561409954477609E-2</v>
      </c>
      <c r="X1232" s="3"/>
      <c r="Y1232" s="3"/>
      <c r="Z1232" s="3"/>
      <c r="AA1232" s="3"/>
      <c r="AB1232" s="3"/>
      <c r="AC1232" s="3"/>
      <c r="AD1232" s="3"/>
      <c r="AE1232" s="3"/>
      <c r="AF1232" s="3"/>
      <c r="AG1232" s="3"/>
      <c r="AH1232" s="3"/>
      <c r="AI1232" s="3"/>
      <c r="AJ1232" s="3"/>
      <c r="AK1232" s="3"/>
      <c r="AL1232" s="3"/>
      <c r="AM1232" s="3"/>
      <c r="AN1232" s="3"/>
      <c r="AO1232" s="3"/>
      <c r="AP1232" s="3"/>
      <c r="AQ1232" s="3"/>
      <c r="AR1232" s="3"/>
      <c r="AS1232" s="3"/>
      <c r="AT1232" s="3"/>
      <c r="AU1232" s="3"/>
      <c r="AV1232" s="3"/>
      <c r="AW1232" s="3"/>
      <c r="AX1232" s="3"/>
    </row>
    <row r="1233" spans="8:50" x14ac:dyDescent="0.25"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7">
        <f t="shared" ca="1" si="19"/>
        <v>-9.4735071385619887E-2</v>
      </c>
      <c r="X1233" s="3"/>
      <c r="Y1233" s="3"/>
      <c r="Z1233" s="3"/>
      <c r="AA1233" s="3"/>
      <c r="AB1233" s="3"/>
      <c r="AC1233" s="3"/>
      <c r="AD1233" s="3"/>
      <c r="AE1233" s="3"/>
      <c r="AF1233" s="3"/>
      <c r="AG1233" s="3"/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  <c r="AU1233" s="3"/>
      <c r="AV1233" s="3"/>
      <c r="AW1233" s="3"/>
      <c r="AX1233" s="3"/>
    </row>
    <row r="1234" spans="8:50" x14ac:dyDescent="0.25"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7">
        <f t="shared" ca="1" si="19"/>
        <v>0.45494417965808959</v>
      </c>
      <c r="X1234" s="3"/>
      <c r="Y1234" s="3"/>
      <c r="Z1234" s="3"/>
      <c r="AA1234" s="3"/>
      <c r="AB1234" s="3"/>
      <c r="AC1234" s="3"/>
      <c r="AD1234" s="3"/>
      <c r="AE1234" s="3"/>
      <c r="AF1234" s="3"/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  <c r="AR1234" s="3"/>
      <c r="AS1234" s="3"/>
      <c r="AT1234" s="3"/>
      <c r="AU1234" s="3"/>
      <c r="AV1234" s="3"/>
      <c r="AW1234" s="3"/>
      <c r="AX1234" s="3"/>
    </row>
    <row r="1235" spans="8:50" x14ac:dyDescent="0.25"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7">
        <f t="shared" ca="1" si="19"/>
        <v>0.20010769149534985</v>
      </c>
      <c r="X1235" s="3"/>
      <c r="Y1235" s="3"/>
      <c r="Z1235" s="3"/>
      <c r="AA1235" s="3"/>
      <c r="AB1235" s="3"/>
      <c r="AC1235" s="3"/>
      <c r="AD1235" s="3"/>
      <c r="AE1235" s="3"/>
      <c r="AF1235" s="3"/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  <c r="AR1235" s="3"/>
      <c r="AS1235" s="3"/>
      <c r="AT1235" s="3"/>
      <c r="AU1235" s="3"/>
      <c r="AV1235" s="3"/>
      <c r="AW1235" s="3"/>
      <c r="AX1235" s="3"/>
    </row>
    <row r="1236" spans="8:50" x14ac:dyDescent="0.25"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7">
        <f t="shared" ca="1" si="19"/>
        <v>0.16910279381442495</v>
      </c>
      <c r="X1236" s="3"/>
      <c r="Y1236" s="3"/>
      <c r="Z1236" s="3"/>
      <c r="AA1236" s="3"/>
      <c r="AB1236" s="3"/>
      <c r="AC1236" s="3"/>
      <c r="AD1236" s="3"/>
      <c r="AE1236" s="3"/>
      <c r="AF1236" s="3"/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  <c r="AR1236" s="3"/>
      <c r="AS1236" s="3"/>
      <c r="AT1236" s="3"/>
      <c r="AU1236" s="3"/>
      <c r="AV1236" s="3"/>
      <c r="AW1236" s="3"/>
      <c r="AX1236" s="3"/>
    </row>
    <row r="1237" spans="8:50" x14ac:dyDescent="0.25"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7">
        <f t="shared" ca="1" si="19"/>
        <v>-0.36802953394131266</v>
      </c>
      <c r="X1237" s="3"/>
      <c r="Y1237" s="3"/>
      <c r="Z1237" s="3"/>
      <c r="AA1237" s="3"/>
      <c r="AB1237" s="3"/>
      <c r="AC1237" s="3"/>
      <c r="AD1237" s="3"/>
      <c r="AE1237" s="3"/>
      <c r="AF1237" s="3"/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  <c r="AR1237" s="3"/>
      <c r="AS1237" s="3"/>
      <c r="AT1237" s="3"/>
      <c r="AU1237" s="3"/>
      <c r="AV1237" s="3"/>
      <c r="AW1237" s="3"/>
      <c r="AX1237" s="3"/>
    </row>
    <row r="1238" spans="8:50" x14ac:dyDescent="0.25"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7">
        <f t="shared" ca="1" si="19"/>
        <v>0.23437425769835929</v>
      </c>
      <c r="X1238" s="3"/>
      <c r="Y1238" s="3"/>
      <c r="Z1238" s="3"/>
      <c r="AA1238" s="3"/>
      <c r="AB1238" s="3"/>
      <c r="AC1238" s="3"/>
      <c r="AD1238" s="3"/>
      <c r="AE1238" s="3"/>
      <c r="AF1238" s="3"/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  <c r="AR1238" s="3"/>
      <c r="AS1238" s="3"/>
      <c r="AT1238" s="3"/>
      <c r="AU1238" s="3"/>
      <c r="AV1238" s="3"/>
      <c r="AW1238" s="3"/>
      <c r="AX1238" s="3"/>
    </row>
    <row r="1239" spans="8:50" x14ac:dyDescent="0.25"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7">
        <f t="shared" ca="1" si="19"/>
        <v>-0.12731352527835244</v>
      </c>
      <c r="X1239" s="3"/>
      <c r="Y1239" s="3"/>
      <c r="Z1239" s="3"/>
      <c r="AA1239" s="3"/>
      <c r="AB1239" s="3"/>
      <c r="AC1239" s="3"/>
      <c r="AD1239" s="3"/>
      <c r="AE1239" s="3"/>
      <c r="AF1239" s="3"/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  <c r="AR1239" s="3"/>
      <c r="AS1239" s="3"/>
      <c r="AT1239" s="3"/>
      <c r="AU1239" s="3"/>
      <c r="AV1239" s="3"/>
      <c r="AW1239" s="3"/>
      <c r="AX1239" s="3"/>
    </row>
    <row r="1240" spans="8:50" x14ac:dyDescent="0.25"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7">
        <f t="shared" ca="1" si="19"/>
        <v>0.48093660275084132</v>
      </c>
      <c r="X1240" s="3"/>
      <c r="Y1240" s="3"/>
      <c r="Z1240" s="3"/>
      <c r="AA1240" s="3"/>
      <c r="AB1240" s="3"/>
      <c r="AC1240" s="3"/>
      <c r="AD1240" s="3"/>
      <c r="AE1240" s="3"/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  <c r="AR1240" s="3"/>
      <c r="AS1240" s="3"/>
      <c r="AT1240" s="3"/>
      <c r="AU1240" s="3"/>
      <c r="AV1240" s="3"/>
      <c r="AW1240" s="3"/>
      <c r="AX1240" s="3"/>
    </row>
    <row r="1241" spans="8:50" x14ac:dyDescent="0.25"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7">
        <f t="shared" ca="1" si="19"/>
        <v>0.38078349196537969</v>
      </c>
      <c r="X1241" s="3"/>
      <c r="Y1241" s="3"/>
      <c r="Z1241" s="3"/>
      <c r="AA1241" s="3"/>
      <c r="AB1241" s="3"/>
      <c r="AC1241" s="3"/>
      <c r="AD1241" s="3"/>
      <c r="AE1241" s="3"/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  <c r="AR1241" s="3"/>
      <c r="AS1241" s="3"/>
      <c r="AT1241" s="3"/>
      <c r="AU1241" s="3"/>
      <c r="AV1241" s="3"/>
      <c r="AW1241" s="3"/>
      <c r="AX1241" s="3"/>
    </row>
    <row r="1242" spans="8:50" x14ac:dyDescent="0.25"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7">
        <f t="shared" ca="1" si="19"/>
        <v>0.17744353033665428</v>
      </c>
      <c r="X1242" s="3"/>
      <c r="Y1242" s="3"/>
      <c r="Z1242" s="3"/>
      <c r="AA1242" s="3"/>
      <c r="AB1242" s="3"/>
      <c r="AC1242" s="3"/>
      <c r="AD1242" s="3"/>
      <c r="AE1242" s="3"/>
      <c r="AF1242" s="3"/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  <c r="AR1242" s="3"/>
      <c r="AS1242" s="3"/>
      <c r="AT1242" s="3"/>
      <c r="AU1242" s="3"/>
      <c r="AV1242" s="3"/>
      <c r="AW1242" s="3"/>
      <c r="AX1242" s="3"/>
    </row>
    <row r="1243" spans="8:50" x14ac:dyDescent="0.25"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7">
        <f t="shared" ca="1" si="19"/>
        <v>-4.4794015862236317E-2</v>
      </c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  <c r="AR1243" s="3"/>
      <c r="AS1243" s="3"/>
      <c r="AT1243" s="3"/>
      <c r="AU1243" s="3"/>
      <c r="AV1243" s="3"/>
      <c r="AW1243" s="3"/>
      <c r="AX1243" s="3"/>
    </row>
    <row r="1244" spans="8:50" x14ac:dyDescent="0.25"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7">
        <f t="shared" ca="1" si="19"/>
        <v>2.32980304956419E-2</v>
      </c>
      <c r="X1244" s="3"/>
      <c r="Y1244" s="3"/>
      <c r="Z1244" s="3"/>
      <c r="AA1244" s="3"/>
      <c r="AB1244" s="3"/>
      <c r="AC1244" s="3"/>
      <c r="AD1244" s="3"/>
      <c r="AE1244" s="3"/>
      <c r="AF1244" s="3"/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  <c r="AR1244" s="3"/>
      <c r="AS1244" s="3"/>
      <c r="AT1244" s="3"/>
      <c r="AU1244" s="3"/>
      <c r="AV1244" s="3"/>
      <c r="AW1244" s="3"/>
      <c r="AX1244" s="3"/>
    </row>
    <row r="1245" spans="8:50" x14ac:dyDescent="0.25"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7">
        <f t="shared" ca="1" si="19"/>
        <v>-0.15272548630688876</v>
      </c>
      <c r="X1245" s="3"/>
      <c r="Y1245" s="3"/>
      <c r="Z1245" s="3"/>
      <c r="AA1245" s="3"/>
      <c r="AB1245" s="3"/>
      <c r="AC1245" s="3"/>
      <c r="AD1245" s="3"/>
      <c r="AE1245" s="3"/>
      <c r="AF1245" s="3"/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  <c r="AR1245" s="3"/>
      <c r="AS1245" s="3"/>
      <c r="AT1245" s="3"/>
      <c r="AU1245" s="3"/>
      <c r="AV1245" s="3"/>
      <c r="AW1245" s="3"/>
      <c r="AX1245" s="3"/>
    </row>
    <row r="1246" spans="8:50" x14ac:dyDescent="0.25"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7">
        <f t="shared" ca="1" si="19"/>
        <v>0.3522846563474088</v>
      </c>
      <c r="X1246" s="3"/>
      <c r="Y1246" s="3"/>
      <c r="Z1246" s="3"/>
      <c r="AA1246" s="3"/>
      <c r="AB1246" s="3"/>
      <c r="AC1246" s="3"/>
      <c r="AD1246" s="3"/>
      <c r="AE1246" s="3"/>
      <c r="AF1246" s="3"/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  <c r="AR1246" s="3"/>
      <c r="AS1246" s="3"/>
      <c r="AT1246" s="3"/>
      <c r="AU1246" s="3"/>
      <c r="AV1246" s="3"/>
      <c r="AW1246" s="3"/>
      <c r="AX1246" s="3"/>
    </row>
    <row r="1247" spans="8:50" x14ac:dyDescent="0.25"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7">
        <f t="shared" ca="1" si="19"/>
        <v>6.9311098966762297E-2</v>
      </c>
      <c r="X1247" s="3"/>
      <c r="Y1247" s="3"/>
      <c r="Z1247" s="3"/>
      <c r="AA1247" s="3"/>
      <c r="AB1247" s="3"/>
      <c r="AC1247" s="3"/>
      <c r="AD1247" s="3"/>
      <c r="AE1247" s="3"/>
      <c r="AF1247" s="3"/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  <c r="AR1247" s="3"/>
      <c r="AS1247" s="3"/>
      <c r="AT1247" s="3"/>
      <c r="AU1247" s="3"/>
      <c r="AV1247" s="3"/>
      <c r="AW1247" s="3"/>
      <c r="AX1247" s="3"/>
    </row>
    <row r="1248" spans="8:50" x14ac:dyDescent="0.25"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7">
        <f t="shared" ca="1" si="19"/>
        <v>-0.13407802234408478</v>
      </c>
      <c r="X1248" s="3"/>
      <c r="Y1248" s="3"/>
      <c r="Z1248" s="3"/>
      <c r="AA1248" s="3"/>
      <c r="AB1248" s="3"/>
      <c r="AC1248" s="3"/>
      <c r="AD1248" s="3"/>
      <c r="AE1248" s="3"/>
      <c r="AF1248" s="3"/>
      <c r="AG1248" s="3"/>
      <c r="AH1248" s="3"/>
      <c r="AI1248" s="3"/>
      <c r="AJ1248" s="3"/>
      <c r="AK1248" s="3"/>
      <c r="AL1248" s="3"/>
      <c r="AM1248" s="3"/>
      <c r="AN1248" s="3"/>
      <c r="AO1248" s="3"/>
      <c r="AP1248" s="3"/>
      <c r="AQ1248" s="3"/>
      <c r="AR1248" s="3"/>
      <c r="AS1248" s="3"/>
      <c r="AT1248" s="3"/>
      <c r="AU1248" s="3"/>
      <c r="AV1248" s="3"/>
      <c r="AW1248" s="3"/>
      <c r="AX1248" s="3"/>
    </row>
    <row r="1249" spans="8:50" x14ac:dyDescent="0.25"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7">
        <f t="shared" ca="1" si="19"/>
        <v>0.43578797118575163</v>
      </c>
      <c r="X1249" s="3"/>
      <c r="Y1249" s="3"/>
      <c r="Z1249" s="3"/>
      <c r="AA1249" s="3"/>
      <c r="AB1249" s="3"/>
      <c r="AC1249" s="3"/>
      <c r="AD1249" s="3"/>
      <c r="AE1249" s="3"/>
      <c r="AF1249" s="3"/>
      <c r="AG1249" s="3"/>
      <c r="AH1249" s="3"/>
      <c r="AI1249" s="3"/>
      <c r="AJ1249" s="3"/>
      <c r="AK1249" s="3"/>
      <c r="AL1249" s="3"/>
      <c r="AM1249" s="3"/>
      <c r="AN1249" s="3"/>
      <c r="AO1249" s="3"/>
      <c r="AP1249" s="3"/>
      <c r="AQ1249" s="3"/>
      <c r="AR1249" s="3"/>
      <c r="AS1249" s="3"/>
      <c r="AT1249" s="3"/>
      <c r="AU1249" s="3"/>
      <c r="AV1249" s="3"/>
      <c r="AW1249" s="3"/>
      <c r="AX1249" s="3"/>
    </row>
    <row r="1250" spans="8:50" x14ac:dyDescent="0.25"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7">
        <f t="shared" ca="1" si="19"/>
        <v>0.59862274063556475</v>
      </c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  <c r="AR1250" s="3"/>
      <c r="AS1250" s="3"/>
      <c r="AT1250" s="3"/>
      <c r="AU1250" s="3"/>
      <c r="AV1250" s="3"/>
      <c r="AW1250" s="3"/>
      <c r="AX1250" s="3"/>
    </row>
    <row r="1251" spans="8:50" x14ac:dyDescent="0.25"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7">
        <f t="shared" ca="1" si="19"/>
        <v>6.5208122681880892E-2</v>
      </c>
      <c r="X1251" s="3"/>
      <c r="Y1251" s="3"/>
      <c r="Z1251" s="3"/>
      <c r="AA1251" s="3"/>
      <c r="AB1251" s="3"/>
      <c r="AC1251" s="3"/>
      <c r="AD1251" s="3"/>
      <c r="AE1251" s="3"/>
      <c r="AF1251" s="3"/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  <c r="AR1251" s="3"/>
      <c r="AS1251" s="3"/>
      <c r="AT1251" s="3"/>
      <c r="AU1251" s="3"/>
      <c r="AV1251" s="3"/>
      <c r="AW1251" s="3"/>
      <c r="AX1251" s="3"/>
    </row>
    <row r="1252" spans="8:50" x14ac:dyDescent="0.25"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7">
        <f t="shared" ca="1" si="19"/>
        <v>-0.11330537200041928</v>
      </c>
      <c r="X1252" s="3"/>
      <c r="Y1252" s="3"/>
      <c r="Z1252" s="3"/>
      <c r="AA1252" s="3"/>
      <c r="AB1252" s="3"/>
      <c r="AC1252" s="3"/>
      <c r="AD1252" s="3"/>
      <c r="AE1252" s="3"/>
      <c r="AF1252" s="3"/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  <c r="AR1252" s="3"/>
      <c r="AS1252" s="3"/>
      <c r="AT1252" s="3"/>
      <c r="AU1252" s="3"/>
      <c r="AV1252" s="3"/>
      <c r="AW1252" s="3"/>
      <c r="AX1252" s="3"/>
    </row>
    <row r="1253" spans="8:50" x14ac:dyDescent="0.25"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7">
        <f t="shared" ca="1" si="19"/>
        <v>-6.5838457894665109E-3</v>
      </c>
      <c r="X1253" s="3"/>
      <c r="Y1253" s="3"/>
      <c r="Z1253" s="3"/>
      <c r="AA1253" s="3"/>
      <c r="AB1253" s="3"/>
      <c r="AC1253" s="3"/>
      <c r="AD1253" s="3"/>
      <c r="AE1253" s="3"/>
      <c r="AF1253" s="3"/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  <c r="AR1253" s="3"/>
      <c r="AS1253" s="3"/>
      <c r="AT1253" s="3"/>
      <c r="AU1253" s="3"/>
      <c r="AV1253" s="3"/>
      <c r="AW1253" s="3"/>
      <c r="AX1253" s="3"/>
    </row>
    <row r="1254" spans="8:50" x14ac:dyDescent="0.25"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7">
        <f t="shared" ca="1" si="19"/>
        <v>1.9790184142157149E-2</v>
      </c>
      <c r="X1254" s="3"/>
      <c r="Y1254" s="3"/>
      <c r="Z1254" s="3"/>
      <c r="AA1254" s="3"/>
      <c r="AB1254" s="3"/>
      <c r="AC1254" s="3"/>
      <c r="AD1254" s="3"/>
      <c r="AE1254" s="3"/>
      <c r="AF1254" s="3"/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</row>
    <row r="1255" spans="8:50" x14ac:dyDescent="0.25"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7">
        <f t="shared" ca="1" si="19"/>
        <v>-4.9926713341278087E-2</v>
      </c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  <c r="AR1255" s="3"/>
      <c r="AS1255" s="3"/>
      <c r="AT1255" s="3"/>
      <c r="AU1255" s="3"/>
      <c r="AV1255" s="3"/>
      <c r="AW1255" s="3"/>
      <c r="AX1255" s="3"/>
    </row>
    <row r="1256" spans="8:50" x14ac:dyDescent="0.25"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7">
        <f t="shared" ca="1" si="19"/>
        <v>7.0622805068842914E-2</v>
      </c>
      <c r="X1256" s="3"/>
      <c r="Y1256" s="3"/>
      <c r="Z1256" s="3"/>
      <c r="AA1256" s="3"/>
      <c r="AB1256" s="3"/>
      <c r="AC1256" s="3"/>
      <c r="AD1256" s="3"/>
      <c r="AE1256" s="3"/>
      <c r="AF1256" s="3"/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  <c r="AR1256" s="3"/>
      <c r="AS1256" s="3"/>
      <c r="AT1256" s="3"/>
      <c r="AU1256" s="3"/>
      <c r="AV1256" s="3"/>
      <c r="AW1256" s="3"/>
      <c r="AX1256" s="3"/>
    </row>
    <row r="1257" spans="8:50" x14ac:dyDescent="0.25"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7">
        <f t="shared" ca="1" si="19"/>
        <v>0.31076101593936206</v>
      </c>
      <c r="X1257" s="3"/>
      <c r="Y1257" s="3"/>
      <c r="Z1257" s="3"/>
      <c r="AA1257" s="3"/>
      <c r="AB1257" s="3"/>
      <c r="AC1257" s="3"/>
      <c r="AD1257" s="3"/>
      <c r="AE1257" s="3"/>
      <c r="AF1257" s="3"/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  <c r="AR1257" s="3"/>
      <c r="AS1257" s="3"/>
      <c r="AT1257" s="3"/>
      <c r="AU1257" s="3"/>
      <c r="AV1257" s="3"/>
      <c r="AW1257" s="3"/>
      <c r="AX1257" s="3"/>
    </row>
    <row r="1258" spans="8:50" x14ac:dyDescent="0.25"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7">
        <f t="shared" ca="1" si="19"/>
        <v>0.14411182291412919</v>
      </c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  <c r="AR1258" s="3"/>
      <c r="AS1258" s="3"/>
      <c r="AT1258" s="3"/>
      <c r="AU1258" s="3"/>
      <c r="AV1258" s="3"/>
      <c r="AW1258" s="3"/>
      <c r="AX1258" s="3"/>
    </row>
    <row r="1259" spans="8:50" x14ac:dyDescent="0.25"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7">
        <f t="shared" ca="1" si="19"/>
        <v>0.68216217148908542</v>
      </c>
      <c r="X1259" s="3"/>
      <c r="Y1259" s="3"/>
      <c r="Z1259" s="3"/>
      <c r="AA1259" s="3"/>
      <c r="AB1259" s="3"/>
      <c r="AC1259" s="3"/>
      <c r="AD1259" s="3"/>
      <c r="AE1259" s="3"/>
      <c r="AF1259" s="3"/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  <c r="AR1259" s="3"/>
      <c r="AS1259" s="3"/>
      <c r="AT1259" s="3"/>
      <c r="AU1259" s="3"/>
      <c r="AV1259" s="3"/>
      <c r="AW1259" s="3"/>
      <c r="AX1259" s="3"/>
    </row>
    <row r="1260" spans="8:50" x14ac:dyDescent="0.25"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7">
        <f t="shared" ca="1" si="19"/>
        <v>-2.5865388718704627E-2</v>
      </c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  <c r="AR1260" s="3"/>
      <c r="AS1260" s="3"/>
      <c r="AT1260" s="3"/>
      <c r="AU1260" s="3"/>
      <c r="AV1260" s="3"/>
      <c r="AW1260" s="3"/>
      <c r="AX1260" s="3"/>
    </row>
    <row r="1261" spans="8:50" x14ac:dyDescent="0.25"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7">
        <f t="shared" ca="1" si="19"/>
        <v>0.36522545132970979</v>
      </c>
      <c r="X1261" s="3"/>
      <c r="Y1261" s="3"/>
      <c r="Z1261" s="3"/>
      <c r="AA1261" s="3"/>
      <c r="AB1261" s="3"/>
      <c r="AC1261" s="3"/>
      <c r="AD1261" s="3"/>
      <c r="AE1261" s="3"/>
      <c r="AF1261" s="3"/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  <c r="AR1261" s="3"/>
      <c r="AS1261" s="3"/>
      <c r="AT1261" s="3"/>
      <c r="AU1261" s="3"/>
      <c r="AV1261" s="3"/>
      <c r="AW1261" s="3"/>
      <c r="AX1261" s="3"/>
    </row>
    <row r="1262" spans="8:50" x14ac:dyDescent="0.25"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7">
        <f t="shared" ca="1" si="19"/>
        <v>3.6572087420476643E-2</v>
      </c>
      <c r="X1262" s="3"/>
      <c r="Y1262" s="3"/>
      <c r="Z1262" s="3"/>
      <c r="AA1262" s="3"/>
      <c r="AB1262" s="3"/>
      <c r="AC1262" s="3"/>
      <c r="AD1262" s="3"/>
      <c r="AE1262" s="3"/>
      <c r="AF1262" s="3"/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  <c r="AR1262" s="3"/>
      <c r="AS1262" s="3"/>
      <c r="AT1262" s="3"/>
      <c r="AU1262" s="3"/>
      <c r="AV1262" s="3"/>
      <c r="AW1262" s="3"/>
      <c r="AX1262" s="3"/>
    </row>
    <row r="1263" spans="8:50" x14ac:dyDescent="0.25"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7">
        <f t="shared" ca="1" si="19"/>
        <v>9.1262300873215588E-2</v>
      </c>
      <c r="X1263" s="3"/>
      <c r="Y1263" s="3"/>
      <c r="Z1263" s="3"/>
      <c r="AA1263" s="3"/>
      <c r="AB1263" s="3"/>
      <c r="AC1263" s="3"/>
      <c r="AD1263" s="3"/>
      <c r="AE1263" s="3"/>
      <c r="AF1263" s="3"/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  <c r="AR1263" s="3"/>
      <c r="AS1263" s="3"/>
      <c r="AT1263" s="3"/>
      <c r="AU1263" s="3"/>
      <c r="AV1263" s="3"/>
      <c r="AW1263" s="3"/>
      <c r="AX1263" s="3"/>
    </row>
    <row r="1264" spans="8:50" x14ac:dyDescent="0.25"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7">
        <f t="shared" ca="1" si="19"/>
        <v>0.14801157343090354</v>
      </c>
      <c r="X1264" s="3"/>
      <c r="Y1264" s="3"/>
      <c r="Z1264" s="3"/>
      <c r="AA1264" s="3"/>
      <c r="AB1264" s="3"/>
      <c r="AC1264" s="3"/>
      <c r="AD1264" s="3"/>
      <c r="AE1264" s="3"/>
      <c r="AF1264" s="3"/>
      <c r="AG1264" s="3"/>
      <c r="AH1264" s="3"/>
      <c r="AI1264" s="3"/>
      <c r="AJ1264" s="3"/>
      <c r="AK1264" s="3"/>
      <c r="AL1264" s="3"/>
      <c r="AM1264" s="3"/>
      <c r="AN1264" s="3"/>
      <c r="AO1264" s="3"/>
      <c r="AP1264" s="3"/>
      <c r="AQ1264" s="3"/>
      <c r="AR1264" s="3"/>
      <c r="AS1264" s="3"/>
      <c r="AT1264" s="3"/>
      <c r="AU1264" s="3"/>
      <c r="AV1264" s="3"/>
      <c r="AW1264" s="3"/>
      <c r="AX1264" s="3"/>
    </row>
    <row r="1265" spans="8:50" x14ac:dyDescent="0.25"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7">
        <f t="shared" ca="1" si="19"/>
        <v>8.9402098802424668E-2</v>
      </c>
      <c r="X1265" s="3"/>
      <c r="Y1265" s="3"/>
      <c r="Z1265" s="3"/>
      <c r="AA1265" s="3"/>
      <c r="AB1265" s="3"/>
      <c r="AC1265" s="3"/>
      <c r="AD1265" s="3"/>
      <c r="AE1265" s="3"/>
      <c r="AF1265" s="3"/>
      <c r="AG1265" s="3"/>
      <c r="AH1265" s="3"/>
      <c r="AI1265" s="3"/>
      <c r="AJ1265" s="3"/>
      <c r="AK1265" s="3"/>
      <c r="AL1265" s="3"/>
      <c r="AM1265" s="3"/>
      <c r="AN1265" s="3"/>
      <c r="AO1265" s="3"/>
      <c r="AP1265" s="3"/>
      <c r="AQ1265" s="3"/>
      <c r="AR1265" s="3"/>
      <c r="AS1265" s="3"/>
      <c r="AT1265" s="3"/>
      <c r="AU1265" s="3"/>
      <c r="AV1265" s="3"/>
      <c r="AW1265" s="3"/>
      <c r="AX1265" s="3"/>
    </row>
    <row r="1266" spans="8:50" x14ac:dyDescent="0.25"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7">
        <f t="shared" ca="1" si="19"/>
        <v>0.24401473403247609</v>
      </c>
      <c r="X1266" s="3"/>
      <c r="Y1266" s="3"/>
      <c r="Z1266" s="3"/>
      <c r="AA1266" s="3"/>
      <c r="AB1266" s="3"/>
      <c r="AC1266" s="3"/>
      <c r="AD1266" s="3"/>
      <c r="AE1266" s="3"/>
      <c r="AF1266" s="3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  <c r="AR1266" s="3"/>
      <c r="AS1266" s="3"/>
      <c r="AT1266" s="3"/>
      <c r="AU1266" s="3"/>
      <c r="AV1266" s="3"/>
      <c r="AW1266" s="3"/>
      <c r="AX1266" s="3"/>
    </row>
    <row r="1267" spans="8:50" x14ac:dyDescent="0.25"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7">
        <f t="shared" ca="1" si="19"/>
        <v>0.21187052217451391</v>
      </c>
      <c r="X1267" s="3"/>
      <c r="Y1267" s="3"/>
      <c r="Z1267" s="3"/>
      <c r="AA1267" s="3"/>
      <c r="AB1267" s="3"/>
      <c r="AC1267" s="3"/>
      <c r="AD1267" s="3"/>
      <c r="AE1267" s="3"/>
      <c r="AF1267" s="3"/>
      <c r="AG1267" s="3"/>
      <c r="AH1267" s="3"/>
      <c r="AI1267" s="3"/>
      <c r="AJ1267" s="3"/>
      <c r="AK1267" s="3"/>
      <c r="AL1267" s="3"/>
      <c r="AM1267" s="3"/>
      <c r="AN1267" s="3"/>
      <c r="AO1267" s="3"/>
      <c r="AP1267" s="3"/>
      <c r="AQ1267" s="3"/>
      <c r="AR1267" s="3"/>
      <c r="AS1267" s="3"/>
      <c r="AT1267" s="3"/>
      <c r="AU1267" s="3"/>
      <c r="AV1267" s="3"/>
      <c r="AW1267" s="3"/>
      <c r="AX1267" s="3"/>
    </row>
    <row r="1268" spans="8:50" x14ac:dyDescent="0.25"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7">
        <f t="shared" ca="1" si="19"/>
        <v>0.20508100011032149</v>
      </c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  <c r="AH1268" s="3"/>
      <c r="AI1268" s="3"/>
      <c r="AJ1268" s="3"/>
      <c r="AK1268" s="3"/>
      <c r="AL1268" s="3"/>
      <c r="AM1268" s="3"/>
      <c r="AN1268" s="3"/>
      <c r="AO1268" s="3"/>
      <c r="AP1268" s="3"/>
      <c r="AQ1268" s="3"/>
      <c r="AR1268" s="3"/>
      <c r="AS1268" s="3"/>
      <c r="AT1268" s="3"/>
      <c r="AU1268" s="3"/>
      <c r="AV1268" s="3"/>
      <c r="AW1268" s="3"/>
      <c r="AX1268" s="3"/>
    </row>
    <row r="1269" spans="8:50" x14ac:dyDescent="0.25"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7">
        <f t="shared" ca="1" si="19"/>
        <v>3.7431068274075968E-2</v>
      </c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  <c r="AH1269" s="3"/>
      <c r="AI1269" s="3"/>
      <c r="AJ1269" s="3"/>
      <c r="AK1269" s="3"/>
      <c r="AL1269" s="3"/>
      <c r="AM1269" s="3"/>
      <c r="AN1269" s="3"/>
      <c r="AO1269" s="3"/>
      <c r="AP1269" s="3"/>
      <c r="AQ1269" s="3"/>
      <c r="AR1269" s="3"/>
      <c r="AS1269" s="3"/>
      <c r="AT1269" s="3"/>
      <c r="AU1269" s="3"/>
      <c r="AV1269" s="3"/>
      <c r="AW1269" s="3"/>
      <c r="AX1269" s="3"/>
    </row>
    <row r="1270" spans="8:50" x14ac:dyDescent="0.25"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7">
        <f t="shared" ca="1" si="19"/>
        <v>-0.17562825538599802</v>
      </c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  <c r="AH1270" s="3"/>
      <c r="AI1270" s="3"/>
      <c r="AJ1270" s="3"/>
      <c r="AK1270" s="3"/>
      <c r="AL1270" s="3"/>
      <c r="AM1270" s="3"/>
      <c r="AN1270" s="3"/>
      <c r="AO1270" s="3"/>
      <c r="AP1270" s="3"/>
      <c r="AQ1270" s="3"/>
      <c r="AR1270" s="3"/>
      <c r="AS1270" s="3"/>
      <c r="AT1270" s="3"/>
      <c r="AU1270" s="3"/>
      <c r="AV1270" s="3"/>
      <c r="AW1270" s="3"/>
      <c r="AX1270" s="3"/>
    </row>
    <row r="1271" spans="8:50" x14ac:dyDescent="0.25"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7">
        <f t="shared" ca="1" si="19"/>
        <v>0.10426929619902138</v>
      </c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  <c r="AR1271" s="3"/>
      <c r="AS1271" s="3"/>
      <c r="AT1271" s="3"/>
      <c r="AU1271" s="3"/>
      <c r="AV1271" s="3"/>
      <c r="AW1271" s="3"/>
      <c r="AX1271" s="3"/>
    </row>
    <row r="1272" spans="8:50" x14ac:dyDescent="0.25"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7">
        <f t="shared" ca="1" si="19"/>
        <v>0.1889594476582265</v>
      </c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  <c r="AH1272" s="3"/>
      <c r="AI1272" s="3"/>
      <c r="AJ1272" s="3"/>
      <c r="AK1272" s="3"/>
      <c r="AL1272" s="3"/>
      <c r="AM1272" s="3"/>
      <c r="AN1272" s="3"/>
      <c r="AO1272" s="3"/>
      <c r="AP1272" s="3"/>
      <c r="AQ1272" s="3"/>
      <c r="AR1272" s="3"/>
      <c r="AS1272" s="3"/>
      <c r="AT1272" s="3"/>
      <c r="AU1272" s="3"/>
      <c r="AV1272" s="3"/>
      <c r="AW1272" s="3"/>
      <c r="AX1272" s="3"/>
    </row>
    <row r="1273" spans="8:50" x14ac:dyDescent="0.25"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7">
        <f t="shared" ca="1" si="19"/>
        <v>0.52002862760011648</v>
      </c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  <c r="AR1273" s="3"/>
      <c r="AS1273" s="3"/>
      <c r="AT1273" s="3"/>
      <c r="AU1273" s="3"/>
      <c r="AV1273" s="3"/>
      <c r="AW1273" s="3"/>
      <c r="AX1273" s="3"/>
    </row>
    <row r="1274" spans="8:50" x14ac:dyDescent="0.25"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7">
        <f t="shared" ca="1" si="19"/>
        <v>0.37212235198797539</v>
      </c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  <c r="AR1274" s="3"/>
      <c r="AS1274" s="3"/>
      <c r="AT1274" s="3"/>
      <c r="AU1274" s="3"/>
      <c r="AV1274" s="3"/>
      <c r="AW1274" s="3"/>
      <c r="AX1274" s="3"/>
    </row>
    <row r="1275" spans="8:50" x14ac:dyDescent="0.25"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7">
        <f t="shared" ca="1" si="19"/>
        <v>-5.815278833642902E-2</v>
      </c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  <c r="AR1275" s="3"/>
      <c r="AS1275" s="3"/>
      <c r="AT1275" s="3"/>
      <c r="AU1275" s="3"/>
      <c r="AV1275" s="3"/>
      <c r="AW1275" s="3"/>
      <c r="AX1275" s="3"/>
    </row>
    <row r="1276" spans="8:50" x14ac:dyDescent="0.25"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7">
        <f t="shared" ca="1" si="19"/>
        <v>0.19697755228609268</v>
      </c>
      <c r="X1276" s="3"/>
      <c r="Y1276" s="3"/>
      <c r="Z1276" s="3"/>
      <c r="AA1276" s="3"/>
      <c r="AB1276" s="3"/>
      <c r="AC1276" s="3"/>
      <c r="AD1276" s="3"/>
      <c r="AE1276" s="3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  <c r="AR1276" s="3"/>
      <c r="AS1276" s="3"/>
      <c r="AT1276" s="3"/>
      <c r="AU1276" s="3"/>
      <c r="AV1276" s="3"/>
      <c r="AW1276" s="3"/>
      <c r="AX1276" s="3"/>
    </row>
    <row r="1277" spans="8:50" x14ac:dyDescent="0.25"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7">
        <f t="shared" ca="1" si="19"/>
        <v>0.15926234097323189</v>
      </c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  <c r="AR1277" s="3"/>
      <c r="AS1277" s="3"/>
      <c r="AT1277" s="3"/>
      <c r="AU1277" s="3"/>
      <c r="AV1277" s="3"/>
      <c r="AW1277" s="3"/>
      <c r="AX1277" s="3"/>
    </row>
    <row r="1278" spans="8:50" x14ac:dyDescent="0.25"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7">
        <f t="shared" ca="1" si="19"/>
        <v>0.17602371759376945</v>
      </c>
      <c r="X1278" s="3"/>
      <c r="Y1278" s="3"/>
      <c r="Z1278" s="3"/>
      <c r="AA1278" s="3"/>
      <c r="AB1278" s="3"/>
      <c r="AC1278" s="3"/>
      <c r="AD1278" s="3"/>
      <c r="AE1278" s="3"/>
      <c r="AF1278" s="3"/>
      <c r="AG1278" s="3"/>
      <c r="AH1278" s="3"/>
      <c r="AI1278" s="3"/>
      <c r="AJ1278" s="3"/>
      <c r="AK1278" s="3"/>
      <c r="AL1278" s="3"/>
      <c r="AM1278" s="3"/>
      <c r="AN1278" s="3"/>
      <c r="AO1278" s="3"/>
      <c r="AP1278" s="3"/>
      <c r="AQ1278" s="3"/>
      <c r="AR1278" s="3"/>
      <c r="AS1278" s="3"/>
      <c r="AT1278" s="3"/>
      <c r="AU1278" s="3"/>
      <c r="AV1278" s="3"/>
      <c r="AW1278" s="3"/>
      <c r="AX1278" s="3"/>
    </row>
    <row r="1279" spans="8:50" x14ac:dyDescent="0.25"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7">
        <f t="shared" ca="1" si="19"/>
        <v>0.24792121913933829</v>
      </c>
      <c r="X1279" s="3"/>
      <c r="Y1279" s="3"/>
      <c r="Z1279" s="3"/>
      <c r="AA1279" s="3"/>
      <c r="AB1279" s="3"/>
      <c r="AC1279" s="3"/>
      <c r="AD1279" s="3"/>
      <c r="AE1279" s="3"/>
      <c r="AF1279" s="3"/>
      <c r="AG1279" s="3"/>
      <c r="AH1279" s="3"/>
      <c r="AI1279" s="3"/>
      <c r="AJ1279" s="3"/>
      <c r="AK1279" s="3"/>
      <c r="AL1279" s="3"/>
      <c r="AM1279" s="3"/>
      <c r="AN1279" s="3"/>
      <c r="AO1279" s="3"/>
      <c r="AP1279" s="3"/>
      <c r="AQ1279" s="3"/>
      <c r="AR1279" s="3"/>
      <c r="AS1279" s="3"/>
      <c r="AT1279" s="3"/>
      <c r="AU1279" s="3"/>
      <c r="AV1279" s="3"/>
      <c r="AW1279" s="3"/>
      <c r="AX1279" s="3"/>
    </row>
    <row r="1280" spans="8:50" x14ac:dyDescent="0.25"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7">
        <f t="shared" ca="1" si="19"/>
        <v>0.10727668958195576</v>
      </c>
      <c r="X1280" s="3"/>
      <c r="Y1280" s="3"/>
      <c r="Z1280" s="3"/>
      <c r="AA1280" s="3"/>
      <c r="AB1280" s="3"/>
      <c r="AC1280" s="3"/>
      <c r="AD1280" s="3"/>
      <c r="AE1280" s="3"/>
      <c r="AF1280" s="3"/>
      <c r="AG1280" s="3"/>
      <c r="AH1280" s="3"/>
      <c r="AI1280" s="3"/>
      <c r="AJ1280" s="3"/>
      <c r="AK1280" s="3"/>
      <c r="AL1280" s="3"/>
      <c r="AM1280" s="3"/>
      <c r="AN1280" s="3"/>
      <c r="AO1280" s="3"/>
      <c r="AP1280" s="3"/>
      <c r="AQ1280" s="3"/>
      <c r="AR1280" s="3"/>
      <c r="AS1280" s="3"/>
      <c r="AT1280" s="3"/>
      <c r="AU1280" s="3"/>
      <c r="AV1280" s="3"/>
      <c r="AW1280" s="3"/>
      <c r="AX1280" s="3"/>
    </row>
    <row r="1281" spans="8:50" x14ac:dyDescent="0.25"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7">
        <f t="shared" ca="1" si="19"/>
        <v>0.32375540730677449</v>
      </c>
      <c r="X1281" s="3"/>
      <c r="Y1281" s="3"/>
      <c r="Z1281" s="3"/>
      <c r="AA1281" s="3"/>
      <c r="AB1281" s="3"/>
      <c r="AC1281" s="3"/>
      <c r="AD1281" s="3"/>
      <c r="AE1281" s="3"/>
      <c r="AF1281" s="3"/>
      <c r="AG1281" s="3"/>
      <c r="AH1281" s="3"/>
      <c r="AI1281" s="3"/>
      <c r="AJ1281" s="3"/>
      <c r="AK1281" s="3"/>
      <c r="AL1281" s="3"/>
      <c r="AM1281" s="3"/>
      <c r="AN1281" s="3"/>
      <c r="AO1281" s="3"/>
      <c r="AP1281" s="3"/>
      <c r="AQ1281" s="3"/>
      <c r="AR1281" s="3"/>
      <c r="AS1281" s="3"/>
      <c r="AT1281" s="3"/>
      <c r="AU1281" s="3"/>
      <c r="AV1281" s="3"/>
      <c r="AW1281" s="3"/>
      <c r="AX1281" s="3"/>
    </row>
    <row r="1282" spans="8:50" x14ac:dyDescent="0.25"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7">
        <f t="shared" ca="1" si="19"/>
        <v>-3.3277040655896692E-2</v>
      </c>
      <c r="X1282" s="3"/>
      <c r="Y1282" s="3"/>
      <c r="Z1282" s="3"/>
      <c r="AA1282" s="3"/>
      <c r="AB1282" s="3"/>
      <c r="AC1282" s="3"/>
      <c r="AD1282" s="3"/>
      <c r="AE1282" s="3"/>
      <c r="AF1282" s="3"/>
      <c r="AG1282" s="3"/>
      <c r="AH1282" s="3"/>
      <c r="AI1282" s="3"/>
      <c r="AJ1282" s="3"/>
      <c r="AK1282" s="3"/>
      <c r="AL1282" s="3"/>
      <c r="AM1282" s="3"/>
      <c r="AN1282" s="3"/>
      <c r="AO1282" s="3"/>
      <c r="AP1282" s="3"/>
      <c r="AQ1282" s="3"/>
      <c r="AR1282" s="3"/>
      <c r="AS1282" s="3"/>
      <c r="AT1282" s="3"/>
      <c r="AU1282" s="3"/>
      <c r="AV1282" s="3"/>
      <c r="AW1282" s="3"/>
      <c r="AX1282" s="3"/>
    </row>
    <row r="1283" spans="8:50" x14ac:dyDescent="0.25"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7">
        <f t="shared" ca="1" si="19"/>
        <v>0.38744198108573713</v>
      </c>
      <c r="X1283" s="3"/>
      <c r="Y1283" s="3"/>
      <c r="Z1283" s="3"/>
      <c r="AA1283" s="3"/>
      <c r="AB1283" s="3"/>
      <c r="AC1283" s="3"/>
      <c r="AD1283" s="3"/>
      <c r="AE1283" s="3"/>
      <c r="AF1283" s="3"/>
      <c r="AG1283" s="3"/>
      <c r="AH1283" s="3"/>
      <c r="AI1283" s="3"/>
      <c r="AJ1283" s="3"/>
      <c r="AK1283" s="3"/>
      <c r="AL1283" s="3"/>
      <c r="AM1283" s="3"/>
      <c r="AN1283" s="3"/>
      <c r="AO1283" s="3"/>
      <c r="AP1283" s="3"/>
      <c r="AQ1283" s="3"/>
      <c r="AR1283" s="3"/>
      <c r="AS1283" s="3"/>
      <c r="AT1283" s="3"/>
      <c r="AU1283" s="3"/>
      <c r="AV1283" s="3"/>
      <c r="AW1283" s="3"/>
      <c r="AX1283" s="3"/>
    </row>
    <row r="1284" spans="8:50" x14ac:dyDescent="0.25"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7">
        <f t="shared" ca="1" si="19"/>
        <v>0.20151053105439035</v>
      </c>
      <c r="X1284" s="3"/>
      <c r="Y1284" s="3"/>
      <c r="Z1284" s="3"/>
      <c r="AA1284" s="3"/>
      <c r="AB1284" s="3"/>
      <c r="AC1284" s="3"/>
      <c r="AD1284" s="3"/>
      <c r="AE1284" s="3"/>
      <c r="AF1284" s="3"/>
      <c r="AG1284" s="3"/>
      <c r="AH1284" s="3"/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</row>
    <row r="1285" spans="8:50" x14ac:dyDescent="0.25"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7">
        <f t="shared" ca="1" si="19"/>
        <v>0.16033070645434971</v>
      </c>
      <c r="X1285" s="3"/>
      <c r="Y1285" s="3"/>
      <c r="Z1285" s="3"/>
      <c r="AA1285" s="3"/>
      <c r="AB1285" s="3"/>
      <c r="AC1285" s="3"/>
      <c r="AD1285" s="3"/>
      <c r="AE1285" s="3"/>
      <c r="AF1285" s="3"/>
      <c r="AG1285" s="3"/>
      <c r="AH1285" s="3"/>
      <c r="AI1285" s="3"/>
      <c r="AJ1285" s="3"/>
      <c r="AK1285" s="3"/>
      <c r="AL1285" s="3"/>
      <c r="AM1285" s="3"/>
      <c r="AN1285" s="3"/>
      <c r="AO1285" s="3"/>
      <c r="AP1285" s="3"/>
      <c r="AQ1285" s="3"/>
      <c r="AR1285" s="3"/>
      <c r="AS1285" s="3"/>
      <c r="AT1285" s="3"/>
      <c r="AU1285" s="3"/>
      <c r="AV1285" s="3"/>
      <c r="AW1285" s="3"/>
      <c r="AX1285" s="3"/>
    </row>
    <row r="1286" spans="8:50" x14ac:dyDescent="0.25"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7">
        <f t="shared" ref="W1286:W1349" ca="1" si="20">+NORMINV(RAND(),$U$2,$U$3)</f>
        <v>0.26039587916058204</v>
      </c>
      <c r="X1286" s="3"/>
      <c r="Y1286" s="3"/>
      <c r="Z1286" s="3"/>
      <c r="AA1286" s="3"/>
      <c r="AB1286" s="3"/>
      <c r="AC1286" s="3"/>
      <c r="AD1286" s="3"/>
      <c r="AE1286" s="3"/>
      <c r="AF1286" s="3"/>
      <c r="AG1286" s="3"/>
      <c r="AH1286" s="3"/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</row>
    <row r="1287" spans="8:50" x14ac:dyDescent="0.25"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7">
        <f t="shared" ca="1" si="20"/>
        <v>0.12407766123901615</v>
      </c>
      <c r="X1287" s="3"/>
      <c r="Y1287" s="3"/>
      <c r="Z1287" s="3"/>
      <c r="AA1287" s="3"/>
      <c r="AB1287" s="3"/>
      <c r="AC1287" s="3"/>
      <c r="AD1287" s="3"/>
      <c r="AE1287" s="3"/>
      <c r="AF1287" s="3"/>
      <c r="AG1287" s="3"/>
      <c r="AH1287" s="3"/>
      <c r="AI1287" s="3"/>
      <c r="AJ1287" s="3"/>
      <c r="AK1287" s="3"/>
      <c r="AL1287" s="3"/>
      <c r="AM1287" s="3"/>
      <c r="AN1287" s="3"/>
      <c r="AO1287" s="3"/>
      <c r="AP1287" s="3"/>
      <c r="AQ1287" s="3"/>
      <c r="AR1287" s="3"/>
      <c r="AS1287" s="3"/>
      <c r="AT1287" s="3"/>
      <c r="AU1287" s="3"/>
      <c r="AV1287" s="3"/>
      <c r="AW1287" s="3"/>
      <c r="AX1287" s="3"/>
    </row>
    <row r="1288" spans="8:50" x14ac:dyDescent="0.25"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7">
        <f t="shared" ca="1" si="20"/>
        <v>-0.14999215286012485</v>
      </c>
      <c r="X1288" s="3"/>
      <c r="Y1288" s="3"/>
      <c r="Z1288" s="3"/>
      <c r="AA1288" s="3"/>
      <c r="AB1288" s="3"/>
      <c r="AC1288" s="3"/>
      <c r="AD1288" s="3"/>
      <c r="AE1288" s="3"/>
      <c r="AF1288" s="3"/>
      <c r="AG1288" s="3"/>
      <c r="AH1288" s="3"/>
      <c r="AI1288" s="3"/>
      <c r="AJ1288" s="3"/>
      <c r="AK1288" s="3"/>
      <c r="AL1288" s="3"/>
      <c r="AM1288" s="3"/>
      <c r="AN1288" s="3"/>
      <c r="AO1288" s="3"/>
      <c r="AP1288" s="3"/>
      <c r="AQ1288" s="3"/>
      <c r="AR1288" s="3"/>
      <c r="AS1288" s="3"/>
      <c r="AT1288" s="3"/>
      <c r="AU1288" s="3"/>
      <c r="AV1288" s="3"/>
      <c r="AW1288" s="3"/>
      <c r="AX1288" s="3"/>
    </row>
    <row r="1289" spans="8:50" x14ac:dyDescent="0.25"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7">
        <f t="shared" ca="1" si="20"/>
        <v>2.2401797819154273E-2</v>
      </c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  <c r="AH1289" s="3"/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</row>
    <row r="1290" spans="8:50" x14ac:dyDescent="0.25"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7">
        <f t="shared" ca="1" si="20"/>
        <v>-0.29770906481199727</v>
      </c>
      <c r="X1290" s="3"/>
      <c r="Y1290" s="3"/>
      <c r="Z1290" s="3"/>
      <c r="AA1290" s="3"/>
      <c r="AB1290" s="3"/>
      <c r="AC1290" s="3"/>
      <c r="AD1290" s="3"/>
      <c r="AE1290" s="3"/>
      <c r="AF1290" s="3"/>
      <c r="AG1290" s="3"/>
      <c r="AH1290" s="3"/>
      <c r="AI1290" s="3"/>
      <c r="AJ1290" s="3"/>
      <c r="AK1290" s="3"/>
      <c r="AL1290" s="3"/>
      <c r="AM1290" s="3"/>
      <c r="AN1290" s="3"/>
      <c r="AO1290" s="3"/>
      <c r="AP1290" s="3"/>
      <c r="AQ1290" s="3"/>
      <c r="AR1290" s="3"/>
      <c r="AS1290" s="3"/>
      <c r="AT1290" s="3"/>
      <c r="AU1290" s="3"/>
      <c r="AV1290" s="3"/>
      <c r="AW1290" s="3"/>
      <c r="AX1290" s="3"/>
    </row>
    <row r="1291" spans="8:50" x14ac:dyDescent="0.25"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7">
        <f t="shared" ca="1" si="20"/>
        <v>0.33692648597131247</v>
      </c>
      <c r="X1291" s="3"/>
      <c r="Y1291" s="3"/>
      <c r="Z1291" s="3"/>
      <c r="AA1291" s="3"/>
      <c r="AB1291" s="3"/>
      <c r="AC1291" s="3"/>
      <c r="AD1291" s="3"/>
      <c r="AE1291" s="3"/>
      <c r="AF1291" s="3"/>
      <c r="AG1291" s="3"/>
      <c r="AH1291" s="3"/>
      <c r="AI1291" s="3"/>
      <c r="AJ1291" s="3"/>
      <c r="AK1291" s="3"/>
      <c r="AL1291" s="3"/>
      <c r="AM1291" s="3"/>
      <c r="AN1291" s="3"/>
      <c r="AO1291" s="3"/>
      <c r="AP1291" s="3"/>
      <c r="AQ1291" s="3"/>
      <c r="AR1291" s="3"/>
      <c r="AS1291" s="3"/>
      <c r="AT1291" s="3"/>
      <c r="AU1291" s="3"/>
      <c r="AV1291" s="3"/>
      <c r="AW1291" s="3"/>
      <c r="AX1291" s="3"/>
    </row>
    <row r="1292" spans="8:50" x14ac:dyDescent="0.25"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7">
        <f t="shared" ca="1" si="20"/>
        <v>0.16763334178541972</v>
      </c>
      <c r="X1292" s="3"/>
      <c r="Y1292" s="3"/>
      <c r="Z1292" s="3"/>
      <c r="AA1292" s="3"/>
      <c r="AB1292" s="3"/>
      <c r="AC1292" s="3"/>
      <c r="AD1292" s="3"/>
      <c r="AE1292" s="3"/>
      <c r="AF1292" s="3"/>
      <c r="AG1292" s="3"/>
      <c r="AH1292" s="3"/>
      <c r="AI1292" s="3"/>
      <c r="AJ1292" s="3"/>
      <c r="AK1292" s="3"/>
      <c r="AL1292" s="3"/>
      <c r="AM1292" s="3"/>
      <c r="AN1292" s="3"/>
      <c r="AO1292" s="3"/>
      <c r="AP1292" s="3"/>
      <c r="AQ1292" s="3"/>
      <c r="AR1292" s="3"/>
      <c r="AS1292" s="3"/>
      <c r="AT1292" s="3"/>
      <c r="AU1292" s="3"/>
      <c r="AV1292" s="3"/>
      <c r="AW1292" s="3"/>
      <c r="AX1292" s="3"/>
    </row>
    <row r="1293" spans="8:50" x14ac:dyDescent="0.25"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7">
        <f t="shared" ca="1" si="20"/>
        <v>0.33527698334612754</v>
      </c>
      <c r="X1293" s="3"/>
      <c r="Y1293" s="3"/>
      <c r="Z1293" s="3"/>
      <c r="AA1293" s="3"/>
      <c r="AB1293" s="3"/>
      <c r="AC1293" s="3"/>
      <c r="AD1293" s="3"/>
      <c r="AE1293" s="3"/>
      <c r="AF1293" s="3"/>
      <c r="AG1293" s="3"/>
      <c r="AH1293" s="3"/>
      <c r="AI1293" s="3"/>
      <c r="AJ1293" s="3"/>
      <c r="AK1293" s="3"/>
      <c r="AL1293" s="3"/>
      <c r="AM1293" s="3"/>
      <c r="AN1293" s="3"/>
      <c r="AO1293" s="3"/>
      <c r="AP1293" s="3"/>
      <c r="AQ1293" s="3"/>
      <c r="AR1293" s="3"/>
      <c r="AS1293" s="3"/>
      <c r="AT1293" s="3"/>
      <c r="AU1293" s="3"/>
      <c r="AV1293" s="3"/>
      <c r="AW1293" s="3"/>
      <c r="AX1293" s="3"/>
    </row>
    <row r="1294" spans="8:50" x14ac:dyDescent="0.25"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7">
        <f t="shared" ca="1" si="20"/>
        <v>-8.0685720265875796E-2</v>
      </c>
      <c r="X1294" s="3"/>
      <c r="Y1294" s="3"/>
      <c r="Z1294" s="3"/>
      <c r="AA1294" s="3"/>
      <c r="AB1294" s="3"/>
      <c r="AC1294" s="3"/>
      <c r="AD1294" s="3"/>
      <c r="AE1294" s="3"/>
      <c r="AF1294" s="3"/>
      <c r="AG1294" s="3"/>
      <c r="AH1294" s="3"/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</row>
    <row r="1295" spans="8:50" x14ac:dyDescent="0.25"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7">
        <f t="shared" ca="1" si="20"/>
        <v>6.4423496507768546E-2</v>
      </c>
      <c r="X1295" s="3"/>
      <c r="Y1295" s="3"/>
      <c r="Z1295" s="3"/>
      <c r="AA1295" s="3"/>
      <c r="AB1295" s="3"/>
      <c r="AC1295" s="3"/>
      <c r="AD1295" s="3"/>
      <c r="AE1295" s="3"/>
      <c r="AF1295" s="3"/>
      <c r="AG1295" s="3"/>
      <c r="AH1295" s="3"/>
      <c r="AI1295" s="3"/>
      <c r="AJ1295" s="3"/>
      <c r="AK1295" s="3"/>
      <c r="AL1295" s="3"/>
      <c r="AM1295" s="3"/>
      <c r="AN1295" s="3"/>
      <c r="AO1295" s="3"/>
      <c r="AP1295" s="3"/>
      <c r="AQ1295" s="3"/>
      <c r="AR1295" s="3"/>
      <c r="AS1295" s="3"/>
      <c r="AT1295" s="3"/>
      <c r="AU1295" s="3"/>
      <c r="AV1295" s="3"/>
      <c r="AW1295" s="3"/>
      <c r="AX1295" s="3"/>
    </row>
    <row r="1296" spans="8:50" x14ac:dyDescent="0.25"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7">
        <f t="shared" ca="1" si="20"/>
        <v>0.28902785878780041</v>
      </c>
      <c r="X1296" s="3"/>
      <c r="Y1296" s="3"/>
      <c r="Z1296" s="3"/>
      <c r="AA1296" s="3"/>
      <c r="AB1296" s="3"/>
      <c r="AC1296" s="3"/>
      <c r="AD1296" s="3"/>
      <c r="AE1296" s="3"/>
      <c r="AF1296" s="3"/>
      <c r="AG1296" s="3"/>
      <c r="AH1296" s="3"/>
      <c r="AI1296" s="3"/>
      <c r="AJ1296" s="3"/>
      <c r="AK1296" s="3"/>
      <c r="AL1296" s="3"/>
      <c r="AM1296" s="3"/>
      <c r="AN1296" s="3"/>
      <c r="AO1296" s="3"/>
      <c r="AP1296" s="3"/>
      <c r="AQ1296" s="3"/>
      <c r="AR1296" s="3"/>
      <c r="AS1296" s="3"/>
      <c r="AT1296" s="3"/>
      <c r="AU1296" s="3"/>
      <c r="AV1296" s="3"/>
      <c r="AW1296" s="3"/>
      <c r="AX1296" s="3"/>
    </row>
    <row r="1297" spans="8:50" x14ac:dyDescent="0.25"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7">
        <f t="shared" ca="1" si="20"/>
        <v>0.16050443453554902</v>
      </c>
      <c r="X1297" s="3"/>
      <c r="Y1297" s="3"/>
      <c r="Z1297" s="3"/>
      <c r="AA1297" s="3"/>
      <c r="AB1297" s="3"/>
      <c r="AC1297" s="3"/>
      <c r="AD1297" s="3"/>
      <c r="AE1297" s="3"/>
      <c r="AF1297" s="3"/>
      <c r="AG1297" s="3"/>
      <c r="AH1297" s="3"/>
      <c r="AI1297" s="3"/>
      <c r="AJ1297" s="3"/>
      <c r="AK1297" s="3"/>
      <c r="AL1297" s="3"/>
      <c r="AM1297" s="3"/>
      <c r="AN1297" s="3"/>
      <c r="AO1297" s="3"/>
      <c r="AP1297" s="3"/>
      <c r="AQ1297" s="3"/>
      <c r="AR1297" s="3"/>
      <c r="AS1297" s="3"/>
      <c r="AT1297" s="3"/>
      <c r="AU1297" s="3"/>
      <c r="AV1297" s="3"/>
      <c r="AW1297" s="3"/>
      <c r="AX1297" s="3"/>
    </row>
    <row r="1298" spans="8:50" x14ac:dyDescent="0.25"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7">
        <f t="shared" ca="1" si="20"/>
        <v>-4.6892851062151075E-4</v>
      </c>
      <c r="X1298" s="3"/>
      <c r="Y1298" s="3"/>
      <c r="Z1298" s="3"/>
      <c r="AA1298" s="3"/>
      <c r="AB1298" s="3"/>
      <c r="AC1298" s="3"/>
      <c r="AD1298" s="3"/>
      <c r="AE1298" s="3"/>
      <c r="AF1298" s="3"/>
      <c r="AG1298" s="3"/>
      <c r="AH1298" s="3"/>
      <c r="AI1298" s="3"/>
      <c r="AJ1298" s="3"/>
      <c r="AK1298" s="3"/>
      <c r="AL1298" s="3"/>
      <c r="AM1298" s="3"/>
      <c r="AN1298" s="3"/>
      <c r="AO1298" s="3"/>
      <c r="AP1298" s="3"/>
      <c r="AQ1298" s="3"/>
      <c r="AR1298" s="3"/>
      <c r="AS1298" s="3"/>
      <c r="AT1298" s="3"/>
      <c r="AU1298" s="3"/>
      <c r="AV1298" s="3"/>
      <c r="AW1298" s="3"/>
      <c r="AX1298" s="3"/>
    </row>
    <row r="1299" spans="8:50" x14ac:dyDescent="0.25"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7">
        <f t="shared" ca="1" si="20"/>
        <v>0.1650572999392125</v>
      </c>
      <c r="X1299" s="3"/>
      <c r="Y1299" s="3"/>
      <c r="Z1299" s="3"/>
      <c r="AA1299" s="3"/>
      <c r="AB1299" s="3"/>
      <c r="AC1299" s="3"/>
      <c r="AD1299" s="3"/>
      <c r="AE1299" s="3"/>
      <c r="AF1299" s="3"/>
      <c r="AG1299" s="3"/>
      <c r="AH1299" s="3"/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</row>
    <row r="1300" spans="8:50" x14ac:dyDescent="0.25"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7">
        <f t="shared" ca="1" si="20"/>
        <v>0.28186295890728891</v>
      </c>
      <c r="X1300" s="3"/>
      <c r="Y1300" s="3"/>
      <c r="Z1300" s="3"/>
      <c r="AA1300" s="3"/>
      <c r="AB1300" s="3"/>
      <c r="AC1300" s="3"/>
      <c r="AD1300" s="3"/>
      <c r="AE1300" s="3"/>
      <c r="AF1300" s="3"/>
      <c r="AG1300" s="3"/>
      <c r="AH1300" s="3"/>
      <c r="AI1300" s="3"/>
      <c r="AJ1300" s="3"/>
      <c r="AK1300" s="3"/>
      <c r="AL1300" s="3"/>
      <c r="AM1300" s="3"/>
      <c r="AN1300" s="3"/>
      <c r="AO1300" s="3"/>
      <c r="AP1300" s="3"/>
      <c r="AQ1300" s="3"/>
      <c r="AR1300" s="3"/>
      <c r="AS1300" s="3"/>
      <c r="AT1300" s="3"/>
      <c r="AU1300" s="3"/>
      <c r="AV1300" s="3"/>
      <c r="AW1300" s="3"/>
      <c r="AX1300" s="3"/>
    </row>
    <row r="1301" spans="8:50" x14ac:dyDescent="0.25"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7">
        <f t="shared" ca="1" si="20"/>
        <v>0.39599622340705565</v>
      </c>
      <c r="X1301" s="3"/>
      <c r="Y1301" s="3"/>
      <c r="Z1301" s="3"/>
      <c r="AA1301" s="3"/>
      <c r="AB1301" s="3"/>
      <c r="AC1301" s="3"/>
      <c r="AD1301" s="3"/>
      <c r="AE1301" s="3"/>
      <c r="AF1301" s="3"/>
      <c r="AG1301" s="3"/>
      <c r="AH1301" s="3"/>
      <c r="AI1301" s="3"/>
      <c r="AJ1301" s="3"/>
      <c r="AK1301" s="3"/>
      <c r="AL1301" s="3"/>
      <c r="AM1301" s="3"/>
      <c r="AN1301" s="3"/>
      <c r="AO1301" s="3"/>
      <c r="AP1301" s="3"/>
      <c r="AQ1301" s="3"/>
      <c r="AR1301" s="3"/>
      <c r="AS1301" s="3"/>
      <c r="AT1301" s="3"/>
      <c r="AU1301" s="3"/>
      <c r="AV1301" s="3"/>
      <c r="AW1301" s="3"/>
      <c r="AX1301" s="3"/>
    </row>
    <row r="1302" spans="8:50" x14ac:dyDescent="0.25"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7">
        <f t="shared" ca="1" si="20"/>
        <v>0.19944603367106403</v>
      </c>
      <c r="X1302" s="3"/>
      <c r="Y1302" s="3"/>
      <c r="Z1302" s="3"/>
      <c r="AA1302" s="3"/>
      <c r="AB1302" s="3"/>
      <c r="AC1302" s="3"/>
      <c r="AD1302" s="3"/>
      <c r="AE1302" s="3"/>
      <c r="AF1302" s="3"/>
      <c r="AG1302" s="3"/>
      <c r="AH1302" s="3"/>
      <c r="AI1302" s="3"/>
      <c r="AJ1302" s="3"/>
      <c r="AK1302" s="3"/>
      <c r="AL1302" s="3"/>
      <c r="AM1302" s="3"/>
      <c r="AN1302" s="3"/>
      <c r="AO1302" s="3"/>
      <c r="AP1302" s="3"/>
      <c r="AQ1302" s="3"/>
      <c r="AR1302" s="3"/>
      <c r="AS1302" s="3"/>
      <c r="AT1302" s="3"/>
      <c r="AU1302" s="3"/>
      <c r="AV1302" s="3"/>
      <c r="AW1302" s="3"/>
      <c r="AX1302" s="3"/>
    </row>
    <row r="1303" spans="8:50" x14ac:dyDescent="0.25"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7">
        <f t="shared" ca="1" si="20"/>
        <v>1.6688101851153006E-2</v>
      </c>
      <c r="X1303" s="3"/>
      <c r="Y1303" s="3"/>
      <c r="Z1303" s="3"/>
      <c r="AA1303" s="3"/>
      <c r="AB1303" s="3"/>
      <c r="AC1303" s="3"/>
      <c r="AD1303" s="3"/>
      <c r="AE1303" s="3"/>
      <c r="AF1303" s="3"/>
      <c r="AG1303" s="3"/>
      <c r="AH1303" s="3"/>
      <c r="AI1303" s="3"/>
      <c r="AJ1303" s="3"/>
      <c r="AK1303" s="3"/>
      <c r="AL1303" s="3"/>
      <c r="AM1303" s="3"/>
      <c r="AN1303" s="3"/>
      <c r="AO1303" s="3"/>
      <c r="AP1303" s="3"/>
      <c r="AQ1303" s="3"/>
      <c r="AR1303" s="3"/>
      <c r="AS1303" s="3"/>
      <c r="AT1303" s="3"/>
      <c r="AU1303" s="3"/>
      <c r="AV1303" s="3"/>
      <c r="AW1303" s="3"/>
      <c r="AX1303" s="3"/>
    </row>
    <row r="1304" spans="8:50" x14ac:dyDescent="0.25"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7">
        <f t="shared" ca="1" si="20"/>
        <v>6.1909065610556868E-2</v>
      </c>
      <c r="X1304" s="3"/>
      <c r="Y1304" s="3"/>
      <c r="Z1304" s="3"/>
      <c r="AA1304" s="3"/>
      <c r="AB1304" s="3"/>
      <c r="AC1304" s="3"/>
      <c r="AD1304" s="3"/>
      <c r="AE1304" s="3"/>
      <c r="AF1304" s="3"/>
      <c r="AG1304" s="3"/>
      <c r="AH1304" s="3"/>
      <c r="AI1304" s="3"/>
      <c r="AJ1304" s="3"/>
      <c r="AK1304" s="3"/>
      <c r="AL1304" s="3"/>
      <c r="AM1304" s="3"/>
      <c r="AN1304" s="3"/>
      <c r="AO1304" s="3"/>
      <c r="AP1304" s="3"/>
      <c r="AQ1304" s="3"/>
      <c r="AR1304" s="3"/>
      <c r="AS1304" s="3"/>
      <c r="AT1304" s="3"/>
      <c r="AU1304" s="3"/>
      <c r="AV1304" s="3"/>
      <c r="AW1304" s="3"/>
      <c r="AX1304" s="3"/>
    </row>
    <row r="1305" spans="8:50" x14ac:dyDescent="0.25"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7">
        <f t="shared" ca="1" si="20"/>
        <v>-5.0411132585165677E-2</v>
      </c>
      <c r="X1305" s="3"/>
      <c r="Y1305" s="3"/>
      <c r="Z1305" s="3"/>
      <c r="AA1305" s="3"/>
      <c r="AB1305" s="3"/>
      <c r="AC1305" s="3"/>
      <c r="AD1305" s="3"/>
      <c r="AE1305" s="3"/>
      <c r="AF1305" s="3"/>
      <c r="AG1305" s="3"/>
      <c r="AH1305" s="3"/>
      <c r="AI1305" s="3"/>
      <c r="AJ1305" s="3"/>
      <c r="AK1305" s="3"/>
      <c r="AL1305" s="3"/>
      <c r="AM1305" s="3"/>
      <c r="AN1305" s="3"/>
      <c r="AO1305" s="3"/>
      <c r="AP1305" s="3"/>
      <c r="AQ1305" s="3"/>
      <c r="AR1305" s="3"/>
      <c r="AS1305" s="3"/>
      <c r="AT1305" s="3"/>
      <c r="AU1305" s="3"/>
      <c r="AV1305" s="3"/>
      <c r="AW1305" s="3"/>
      <c r="AX1305" s="3"/>
    </row>
    <row r="1306" spans="8:50" x14ac:dyDescent="0.25"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7">
        <f t="shared" ca="1" si="20"/>
        <v>9.3105475046912523E-2</v>
      </c>
      <c r="X1306" s="3"/>
      <c r="Y1306" s="3"/>
      <c r="Z1306" s="3"/>
      <c r="AA1306" s="3"/>
      <c r="AB1306" s="3"/>
      <c r="AC1306" s="3"/>
      <c r="AD1306" s="3"/>
      <c r="AE1306" s="3"/>
      <c r="AF1306" s="3"/>
      <c r="AG1306" s="3"/>
      <c r="AH1306" s="3"/>
      <c r="AI1306" s="3"/>
      <c r="AJ1306" s="3"/>
      <c r="AK1306" s="3"/>
      <c r="AL1306" s="3"/>
      <c r="AM1306" s="3"/>
      <c r="AN1306" s="3"/>
      <c r="AO1306" s="3"/>
      <c r="AP1306" s="3"/>
      <c r="AQ1306" s="3"/>
      <c r="AR1306" s="3"/>
      <c r="AS1306" s="3"/>
      <c r="AT1306" s="3"/>
      <c r="AU1306" s="3"/>
      <c r="AV1306" s="3"/>
      <c r="AW1306" s="3"/>
      <c r="AX1306" s="3"/>
    </row>
    <row r="1307" spans="8:50" x14ac:dyDescent="0.25"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7">
        <f t="shared" ca="1" si="20"/>
        <v>9.3907794503935771E-2</v>
      </c>
      <c r="X1307" s="3"/>
      <c r="Y1307" s="3"/>
      <c r="Z1307" s="3"/>
      <c r="AA1307" s="3"/>
      <c r="AB1307" s="3"/>
      <c r="AC1307" s="3"/>
      <c r="AD1307" s="3"/>
      <c r="AE1307" s="3"/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  <c r="AR1307" s="3"/>
      <c r="AS1307" s="3"/>
      <c r="AT1307" s="3"/>
      <c r="AU1307" s="3"/>
      <c r="AV1307" s="3"/>
      <c r="AW1307" s="3"/>
      <c r="AX1307" s="3"/>
    </row>
    <row r="1308" spans="8:50" x14ac:dyDescent="0.25"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7">
        <f t="shared" ca="1" si="20"/>
        <v>0.14600599671099046</v>
      </c>
      <c r="X1308" s="3"/>
      <c r="Y1308" s="3"/>
      <c r="Z1308" s="3"/>
      <c r="AA1308" s="3"/>
      <c r="AB1308" s="3"/>
      <c r="AC1308" s="3"/>
      <c r="AD1308" s="3"/>
      <c r="AE1308" s="3"/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  <c r="AR1308" s="3"/>
      <c r="AS1308" s="3"/>
      <c r="AT1308" s="3"/>
      <c r="AU1308" s="3"/>
      <c r="AV1308" s="3"/>
      <c r="AW1308" s="3"/>
      <c r="AX1308" s="3"/>
    </row>
    <row r="1309" spans="8:50" x14ac:dyDescent="0.25"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7">
        <f t="shared" ca="1" si="20"/>
        <v>0.11802907865623387</v>
      </c>
      <c r="X1309" s="3"/>
      <c r="Y1309" s="3"/>
      <c r="Z1309" s="3"/>
      <c r="AA1309" s="3"/>
      <c r="AB1309" s="3"/>
      <c r="AC1309" s="3"/>
      <c r="AD1309" s="3"/>
      <c r="AE1309" s="3"/>
      <c r="AF1309" s="3"/>
      <c r="AG1309" s="3"/>
      <c r="AH1309" s="3"/>
      <c r="AI1309" s="3"/>
      <c r="AJ1309" s="3"/>
      <c r="AK1309" s="3"/>
      <c r="AL1309" s="3"/>
      <c r="AM1309" s="3"/>
      <c r="AN1309" s="3"/>
      <c r="AO1309" s="3"/>
      <c r="AP1309" s="3"/>
      <c r="AQ1309" s="3"/>
      <c r="AR1309" s="3"/>
      <c r="AS1309" s="3"/>
      <c r="AT1309" s="3"/>
      <c r="AU1309" s="3"/>
      <c r="AV1309" s="3"/>
      <c r="AW1309" s="3"/>
      <c r="AX1309" s="3"/>
    </row>
    <row r="1310" spans="8:50" x14ac:dyDescent="0.25"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7">
        <f t="shared" ca="1" si="20"/>
        <v>0.39558347422608126</v>
      </c>
      <c r="X1310" s="3"/>
      <c r="Y1310" s="3"/>
      <c r="Z1310" s="3"/>
      <c r="AA1310" s="3"/>
      <c r="AB1310" s="3"/>
      <c r="AC1310" s="3"/>
      <c r="AD1310" s="3"/>
      <c r="AE1310" s="3"/>
      <c r="AF1310" s="3"/>
      <c r="AG1310" s="3"/>
      <c r="AH1310" s="3"/>
      <c r="AI1310" s="3"/>
      <c r="AJ1310" s="3"/>
      <c r="AK1310" s="3"/>
      <c r="AL1310" s="3"/>
      <c r="AM1310" s="3"/>
      <c r="AN1310" s="3"/>
      <c r="AO1310" s="3"/>
      <c r="AP1310" s="3"/>
      <c r="AQ1310" s="3"/>
      <c r="AR1310" s="3"/>
      <c r="AS1310" s="3"/>
      <c r="AT1310" s="3"/>
      <c r="AU1310" s="3"/>
      <c r="AV1310" s="3"/>
      <c r="AW1310" s="3"/>
      <c r="AX1310" s="3"/>
    </row>
    <row r="1311" spans="8:50" x14ac:dyDescent="0.25"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7">
        <f t="shared" ca="1" si="20"/>
        <v>0.29778265900949957</v>
      </c>
      <c r="X1311" s="3"/>
      <c r="Y1311" s="3"/>
      <c r="Z1311" s="3"/>
      <c r="AA1311" s="3"/>
      <c r="AB1311" s="3"/>
      <c r="AC1311" s="3"/>
      <c r="AD1311" s="3"/>
      <c r="AE1311" s="3"/>
      <c r="AF1311" s="3"/>
      <c r="AG1311" s="3"/>
      <c r="AH1311" s="3"/>
      <c r="AI1311" s="3"/>
      <c r="AJ1311" s="3"/>
      <c r="AK1311" s="3"/>
      <c r="AL1311" s="3"/>
      <c r="AM1311" s="3"/>
      <c r="AN1311" s="3"/>
      <c r="AO1311" s="3"/>
      <c r="AP1311" s="3"/>
      <c r="AQ1311" s="3"/>
      <c r="AR1311" s="3"/>
      <c r="AS1311" s="3"/>
      <c r="AT1311" s="3"/>
      <c r="AU1311" s="3"/>
      <c r="AV1311" s="3"/>
      <c r="AW1311" s="3"/>
      <c r="AX1311" s="3"/>
    </row>
    <row r="1312" spans="8:50" x14ac:dyDescent="0.25"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7">
        <f t="shared" ca="1" si="20"/>
        <v>-1.4918914211493453E-2</v>
      </c>
      <c r="X1312" s="3"/>
      <c r="Y1312" s="3"/>
      <c r="Z1312" s="3"/>
      <c r="AA1312" s="3"/>
      <c r="AB1312" s="3"/>
      <c r="AC1312" s="3"/>
      <c r="AD1312" s="3"/>
      <c r="AE1312" s="3"/>
      <c r="AF1312" s="3"/>
      <c r="AG1312" s="3"/>
      <c r="AH1312" s="3"/>
      <c r="AI1312" s="3"/>
      <c r="AJ1312" s="3"/>
      <c r="AK1312" s="3"/>
      <c r="AL1312" s="3"/>
      <c r="AM1312" s="3"/>
      <c r="AN1312" s="3"/>
      <c r="AO1312" s="3"/>
      <c r="AP1312" s="3"/>
      <c r="AQ1312" s="3"/>
      <c r="AR1312" s="3"/>
      <c r="AS1312" s="3"/>
      <c r="AT1312" s="3"/>
      <c r="AU1312" s="3"/>
      <c r="AV1312" s="3"/>
      <c r="AW1312" s="3"/>
      <c r="AX1312" s="3"/>
    </row>
    <row r="1313" spans="8:50" x14ac:dyDescent="0.25"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7">
        <f t="shared" ca="1" si="20"/>
        <v>0.48686680014237516</v>
      </c>
      <c r="X1313" s="3"/>
      <c r="Y1313" s="3"/>
      <c r="Z1313" s="3"/>
      <c r="AA1313" s="3"/>
      <c r="AB1313" s="3"/>
      <c r="AC1313" s="3"/>
      <c r="AD1313" s="3"/>
      <c r="AE1313" s="3"/>
      <c r="AF1313" s="3"/>
      <c r="AG1313" s="3"/>
      <c r="AH1313" s="3"/>
      <c r="AI1313" s="3"/>
      <c r="AJ1313" s="3"/>
      <c r="AK1313" s="3"/>
      <c r="AL1313" s="3"/>
      <c r="AM1313" s="3"/>
      <c r="AN1313" s="3"/>
      <c r="AO1313" s="3"/>
      <c r="AP1313" s="3"/>
      <c r="AQ1313" s="3"/>
      <c r="AR1313" s="3"/>
      <c r="AS1313" s="3"/>
      <c r="AT1313" s="3"/>
      <c r="AU1313" s="3"/>
      <c r="AV1313" s="3"/>
      <c r="AW1313" s="3"/>
      <c r="AX1313" s="3"/>
    </row>
    <row r="1314" spans="8:50" x14ac:dyDescent="0.25"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7">
        <f t="shared" ca="1" si="20"/>
        <v>0.23944489268361224</v>
      </c>
      <c r="X1314" s="3"/>
      <c r="Y1314" s="3"/>
      <c r="Z1314" s="3"/>
      <c r="AA1314" s="3"/>
      <c r="AB1314" s="3"/>
      <c r="AC1314" s="3"/>
      <c r="AD1314" s="3"/>
      <c r="AE1314" s="3"/>
      <c r="AF1314" s="3"/>
      <c r="AG1314" s="3"/>
      <c r="AH1314" s="3"/>
      <c r="AI1314" s="3"/>
      <c r="AJ1314" s="3"/>
      <c r="AK1314" s="3"/>
      <c r="AL1314" s="3"/>
      <c r="AM1314" s="3"/>
      <c r="AN1314" s="3"/>
      <c r="AO1314" s="3"/>
      <c r="AP1314" s="3"/>
      <c r="AQ1314" s="3"/>
      <c r="AR1314" s="3"/>
      <c r="AS1314" s="3"/>
      <c r="AT1314" s="3"/>
      <c r="AU1314" s="3"/>
      <c r="AV1314" s="3"/>
      <c r="AW1314" s="3"/>
      <c r="AX1314" s="3"/>
    </row>
    <row r="1315" spans="8:50" x14ac:dyDescent="0.25"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7">
        <f t="shared" ca="1" si="20"/>
        <v>0.37514841106061658</v>
      </c>
      <c r="X1315" s="3"/>
      <c r="Y1315" s="3"/>
      <c r="Z1315" s="3"/>
      <c r="AA1315" s="3"/>
      <c r="AB1315" s="3"/>
      <c r="AC1315" s="3"/>
      <c r="AD1315" s="3"/>
      <c r="AE1315" s="3"/>
      <c r="AF1315" s="3"/>
      <c r="AG1315" s="3"/>
      <c r="AH1315" s="3"/>
      <c r="AI1315" s="3"/>
      <c r="AJ1315" s="3"/>
      <c r="AK1315" s="3"/>
      <c r="AL1315" s="3"/>
      <c r="AM1315" s="3"/>
      <c r="AN1315" s="3"/>
      <c r="AO1315" s="3"/>
      <c r="AP1315" s="3"/>
      <c r="AQ1315" s="3"/>
      <c r="AR1315" s="3"/>
      <c r="AS1315" s="3"/>
      <c r="AT1315" s="3"/>
      <c r="AU1315" s="3"/>
      <c r="AV1315" s="3"/>
      <c r="AW1315" s="3"/>
      <c r="AX1315" s="3"/>
    </row>
    <row r="1316" spans="8:50" x14ac:dyDescent="0.25"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7">
        <f t="shared" ca="1" si="20"/>
        <v>-0.16409639154524758</v>
      </c>
      <c r="X1316" s="3"/>
      <c r="Y1316" s="3"/>
      <c r="Z1316" s="3"/>
      <c r="AA1316" s="3"/>
      <c r="AB1316" s="3"/>
      <c r="AC1316" s="3"/>
      <c r="AD1316" s="3"/>
      <c r="AE1316" s="3"/>
      <c r="AF1316" s="3"/>
      <c r="AG1316" s="3"/>
      <c r="AH1316" s="3"/>
      <c r="AI1316" s="3"/>
      <c r="AJ1316" s="3"/>
      <c r="AK1316" s="3"/>
      <c r="AL1316" s="3"/>
      <c r="AM1316" s="3"/>
      <c r="AN1316" s="3"/>
      <c r="AO1316" s="3"/>
      <c r="AP1316" s="3"/>
      <c r="AQ1316" s="3"/>
      <c r="AR1316" s="3"/>
      <c r="AS1316" s="3"/>
      <c r="AT1316" s="3"/>
      <c r="AU1316" s="3"/>
      <c r="AV1316" s="3"/>
      <c r="AW1316" s="3"/>
      <c r="AX1316" s="3"/>
    </row>
    <row r="1317" spans="8:50" x14ac:dyDescent="0.25"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7">
        <f t="shared" ca="1" si="20"/>
        <v>0.18528779371272544</v>
      </c>
      <c r="X1317" s="3"/>
      <c r="Y1317" s="3"/>
      <c r="Z1317" s="3"/>
      <c r="AA1317" s="3"/>
      <c r="AB1317" s="3"/>
      <c r="AC1317" s="3"/>
      <c r="AD1317" s="3"/>
      <c r="AE1317" s="3"/>
      <c r="AF1317" s="3"/>
      <c r="AG1317" s="3"/>
      <c r="AH1317" s="3"/>
      <c r="AI1317" s="3"/>
      <c r="AJ1317" s="3"/>
      <c r="AK1317" s="3"/>
      <c r="AL1317" s="3"/>
      <c r="AM1317" s="3"/>
      <c r="AN1317" s="3"/>
      <c r="AO1317" s="3"/>
      <c r="AP1317" s="3"/>
      <c r="AQ1317" s="3"/>
      <c r="AR1317" s="3"/>
      <c r="AS1317" s="3"/>
      <c r="AT1317" s="3"/>
      <c r="AU1317" s="3"/>
      <c r="AV1317" s="3"/>
      <c r="AW1317" s="3"/>
      <c r="AX1317" s="3"/>
    </row>
    <row r="1318" spans="8:50" x14ac:dyDescent="0.25"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7">
        <f t="shared" ca="1" si="20"/>
        <v>0.25161886685579493</v>
      </c>
      <c r="X1318" s="3"/>
      <c r="Y1318" s="3"/>
      <c r="Z1318" s="3"/>
      <c r="AA1318" s="3"/>
      <c r="AB1318" s="3"/>
      <c r="AC1318" s="3"/>
      <c r="AD1318" s="3"/>
      <c r="AE1318" s="3"/>
      <c r="AF1318" s="3"/>
      <c r="AG1318" s="3"/>
      <c r="AH1318" s="3"/>
      <c r="AI1318" s="3"/>
      <c r="AJ1318" s="3"/>
      <c r="AK1318" s="3"/>
      <c r="AL1318" s="3"/>
      <c r="AM1318" s="3"/>
      <c r="AN1318" s="3"/>
      <c r="AO1318" s="3"/>
      <c r="AP1318" s="3"/>
      <c r="AQ1318" s="3"/>
      <c r="AR1318" s="3"/>
      <c r="AS1318" s="3"/>
      <c r="AT1318" s="3"/>
      <c r="AU1318" s="3"/>
      <c r="AV1318" s="3"/>
      <c r="AW1318" s="3"/>
      <c r="AX1318" s="3"/>
    </row>
    <row r="1319" spans="8:50" x14ac:dyDescent="0.25"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7">
        <f t="shared" ca="1" si="20"/>
        <v>2.9159006704836191E-2</v>
      </c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  <c r="AH1319" s="3"/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</row>
    <row r="1320" spans="8:50" x14ac:dyDescent="0.25"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7">
        <f t="shared" ca="1" si="20"/>
        <v>8.8211122131264169E-2</v>
      </c>
      <c r="X1320" s="3"/>
      <c r="Y1320" s="3"/>
      <c r="Z1320" s="3"/>
      <c r="AA1320" s="3"/>
      <c r="AB1320" s="3"/>
      <c r="AC1320" s="3"/>
      <c r="AD1320" s="3"/>
      <c r="AE1320" s="3"/>
      <c r="AF1320" s="3"/>
      <c r="AG1320" s="3"/>
      <c r="AH1320" s="3"/>
      <c r="AI1320" s="3"/>
      <c r="AJ1320" s="3"/>
      <c r="AK1320" s="3"/>
      <c r="AL1320" s="3"/>
      <c r="AM1320" s="3"/>
      <c r="AN1320" s="3"/>
      <c r="AO1320" s="3"/>
      <c r="AP1320" s="3"/>
      <c r="AQ1320" s="3"/>
      <c r="AR1320" s="3"/>
      <c r="AS1320" s="3"/>
      <c r="AT1320" s="3"/>
      <c r="AU1320" s="3"/>
      <c r="AV1320" s="3"/>
      <c r="AW1320" s="3"/>
      <c r="AX1320" s="3"/>
    </row>
    <row r="1321" spans="8:50" x14ac:dyDescent="0.25"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7">
        <f t="shared" ca="1" si="20"/>
        <v>0.2565814756464605</v>
      </c>
      <c r="X1321" s="3"/>
      <c r="Y1321" s="3"/>
      <c r="Z1321" s="3"/>
      <c r="AA1321" s="3"/>
      <c r="AB1321" s="3"/>
      <c r="AC1321" s="3"/>
      <c r="AD1321" s="3"/>
      <c r="AE1321" s="3"/>
      <c r="AF1321" s="3"/>
      <c r="AG1321" s="3"/>
      <c r="AH1321" s="3"/>
      <c r="AI1321" s="3"/>
      <c r="AJ1321" s="3"/>
      <c r="AK1321" s="3"/>
      <c r="AL1321" s="3"/>
      <c r="AM1321" s="3"/>
      <c r="AN1321" s="3"/>
      <c r="AO1321" s="3"/>
      <c r="AP1321" s="3"/>
      <c r="AQ1321" s="3"/>
      <c r="AR1321" s="3"/>
      <c r="AS1321" s="3"/>
      <c r="AT1321" s="3"/>
      <c r="AU1321" s="3"/>
      <c r="AV1321" s="3"/>
      <c r="AW1321" s="3"/>
      <c r="AX1321" s="3"/>
    </row>
    <row r="1322" spans="8:50" x14ac:dyDescent="0.25"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7">
        <f t="shared" ca="1" si="20"/>
        <v>4.1205659339923581E-2</v>
      </c>
      <c r="X1322" s="3"/>
      <c r="Y1322" s="3"/>
      <c r="Z1322" s="3"/>
      <c r="AA1322" s="3"/>
      <c r="AB1322" s="3"/>
      <c r="AC1322" s="3"/>
      <c r="AD1322" s="3"/>
      <c r="AE1322" s="3"/>
      <c r="AF1322" s="3"/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</row>
    <row r="1323" spans="8:50" x14ac:dyDescent="0.25"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7">
        <f t="shared" ca="1" si="20"/>
        <v>0.17187020936037462</v>
      </c>
      <c r="X1323" s="3"/>
      <c r="Y1323" s="3"/>
      <c r="Z1323" s="3"/>
      <c r="AA1323" s="3"/>
      <c r="AB1323" s="3"/>
      <c r="AC1323" s="3"/>
      <c r="AD1323" s="3"/>
      <c r="AE1323" s="3"/>
      <c r="AF1323" s="3"/>
      <c r="AG1323" s="3"/>
      <c r="AH1323" s="3"/>
      <c r="AI1323" s="3"/>
      <c r="AJ1323" s="3"/>
      <c r="AK1323" s="3"/>
      <c r="AL1323" s="3"/>
      <c r="AM1323" s="3"/>
      <c r="AN1323" s="3"/>
      <c r="AO1323" s="3"/>
      <c r="AP1323" s="3"/>
      <c r="AQ1323" s="3"/>
      <c r="AR1323" s="3"/>
      <c r="AS1323" s="3"/>
      <c r="AT1323" s="3"/>
      <c r="AU1323" s="3"/>
      <c r="AV1323" s="3"/>
      <c r="AW1323" s="3"/>
      <c r="AX1323" s="3"/>
    </row>
    <row r="1324" spans="8:50" x14ac:dyDescent="0.25"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7">
        <f t="shared" ca="1" si="20"/>
        <v>-7.7243176552105344E-2</v>
      </c>
      <c r="X1324" s="3"/>
      <c r="Y1324" s="3"/>
      <c r="Z1324" s="3"/>
      <c r="AA1324" s="3"/>
      <c r="AB1324" s="3"/>
      <c r="AC1324" s="3"/>
      <c r="AD1324" s="3"/>
      <c r="AE1324" s="3"/>
      <c r="AF1324" s="3"/>
      <c r="AG1324" s="3"/>
      <c r="AH1324" s="3"/>
      <c r="AI1324" s="3"/>
      <c r="AJ1324" s="3"/>
      <c r="AK1324" s="3"/>
      <c r="AL1324" s="3"/>
      <c r="AM1324" s="3"/>
      <c r="AN1324" s="3"/>
      <c r="AO1324" s="3"/>
      <c r="AP1324" s="3"/>
      <c r="AQ1324" s="3"/>
      <c r="AR1324" s="3"/>
      <c r="AS1324" s="3"/>
      <c r="AT1324" s="3"/>
      <c r="AU1324" s="3"/>
      <c r="AV1324" s="3"/>
      <c r="AW1324" s="3"/>
      <c r="AX1324" s="3"/>
    </row>
    <row r="1325" spans="8:50" x14ac:dyDescent="0.25"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7">
        <f t="shared" ca="1" si="20"/>
        <v>-2.715654404382567E-4</v>
      </c>
      <c r="X1325" s="3"/>
      <c r="Y1325" s="3"/>
      <c r="Z1325" s="3"/>
      <c r="AA1325" s="3"/>
      <c r="AB1325" s="3"/>
      <c r="AC1325" s="3"/>
      <c r="AD1325" s="3"/>
      <c r="AE1325" s="3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  <c r="AR1325" s="3"/>
      <c r="AS1325" s="3"/>
      <c r="AT1325" s="3"/>
      <c r="AU1325" s="3"/>
      <c r="AV1325" s="3"/>
      <c r="AW1325" s="3"/>
      <c r="AX1325" s="3"/>
    </row>
    <row r="1326" spans="8:50" x14ac:dyDescent="0.25"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7">
        <f t="shared" ca="1" si="20"/>
        <v>3.2384593909716153E-3</v>
      </c>
      <c r="X1326" s="3"/>
      <c r="Y1326" s="3"/>
      <c r="Z1326" s="3"/>
      <c r="AA1326" s="3"/>
      <c r="AB1326" s="3"/>
      <c r="AC1326" s="3"/>
      <c r="AD1326" s="3"/>
      <c r="AE1326" s="3"/>
      <c r="AF1326" s="3"/>
      <c r="AG1326" s="3"/>
      <c r="AH1326" s="3"/>
      <c r="AI1326" s="3"/>
      <c r="AJ1326" s="3"/>
      <c r="AK1326" s="3"/>
      <c r="AL1326" s="3"/>
      <c r="AM1326" s="3"/>
      <c r="AN1326" s="3"/>
      <c r="AO1326" s="3"/>
      <c r="AP1326" s="3"/>
      <c r="AQ1326" s="3"/>
      <c r="AR1326" s="3"/>
      <c r="AS1326" s="3"/>
      <c r="AT1326" s="3"/>
      <c r="AU1326" s="3"/>
      <c r="AV1326" s="3"/>
      <c r="AW1326" s="3"/>
      <c r="AX1326" s="3"/>
    </row>
    <row r="1327" spans="8:50" x14ac:dyDescent="0.25"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7">
        <f t="shared" ca="1" si="20"/>
        <v>-0.22364321802539988</v>
      </c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  <c r="AR1327" s="3"/>
      <c r="AS1327" s="3"/>
      <c r="AT1327" s="3"/>
      <c r="AU1327" s="3"/>
      <c r="AV1327" s="3"/>
      <c r="AW1327" s="3"/>
      <c r="AX1327" s="3"/>
    </row>
    <row r="1328" spans="8:50" x14ac:dyDescent="0.25"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7">
        <f t="shared" ca="1" si="20"/>
        <v>0.3011477446649069</v>
      </c>
      <c r="X1328" s="3"/>
      <c r="Y1328" s="3"/>
      <c r="Z1328" s="3"/>
      <c r="AA1328" s="3"/>
      <c r="AB1328" s="3"/>
      <c r="AC1328" s="3"/>
      <c r="AD1328" s="3"/>
      <c r="AE1328" s="3"/>
      <c r="AF1328" s="3"/>
      <c r="AG1328" s="3"/>
      <c r="AH1328" s="3"/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  <c r="AS1328" s="3"/>
      <c r="AT1328" s="3"/>
      <c r="AU1328" s="3"/>
      <c r="AV1328" s="3"/>
      <c r="AW1328" s="3"/>
      <c r="AX1328" s="3"/>
    </row>
    <row r="1329" spans="8:50" x14ac:dyDescent="0.25"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7">
        <f t="shared" ca="1" si="20"/>
        <v>0.15854531665757715</v>
      </c>
      <c r="X1329" s="3"/>
      <c r="Y1329" s="3"/>
      <c r="Z1329" s="3"/>
      <c r="AA1329" s="3"/>
      <c r="AB1329" s="3"/>
      <c r="AC1329" s="3"/>
      <c r="AD1329" s="3"/>
      <c r="AE1329" s="3"/>
      <c r="AF1329" s="3"/>
      <c r="AG1329" s="3"/>
      <c r="AH1329" s="3"/>
      <c r="AI1329" s="3"/>
      <c r="AJ1329" s="3"/>
      <c r="AK1329" s="3"/>
      <c r="AL1329" s="3"/>
      <c r="AM1329" s="3"/>
      <c r="AN1329" s="3"/>
      <c r="AO1329" s="3"/>
      <c r="AP1329" s="3"/>
      <c r="AQ1329" s="3"/>
      <c r="AR1329" s="3"/>
      <c r="AS1329" s="3"/>
      <c r="AT1329" s="3"/>
      <c r="AU1329" s="3"/>
      <c r="AV1329" s="3"/>
      <c r="AW1329" s="3"/>
      <c r="AX1329" s="3"/>
    </row>
    <row r="1330" spans="8:50" x14ac:dyDescent="0.25"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7">
        <f t="shared" ca="1" si="20"/>
        <v>8.9480010765558254E-2</v>
      </c>
      <c r="X1330" s="3"/>
      <c r="Y1330" s="3"/>
      <c r="Z1330" s="3"/>
      <c r="AA1330" s="3"/>
      <c r="AB1330" s="3"/>
      <c r="AC1330" s="3"/>
      <c r="AD1330" s="3"/>
      <c r="AE1330" s="3"/>
      <c r="AF1330" s="3"/>
      <c r="AG1330" s="3"/>
      <c r="AH1330" s="3"/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  <c r="AS1330" s="3"/>
      <c r="AT1330" s="3"/>
      <c r="AU1330" s="3"/>
      <c r="AV1330" s="3"/>
      <c r="AW1330" s="3"/>
      <c r="AX1330" s="3"/>
    </row>
    <row r="1331" spans="8:50" x14ac:dyDescent="0.25"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7">
        <f t="shared" ca="1" si="20"/>
        <v>-0.20533790869073248</v>
      </c>
      <c r="X1331" s="3"/>
      <c r="Y1331" s="3"/>
      <c r="Z1331" s="3"/>
      <c r="AA1331" s="3"/>
      <c r="AB1331" s="3"/>
      <c r="AC1331" s="3"/>
      <c r="AD1331" s="3"/>
      <c r="AE1331" s="3"/>
      <c r="AF1331" s="3"/>
      <c r="AG1331" s="3"/>
      <c r="AH1331" s="3"/>
      <c r="AI1331" s="3"/>
      <c r="AJ1331" s="3"/>
      <c r="AK1331" s="3"/>
      <c r="AL1331" s="3"/>
      <c r="AM1331" s="3"/>
      <c r="AN1331" s="3"/>
      <c r="AO1331" s="3"/>
      <c r="AP1331" s="3"/>
      <c r="AQ1331" s="3"/>
      <c r="AR1331" s="3"/>
      <c r="AS1331" s="3"/>
      <c r="AT1331" s="3"/>
      <c r="AU1331" s="3"/>
      <c r="AV1331" s="3"/>
      <c r="AW1331" s="3"/>
      <c r="AX1331" s="3"/>
    </row>
    <row r="1332" spans="8:50" x14ac:dyDescent="0.25"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7">
        <f t="shared" ca="1" si="20"/>
        <v>0.25518693635817646</v>
      </c>
      <c r="X1332" s="3"/>
      <c r="Y1332" s="3"/>
      <c r="Z1332" s="3"/>
      <c r="AA1332" s="3"/>
      <c r="AB1332" s="3"/>
      <c r="AC1332" s="3"/>
      <c r="AD1332" s="3"/>
      <c r="AE1332" s="3"/>
      <c r="AF1332" s="3"/>
      <c r="AG1332" s="3"/>
      <c r="AH1332" s="3"/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3"/>
      <c r="AT1332" s="3"/>
      <c r="AU1332" s="3"/>
      <c r="AV1332" s="3"/>
      <c r="AW1332" s="3"/>
      <c r="AX1332" s="3"/>
    </row>
    <row r="1333" spans="8:50" x14ac:dyDescent="0.25"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7">
        <f t="shared" ca="1" si="20"/>
        <v>-5.7589837671079794E-2</v>
      </c>
      <c r="X1333" s="3"/>
      <c r="Y1333" s="3"/>
      <c r="Z1333" s="3"/>
      <c r="AA1333" s="3"/>
      <c r="AB1333" s="3"/>
      <c r="AC1333" s="3"/>
      <c r="AD1333" s="3"/>
      <c r="AE1333" s="3"/>
      <c r="AF1333" s="3"/>
      <c r="AG1333" s="3"/>
      <c r="AH1333" s="3"/>
      <c r="AI1333" s="3"/>
      <c r="AJ1333" s="3"/>
      <c r="AK1333" s="3"/>
      <c r="AL1333" s="3"/>
      <c r="AM1333" s="3"/>
      <c r="AN1333" s="3"/>
      <c r="AO1333" s="3"/>
      <c r="AP1333" s="3"/>
      <c r="AQ1333" s="3"/>
      <c r="AR1333" s="3"/>
      <c r="AS1333" s="3"/>
      <c r="AT1333" s="3"/>
      <c r="AU1333" s="3"/>
      <c r="AV1333" s="3"/>
      <c r="AW1333" s="3"/>
      <c r="AX1333" s="3"/>
    </row>
    <row r="1334" spans="8:50" x14ac:dyDescent="0.25"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7">
        <f t="shared" ca="1" si="20"/>
        <v>8.0423958784441626E-2</v>
      </c>
      <c r="X1334" s="3"/>
      <c r="Y1334" s="3"/>
      <c r="Z1334" s="3"/>
      <c r="AA1334" s="3"/>
      <c r="AB1334" s="3"/>
      <c r="AC1334" s="3"/>
      <c r="AD1334" s="3"/>
      <c r="AE1334" s="3"/>
      <c r="AF1334" s="3"/>
      <c r="AG1334" s="3"/>
      <c r="AH1334" s="3"/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  <c r="AS1334" s="3"/>
      <c r="AT1334" s="3"/>
      <c r="AU1334" s="3"/>
      <c r="AV1334" s="3"/>
      <c r="AW1334" s="3"/>
      <c r="AX1334" s="3"/>
    </row>
    <row r="1335" spans="8:50" x14ac:dyDescent="0.25"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7">
        <f t="shared" ca="1" si="20"/>
        <v>-1.7496891048399396E-2</v>
      </c>
      <c r="X1335" s="3"/>
      <c r="Y1335" s="3"/>
      <c r="Z1335" s="3"/>
      <c r="AA1335" s="3"/>
      <c r="AB1335" s="3"/>
      <c r="AC1335" s="3"/>
      <c r="AD1335" s="3"/>
      <c r="AE1335" s="3"/>
      <c r="AF1335" s="3"/>
      <c r="AG1335" s="3"/>
      <c r="AH1335" s="3"/>
      <c r="AI1335" s="3"/>
      <c r="AJ1335" s="3"/>
      <c r="AK1335" s="3"/>
      <c r="AL1335" s="3"/>
      <c r="AM1335" s="3"/>
      <c r="AN1335" s="3"/>
      <c r="AO1335" s="3"/>
      <c r="AP1335" s="3"/>
      <c r="AQ1335" s="3"/>
      <c r="AR1335" s="3"/>
      <c r="AS1335" s="3"/>
      <c r="AT1335" s="3"/>
      <c r="AU1335" s="3"/>
      <c r="AV1335" s="3"/>
      <c r="AW1335" s="3"/>
      <c r="AX1335" s="3"/>
    </row>
    <row r="1336" spans="8:50" x14ac:dyDescent="0.25"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7">
        <f t="shared" ca="1" si="20"/>
        <v>5.8182874410117748E-2</v>
      </c>
      <c r="X1336" s="3"/>
      <c r="Y1336" s="3"/>
      <c r="Z1336" s="3"/>
      <c r="AA1336" s="3"/>
      <c r="AB1336" s="3"/>
      <c r="AC1336" s="3"/>
      <c r="AD1336" s="3"/>
      <c r="AE1336" s="3"/>
      <c r="AF1336" s="3"/>
      <c r="AG1336" s="3"/>
      <c r="AH1336" s="3"/>
      <c r="AI1336" s="3"/>
      <c r="AJ1336" s="3"/>
      <c r="AK1336" s="3"/>
      <c r="AL1336" s="3"/>
      <c r="AM1336" s="3"/>
      <c r="AN1336" s="3"/>
      <c r="AO1336" s="3"/>
      <c r="AP1336" s="3"/>
      <c r="AQ1336" s="3"/>
      <c r="AR1336" s="3"/>
      <c r="AS1336" s="3"/>
      <c r="AT1336" s="3"/>
      <c r="AU1336" s="3"/>
      <c r="AV1336" s="3"/>
      <c r="AW1336" s="3"/>
      <c r="AX1336" s="3"/>
    </row>
    <row r="1337" spans="8:50" x14ac:dyDescent="0.25"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7">
        <f t="shared" ca="1" si="20"/>
        <v>-8.9034683057951883E-2</v>
      </c>
      <c r="X1337" s="3"/>
      <c r="Y1337" s="3"/>
      <c r="Z1337" s="3"/>
      <c r="AA1337" s="3"/>
      <c r="AB1337" s="3"/>
      <c r="AC1337" s="3"/>
      <c r="AD1337" s="3"/>
      <c r="AE1337" s="3"/>
      <c r="AF1337" s="3"/>
      <c r="AG1337" s="3"/>
      <c r="AH1337" s="3"/>
      <c r="AI1337" s="3"/>
      <c r="AJ1337" s="3"/>
      <c r="AK1337" s="3"/>
      <c r="AL1337" s="3"/>
      <c r="AM1337" s="3"/>
      <c r="AN1337" s="3"/>
      <c r="AO1337" s="3"/>
      <c r="AP1337" s="3"/>
      <c r="AQ1337" s="3"/>
      <c r="AR1337" s="3"/>
      <c r="AS1337" s="3"/>
      <c r="AT1337" s="3"/>
      <c r="AU1337" s="3"/>
      <c r="AV1337" s="3"/>
      <c r="AW1337" s="3"/>
      <c r="AX1337" s="3"/>
    </row>
    <row r="1338" spans="8:50" x14ac:dyDescent="0.25"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7">
        <f t="shared" ca="1" si="20"/>
        <v>0.13192029924508444</v>
      </c>
      <c r="X1338" s="3"/>
      <c r="Y1338" s="3"/>
      <c r="Z1338" s="3"/>
      <c r="AA1338" s="3"/>
      <c r="AB1338" s="3"/>
      <c r="AC1338" s="3"/>
      <c r="AD1338" s="3"/>
      <c r="AE1338" s="3"/>
      <c r="AF1338" s="3"/>
      <c r="AG1338" s="3"/>
      <c r="AH1338" s="3"/>
      <c r="AI1338" s="3"/>
      <c r="AJ1338" s="3"/>
      <c r="AK1338" s="3"/>
      <c r="AL1338" s="3"/>
      <c r="AM1338" s="3"/>
      <c r="AN1338" s="3"/>
      <c r="AO1338" s="3"/>
      <c r="AP1338" s="3"/>
      <c r="AQ1338" s="3"/>
      <c r="AR1338" s="3"/>
      <c r="AS1338" s="3"/>
      <c r="AT1338" s="3"/>
      <c r="AU1338" s="3"/>
      <c r="AV1338" s="3"/>
      <c r="AW1338" s="3"/>
      <c r="AX1338" s="3"/>
    </row>
    <row r="1339" spans="8:50" x14ac:dyDescent="0.25"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7">
        <f t="shared" ca="1" si="20"/>
        <v>0.17171383991337361</v>
      </c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  <c r="AH1339" s="3"/>
      <c r="AI1339" s="3"/>
      <c r="AJ1339" s="3"/>
      <c r="AK1339" s="3"/>
      <c r="AL1339" s="3"/>
      <c r="AM1339" s="3"/>
      <c r="AN1339" s="3"/>
      <c r="AO1339" s="3"/>
      <c r="AP1339" s="3"/>
      <c r="AQ1339" s="3"/>
      <c r="AR1339" s="3"/>
      <c r="AS1339" s="3"/>
      <c r="AT1339" s="3"/>
      <c r="AU1339" s="3"/>
      <c r="AV1339" s="3"/>
      <c r="AW1339" s="3"/>
      <c r="AX1339" s="3"/>
    </row>
    <row r="1340" spans="8:50" x14ac:dyDescent="0.25"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7">
        <f t="shared" ca="1" si="20"/>
        <v>0.33882966166518852</v>
      </c>
      <c r="X1340" s="3"/>
      <c r="Y1340" s="3"/>
      <c r="Z1340" s="3"/>
      <c r="AA1340" s="3"/>
      <c r="AB1340" s="3"/>
      <c r="AC1340" s="3"/>
      <c r="AD1340" s="3"/>
      <c r="AE1340" s="3"/>
      <c r="AF1340" s="3"/>
      <c r="AG1340" s="3"/>
      <c r="AH1340" s="3"/>
      <c r="AI1340" s="3"/>
      <c r="AJ1340" s="3"/>
      <c r="AK1340" s="3"/>
      <c r="AL1340" s="3"/>
      <c r="AM1340" s="3"/>
      <c r="AN1340" s="3"/>
      <c r="AO1340" s="3"/>
      <c r="AP1340" s="3"/>
      <c r="AQ1340" s="3"/>
      <c r="AR1340" s="3"/>
      <c r="AS1340" s="3"/>
      <c r="AT1340" s="3"/>
      <c r="AU1340" s="3"/>
      <c r="AV1340" s="3"/>
      <c r="AW1340" s="3"/>
      <c r="AX1340" s="3"/>
    </row>
    <row r="1341" spans="8:50" x14ac:dyDescent="0.25"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7">
        <f t="shared" ca="1" si="20"/>
        <v>0.29230900671703475</v>
      </c>
      <c r="X1341" s="3"/>
      <c r="Y1341" s="3"/>
      <c r="Z1341" s="3"/>
      <c r="AA1341" s="3"/>
      <c r="AB1341" s="3"/>
      <c r="AC1341" s="3"/>
      <c r="AD1341" s="3"/>
      <c r="AE1341" s="3"/>
      <c r="AF1341" s="3"/>
      <c r="AG1341" s="3"/>
      <c r="AH1341" s="3"/>
      <c r="AI1341" s="3"/>
      <c r="AJ1341" s="3"/>
      <c r="AK1341" s="3"/>
      <c r="AL1341" s="3"/>
      <c r="AM1341" s="3"/>
      <c r="AN1341" s="3"/>
      <c r="AO1341" s="3"/>
      <c r="AP1341" s="3"/>
      <c r="AQ1341" s="3"/>
      <c r="AR1341" s="3"/>
      <c r="AS1341" s="3"/>
      <c r="AT1341" s="3"/>
      <c r="AU1341" s="3"/>
      <c r="AV1341" s="3"/>
      <c r="AW1341" s="3"/>
      <c r="AX1341" s="3"/>
    </row>
    <row r="1342" spans="8:50" x14ac:dyDescent="0.25"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7">
        <f t="shared" ca="1" si="20"/>
        <v>-0.11823411776148164</v>
      </c>
      <c r="X1342" s="3"/>
      <c r="Y1342" s="3"/>
      <c r="Z1342" s="3"/>
      <c r="AA1342" s="3"/>
      <c r="AB1342" s="3"/>
      <c r="AC1342" s="3"/>
      <c r="AD1342" s="3"/>
      <c r="AE1342" s="3"/>
      <c r="AF1342" s="3"/>
      <c r="AG1342" s="3"/>
      <c r="AH1342" s="3"/>
      <c r="AI1342" s="3"/>
      <c r="AJ1342" s="3"/>
      <c r="AK1342" s="3"/>
      <c r="AL1342" s="3"/>
      <c r="AM1342" s="3"/>
      <c r="AN1342" s="3"/>
      <c r="AO1342" s="3"/>
      <c r="AP1342" s="3"/>
      <c r="AQ1342" s="3"/>
      <c r="AR1342" s="3"/>
      <c r="AS1342" s="3"/>
      <c r="AT1342" s="3"/>
      <c r="AU1342" s="3"/>
      <c r="AV1342" s="3"/>
      <c r="AW1342" s="3"/>
      <c r="AX1342" s="3"/>
    </row>
    <row r="1343" spans="8:50" x14ac:dyDescent="0.25"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7">
        <f t="shared" ca="1" si="20"/>
        <v>7.1402022660042863E-3</v>
      </c>
      <c r="X1343" s="3"/>
      <c r="Y1343" s="3"/>
      <c r="Z1343" s="3"/>
      <c r="AA1343" s="3"/>
      <c r="AB1343" s="3"/>
      <c r="AC1343" s="3"/>
      <c r="AD1343" s="3"/>
      <c r="AE1343" s="3"/>
      <c r="AF1343" s="3"/>
      <c r="AG1343" s="3"/>
      <c r="AH1343" s="3"/>
      <c r="AI1343" s="3"/>
      <c r="AJ1343" s="3"/>
      <c r="AK1343" s="3"/>
      <c r="AL1343" s="3"/>
      <c r="AM1343" s="3"/>
      <c r="AN1343" s="3"/>
      <c r="AO1343" s="3"/>
      <c r="AP1343" s="3"/>
      <c r="AQ1343" s="3"/>
      <c r="AR1343" s="3"/>
      <c r="AS1343" s="3"/>
      <c r="AT1343" s="3"/>
      <c r="AU1343" s="3"/>
      <c r="AV1343" s="3"/>
      <c r="AW1343" s="3"/>
      <c r="AX1343" s="3"/>
    </row>
    <row r="1344" spans="8:50" x14ac:dyDescent="0.25"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7">
        <f t="shared" ca="1" si="20"/>
        <v>0.13780584785194808</v>
      </c>
      <c r="X1344" s="3"/>
      <c r="Y1344" s="3"/>
      <c r="Z1344" s="3"/>
      <c r="AA1344" s="3"/>
      <c r="AB1344" s="3"/>
      <c r="AC1344" s="3"/>
      <c r="AD1344" s="3"/>
      <c r="AE1344" s="3"/>
      <c r="AF1344" s="3"/>
      <c r="AG1344" s="3"/>
      <c r="AH1344" s="3"/>
      <c r="AI1344" s="3"/>
      <c r="AJ1344" s="3"/>
      <c r="AK1344" s="3"/>
      <c r="AL1344" s="3"/>
      <c r="AM1344" s="3"/>
      <c r="AN1344" s="3"/>
      <c r="AO1344" s="3"/>
      <c r="AP1344" s="3"/>
      <c r="AQ1344" s="3"/>
      <c r="AR1344" s="3"/>
      <c r="AS1344" s="3"/>
      <c r="AT1344" s="3"/>
      <c r="AU1344" s="3"/>
      <c r="AV1344" s="3"/>
      <c r="AW1344" s="3"/>
      <c r="AX1344" s="3"/>
    </row>
    <row r="1345" spans="8:50" x14ac:dyDescent="0.25"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7">
        <f t="shared" ca="1" si="20"/>
        <v>-9.7939480504633733E-2</v>
      </c>
      <c r="X1345" s="3"/>
      <c r="Y1345" s="3"/>
      <c r="Z1345" s="3"/>
      <c r="AA1345" s="3"/>
      <c r="AB1345" s="3"/>
      <c r="AC1345" s="3"/>
      <c r="AD1345" s="3"/>
      <c r="AE1345" s="3"/>
      <c r="AF1345" s="3"/>
      <c r="AG1345" s="3"/>
      <c r="AH1345" s="3"/>
      <c r="AI1345" s="3"/>
      <c r="AJ1345" s="3"/>
      <c r="AK1345" s="3"/>
      <c r="AL1345" s="3"/>
      <c r="AM1345" s="3"/>
      <c r="AN1345" s="3"/>
      <c r="AO1345" s="3"/>
      <c r="AP1345" s="3"/>
      <c r="AQ1345" s="3"/>
      <c r="AR1345" s="3"/>
      <c r="AS1345" s="3"/>
      <c r="AT1345" s="3"/>
      <c r="AU1345" s="3"/>
      <c r="AV1345" s="3"/>
      <c r="AW1345" s="3"/>
      <c r="AX1345" s="3"/>
    </row>
    <row r="1346" spans="8:50" x14ac:dyDescent="0.25"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7">
        <f t="shared" ca="1" si="20"/>
        <v>2.0420287451912031E-2</v>
      </c>
      <c r="X1346" s="3"/>
      <c r="Y1346" s="3"/>
      <c r="Z1346" s="3"/>
      <c r="AA1346" s="3"/>
      <c r="AB1346" s="3"/>
      <c r="AC1346" s="3"/>
      <c r="AD1346" s="3"/>
      <c r="AE1346" s="3"/>
      <c r="AF1346" s="3"/>
      <c r="AG1346" s="3"/>
      <c r="AH1346" s="3"/>
      <c r="AI1346" s="3"/>
      <c r="AJ1346" s="3"/>
      <c r="AK1346" s="3"/>
      <c r="AL1346" s="3"/>
      <c r="AM1346" s="3"/>
      <c r="AN1346" s="3"/>
      <c r="AO1346" s="3"/>
      <c r="AP1346" s="3"/>
      <c r="AQ1346" s="3"/>
      <c r="AR1346" s="3"/>
      <c r="AS1346" s="3"/>
      <c r="AT1346" s="3"/>
      <c r="AU1346" s="3"/>
      <c r="AV1346" s="3"/>
      <c r="AW1346" s="3"/>
      <c r="AX1346" s="3"/>
    </row>
    <row r="1347" spans="8:50" x14ac:dyDescent="0.25"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7">
        <f t="shared" ca="1" si="20"/>
        <v>-8.0727040309966316E-2</v>
      </c>
      <c r="X1347" s="3"/>
      <c r="Y1347" s="3"/>
      <c r="Z1347" s="3"/>
      <c r="AA1347" s="3"/>
      <c r="AB1347" s="3"/>
      <c r="AC1347" s="3"/>
      <c r="AD1347" s="3"/>
      <c r="AE1347" s="3"/>
      <c r="AF1347" s="3"/>
      <c r="AG1347" s="3"/>
      <c r="AH1347" s="3"/>
      <c r="AI1347" s="3"/>
      <c r="AJ1347" s="3"/>
      <c r="AK1347" s="3"/>
      <c r="AL1347" s="3"/>
      <c r="AM1347" s="3"/>
      <c r="AN1347" s="3"/>
      <c r="AO1347" s="3"/>
      <c r="AP1347" s="3"/>
      <c r="AQ1347" s="3"/>
      <c r="AR1347" s="3"/>
      <c r="AS1347" s="3"/>
      <c r="AT1347" s="3"/>
      <c r="AU1347" s="3"/>
      <c r="AV1347" s="3"/>
      <c r="AW1347" s="3"/>
      <c r="AX1347" s="3"/>
    </row>
    <row r="1348" spans="8:50" x14ac:dyDescent="0.25"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7">
        <f t="shared" ca="1" si="20"/>
        <v>0.26483430849449385</v>
      </c>
      <c r="X1348" s="3"/>
      <c r="Y1348" s="3"/>
      <c r="Z1348" s="3"/>
      <c r="AA1348" s="3"/>
      <c r="AB1348" s="3"/>
      <c r="AC1348" s="3"/>
      <c r="AD1348" s="3"/>
      <c r="AE1348" s="3"/>
      <c r="AF1348" s="3"/>
      <c r="AG1348" s="3"/>
      <c r="AH1348" s="3"/>
      <c r="AI1348" s="3"/>
      <c r="AJ1348" s="3"/>
      <c r="AK1348" s="3"/>
      <c r="AL1348" s="3"/>
      <c r="AM1348" s="3"/>
      <c r="AN1348" s="3"/>
      <c r="AO1348" s="3"/>
      <c r="AP1348" s="3"/>
      <c r="AQ1348" s="3"/>
      <c r="AR1348" s="3"/>
      <c r="AS1348" s="3"/>
      <c r="AT1348" s="3"/>
      <c r="AU1348" s="3"/>
      <c r="AV1348" s="3"/>
      <c r="AW1348" s="3"/>
      <c r="AX1348" s="3"/>
    </row>
    <row r="1349" spans="8:50" x14ac:dyDescent="0.25"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7">
        <f t="shared" ca="1" si="20"/>
        <v>0.18066758313441858</v>
      </c>
      <c r="X1349" s="3"/>
      <c r="Y1349" s="3"/>
      <c r="Z1349" s="3"/>
      <c r="AA1349" s="3"/>
      <c r="AB1349" s="3"/>
      <c r="AC1349" s="3"/>
      <c r="AD1349" s="3"/>
      <c r="AE1349" s="3"/>
      <c r="AF1349" s="3"/>
      <c r="AG1349" s="3"/>
      <c r="AH1349" s="3"/>
      <c r="AI1349" s="3"/>
      <c r="AJ1349" s="3"/>
      <c r="AK1349" s="3"/>
      <c r="AL1349" s="3"/>
      <c r="AM1349" s="3"/>
      <c r="AN1349" s="3"/>
      <c r="AO1349" s="3"/>
      <c r="AP1349" s="3"/>
      <c r="AQ1349" s="3"/>
      <c r="AR1349" s="3"/>
      <c r="AS1349" s="3"/>
      <c r="AT1349" s="3"/>
      <c r="AU1349" s="3"/>
      <c r="AV1349" s="3"/>
      <c r="AW1349" s="3"/>
      <c r="AX1349" s="3"/>
    </row>
    <row r="1350" spans="8:50" x14ac:dyDescent="0.25"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7">
        <f t="shared" ref="W1350:W1413" ca="1" si="21">+NORMINV(RAND(),$U$2,$U$3)</f>
        <v>-1.8384477728291701E-2</v>
      </c>
      <c r="X1350" s="3"/>
      <c r="Y1350" s="3"/>
      <c r="Z1350" s="3"/>
      <c r="AA1350" s="3"/>
      <c r="AB1350" s="3"/>
      <c r="AC1350" s="3"/>
      <c r="AD1350" s="3"/>
      <c r="AE1350" s="3"/>
      <c r="AF1350" s="3"/>
      <c r="AG1350" s="3"/>
      <c r="AH1350" s="3"/>
      <c r="AI1350" s="3"/>
      <c r="AJ1350" s="3"/>
      <c r="AK1350" s="3"/>
      <c r="AL1350" s="3"/>
      <c r="AM1350" s="3"/>
      <c r="AN1350" s="3"/>
      <c r="AO1350" s="3"/>
      <c r="AP1350" s="3"/>
      <c r="AQ1350" s="3"/>
      <c r="AR1350" s="3"/>
      <c r="AS1350" s="3"/>
      <c r="AT1350" s="3"/>
      <c r="AU1350" s="3"/>
      <c r="AV1350" s="3"/>
      <c r="AW1350" s="3"/>
      <c r="AX1350" s="3"/>
    </row>
    <row r="1351" spans="8:50" x14ac:dyDescent="0.25"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7">
        <f t="shared" ca="1" si="21"/>
        <v>4.5380194656383238E-3</v>
      </c>
      <c r="X1351" s="3"/>
      <c r="Y1351" s="3"/>
      <c r="Z1351" s="3"/>
      <c r="AA1351" s="3"/>
      <c r="AB1351" s="3"/>
      <c r="AC1351" s="3"/>
      <c r="AD1351" s="3"/>
      <c r="AE1351" s="3"/>
      <c r="AF1351" s="3"/>
      <c r="AG1351" s="3"/>
      <c r="AH1351" s="3"/>
      <c r="AI1351" s="3"/>
      <c r="AJ1351" s="3"/>
      <c r="AK1351" s="3"/>
      <c r="AL1351" s="3"/>
      <c r="AM1351" s="3"/>
      <c r="AN1351" s="3"/>
      <c r="AO1351" s="3"/>
      <c r="AP1351" s="3"/>
      <c r="AQ1351" s="3"/>
      <c r="AR1351" s="3"/>
      <c r="AS1351" s="3"/>
      <c r="AT1351" s="3"/>
      <c r="AU1351" s="3"/>
      <c r="AV1351" s="3"/>
      <c r="AW1351" s="3"/>
      <c r="AX1351" s="3"/>
    </row>
    <row r="1352" spans="8:50" x14ac:dyDescent="0.25"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7">
        <f t="shared" ca="1" si="21"/>
        <v>9.5407895458768668E-2</v>
      </c>
      <c r="X1352" s="3"/>
      <c r="Y1352" s="3"/>
      <c r="Z1352" s="3"/>
      <c r="AA1352" s="3"/>
      <c r="AB1352" s="3"/>
      <c r="AC1352" s="3"/>
      <c r="AD1352" s="3"/>
      <c r="AE1352" s="3"/>
      <c r="AF1352" s="3"/>
      <c r="AG1352" s="3"/>
      <c r="AH1352" s="3"/>
      <c r="AI1352" s="3"/>
      <c r="AJ1352" s="3"/>
      <c r="AK1352" s="3"/>
      <c r="AL1352" s="3"/>
      <c r="AM1352" s="3"/>
      <c r="AN1352" s="3"/>
      <c r="AO1352" s="3"/>
      <c r="AP1352" s="3"/>
      <c r="AQ1352" s="3"/>
      <c r="AR1352" s="3"/>
      <c r="AS1352" s="3"/>
      <c r="AT1352" s="3"/>
      <c r="AU1352" s="3"/>
      <c r="AV1352" s="3"/>
      <c r="AW1352" s="3"/>
      <c r="AX1352" s="3"/>
    </row>
    <row r="1353" spans="8:50" x14ac:dyDescent="0.25"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7">
        <f t="shared" ca="1" si="21"/>
        <v>0.34809718943655094</v>
      </c>
      <c r="X1353" s="3"/>
      <c r="Y1353" s="3"/>
      <c r="Z1353" s="3"/>
      <c r="AA1353" s="3"/>
      <c r="AB1353" s="3"/>
      <c r="AC1353" s="3"/>
      <c r="AD1353" s="3"/>
      <c r="AE1353" s="3"/>
      <c r="AF1353" s="3"/>
      <c r="AG1353" s="3"/>
      <c r="AH1353" s="3"/>
      <c r="AI1353" s="3"/>
      <c r="AJ1353" s="3"/>
      <c r="AK1353" s="3"/>
      <c r="AL1353" s="3"/>
      <c r="AM1353" s="3"/>
      <c r="AN1353" s="3"/>
      <c r="AO1353" s="3"/>
      <c r="AP1353" s="3"/>
      <c r="AQ1353" s="3"/>
      <c r="AR1353" s="3"/>
      <c r="AS1353" s="3"/>
      <c r="AT1353" s="3"/>
      <c r="AU1353" s="3"/>
      <c r="AV1353" s="3"/>
      <c r="AW1353" s="3"/>
      <c r="AX1353" s="3"/>
    </row>
    <row r="1354" spans="8:50" x14ac:dyDescent="0.25"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7">
        <f t="shared" ca="1" si="21"/>
        <v>0.46862624238738854</v>
      </c>
      <c r="X1354" s="3"/>
      <c r="Y1354" s="3"/>
      <c r="Z1354" s="3"/>
      <c r="AA1354" s="3"/>
      <c r="AB1354" s="3"/>
      <c r="AC1354" s="3"/>
      <c r="AD1354" s="3"/>
      <c r="AE1354" s="3"/>
      <c r="AF1354" s="3"/>
      <c r="AG1354" s="3"/>
      <c r="AH1354" s="3"/>
      <c r="AI1354" s="3"/>
      <c r="AJ1354" s="3"/>
      <c r="AK1354" s="3"/>
      <c r="AL1354" s="3"/>
      <c r="AM1354" s="3"/>
      <c r="AN1354" s="3"/>
      <c r="AO1354" s="3"/>
      <c r="AP1354" s="3"/>
      <c r="AQ1354" s="3"/>
      <c r="AR1354" s="3"/>
      <c r="AS1354" s="3"/>
      <c r="AT1354" s="3"/>
      <c r="AU1354" s="3"/>
      <c r="AV1354" s="3"/>
      <c r="AW1354" s="3"/>
      <c r="AX1354" s="3"/>
    </row>
    <row r="1355" spans="8:50" x14ac:dyDescent="0.25"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7">
        <f t="shared" ca="1" si="21"/>
        <v>-0.22511252183526714</v>
      </c>
      <c r="X1355" s="3"/>
      <c r="Y1355" s="3"/>
      <c r="Z1355" s="3"/>
      <c r="AA1355" s="3"/>
      <c r="AB1355" s="3"/>
      <c r="AC1355" s="3"/>
      <c r="AD1355" s="3"/>
      <c r="AE1355" s="3"/>
      <c r="AF1355" s="3"/>
      <c r="AG1355" s="3"/>
      <c r="AH1355" s="3"/>
      <c r="AI1355" s="3"/>
      <c r="AJ1355" s="3"/>
      <c r="AK1355" s="3"/>
      <c r="AL1355" s="3"/>
      <c r="AM1355" s="3"/>
      <c r="AN1355" s="3"/>
      <c r="AO1355" s="3"/>
      <c r="AP1355" s="3"/>
      <c r="AQ1355" s="3"/>
      <c r="AR1355" s="3"/>
      <c r="AS1355" s="3"/>
      <c r="AT1355" s="3"/>
      <c r="AU1355" s="3"/>
      <c r="AV1355" s="3"/>
      <c r="AW1355" s="3"/>
      <c r="AX1355" s="3"/>
    </row>
    <row r="1356" spans="8:50" x14ac:dyDescent="0.25"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7">
        <f t="shared" ca="1" si="21"/>
        <v>0.18167026036751438</v>
      </c>
      <c r="X1356" s="3"/>
      <c r="Y1356" s="3"/>
      <c r="Z1356" s="3"/>
      <c r="AA1356" s="3"/>
      <c r="AB1356" s="3"/>
      <c r="AC1356" s="3"/>
      <c r="AD1356" s="3"/>
      <c r="AE1356" s="3"/>
      <c r="AF1356" s="3"/>
      <c r="AG1356" s="3"/>
      <c r="AH1356" s="3"/>
      <c r="AI1356" s="3"/>
      <c r="AJ1356" s="3"/>
      <c r="AK1356" s="3"/>
      <c r="AL1356" s="3"/>
      <c r="AM1356" s="3"/>
      <c r="AN1356" s="3"/>
      <c r="AO1356" s="3"/>
      <c r="AP1356" s="3"/>
      <c r="AQ1356" s="3"/>
      <c r="AR1356" s="3"/>
      <c r="AS1356" s="3"/>
      <c r="AT1356" s="3"/>
      <c r="AU1356" s="3"/>
      <c r="AV1356" s="3"/>
      <c r="AW1356" s="3"/>
      <c r="AX1356" s="3"/>
    </row>
    <row r="1357" spans="8:50" x14ac:dyDescent="0.25"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7">
        <f t="shared" ca="1" si="21"/>
        <v>-4.1125953196542261E-2</v>
      </c>
      <c r="X1357" s="3"/>
      <c r="Y1357" s="3"/>
      <c r="Z1357" s="3"/>
      <c r="AA1357" s="3"/>
      <c r="AB1357" s="3"/>
      <c r="AC1357" s="3"/>
      <c r="AD1357" s="3"/>
      <c r="AE1357" s="3"/>
      <c r="AF1357" s="3"/>
      <c r="AG1357" s="3"/>
      <c r="AH1357" s="3"/>
      <c r="AI1357" s="3"/>
      <c r="AJ1357" s="3"/>
      <c r="AK1357" s="3"/>
      <c r="AL1357" s="3"/>
      <c r="AM1357" s="3"/>
      <c r="AN1357" s="3"/>
      <c r="AO1357" s="3"/>
      <c r="AP1357" s="3"/>
      <c r="AQ1357" s="3"/>
      <c r="AR1357" s="3"/>
      <c r="AS1357" s="3"/>
      <c r="AT1357" s="3"/>
      <c r="AU1357" s="3"/>
      <c r="AV1357" s="3"/>
      <c r="AW1357" s="3"/>
      <c r="AX1357" s="3"/>
    </row>
    <row r="1358" spans="8:50" x14ac:dyDescent="0.25"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7">
        <f t="shared" ca="1" si="21"/>
        <v>0.16368749475422559</v>
      </c>
      <c r="X1358" s="3"/>
      <c r="Y1358" s="3"/>
      <c r="Z1358" s="3"/>
      <c r="AA1358" s="3"/>
      <c r="AB1358" s="3"/>
      <c r="AC1358" s="3"/>
      <c r="AD1358" s="3"/>
      <c r="AE1358" s="3"/>
      <c r="AF1358" s="3"/>
      <c r="AG1358" s="3"/>
      <c r="AH1358" s="3"/>
      <c r="AI1358" s="3"/>
      <c r="AJ1358" s="3"/>
      <c r="AK1358" s="3"/>
      <c r="AL1358" s="3"/>
      <c r="AM1358" s="3"/>
      <c r="AN1358" s="3"/>
      <c r="AO1358" s="3"/>
      <c r="AP1358" s="3"/>
      <c r="AQ1358" s="3"/>
      <c r="AR1358" s="3"/>
      <c r="AS1358" s="3"/>
      <c r="AT1358" s="3"/>
      <c r="AU1358" s="3"/>
      <c r="AV1358" s="3"/>
      <c r="AW1358" s="3"/>
      <c r="AX1358" s="3"/>
    </row>
    <row r="1359" spans="8:50" x14ac:dyDescent="0.25"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7">
        <f t="shared" ca="1" si="21"/>
        <v>0.1308014143576528</v>
      </c>
      <c r="X1359" s="3"/>
      <c r="Y1359" s="3"/>
      <c r="Z1359" s="3"/>
      <c r="AA1359" s="3"/>
      <c r="AB1359" s="3"/>
      <c r="AC1359" s="3"/>
      <c r="AD1359" s="3"/>
      <c r="AE1359" s="3"/>
      <c r="AF1359" s="3"/>
      <c r="AG1359" s="3"/>
      <c r="AH1359" s="3"/>
      <c r="AI1359" s="3"/>
      <c r="AJ1359" s="3"/>
      <c r="AK1359" s="3"/>
      <c r="AL1359" s="3"/>
      <c r="AM1359" s="3"/>
      <c r="AN1359" s="3"/>
      <c r="AO1359" s="3"/>
      <c r="AP1359" s="3"/>
      <c r="AQ1359" s="3"/>
      <c r="AR1359" s="3"/>
      <c r="AS1359" s="3"/>
      <c r="AT1359" s="3"/>
      <c r="AU1359" s="3"/>
      <c r="AV1359" s="3"/>
      <c r="AW1359" s="3"/>
      <c r="AX1359" s="3"/>
    </row>
    <row r="1360" spans="8:50" x14ac:dyDescent="0.25"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7">
        <f t="shared" ca="1" si="21"/>
        <v>0.29584905888742941</v>
      </c>
      <c r="X1360" s="3"/>
      <c r="Y1360" s="3"/>
      <c r="Z1360" s="3"/>
      <c r="AA1360" s="3"/>
      <c r="AB1360" s="3"/>
      <c r="AC1360" s="3"/>
      <c r="AD1360" s="3"/>
      <c r="AE1360" s="3"/>
      <c r="AF1360" s="3"/>
      <c r="AG1360" s="3"/>
      <c r="AH1360" s="3"/>
      <c r="AI1360" s="3"/>
      <c r="AJ1360" s="3"/>
      <c r="AK1360" s="3"/>
      <c r="AL1360" s="3"/>
      <c r="AM1360" s="3"/>
      <c r="AN1360" s="3"/>
      <c r="AO1360" s="3"/>
      <c r="AP1360" s="3"/>
      <c r="AQ1360" s="3"/>
      <c r="AR1360" s="3"/>
      <c r="AS1360" s="3"/>
      <c r="AT1360" s="3"/>
      <c r="AU1360" s="3"/>
      <c r="AV1360" s="3"/>
      <c r="AW1360" s="3"/>
      <c r="AX1360" s="3"/>
    </row>
    <row r="1361" spans="8:50" x14ac:dyDescent="0.25"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7">
        <f t="shared" ca="1" si="21"/>
        <v>-0.12163120397909767</v>
      </c>
      <c r="X1361" s="3"/>
      <c r="Y1361" s="3"/>
      <c r="Z1361" s="3"/>
      <c r="AA1361" s="3"/>
      <c r="AB1361" s="3"/>
      <c r="AC1361" s="3"/>
      <c r="AD1361" s="3"/>
      <c r="AE1361" s="3"/>
      <c r="AF1361" s="3"/>
      <c r="AG1361" s="3"/>
      <c r="AH1361" s="3"/>
      <c r="AI1361" s="3"/>
      <c r="AJ1361" s="3"/>
      <c r="AK1361" s="3"/>
      <c r="AL1361" s="3"/>
      <c r="AM1361" s="3"/>
      <c r="AN1361" s="3"/>
      <c r="AO1361" s="3"/>
      <c r="AP1361" s="3"/>
      <c r="AQ1361" s="3"/>
      <c r="AR1361" s="3"/>
      <c r="AS1361" s="3"/>
      <c r="AT1361" s="3"/>
      <c r="AU1361" s="3"/>
      <c r="AV1361" s="3"/>
      <c r="AW1361" s="3"/>
      <c r="AX1361" s="3"/>
    </row>
    <row r="1362" spans="8:50" x14ac:dyDescent="0.25"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7">
        <f t="shared" ca="1" si="21"/>
        <v>8.5573957395545977E-2</v>
      </c>
      <c r="X1362" s="3"/>
      <c r="Y1362" s="3"/>
      <c r="Z1362" s="3"/>
      <c r="AA1362" s="3"/>
      <c r="AB1362" s="3"/>
      <c r="AC1362" s="3"/>
      <c r="AD1362" s="3"/>
      <c r="AE1362" s="3"/>
      <c r="AF1362" s="3"/>
      <c r="AG1362" s="3"/>
      <c r="AH1362" s="3"/>
      <c r="AI1362" s="3"/>
      <c r="AJ1362" s="3"/>
      <c r="AK1362" s="3"/>
      <c r="AL1362" s="3"/>
      <c r="AM1362" s="3"/>
      <c r="AN1362" s="3"/>
      <c r="AO1362" s="3"/>
      <c r="AP1362" s="3"/>
      <c r="AQ1362" s="3"/>
      <c r="AR1362" s="3"/>
      <c r="AS1362" s="3"/>
      <c r="AT1362" s="3"/>
      <c r="AU1362" s="3"/>
      <c r="AV1362" s="3"/>
      <c r="AW1362" s="3"/>
      <c r="AX1362" s="3"/>
    </row>
    <row r="1363" spans="8:50" x14ac:dyDescent="0.25"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7">
        <f t="shared" ca="1" si="21"/>
        <v>5.9272096121090731E-2</v>
      </c>
      <c r="X1363" s="3"/>
      <c r="Y1363" s="3"/>
      <c r="Z1363" s="3"/>
      <c r="AA1363" s="3"/>
      <c r="AB1363" s="3"/>
      <c r="AC1363" s="3"/>
      <c r="AD1363" s="3"/>
      <c r="AE1363" s="3"/>
      <c r="AF1363" s="3"/>
      <c r="AG1363" s="3"/>
      <c r="AH1363" s="3"/>
      <c r="AI1363" s="3"/>
      <c r="AJ1363" s="3"/>
      <c r="AK1363" s="3"/>
      <c r="AL1363" s="3"/>
      <c r="AM1363" s="3"/>
      <c r="AN1363" s="3"/>
      <c r="AO1363" s="3"/>
      <c r="AP1363" s="3"/>
      <c r="AQ1363" s="3"/>
      <c r="AR1363" s="3"/>
      <c r="AS1363" s="3"/>
      <c r="AT1363" s="3"/>
      <c r="AU1363" s="3"/>
      <c r="AV1363" s="3"/>
      <c r="AW1363" s="3"/>
      <c r="AX1363" s="3"/>
    </row>
    <row r="1364" spans="8:50" x14ac:dyDescent="0.25"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7">
        <f t="shared" ca="1" si="21"/>
        <v>0.14677147697383888</v>
      </c>
      <c r="X1364" s="3"/>
      <c r="Y1364" s="3"/>
      <c r="Z1364" s="3"/>
      <c r="AA1364" s="3"/>
      <c r="AB1364" s="3"/>
      <c r="AC1364" s="3"/>
      <c r="AD1364" s="3"/>
      <c r="AE1364" s="3"/>
      <c r="AF1364" s="3"/>
      <c r="AG1364" s="3"/>
      <c r="AH1364" s="3"/>
      <c r="AI1364" s="3"/>
      <c r="AJ1364" s="3"/>
      <c r="AK1364" s="3"/>
      <c r="AL1364" s="3"/>
      <c r="AM1364" s="3"/>
      <c r="AN1364" s="3"/>
      <c r="AO1364" s="3"/>
      <c r="AP1364" s="3"/>
      <c r="AQ1364" s="3"/>
      <c r="AR1364" s="3"/>
      <c r="AS1364" s="3"/>
      <c r="AT1364" s="3"/>
      <c r="AU1364" s="3"/>
      <c r="AV1364" s="3"/>
      <c r="AW1364" s="3"/>
      <c r="AX1364" s="3"/>
    </row>
    <row r="1365" spans="8:50" x14ac:dyDescent="0.25"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7">
        <f t="shared" ca="1" si="21"/>
        <v>2.5066263476293649E-2</v>
      </c>
      <c r="X1365" s="3"/>
      <c r="Y1365" s="3"/>
      <c r="Z1365" s="3"/>
      <c r="AA1365" s="3"/>
      <c r="AB1365" s="3"/>
      <c r="AC1365" s="3"/>
      <c r="AD1365" s="3"/>
      <c r="AE1365" s="3"/>
      <c r="AF1365" s="3"/>
      <c r="AG1365" s="3"/>
      <c r="AH1365" s="3"/>
      <c r="AI1365" s="3"/>
      <c r="AJ1365" s="3"/>
      <c r="AK1365" s="3"/>
      <c r="AL1365" s="3"/>
      <c r="AM1365" s="3"/>
      <c r="AN1365" s="3"/>
      <c r="AO1365" s="3"/>
      <c r="AP1365" s="3"/>
      <c r="AQ1365" s="3"/>
      <c r="AR1365" s="3"/>
      <c r="AS1365" s="3"/>
      <c r="AT1365" s="3"/>
      <c r="AU1365" s="3"/>
      <c r="AV1365" s="3"/>
      <c r="AW1365" s="3"/>
      <c r="AX1365" s="3"/>
    </row>
    <row r="1366" spans="8:50" x14ac:dyDescent="0.25"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7">
        <f t="shared" ca="1" si="21"/>
        <v>7.0003008475044509E-2</v>
      </c>
      <c r="X1366" s="3"/>
      <c r="Y1366" s="3"/>
      <c r="Z1366" s="3"/>
      <c r="AA1366" s="3"/>
      <c r="AB1366" s="3"/>
      <c r="AC1366" s="3"/>
      <c r="AD1366" s="3"/>
      <c r="AE1366" s="3"/>
      <c r="AF1366" s="3"/>
      <c r="AG1366" s="3"/>
      <c r="AH1366" s="3"/>
      <c r="AI1366" s="3"/>
      <c r="AJ1366" s="3"/>
      <c r="AK1366" s="3"/>
      <c r="AL1366" s="3"/>
      <c r="AM1366" s="3"/>
      <c r="AN1366" s="3"/>
      <c r="AO1366" s="3"/>
      <c r="AP1366" s="3"/>
      <c r="AQ1366" s="3"/>
      <c r="AR1366" s="3"/>
      <c r="AS1366" s="3"/>
      <c r="AT1366" s="3"/>
      <c r="AU1366" s="3"/>
      <c r="AV1366" s="3"/>
      <c r="AW1366" s="3"/>
      <c r="AX1366" s="3"/>
    </row>
    <row r="1367" spans="8:50" x14ac:dyDescent="0.25"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7">
        <f t="shared" ca="1" si="21"/>
        <v>-0.22185089141003828</v>
      </c>
      <c r="X1367" s="3"/>
      <c r="Y1367" s="3"/>
      <c r="Z1367" s="3"/>
      <c r="AA1367" s="3"/>
      <c r="AB1367" s="3"/>
      <c r="AC1367" s="3"/>
      <c r="AD1367" s="3"/>
      <c r="AE1367" s="3"/>
      <c r="AF1367" s="3"/>
      <c r="AG1367" s="3"/>
      <c r="AH1367" s="3"/>
      <c r="AI1367" s="3"/>
      <c r="AJ1367" s="3"/>
      <c r="AK1367" s="3"/>
      <c r="AL1367" s="3"/>
      <c r="AM1367" s="3"/>
      <c r="AN1367" s="3"/>
      <c r="AO1367" s="3"/>
      <c r="AP1367" s="3"/>
      <c r="AQ1367" s="3"/>
      <c r="AR1367" s="3"/>
      <c r="AS1367" s="3"/>
      <c r="AT1367" s="3"/>
      <c r="AU1367" s="3"/>
      <c r="AV1367" s="3"/>
      <c r="AW1367" s="3"/>
      <c r="AX1367" s="3"/>
    </row>
    <row r="1368" spans="8:50" x14ac:dyDescent="0.25"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7">
        <f t="shared" ca="1" si="21"/>
        <v>0.12120683400132624</v>
      </c>
      <c r="X1368" s="3"/>
      <c r="Y1368" s="3"/>
      <c r="Z1368" s="3"/>
      <c r="AA1368" s="3"/>
      <c r="AB1368" s="3"/>
      <c r="AC1368" s="3"/>
      <c r="AD1368" s="3"/>
      <c r="AE1368" s="3"/>
      <c r="AF1368" s="3"/>
      <c r="AG1368" s="3"/>
      <c r="AH1368" s="3"/>
      <c r="AI1368" s="3"/>
      <c r="AJ1368" s="3"/>
      <c r="AK1368" s="3"/>
      <c r="AL1368" s="3"/>
      <c r="AM1368" s="3"/>
      <c r="AN1368" s="3"/>
      <c r="AO1368" s="3"/>
      <c r="AP1368" s="3"/>
      <c r="AQ1368" s="3"/>
      <c r="AR1368" s="3"/>
      <c r="AS1368" s="3"/>
      <c r="AT1368" s="3"/>
      <c r="AU1368" s="3"/>
      <c r="AV1368" s="3"/>
      <c r="AW1368" s="3"/>
      <c r="AX1368" s="3"/>
    </row>
    <row r="1369" spans="8:50" x14ac:dyDescent="0.25"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7">
        <f t="shared" ca="1" si="21"/>
        <v>0.25148260523524402</v>
      </c>
      <c r="X1369" s="3"/>
      <c r="Y1369" s="3"/>
      <c r="Z1369" s="3"/>
      <c r="AA1369" s="3"/>
      <c r="AB1369" s="3"/>
      <c r="AC1369" s="3"/>
      <c r="AD1369" s="3"/>
      <c r="AE1369" s="3"/>
      <c r="AF1369" s="3"/>
      <c r="AG1369" s="3"/>
      <c r="AH1369" s="3"/>
      <c r="AI1369" s="3"/>
      <c r="AJ1369" s="3"/>
      <c r="AK1369" s="3"/>
      <c r="AL1369" s="3"/>
      <c r="AM1369" s="3"/>
      <c r="AN1369" s="3"/>
      <c r="AO1369" s="3"/>
      <c r="AP1369" s="3"/>
      <c r="AQ1369" s="3"/>
      <c r="AR1369" s="3"/>
      <c r="AS1369" s="3"/>
      <c r="AT1369" s="3"/>
      <c r="AU1369" s="3"/>
      <c r="AV1369" s="3"/>
      <c r="AW1369" s="3"/>
      <c r="AX1369" s="3"/>
    </row>
    <row r="1370" spans="8:50" x14ac:dyDescent="0.25"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7">
        <f t="shared" ca="1" si="21"/>
        <v>0.4088804059072178</v>
      </c>
      <c r="X1370" s="3"/>
      <c r="Y1370" s="3"/>
      <c r="Z1370" s="3"/>
      <c r="AA1370" s="3"/>
      <c r="AB1370" s="3"/>
      <c r="AC1370" s="3"/>
      <c r="AD1370" s="3"/>
      <c r="AE1370" s="3"/>
      <c r="AF1370" s="3"/>
      <c r="AG1370" s="3"/>
      <c r="AH1370" s="3"/>
      <c r="AI1370" s="3"/>
      <c r="AJ1370" s="3"/>
      <c r="AK1370" s="3"/>
      <c r="AL1370" s="3"/>
      <c r="AM1370" s="3"/>
      <c r="AN1370" s="3"/>
      <c r="AO1370" s="3"/>
      <c r="AP1370" s="3"/>
      <c r="AQ1370" s="3"/>
      <c r="AR1370" s="3"/>
      <c r="AS1370" s="3"/>
      <c r="AT1370" s="3"/>
      <c r="AU1370" s="3"/>
      <c r="AV1370" s="3"/>
      <c r="AW1370" s="3"/>
      <c r="AX1370" s="3"/>
    </row>
    <row r="1371" spans="8:50" x14ac:dyDescent="0.25"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7">
        <f t="shared" ca="1" si="21"/>
        <v>-5.2342951114716416E-2</v>
      </c>
      <c r="X1371" s="3"/>
      <c r="Y1371" s="3"/>
      <c r="Z1371" s="3"/>
      <c r="AA1371" s="3"/>
      <c r="AB1371" s="3"/>
      <c r="AC1371" s="3"/>
      <c r="AD1371" s="3"/>
      <c r="AE1371" s="3"/>
      <c r="AF1371" s="3"/>
      <c r="AG1371" s="3"/>
      <c r="AH1371" s="3"/>
      <c r="AI1371" s="3"/>
      <c r="AJ1371" s="3"/>
      <c r="AK1371" s="3"/>
      <c r="AL1371" s="3"/>
      <c r="AM1371" s="3"/>
      <c r="AN1371" s="3"/>
      <c r="AO1371" s="3"/>
      <c r="AP1371" s="3"/>
      <c r="AQ1371" s="3"/>
      <c r="AR1371" s="3"/>
      <c r="AS1371" s="3"/>
      <c r="AT1371" s="3"/>
      <c r="AU1371" s="3"/>
      <c r="AV1371" s="3"/>
      <c r="AW1371" s="3"/>
      <c r="AX1371" s="3"/>
    </row>
    <row r="1372" spans="8:50" x14ac:dyDescent="0.25"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7">
        <f t="shared" ca="1" si="21"/>
        <v>7.9322439928706134E-2</v>
      </c>
      <c r="X1372" s="3"/>
      <c r="Y1372" s="3"/>
      <c r="Z1372" s="3"/>
      <c r="AA1372" s="3"/>
      <c r="AB1372" s="3"/>
      <c r="AC1372" s="3"/>
      <c r="AD1372" s="3"/>
      <c r="AE1372" s="3"/>
      <c r="AF1372" s="3"/>
      <c r="AG1372" s="3"/>
      <c r="AH1372" s="3"/>
      <c r="AI1372" s="3"/>
      <c r="AJ1372" s="3"/>
      <c r="AK1372" s="3"/>
      <c r="AL1372" s="3"/>
      <c r="AM1372" s="3"/>
      <c r="AN1372" s="3"/>
      <c r="AO1372" s="3"/>
      <c r="AP1372" s="3"/>
      <c r="AQ1372" s="3"/>
      <c r="AR1372" s="3"/>
      <c r="AS1372" s="3"/>
      <c r="AT1372" s="3"/>
      <c r="AU1372" s="3"/>
      <c r="AV1372" s="3"/>
      <c r="AW1372" s="3"/>
      <c r="AX1372" s="3"/>
    </row>
    <row r="1373" spans="8:50" x14ac:dyDescent="0.25"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7">
        <f t="shared" ca="1" si="21"/>
        <v>0.11877715531159994</v>
      </c>
      <c r="X1373" s="3"/>
      <c r="Y1373" s="3"/>
      <c r="Z1373" s="3"/>
      <c r="AA1373" s="3"/>
      <c r="AB1373" s="3"/>
      <c r="AC1373" s="3"/>
      <c r="AD1373" s="3"/>
      <c r="AE1373" s="3"/>
      <c r="AF1373" s="3"/>
      <c r="AG1373" s="3"/>
      <c r="AH1373" s="3"/>
      <c r="AI1373" s="3"/>
      <c r="AJ1373" s="3"/>
      <c r="AK1373" s="3"/>
      <c r="AL1373" s="3"/>
      <c r="AM1373" s="3"/>
      <c r="AN1373" s="3"/>
      <c r="AO1373" s="3"/>
      <c r="AP1373" s="3"/>
      <c r="AQ1373" s="3"/>
      <c r="AR1373" s="3"/>
      <c r="AS1373" s="3"/>
      <c r="AT1373" s="3"/>
      <c r="AU1373" s="3"/>
      <c r="AV1373" s="3"/>
      <c r="AW1373" s="3"/>
      <c r="AX1373" s="3"/>
    </row>
    <row r="1374" spans="8:50" x14ac:dyDescent="0.25"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7">
        <f t="shared" ca="1" si="21"/>
        <v>-0.11234937670633351</v>
      </c>
      <c r="X1374" s="3"/>
      <c r="Y1374" s="3"/>
      <c r="Z1374" s="3"/>
      <c r="AA1374" s="3"/>
      <c r="AB1374" s="3"/>
      <c r="AC1374" s="3"/>
      <c r="AD1374" s="3"/>
      <c r="AE1374" s="3"/>
      <c r="AF1374" s="3"/>
      <c r="AG1374" s="3"/>
      <c r="AH1374" s="3"/>
      <c r="AI1374" s="3"/>
      <c r="AJ1374" s="3"/>
      <c r="AK1374" s="3"/>
      <c r="AL1374" s="3"/>
      <c r="AM1374" s="3"/>
      <c r="AN1374" s="3"/>
      <c r="AO1374" s="3"/>
      <c r="AP1374" s="3"/>
      <c r="AQ1374" s="3"/>
      <c r="AR1374" s="3"/>
      <c r="AS1374" s="3"/>
      <c r="AT1374" s="3"/>
      <c r="AU1374" s="3"/>
      <c r="AV1374" s="3"/>
      <c r="AW1374" s="3"/>
      <c r="AX1374" s="3"/>
    </row>
    <row r="1375" spans="8:50" x14ac:dyDescent="0.25"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7">
        <f t="shared" ca="1" si="21"/>
        <v>0.36996276604142098</v>
      </c>
      <c r="X1375" s="3"/>
      <c r="Y1375" s="3"/>
      <c r="Z1375" s="3"/>
      <c r="AA1375" s="3"/>
      <c r="AB1375" s="3"/>
      <c r="AC1375" s="3"/>
      <c r="AD1375" s="3"/>
      <c r="AE1375" s="3"/>
      <c r="AF1375" s="3"/>
      <c r="AG1375" s="3"/>
      <c r="AH1375" s="3"/>
      <c r="AI1375" s="3"/>
      <c r="AJ1375" s="3"/>
      <c r="AK1375" s="3"/>
      <c r="AL1375" s="3"/>
      <c r="AM1375" s="3"/>
      <c r="AN1375" s="3"/>
      <c r="AO1375" s="3"/>
      <c r="AP1375" s="3"/>
      <c r="AQ1375" s="3"/>
      <c r="AR1375" s="3"/>
      <c r="AS1375" s="3"/>
      <c r="AT1375" s="3"/>
      <c r="AU1375" s="3"/>
      <c r="AV1375" s="3"/>
      <c r="AW1375" s="3"/>
      <c r="AX1375" s="3"/>
    </row>
    <row r="1376" spans="8:50" x14ac:dyDescent="0.25"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7">
        <f t="shared" ca="1" si="21"/>
        <v>-3.8524968531245193E-2</v>
      </c>
      <c r="X1376" s="3"/>
      <c r="Y1376" s="3"/>
      <c r="Z1376" s="3"/>
      <c r="AA1376" s="3"/>
      <c r="AB1376" s="3"/>
      <c r="AC1376" s="3"/>
      <c r="AD1376" s="3"/>
      <c r="AE1376" s="3"/>
      <c r="AF1376" s="3"/>
      <c r="AG1376" s="3"/>
      <c r="AH1376" s="3"/>
      <c r="AI1376" s="3"/>
      <c r="AJ1376" s="3"/>
      <c r="AK1376" s="3"/>
      <c r="AL1376" s="3"/>
      <c r="AM1376" s="3"/>
      <c r="AN1376" s="3"/>
      <c r="AO1376" s="3"/>
      <c r="AP1376" s="3"/>
      <c r="AQ1376" s="3"/>
      <c r="AR1376" s="3"/>
      <c r="AS1376" s="3"/>
      <c r="AT1376" s="3"/>
      <c r="AU1376" s="3"/>
      <c r="AV1376" s="3"/>
      <c r="AW1376" s="3"/>
      <c r="AX1376" s="3"/>
    </row>
    <row r="1377" spans="8:50" x14ac:dyDescent="0.25"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7">
        <f t="shared" ca="1" si="21"/>
        <v>8.7937237706208343E-2</v>
      </c>
      <c r="X1377" s="3"/>
      <c r="Y1377" s="3"/>
      <c r="Z1377" s="3"/>
      <c r="AA1377" s="3"/>
      <c r="AB1377" s="3"/>
      <c r="AC1377" s="3"/>
      <c r="AD1377" s="3"/>
      <c r="AE1377" s="3"/>
      <c r="AF1377" s="3"/>
      <c r="AG1377" s="3"/>
      <c r="AH1377" s="3"/>
      <c r="AI1377" s="3"/>
      <c r="AJ1377" s="3"/>
      <c r="AK1377" s="3"/>
      <c r="AL1377" s="3"/>
      <c r="AM1377" s="3"/>
      <c r="AN1377" s="3"/>
      <c r="AO1377" s="3"/>
      <c r="AP1377" s="3"/>
      <c r="AQ1377" s="3"/>
      <c r="AR1377" s="3"/>
      <c r="AS1377" s="3"/>
      <c r="AT1377" s="3"/>
      <c r="AU1377" s="3"/>
      <c r="AV1377" s="3"/>
      <c r="AW1377" s="3"/>
      <c r="AX1377" s="3"/>
    </row>
    <row r="1378" spans="8:50" x14ac:dyDescent="0.25"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7">
        <f t="shared" ca="1" si="21"/>
        <v>-0.11295662971264696</v>
      </c>
      <c r="X1378" s="3"/>
      <c r="Y1378" s="3"/>
      <c r="Z1378" s="3"/>
      <c r="AA1378" s="3"/>
      <c r="AB1378" s="3"/>
      <c r="AC1378" s="3"/>
      <c r="AD1378" s="3"/>
      <c r="AE1378" s="3"/>
      <c r="AF1378" s="3"/>
      <c r="AG1378" s="3"/>
      <c r="AH1378" s="3"/>
      <c r="AI1378" s="3"/>
      <c r="AJ1378" s="3"/>
      <c r="AK1378" s="3"/>
      <c r="AL1378" s="3"/>
      <c r="AM1378" s="3"/>
      <c r="AN1378" s="3"/>
      <c r="AO1378" s="3"/>
      <c r="AP1378" s="3"/>
      <c r="AQ1378" s="3"/>
      <c r="AR1378" s="3"/>
      <c r="AS1378" s="3"/>
      <c r="AT1378" s="3"/>
      <c r="AU1378" s="3"/>
      <c r="AV1378" s="3"/>
      <c r="AW1378" s="3"/>
      <c r="AX1378" s="3"/>
    </row>
    <row r="1379" spans="8:50" x14ac:dyDescent="0.25"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7">
        <f t="shared" ca="1" si="21"/>
        <v>9.6455927980319281E-2</v>
      </c>
      <c r="X1379" s="3"/>
      <c r="Y1379" s="3"/>
      <c r="Z1379" s="3"/>
      <c r="AA1379" s="3"/>
      <c r="AB1379" s="3"/>
      <c r="AC1379" s="3"/>
      <c r="AD1379" s="3"/>
      <c r="AE1379" s="3"/>
      <c r="AF1379" s="3"/>
      <c r="AG1379" s="3"/>
      <c r="AH1379" s="3"/>
      <c r="AI1379" s="3"/>
      <c r="AJ1379" s="3"/>
      <c r="AK1379" s="3"/>
      <c r="AL1379" s="3"/>
      <c r="AM1379" s="3"/>
      <c r="AN1379" s="3"/>
      <c r="AO1379" s="3"/>
      <c r="AP1379" s="3"/>
      <c r="AQ1379" s="3"/>
      <c r="AR1379" s="3"/>
      <c r="AS1379" s="3"/>
      <c r="AT1379" s="3"/>
      <c r="AU1379" s="3"/>
      <c r="AV1379" s="3"/>
      <c r="AW1379" s="3"/>
      <c r="AX1379" s="3"/>
    </row>
    <row r="1380" spans="8:50" x14ac:dyDescent="0.25"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7">
        <f t="shared" ca="1" si="21"/>
        <v>0.19863378291078521</v>
      </c>
      <c r="X1380" s="3"/>
      <c r="Y1380" s="3"/>
      <c r="Z1380" s="3"/>
      <c r="AA1380" s="3"/>
      <c r="AB1380" s="3"/>
      <c r="AC1380" s="3"/>
      <c r="AD1380" s="3"/>
      <c r="AE1380" s="3"/>
      <c r="AF1380" s="3"/>
      <c r="AG1380" s="3"/>
      <c r="AH1380" s="3"/>
      <c r="AI1380" s="3"/>
      <c r="AJ1380" s="3"/>
      <c r="AK1380" s="3"/>
      <c r="AL1380" s="3"/>
      <c r="AM1380" s="3"/>
      <c r="AN1380" s="3"/>
      <c r="AO1380" s="3"/>
      <c r="AP1380" s="3"/>
      <c r="AQ1380" s="3"/>
      <c r="AR1380" s="3"/>
      <c r="AS1380" s="3"/>
      <c r="AT1380" s="3"/>
      <c r="AU1380" s="3"/>
      <c r="AV1380" s="3"/>
      <c r="AW1380" s="3"/>
      <c r="AX1380" s="3"/>
    </row>
    <row r="1381" spans="8:50" x14ac:dyDescent="0.25"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7">
        <f t="shared" ca="1" si="21"/>
        <v>0.49060843872074927</v>
      </c>
      <c r="X1381" s="3"/>
      <c r="Y1381" s="3"/>
      <c r="Z1381" s="3"/>
      <c r="AA1381" s="3"/>
      <c r="AB1381" s="3"/>
      <c r="AC1381" s="3"/>
      <c r="AD1381" s="3"/>
      <c r="AE1381" s="3"/>
      <c r="AF1381" s="3"/>
      <c r="AG1381" s="3"/>
      <c r="AH1381" s="3"/>
      <c r="AI1381" s="3"/>
      <c r="AJ1381" s="3"/>
      <c r="AK1381" s="3"/>
      <c r="AL1381" s="3"/>
      <c r="AM1381" s="3"/>
      <c r="AN1381" s="3"/>
      <c r="AO1381" s="3"/>
      <c r="AP1381" s="3"/>
      <c r="AQ1381" s="3"/>
      <c r="AR1381" s="3"/>
      <c r="AS1381" s="3"/>
      <c r="AT1381" s="3"/>
      <c r="AU1381" s="3"/>
      <c r="AV1381" s="3"/>
      <c r="AW1381" s="3"/>
      <c r="AX1381" s="3"/>
    </row>
    <row r="1382" spans="8:50" x14ac:dyDescent="0.25"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7">
        <f t="shared" ca="1" si="21"/>
        <v>-2.8295703294227717E-2</v>
      </c>
      <c r="X1382" s="3"/>
      <c r="Y1382" s="3"/>
      <c r="Z1382" s="3"/>
      <c r="AA1382" s="3"/>
      <c r="AB1382" s="3"/>
      <c r="AC1382" s="3"/>
      <c r="AD1382" s="3"/>
      <c r="AE1382" s="3"/>
      <c r="AF1382" s="3"/>
      <c r="AG1382" s="3"/>
      <c r="AH1382" s="3"/>
      <c r="AI1382" s="3"/>
      <c r="AJ1382" s="3"/>
      <c r="AK1382" s="3"/>
      <c r="AL1382" s="3"/>
      <c r="AM1382" s="3"/>
      <c r="AN1382" s="3"/>
      <c r="AO1382" s="3"/>
      <c r="AP1382" s="3"/>
      <c r="AQ1382" s="3"/>
      <c r="AR1382" s="3"/>
      <c r="AS1382" s="3"/>
      <c r="AT1382" s="3"/>
      <c r="AU1382" s="3"/>
      <c r="AV1382" s="3"/>
      <c r="AW1382" s="3"/>
      <c r="AX1382" s="3"/>
    </row>
    <row r="1383" spans="8:50" x14ac:dyDescent="0.25"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7">
        <f t="shared" ca="1" si="21"/>
        <v>0.11051901714570223</v>
      </c>
      <c r="X1383" s="3"/>
      <c r="Y1383" s="3"/>
      <c r="Z1383" s="3"/>
      <c r="AA1383" s="3"/>
      <c r="AB1383" s="3"/>
      <c r="AC1383" s="3"/>
      <c r="AD1383" s="3"/>
      <c r="AE1383" s="3"/>
      <c r="AF1383" s="3"/>
      <c r="AG1383" s="3"/>
      <c r="AH1383" s="3"/>
      <c r="AI1383" s="3"/>
      <c r="AJ1383" s="3"/>
      <c r="AK1383" s="3"/>
      <c r="AL1383" s="3"/>
      <c r="AM1383" s="3"/>
      <c r="AN1383" s="3"/>
      <c r="AO1383" s="3"/>
      <c r="AP1383" s="3"/>
      <c r="AQ1383" s="3"/>
      <c r="AR1383" s="3"/>
      <c r="AS1383" s="3"/>
      <c r="AT1383" s="3"/>
      <c r="AU1383" s="3"/>
      <c r="AV1383" s="3"/>
      <c r="AW1383" s="3"/>
      <c r="AX1383" s="3"/>
    </row>
    <row r="1384" spans="8:50" x14ac:dyDescent="0.25"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7">
        <f t="shared" ca="1" si="21"/>
        <v>0.24589479800965541</v>
      </c>
      <c r="X1384" s="3"/>
      <c r="Y1384" s="3"/>
      <c r="Z1384" s="3"/>
      <c r="AA1384" s="3"/>
      <c r="AB1384" s="3"/>
      <c r="AC1384" s="3"/>
      <c r="AD1384" s="3"/>
      <c r="AE1384" s="3"/>
      <c r="AF1384" s="3"/>
      <c r="AG1384" s="3"/>
      <c r="AH1384" s="3"/>
      <c r="AI1384" s="3"/>
      <c r="AJ1384" s="3"/>
      <c r="AK1384" s="3"/>
      <c r="AL1384" s="3"/>
      <c r="AM1384" s="3"/>
      <c r="AN1384" s="3"/>
      <c r="AO1384" s="3"/>
      <c r="AP1384" s="3"/>
      <c r="AQ1384" s="3"/>
      <c r="AR1384" s="3"/>
      <c r="AS1384" s="3"/>
      <c r="AT1384" s="3"/>
      <c r="AU1384" s="3"/>
      <c r="AV1384" s="3"/>
      <c r="AW1384" s="3"/>
      <c r="AX1384" s="3"/>
    </row>
    <row r="1385" spans="8:50" x14ac:dyDescent="0.25"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7">
        <f t="shared" ca="1" si="21"/>
        <v>0.18598479170041024</v>
      </c>
      <c r="X1385" s="3"/>
      <c r="Y1385" s="3"/>
      <c r="Z1385" s="3"/>
      <c r="AA1385" s="3"/>
      <c r="AB1385" s="3"/>
      <c r="AC1385" s="3"/>
      <c r="AD1385" s="3"/>
      <c r="AE1385" s="3"/>
      <c r="AF1385" s="3"/>
      <c r="AG1385" s="3"/>
      <c r="AH1385" s="3"/>
      <c r="AI1385" s="3"/>
      <c r="AJ1385" s="3"/>
      <c r="AK1385" s="3"/>
      <c r="AL1385" s="3"/>
      <c r="AM1385" s="3"/>
      <c r="AN1385" s="3"/>
      <c r="AO1385" s="3"/>
      <c r="AP1385" s="3"/>
      <c r="AQ1385" s="3"/>
      <c r="AR1385" s="3"/>
      <c r="AS1385" s="3"/>
      <c r="AT1385" s="3"/>
      <c r="AU1385" s="3"/>
      <c r="AV1385" s="3"/>
      <c r="AW1385" s="3"/>
      <c r="AX1385" s="3"/>
    </row>
    <row r="1386" spans="8:50" x14ac:dyDescent="0.25"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7">
        <f t="shared" ca="1" si="21"/>
        <v>0.27895747108986729</v>
      </c>
      <c r="X1386" s="3"/>
      <c r="Y1386" s="3"/>
      <c r="Z1386" s="3"/>
      <c r="AA1386" s="3"/>
      <c r="AB1386" s="3"/>
      <c r="AC1386" s="3"/>
      <c r="AD1386" s="3"/>
      <c r="AE1386" s="3"/>
      <c r="AF1386" s="3"/>
      <c r="AG1386" s="3"/>
      <c r="AH1386" s="3"/>
      <c r="AI1386" s="3"/>
      <c r="AJ1386" s="3"/>
      <c r="AK1386" s="3"/>
      <c r="AL1386" s="3"/>
      <c r="AM1386" s="3"/>
      <c r="AN1386" s="3"/>
      <c r="AO1386" s="3"/>
      <c r="AP1386" s="3"/>
      <c r="AQ1386" s="3"/>
      <c r="AR1386" s="3"/>
      <c r="AS1386" s="3"/>
      <c r="AT1386" s="3"/>
      <c r="AU1386" s="3"/>
      <c r="AV1386" s="3"/>
      <c r="AW1386" s="3"/>
      <c r="AX1386" s="3"/>
    </row>
    <row r="1387" spans="8:50" x14ac:dyDescent="0.25"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7">
        <f t="shared" ca="1" si="21"/>
        <v>0.48772434803984133</v>
      </c>
      <c r="X1387" s="3"/>
      <c r="Y1387" s="3"/>
      <c r="Z1387" s="3"/>
      <c r="AA1387" s="3"/>
      <c r="AB1387" s="3"/>
      <c r="AC1387" s="3"/>
      <c r="AD1387" s="3"/>
      <c r="AE1387" s="3"/>
      <c r="AF1387" s="3"/>
      <c r="AG1387" s="3"/>
      <c r="AH1387" s="3"/>
      <c r="AI1387" s="3"/>
      <c r="AJ1387" s="3"/>
      <c r="AK1387" s="3"/>
      <c r="AL1387" s="3"/>
      <c r="AM1387" s="3"/>
      <c r="AN1387" s="3"/>
      <c r="AO1387" s="3"/>
      <c r="AP1387" s="3"/>
      <c r="AQ1387" s="3"/>
      <c r="AR1387" s="3"/>
      <c r="AS1387" s="3"/>
      <c r="AT1387" s="3"/>
      <c r="AU1387" s="3"/>
      <c r="AV1387" s="3"/>
      <c r="AW1387" s="3"/>
      <c r="AX1387" s="3"/>
    </row>
    <row r="1388" spans="8:50" x14ac:dyDescent="0.25"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7">
        <f t="shared" ca="1" si="21"/>
        <v>-0.19174166903330231</v>
      </c>
      <c r="X1388" s="3"/>
      <c r="Y1388" s="3"/>
      <c r="Z1388" s="3"/>
      <c r="AA1388" s="3"/>
      <c r="AB1388" s="3"/>
      <c r="AC1388" s="3"/>
      <c r="AD1388" s="3"/>
      <c r="AE1388" s="3"/>
      <c r="AF1388" s="3"/>
      <c r="AG1388" s="3"/>
      <c r="AH1388" s="3"/>
      <c r="AI1388" s="3"/>
      <c r="AJ1388" s="3"/>
      <c r="AK1388" s="3"/>
      <c r="AL1388" s="3"/>
      <c r="AM1388" s="3"/>
      <c r="AN1388" s="3"/>
      <c r="AO1388" s="3"/>
      <c r="AP1388" s="3"/>
      <c r="AQ1388" s="3"/>
      <c r="AR1388" s="3"/>
      <c r="AS1388" s="3"/>
      <c r="AT1388" s="3"/>
      <c r="AU1388" s="3"/>
      <c r="AV1388" s="3"/>
      <c r="AW1388" s="3"/>
      <c r="AX1388" s="3"/>
    </row>
    <row r="1389" spans="8:50" x14ac:dyDescent="0.25"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7">
        <f t="shared" ca="1" si="21"/>
        <v>-8.6652969964679125E-2</v>
      </c>
      <c r="X1389" s="3"/>
      <c r="Y1389" s="3"/>
      <c r="Z1389" s="3"/>
      <c r="AA1389" s="3"/>
      <c r="AB1389" s="3"/>
      <c r="AC1389" s="3"/>
      <c r="AD1389" s="3"/>
      <c r="AE1389" s="3"/>
      <c r="AF1389" s="3"/>
      <c r="AG1389" s="3"/>
      <c r="AH1389" s="3"/>
      <c r="AI1389" s="3"/>
      <c r="AJ1389" s="3"/>
      <c r="AK1389" s="3"/>
      <c r="AL1389" s="3"/>
      <c r="AM1389" s="3"/>
      <c r="AN1389" s="3"/>
      <c r="AO1389" s="3"/>
      <c r="AP1389" s="3"/>
      <c r="AQ1389" s="3"/>
      <c r="AR1389" s="3"/>
      <c r="AS1389" s="3"/>
      <c r="AT1389" s="3"/>
      <c r="AU1389" s="3"/>
      <c r="AV1389" s="3"/>
      <c r="AW1389" s="3"/>
      <c r="AX1389" s="3"/>
    </row>
    <row r="1390" spans="8:50" x14ac:dyDescent="0.25"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7">
        <f t="shared" ca="1" si="21"/>
        <v>-4.5362321123454688E-2</v>
      </c>
      <c r="X1390" s="3"/>
      <c r="Y1390" s="3"/>
      <c r="Z1390" s="3"/>
      <c r="AA1390" s="3"/>
      <c r="AB1390" s="3"/>
      <c r="AC1390" s="3"/>
      <c r="AD1390" s="3"/>
      <c r="AE1390" s="3"/>
      <c r="AF1390" s="3"/>
      <c r="AG1390" s="3"/>
      <c r="AH1390" s="3"/>
      <c r="AI1390" s="3"/>
      <c r="AJ1390" s="3"/>
      <c r="AK1390" s="3"/>
      <c r="AL1390" s="3"/>
      <c r="AM1390" s="3"/>
      <c r="AN1390" s="3"/>
      <c r="AO1390" s="3"/>
      <c r="AP1390" s="3"/>
      <c r="AQ1390" s="3"/>
      <c r="AR1390" s="3"/>
      <c r="AS1390" s="3"/>
      <c r="AT1390" s="3"/>
      <c r="AU1390" s="3"/>
      <c r="AV1390" s="3"/>
      <c r="AW1390" s="3"/>
      <c r="AX1390" s="3"/>
    </row>
    <row r="1391" spans="8:50" x14ac:dyDescent="0.25"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7">
        <f t="shared" ca="1" si="21"/>
        <v>3.3527098382165096E-2</v>
      </c>
      <c r="X1391" s="3"/>
      <c r="Y1391" s="3"/>
      <c r="Z1391" s="3"/>
      <c r="AA1391" s="3"/>
      <c r="AB1391" s="3"/>
      <c r="AC1391" s="3"/>
      <c r="AD1391" s="3"/>
      <c r="AE1391" s="3"/>
      <c r="AF1391" s="3"/>
      <c r="AG1391" s="3"/>
      <c r="AH1391" s="3"/>
      <c r="AI1391" s="3"/>
      <c r="AJ1391" s="3"/>
      <c r="AK1391" s="3"/>
      <c r="AL1391" s="3"/>
      <c r="AM1391" s="3"/>
      <c r="AN1391" s="3"/>
      <c r="AO1391" s="3"/>
      <c r="AP1391" s="3"/>
      <c r="AQ1391" s="3"/>
      <c r="AR1391" s="3"/>
      <c r="AS1391" s="3"/>
      <c r="AT1391" s="3"/>
      <c r="AU1391" s="3"/>
      <c r="AV1391" s="3"/>
      <c r="AW1391" s="3"/>
      <c r="AX1391" s="3"/>
    </row>
    <row r="1392" spans="8:50" x14ac:dyDescent="0.25"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7">
        <f t="shared" ca="1" si="21"/>
        <v>-0.28604231607424357</v>
      </c>
      <c r="X1392" s="3"/>
      <c r="Y1392" s="3"/>
      <c r="Z1392" s="3"/>
      <c r="AA1392" s="3"/>
      <c r="AB1392" s="3"/>
      <c r="AC1392" s="3"/>
      <c r="AD1392" s="3"/>
      <c r="AE1392" s="3"/>
      <c r="AF1392" s="3"/>
      <c r="AG1392" s="3"/>
      <c r="AH1392" s="3"/>
      <c r="AI1392" s="3"/>
      <c r="AJ1392" s="3"/>
      <c r="AK1392" s="3"/>
      <c r="AL1392" s="3"/>
      <c r="AM1392" s="3"/>
      <c r="AN1392" s="3"/>
      <c r="AO1392" s="3"/>
      <c r="AP1392" s="3"/>
      <c r="AQ1392" s="3"/>
      <c r="AR1392" s="3"/>
      <c r="AS1392" s="3"/>
      <c r="AT1392" s="3"/>
      <c r="AU1392" s="3"/>
      <c r="AV1392" s="3"/>
      <c r="AW1392" s="3"/>
      <c r="AX1392" s="3"/>
    </row>
    <row r="1393" spans="8:50" x14ac:dyDescent="0.25"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7">
        <f t="shared" ca="1" si="21"/>
        <v>0.28261096224362836</v>
      </c>
      <c r="X1393" s="3"/>
      <c r="Y1393" s="3"/>
      <c r="Z1393" s="3"/>
      <c r="AA1393" s="3"/>
      <c r="AB1393" s="3"/>
      <c r="AC1393" s="3"/>
      <c r="AD1393" s="3"/>
      <c r="AE1393" s="3"/>
      <c r="AF1393" s="3"/>
      <c r="AG1393" s="3"/>
      <c r="AH1393" s="3"/>
      <c r="AI1393" s="3"/>
      <c r="AJ1393" s="3"/>
      <c r="AK1393" s="3"/>
      <c r="AL1393" s="3"/>
      <c r="AM1393" s="3"/>
      <c r="AN1393" s="3"/>
      <c r="AO1393" s="3"/>
      <c r="AP1393" s="3"/>
      <c r="AQ1393" s="3"/>
      <c r="AR1393" s="3"/>
      <c r="AS1393" s="3"/>
      <c r="AT1393" s="3"/>
      <c r="AU1393" s="3"/>
      <c r="AV1393" s="3"/>
      <c r="AW1393" s="3"/>
      <c r="AX1393" s="3"/>
    </row>
    <row r="1394" spans="8:50" x14ac:dyDescent="0.25"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7">
        <f t="shared" ca="1" si="21"/>
        <v>0.18685125452557738</v>
      </c>
      <c r="X1394" s="3"/>
      <c r="Y1394" s="3"/>
      <c r="Z1394" s="3"/>
      <c r="AA1394" s="3"/>
      <c r="AB1394" s="3"/>
      <c r="AC1394" s="3"/>
      <c r="AD1394" s="3"/>
      <c r="AE1394" s="3"/>
      <c r="AF1394" s="3"/>
      <c r="AG1394" s="3"/>
      <c r="AH1394" s="3"/>
      <c r="AI1394" s="3"/>
      <c r="AJ1394" s="3"/>
      <c r="AK1394" s="3"/>
      <c r="AL1394" s="3"/>
      <c r="AM1394" s="3"/>
      <c r="AN1394" s="3"/>
      <c r="AO1394" s="3"/>
      <c r="AP1394" s="3"/>
      <c r="AQ1394" s="3"/>
      <c r="AR1394" s="3"/>
      <c r="AS1394" s="3"/>
      <c r="AT1394" s="3"/>
      <c r="AU1394" s="3"/>
      <c r="AV1394" s="3"/>
      <c r="AW1394" s="3"/>
      <c r="AX1394" s="3"/>
    </row>
    <row r="1395" spans="8:50" x14ac:dyDescent="0.25"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7">
        <f t="shared" ca="1" si="21"/>
        <v>-0.18995330963048379</v>
      </c>
      <c r="X1395" s="3"/>
      <c r="Y1395" s="3"/>
      <c r="Z1395" s="3"/>
      <c r="AA1395" s="3"/>
      <c r="AB1395" s="3"/>
      <c r="AC1395" s="3"/>
      <c r="AD1395" s="3"/>
      <c r="AE1395" s="3"/>
      <c r="AF1395" s="3"/>
      <c r="AG1395" s="3"/>
      <c r="AH1395" s="3"/>
      <c r="AI1395" s="3"/>
      <c r="AJ1395" s="3"/>
      <c r="AK1395" s="3"/>
      <c r="AL1395" s="3"/>
      <c r="AM1395" s="3"/>
      <c r="AN1395" s="3"/>
      <c r="AO1395" s="3"/>
      <c r="AP1395" s="3"/>
      <c r="AQ1395" s="3"/>
      <c r="AR1395" s="3"/>
      <c r="AS1395" s="3"/>
      <c r="AT1395" s="3"/>
      <c r="AU1395" s="3"/>
      <c r="AV1395" s="3"/>
      <c r="AW1395" s="3"/>
      <c r="AX1395" s="3"/>
    </row>
    <row r="1396" spans="8:50" x14ac:dyDescent="0.25"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7">
        <f t="shared" ca="1" si="21"/>
        <v>0.16087528079853974</v>
      </c>
      <c r="X1396" s="3"/>
      <c r="Y1396" s="3"/>
      <c r="Z1396" s="3"/>
      <c r="AA1396" s="3"/>
      <c r="AB1396" s="3"/>
      <c r="AC1396" s="3"/>
      <c r="AD1396" s="3"/>
      <c r="AE1396" s="3"/>
      <c r="AF1396" s="3"/>
      <c r="AG1396" s="3"/>
      <c r="AH1396" s="3"/>
      <c r="AI1396" s="3"/>
      <c r="AJ1396" s="3"/>
      <c r="AK1396" s="3"/>
      <c r="AL1396" s="3"/>
      <c r="AM1396" s="3"/>
      <c r="AN1396" s="3"/>
      <c r="AO1396" s="3"/>
      <c r="AP1396" s="3"/>
      <c r="AQ1396" s="3"/>
      <c r="AR1396" s="3"/>
      <c r="AS1396" s="3"/>
      <c r="AT1396" s="3"/>
      <c r="AU1396" s="3"/>
      <c r="AV1396" s="3"/>
      <c r="AW1396" s="3"/>
      <c r="AX1396" s="3"/>
    </row>
    <row r="1397" spans="8:50" x14ac:dyDescent="0.25"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7">
        <f t="shared" ca="1" si="21"/>
        <v>-0.18177374388856932</v>
      </c>
      <c r="X1397" s="3"/>
      <c r="Y1397" s="3"/>
      <c r="Z1397" s="3"/>
      <c r="AA1397" s="3"/>
      <c r="AB1397" s="3"/>
      <c r="AC1397" s="3"/>
      <c r="AD1397" s="3"/>
      <c r="AE1397" s="3"/>
      <c r="AF1397" s="3"/>
      <c r="AG1397" s="3"/>
      <c r="AH1397" s="3"/>
      <c r="AI1397" s="3"/>
      <c r="AJ1397" s="3"/>
      <c r="AK1397" s="3"/>
      <c r="AL1397" s="3"/>
      <c r="AM1397" s="3"/>
      <c r="AN1397" s="3"/>
      <c r="AO1397" s="3"/>
      <c r="AP1397" s="3"/>
      <c r="AQ1397" s="3"/>
      <c r="AR1397" s="3"/>
      <c r="AS1397" s="3"/>
      <c r="AT1397" s="3"/>
      <c r="AU1397" s="3"/>
      <c r="AV1397" s="3"/>
      <c r="AW1397" s="3"/>
      <c r="AX1397" s="3"/>
    </row>
    <row r="1398" spans="8:50" x14ac:dyDescent="0.25"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7">
        <f t="shared" ca="1" si="21"/>
        <v>0.13168383242011192</v>
      </c>
      <c r="X1398" s="3"/>
      <c r="Y1398" s="3"/>
      <c r="Z1398" s="3"/>
      <c r="AA1398" s="3"/>
      <c r="AB1398" s="3"/>
      <c r="AC1398" s="3"/>
      <c r="AD1398" s="3"/>
      <c r="AE1398" s="3"/>
      <c r="AF1398" s="3"/>
      <c r="AG1398" s="3"/>
      <c r="AH1398" s="3"/>
      <c r="AI1398" s="3"/>
      <c r="AJ1398" s="3"/>
      <c r="AK1398" s="3"/>
      <c r="AL1398" s="3"/>
      <c r="AM1398" s="3"/>
      <c r="AN1398" s="3"/>
      <c r="AO1398" s="3"/>
      <c r="AP1398" s="3"/>
      <c r="AQ1398" s="3"/>
      <c r="AR1398" s="3"/>
      <c r="AS1398" s="3"/>
      <c r="AT1398" s="3"/>
      <c r="AU1398" s="3"/>
      <c r="AV1398" s="3"/>
      <c r="AW1398" s="3"/>
      <c r="AX1398" s="3"/>
    </row>
    <row r="1399" spans="8:50" x14ac:dyDescent="0.25"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7">
        <f t="shared" ca="1" si="21"/>
        <v>0.28164218884414577</v>
      </c>
      <c r="X1399" s="3"/>
      <c r="Y1399" s="3"/>
      <c r="Z1399" s="3"/>
      <c r="AA1399" s="3"/>
      <c r="AB1399" s="3"/>
      <c r="AC1399" s="3"/>
      <c r="AD1399" s="3"/>
      <c r="AE1399" s="3"/>
      <c r="AF1399" s="3"/>
      <c r="AG1399" s="3"/>
      <c r="AH1399" s="3"/>
      <c r="AI1399" s="3"/>
      <c r="AJ1399" s="3"/>
      <c r="AK1399" s="3"/>
      <c r="AL1399" s="3"/>
      <c r="AM1399" s="3"/>
      <c r="AN1399" s="3"/>
      <c r="AO1399" s="3"/>
      <c r="AP1399" s="3"/>
      <c r="AQ1399" s="3"/>
      <c r="AR1399" s="3"/>
      <c r="AS1399" s="3"/>
      <c r="AT1399" s="3"/>
      <c r="AU1399" s="3"/>
      <c r="AV1399" s="3"/>
      <c r="AW1399" s="3"/>
      <c r="AX1399" s="3"/>
    </row>
    <row r="1400" spans="8:50" x14ac:dyDescent="0.25"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7">
        <f t="shared" ca="1" si="21"/>
        <v>-0.12154126293382055</v>
      </c>
      <c r="X1400" s="3"/>
      <c r="Y1400" s="3"/>
      <c r="Z1400" s="3"/>
      <c r="AA1400" s="3"/>
      <c r="AB1400" s="3"/>
      <c r="AC1400" s="3"/>
      <c r="AD1400" s="3"/>
      <c r="AE1400" s="3"/>
      <c r="AF1400" s="3"/>
      <c r="AG1400" s="3"/>
      <c r="AH1400" s="3"/>
      <c r="AI1400" s="3"/>
      <c r="AJ1400" s="3"/>
      <c r="AK1400" s="3"/>
      <c r="AL1400" s="3"/>
      <c r="AM1400" s="3"/>
      <c r="AN1400" s="3"/>
      <c r="AO1400" s="3"/>
      <c r="AP1400" s="3"/>
      <c r="AQ1400" s="3"/>
      <c r="AR1400" s="3"/>
      <c r="AS1400" s="3"/>
      <c r="AT1400" s="3"/>
      <c r="AU1400" s="3"/>
      <c r="AV1400" s="3"/>
      <c r="AW1400" s="3"/>
      <c r="AX1400" s="3"/>
    </row>
    <row r="1401" spans="8:50" x14ac:dyDescent="0.25"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7">
        <f t="shared" ca="1" si="21"/>
        <v>-5.618950297284625E-3</v>
      </c>
      <c r="X1401" s="3"/>
      <c r="Y1401" s="3"/>
      <c r="Z1401" s="3"/>
      <c r="AA1401" s="3"/>
      <c r="AB1401" s="3"/>
      <c r="AC1401" s="3"/>
      <c r="AD1401" s="3"/>
      <c r="AE1401" s="3"/>
      <c r="AF1401" s="3"/>
      <c r="AG1401" s="3"/>
      <c r="AH1401" s="3"/>
      <c r="AI1401" s="3"/>
      <c r="AJ1401" s="3"/>
      <c r="AK1401" s="3"/>
      <c r="AL1401" s="3"/>
      <c r="AM1401" s="3"/>
      <c r="AN1401" s="3"/>
      <c r="AO1401" s="3"/>
      <c r="AP1401" s="3"/>
      <c r="AQ1401" s="3"/>
      <c r="AR1401" s="3"/>
      <c r="AS1401" s="3"/>
      <c r="AT1401" s="3"/>
      <c r="AU1401" s="3"/>
      <c r="AV1401" s="3"/>
      <c r="AW1401" s="3"/>
      <c r="AX1401" s="3"/>
    </row>
    <row r="1402" spans="8:50" x14ac:dyDescent="0.25"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7">
        <f t="shared" ca="1" si="21"/>
        <v>0.20012771725288153</v>
      </c>
      <c r="X1402" s="3"/>
      <c r="Y1402" s="3"/>
      <c r="Z1402" s="3"/>
      <c r="AA1402" s="3"/>
      <c r="AB1402" s="3"/>
      <c r="AC1402" s="3"/>
      <c r="AD1402" s="3"/>
      <c r="AE1402" s="3"/>
      <c r="AF1402" s="3"/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  <c r="AR1402" s="3"/>
      <c r="AS1402" s="3"/>
      <c r="AT1402" s="3"/>
      <c r="AU1402" s="3"/>
      <c r="AV1402" s="3"/>
      <c r="AW1402" s="3"/>
      <c r="AX1402" s="3"/>
    </row>
    <row r="1403" spans="8:50" x14ac:dyDescent="0.25"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7">
        <f t="shared" ca="1" si="21"/>
        <v>0.32894054636964448</v>
      </c>
      <c r="X1403" s="3"/>
      <c r="Y1403" s="3"/>
      <c r="Z1403" s="3"/>
      <c r="AA1403" s="3"/>
      <c r="AB1403" s="3"/>
      <c r="AC1403" s="3"/>
      <c r="AD1403" s="3"/>
      <c r="AE1403" s="3"/>
      <c r="AF1403" s="3"/>
      <c r="AG1403" s="3"/>
      <c r="AH1403" s="3"/>
      <c r="AI1403" s="3"/>
      <c r="AJ1403" s="3"/>
      <c r="AK1403" s="3"/>
      <c r="AL1403" s="3"/>
      <c r="AM1403" s="3"/>
      <c r="AN1403" s="3"/>
      <c r="AO1403" s="3"/>
      <c r="AP1403" s="3"/>
      <c r="AQ1403" s="3"/>
      <c r="AR1403" s="3"/>
      <c r="AS1403" s="3"/>
      <c r="AT1403" s="3"/>
      <c r="AU1403" s="3"/>
      <c r="AV1403" s="3"/>
      <c r="AW1403" s="3"/>
      <c r="AX1403" s="3"/>
    </row>
    <row r="1404" spans="8:50" x14ac:dyDescent="0.25"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7">
        <f t="shared" ca="1" si="21"/>
        <v>5.4768631488708662E-2</v>
      </c>
      <c r="X1404" s="3"/>
      <c r="Y1404" s="3"/>
      <c r="Z1404" s="3"/>
      <c r="AA1404" s="3"/>
      <c r="AB1404" s="3"/>
      <c r="AC1404" s="3"/>
      <c r="AD1404" s="3"/>
      <c r="AE1404" s="3"/>
      <c r="AF1404" s="3"/>
      <c r="AG1404" s="3"/>
      <c r="AH1404" s="3"/>
      <c r="AI1404" s="3"/>
      <c r="AJ1404" s="3"/>
      <c r="AK1404" s="3"/>
      <c r="AL1404" s="3"/>
      <c r="AM1404" s="3"/>
      <c r="AN1404" s="3"/>
      <c r="AO1404" s="3"/>
      <c r="AP1404" s="3"/>
      <c r="AQ1404" s="3"/>
      <c r="AR1404" s="3"/>
      <c r="AS1404" s="3"/>
      <c r="AT1404" s="3"/>
      <c r="AU1404" s="3"/>
      <c r="AV1404" s="3"/>
      <c r="AW1404" s="3"/>
      <c r="AX1404" s="3"/>
    </row>
    <row r="1405" spans="8:50" x14ac:dyDescent="0.25"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7">
        <f t="shared" ca="1" si="21"/>
        <v>0.14231303410814547</v>
      </c>
      <c r="X1405" s="3"/>
      <c r="Y1405" s="3"/>
      <c r="Z1405" s="3"/>
      <c r="AA1405" s="3"/>
      <c r="AB1405" s="3"/>
      <c r="AC1405" s="3"/>
      <c r="AD1405" s="3"/>
      <c r="AE1405" s="3"/>
      <c r="AF1405" s="3"/>
      <c r="AG1405" s="3"/>
      <c r="AH1405" s="3"/>
      <c r="AI1405" s="3"/>
      <c r="AJ1405" s="3"/>
      <c r="AK1405" s="3"/>
      <c r="AL1405" s="3"/>
      <c r="AM1405" s="3"/>
      <c r="AN1405" s="3"/>
      <c r="AO1405" s="3"/>
      <c r="AP1405" s="3"/>
      <c r="AQ1405" s="3"/>
      <c r="AR1405" s="3"/>
      <c r="AS1405" s="3"/>
      <c r="AT1405" s="3"/>
      <c r="AU1405" s="3"/>
      <c r="AV1405" s="3"/>
      <c r="AW1405" s="3"/>
      <c r="AX1405" s="3"/>
    </row>
    <row r="1406" spans="8:50" x14ac:dyDescent="0.25"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7">
        <f t="shared" ca="1" si="21"/>
        <v>0.21158341405816067</v>
      </c>
      <c r="X1406" s="3"/>
      <c r="Y1406" s="3"/>
      <c r="Z1406" s="3"/>
      <c r="AA1406" s="3"/>
      <c r="AB1406" s="3"/>
      <c r="AC1406" s="3"/>
      <c r="AD1406" s="3"/>
      <c r="AE1406" s="3"/>
      <c r="AF1406" s="3"/>
      <c r="AG1406" s="3"/>
      <c r="AH1406" s="3"/>
      <c r="AI1406" s="3"/>
      <c r="AJ1406" s="3"/>
      <c r="AK1406" s="3"/>
      <c r="AL1406" s="3"/>
      <c r="AM1406" s="3"/>
      <c r="AN1406" s="3"/>
      <c r="AO1406" s="3"/>
      <c r="AP1406" s="3"/>
      <c r="AQ1406" s="3"/>
      <c r="AR1406" s="3"/>
      <c r="AS1406" s="3"/>
      <c r="AT1406" s="3"/>
      <c r="AU1406" s="3"/>
      <c r="AV1406" s="3"/>
      <c r="AW1406" s="3"/>
      <c r="AX1406" s="3"/>
    </row>
    <row r="1407" spans="8:50" x14ac:dyDescent="0.25"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7">
        <f t="shared" ca="1" si="21"/>
        <v>0.67483255961588895</v>
      </c>
      <c r="X1407" s="3"/>
      <c r="Y1407" s="3"/>
      <c r="Z1407" s="3"/>
      <c r="AA1407" s="3"/>
      <c r="AB1407" s="3"/>
      <c r="AC1407" s="3"/>
      <c r="AD1407" s="3"/>
      <c r="AE1407" s="3"/>
      <c r="AF1407" s="3"/>
      <c r="AG1407" s="3"/>
      <c r="AH1407" s="3"/>
      <c r="AI1407" s="3"/>
      <c r="AJ1407" s="3"/>
      <c r="AK1407" s="3"/>
      <c r="AL1407" s="3"/>
      <c r="AM1407" s="3"/>
      <c r="AN1407" s="3"/>
      <c r="AO1407" s="3"/>
      <c r="AP1407" s="3"/>
      <c r="AQ1407" s="3"/>
      <c r="AR1407" s="3"/>
      <c r="AS1407" s="3"/>
      <c r="AT1407" s="3"/>
      <c r="AU1407" s="3"/>
      <c r="AV1407" s="3"/>
      <c r="AW1407" s="3"/>
      <c r="AX1407" s="3"/>
    </row>
    <row r="1408" spans="8:50" x14ac:dyDescent="0.25"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7">
        <f t="shared" ca="1" si="21"/>
        <v>0.16293631808890519</v>
      </c>
      <c r="X1408" s="3"/>
      <c r="Y1408" s="3"/>
      <c r="Z1408" s="3"/>
      <c r="AA1408" s="3"/>
      <c r="AB1408" s="3"/>
      <c r="AC1408" s="3"/>
      <c r="AD1408" s="3"/>
      <c r="AE1408" s="3"/>
      <c r="AF1408" s="3"/>
      <c r="AG1408" s="3"/>
      <c r="AH1408" s="3"/>
      <c r="AI1408" s="3"/>
      <c r="AJ1408" s="3"/>
      <c r="AK1408" s="3"/>
      <c r="AL1408" s="3"/>
      <c r="AM1408" s="3"/>
      <c r="AN1408" s="3"/>
      <c r="AO1408" s="3"/>
      <c r="AP1408" s="3"/>
      <c r="AQ1408" s="3"/>
      <c r="AR1408" s="3"/>
      <c r="AS1408" s="3"/>
      <c r="AT1408" s="3"/>
      <c r="AU1408" s="3"/>
      <c r="AV1408" s="3"/>
      <c r="AW1408" s="3"/>
      <c r="AX1408" s="3"/>
    </row>
    <row r="1409" spans="8:50" x14ac:dyDescent="0.25"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7">
        <f t="shared" ca="1" si="21"/>
        <v>9.9161140337754292E-2</v>
      </c>
      <c r="X1409" s="3"/>
      <c r="Y1409" s="3"/>
      <c r="Z1409" s="3"/>
      <c r="AA1409" s="3"/>
      <c r="AB1409" s="3"/>
      <c r="AC1409" s="3"/>
      <c r="AD1409" s="3"/>
      <c r="AE1409" s="3"/>
      <c r="AF1409" s="3"/>
      <c r="AG1409" s="3"/>
      <c r="AH1409" s="3"/>
      <c r="AI1409" s="3"/>
      <c r="AJ1409" s="3"/>
      <c r="AK1409" s="3"/>
      <c r="AL1409" s="3"/>
      <c r="AM1409" s="3"/>
      <c r="AN1409" s="3"/>
      <c r="AO1409" s="3"/>
      <c r="AP1409" s="3"/>
      <c r="AQ1409" s="3"/>
      <c r="AR1409" s="3"/>
      <c r="AS1409" s="3"/>
      <c r="AT1409" s="3"/>
      <c r="AU1409" s="3"/>
      <c r="AV1409" s="3"/>
      <c r="AW1409" s="3"/>
      <c r="AX1409" s="3"/>
    </row>
    <row r="1410" spans="8:50" x14ac:dyDescent="0.25"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7">
        <f t="shared" ca="1" si="21"/>
        <v>0.45707807101859271</v>
      </c>
      <c r="X1410" s="3"/>
      <c r="Y1410" s="3"/>
      <c r="Z1410" s="3"/>
      <c r="AA1410" s="3"/>
      <c r="AB1410" s="3"/>
      <c r="AC1410" s="3"/>
      <c r="AD1410" s="3"/>
      <c r="AE1410" s="3"/>
      <c r="AF1410" s="3"/>
      <c r="AG1410" s="3"/>
      <c r="AH1410" s="3"/>
      <c r="AI1410" s="3"/>
      <c r="AJ1410" s="3"/>
      <c r="AK1410" s="3"/>
      <c r="AL1410" s="3"/>
      <c r="AM1410" s="3"/>
      <c r="AN1410" s="3"/>
      <c r="AO1410" s="3"/>
      <c r="AP1410" s="3"/>
      <c r="AQ1410" s="3"/>
      <c r="AR1410" s="3"/>
      <c r="AS1410" s="3"/>
      <c r="AT1410" s="3"/>
      <c r="AU1410" s="3"/>
      <c r="AV1410" s="3"/>
      <c r="AW1410" s="3"/>
      <c r="AX1410" s="3"/>
    </row>
    <row r="1411" spans="8:50" x14ac:dyDescent="0.25"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7">
        <f t="shared" ca="1" si="21"/>
        <v>0.2383848725265979</v>
      </c>
      <c r="X1411" s="3"/>
      <c r="Y1411" s="3"/>
      <c r="Z1411" s="3"/>
      <c r="AA1411" s="3"/>
      <c r="AB1411" s="3"/>
      <c r="AC1411" s="3"/>
      <c r="AD1411" s="3"/>
      <c r="AE1411" s="3"/>
      <c r="AF1411" s="3"/>
      <c r="AG1411" s="3"/>
      <c r="AH1411" s="3"/>
      <c r="AI1411" s="3"/>
      <c r="AJ1411" s="3"/>
      <c r="AK1411" s="3"/>
      <c r="AL1411" s="3"/>
      <c r="AM1411" s="3"/>
      <c r="AN1411" s="3"/>
      <c r="AO1411" s="3"/>
      <c r="AP1411" s="3"/>
      <c r="AQ1411" s="3"/>
      <c r="AR1411" s="3"/>
      <c r="AS1411" s="3"/>
      <c r="AT1411" s="3"/>
      <c r="AU1411" s="3"/>
      <c r="AV1411" s="3"/>
      <c r="AW1411" s="3"/>
      <c r="AX1411" s="3"/>
    </row>
    <row r="1412" spans="8:50" x14ac:dyDescent="0.25"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7">
        <f t="shared" ca="1" si="21"/>
        <v>-4.9345173452424937E-2</v>
      </c>
      <c r="X1412" s="3"/>
      <c r="Y1412" s="3"/>
      <c r="Z1412" s="3"/>
      <c r="AA1412" s="3"/>
      <c r="AB1412" s="3"/>
      <c r="AC1412" s="3"/>
      <c r="AD1412" s="3"/>
      <c r="AE1412" s="3"/>
      <c r="AF1412" s="3"/>
      <c r="AG1412" s="3"/>
      <c r="AH1412" s="3"/>
      <c r="AI1412" s="3"/>
      <c r="AJ1412" s="3"/>
      <c r="AK1412" s="3"/>
      <c r="AL1412" s="3"/>
      <c r="AM1412" s="3"/>
      <c r="AN1412" s="3"/>
      <c r="AO1412" s="3"/>
      <c r="AP1412" s="3"/>
      <c r="AQ1412" s="3"/>
      <c r="AR1412" s="3"/>
      <c r="AS1412" s="3"/>
      <c r="AT1412" s="3"/>
      <c r="AU1412" s="3"/>
      <c r="AV1412" s="3"/>
      <c r="AW1412" s="3"/>
      <c r="AX1412" s="3"/>
    </row>
    <row r="1413" spans="8:50" x14ac:dyDescent="0.25"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7">
        <f t="shared" ca="1" si="21"/>
        <v>-5.4111148274782458E-2</v>
      </c>
      <c r="X1413" s="3"/>
      <c r="Y1413" s="3"/>
      <c r="Z1413" s="3"/>
      <c r="AA1413" s="3"/>
      <c r="AB1413" s="3"/>
      <c r="AC1413" s="3"/>
      <c r="AD1413" s="3"/>
      <c r="AE1413" s="3"/>
      <c r="AF1413" s="3"/>
      <c r="AG1413" s="3"/>
      <c r="AH1413" s="3"/>
      <c r="AI1413" s="3"/>
      <c r="AJ1413" s="3"/>
      <c r="AK1413" s="3"/>
      <c r="AL1413" s="3"/>
      <c r="AM1413" s="3"/>
      <c r="AN1413" s="3"/>
      <c r="AO1413" s="3"/>
      <c r="AP1413" s="3"/>
      <c r="AQ1413" s="3"/>
      <c r="AR1413" s="3"/>
      <c r="AS1413" s="3"/>
      <c r="AT1413" s="3"/>
      <c r="AU1413" s="3"/>
      <c r="AV1413" s="3"/>
      <c r="AW1413" s="3"/>
      <c r="AX1413" s="3"/>
    </row>
    <row r="1414" spans="8:50" x14ac:dyDescent="0.25"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7">
        <f t="shared" ref="W1414:W1477" ca="1" si="22">+NORMINV(RAND(),$U$2,$U$3)</f>
        <v>-0.14846091589485005</v>
      </c>
      <c r="X1414" s="3"/>
      <c r="Y1414" s="3"/>
      <c r="Z1414" s="3"/>
      <c r="AA1414" s="3"/>
      <c r="AB1414" s="3"/>
      <c r="AC1414" s="3"/>
      <c r="AD1414" s="3"/>
      <c r="AE1414" s="3"/>
      <c r="AF1414" s="3"/>
      <c r="AG1414" s="3"/>
      <c r="AH1414" s="3"/>
      <c r="AI1414" s="3"/>
      <c r="AJ1414" s="3"/>
      <c r="AK1414" s="3"/>
      <c r="AL1414" s="3"/>
      <c r="AM1414" s="3"/>
      <c r="AN1414" s="3"/>
      <c r="AO1414" s="3"/>
      <c r="AP1414" s="3"/>
      <c r="AQ1414" s="3"/>
      <c r="AR1414" s="3"/>
      <c r="AS1414" s="3"/>
      <c r="AT1414" s="3"/>
      <c r="AU1414" s="3"/>
      <c r="AV1414" s="3"/>
      <c r="AW1414" s="3"/>
      <c r="AX1414" s="3"/>
    </row>
    <row r="1415" spans="8:50" x14ac:dyDescent="0.25"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7">
        <f t="shared" ca="1" si="22"/>
        <v>0.27218025977648991</v>
      </c>
      <c r="X1415" s="3"/>
      <c r="Y1415" s="3"/>
      <c r="Z1415" s="3"/>
      <c r="AA1415" s="3"/>
      <c r="AB1415" s="3"/>
      <c r="AC1415" s="3"/>
      <c r="AD1415" s="3"/>
      <c r="AE1415" s="3"/>
      <c r="AF1415" s="3"/>
      <c r="AG1415" s="3"/>
      <c r="AH1415" s="3"/>
      <c r="AI1415" s="3"/>
      <c r="AJ1415" s="3"/>
      <c r="AK1415" s="3"/>
      <c r="AL1415" s="3"/>
      <c r="AM1415" s="3"/>
      <c r="AN1415" s="3"/>
      <c r="AO1415" s="3"/>
      <c r="AP1415" s="3"/>
      <c r="AQ1415" s="3"/>
      <c r="AR1415" s="3"/>
      <c r="AS1415" s="3"/>
      <c r="AT1415" s="3"/>
      <c r="AU1415" s="3"/>
      <c r="AV1415" s="3"/>
      <c r="AW1415" s="3"/>
      <c r="AX1415" s="3"/>
    </row>
    <row r="1416" spans="8:50" x14ac:dyDescent="0.25"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7">
        <f t="shared" ca="1" si="22"/>
        <v>-0.1769881784486465</v>
      </c>
      <c r="X1416" s="3"/>
      <c r="Y1416" s="3"/>
      <c r="Z1416" s="3"/>
      <c r="AA1416" s="3"/>
      <c r="AB1416" s="3"/>
      <c r="AC1416" s="3"/>
      <c r="AD1416" s="3"/>
      <c r="AE1416" s="3"/>
      <c r="AF1416" s="3"/>
      <c r="AG1416" s="3"/>
      <c r="AH1416" s="3"/>
      <c r="AI1416" s="3"/>
      <c r="AJ1416" s="3"/>
      <c r="AK1416" s="3"/>
      <c r="AL1416" s="3"/>
      <c r="AM1416" s="3"/>
      <c r="AN1416" s="3"/>
      <c r="AO1416" s="3"/>
      <c r="AP1416" s="3"/>
      <c r="AQ1416" s="3"/>
      <c r="AR1416" s="3"/>
      <c r="AS1416" s="3"/>
      <c r="AT1416" s="3"/>
      <c r="AU1416" s="3"/>
      <c r="AV1416" s="3"/>
      <c r="AW1416" s="3"/>
      <c r="AX1416" s="3"/>
    </row>
    <row r="1417" spans="8:50" x14ac:dyDescent="0.25"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7">
        <f t="shared" ca="1" si="22"/>
        <v>0.23512848723147881</v>
      </c>
      <c r="X1417" s="3"/>
      <c r="Y1417" s="3"/>
      <c r="Z1417" s="3"/>
      <c r="AA1417" s="3"/>
      <c r="AB1417" s="3"/>
      <c r="AC1417" s="3"/>
      <c r="AD1417" s="3"/>
      <c r="AE1417" s="3"/>
      <c r="AF1417" s="3"/>
      <c r="AG1417" s="3"/>
      <c r="AH1417" s="3"/>
      <c r="AI1417" s="3"/>
      <c r="AJ1417" s="3"/>
      <c r="AK1417" s="3"/>
      <c r="AL1417" s="3"/>
      <c r="AM1417" s="3"/>
      <c r="AN1417" s="3"/>
      <c r="AO1417" s="3"/>
      <c r="AP1417" s="3"/>
      <c r="AQ1417" s="3"/>
      <c r="AR1417" s="3"/>
      <c r="AS1417" s="3"/>
      <c r="AT1417" s="3"/>
      <c r="AU1417" s="3"/>
      <c r="AV1417" s="3"/>
      <c r="AW1417" s="3"/>
      <c r="AX1417" s="3"/>
    </row>
    <row r="1418" spans="8:50" x14ac:dyDescent="0.25"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7">
        <f t="shared" ca="1" si="22"/>
        <v>0.10611521077594402</v>
      </c>
      <c r="X1418" s="3"/>
      <c r="Y1418" s="3"/>
      <c r="Z1418" s="3"/>
      <c r="AA1418" s="3"/>
      <c r="AB1418" s="3"/>
      <c r="AC1418" s="3"/>
      <c r="AD1418" s="3"/>
      <c r="AE1418" s="3"/>
      <c r="AF1418" s="3"/>
      <c r="AG1418" s="3"/>
      <c r="AH1418" s="3"/>
      <c r="AI1418" s="3"/>
      <c r="AJ1418" s="3"/>
      <c r="AK1418" s="3"/>
      <c r="AL1418" s="3"/>
      <c r="AM1418" s="3"/>
      <c r="AN1418" s="3"/>
      <c r="AO1418" s="3"/>
      <c r="AP1418" s="3"/>
      <c r="AQ1418" s="3"/>
      <c r="AR1418" s="3"/>
      <c r="AS1418" s="3"/>
      <c r="AT1418" s="3"/>
      <c r="AU1418" s="3"/>
      <c r="AV1418" s="3"/>
      <c r="AW1418" s="3"/>
      <c r="AX1418" s="3"/>
    </row>
    <row r="1419" spans="8:50" x14ac:dyDescent="0.25"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7">
        <f t="shared" ca="1" si="22"/>
        <v>-9.2064734849084187E-2</v>
      </c>
      <c r="X1419" s="3"/>
      <c r="Y1419" s="3"/>
      <c r="Z1419" s="3"/>
      <c r="AA1419" s="3"/>
      <c r="AB1419" s="3"/>
      <c r="AC1419" s="3"/>
      <c r="AD1419" s="3"/>
      <c r="AE1419" s="3"/>
      <c r="AF1419" s="3"/>
      <c r="AG1419" s="3"/>
      <c r="AH1419" s="3"/>
      <c r="AI1419" s="3"/>
      <c r="AJ1419" s="3"/>
      <c r="AK1419" s="3"/>
      <c r="AL1419" s="3"/>
      <c r="AM1419" s="3"/>
      <c r="AN1419" s="3"/>
      <c r="AO1419" s="3"/>
      <c r="AP1419" s="3"/>
      <c r="AQ1419" s="3"/>
      <c r="AR1419" s="3"/>
      <c r="AS1419" s="3"/>
      <c r="AT1419" s="3"/>
      <c r="AU1419" s="3"/>
      <c r="AV1419" s="3"/>
      <c r="AW1419" s="3"/>
      <c r="AX1419" s="3"/>
    </row>
    <row r="1420" spans="8:50" x14ac:dyDescent="0.25"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7">
        <f t="shared" ca="1" si="22"/>
        <v>0.29252845247165515</v>
      </c>
      <c r="X1420" s="3"/>
      <c r="Y1420" s="3"/>
      <c r="Z1420" s="3"/>
      <c r="AA1420" s="3"/>
      <c r="AB1420" s="3"/>
      <c r="AC1420" s="3"/>
      <c r="AD1420" s="3"/>
      <c r="AE1420" s="3"/>
      <c r="AF1420" s="3"/>
      <c r="AG1420" s="3"/>
      <c r="AH1420" s="3"/>
      <c r="AI1420" s="3"/>
      <c r="AJ1420" s="3"/>
      <c r="AK1420" s="3"/>
      <c r="AL1420" s="3"/>
      <c r="AM1420" s="3"/>
      <c r="AN1420" s="3"/>
      <c r="AO1420" s="3"/>
      <c r="AP1420" s="3"/>
      <c r="AQ1420" s="3"/>
      <c r="AR1420" s="3"/>
      <c r="AS1420" s="3"/>
      <c r="AT1420" s="3"/>
      <c r="AU1420" s="3"/>
      <c r="AV1420" s="3"/>
      <c r="AW1420" s="3"/>
      <c r="AX1420" s="3"/>
    </row>
    <row r="1421" spans="8:50" x14ac:dyDescent="0.25"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7">
        <f t="shared" ca="1" si="22"/>
        <v>0.15420162016733743</v>
      </c>
      <c r="X1421" s="3"/>
      <c r="Y1421" s="3"/>
      <c r="Z1421" s="3"/>
      <c r="AA1421" s="3"/>
      <c r="AB1421" s="3"/>
      <c r="AC1421" s="3"/>
      <c r="AD1421" s="3"/>
      <c r="AE1421" s="3"/>
      <c r="AF1421" s="3"/>
      <c r="AG1421" s="3"/>
      <c r="AH1421" s="3"/>
      <c r="AI1421" s="3"/>
      <c r="AJ1421" s="3"/>
      <c r="AK1421" s="3"/>
      <c r="AL1421" s="3"/>
      <c r="AM1421" s="3"/>
      <c r="AN1421" s="3"/>
      <c r="AO1421" s="3"/>
      <c r="AP1421" s="3"/>
      <c r="AQ1421" s="3"/>
      <c r="AR1421" s="3"/>
      <c r="AS1421" s="3"/>
      <c r="AT1421" s="3"/>
      <c r="AU1421" s="3"/>
      <c r="AV1421" s="3"/>
      <c r="AW1421" s="3"/>
      <c r="AX1421" s="3"/>
    </row>
    <row r="1422" spans="8:50" x14ac:dyDescent="0.25"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7">
        <f t="shared" ca="1" si="22"/>
        <v>0.40906792432337141</v>
      </c>
      <c r="X1422" s="3"/>
      <c r="Y1422" s="3"/>
      <c r="Z1422" s="3"/>
      <c r="AA1422" s="3"/>
      <c r="AB1422" s="3"/>
      <c r="AC1422" s="3"/>
      <c r="AD1422" s="3"/>
      <c r="AE1422" s="3"/>
      <c r="AF1422" s="3"/>
      <c r="AG1422" s="3"/>
      <c r="AH1422" s="3"/>
      <c r="AI1422" s="3"/>
      <c r="AJ1422" s="3"/>
      <c r="AK1422" s="3"/>
      <c r="AL1422" s="3"/>
      <c r="AM1422" s="3"/>
      <c r="AN1422" s="3"/>
      <c r="AO1422" s="3"/>
      <c r="AP1422" s="3"/>
      <c r="AQ1422" s="3"/>
      <c r="AR1422" s="3"/>
      <c r="AS1422" s="3"/>
      <c r="AT1422" s="3"/>
      <c r="AU1422" s="3"/>
      <c r="AV1422" s="3"/>
      <c r="AW1422" s="3"/>
      <c r="AX1422" s="3"/>
    </row>
    <row r="1423" spans="8:50" x14ac:dyDescent="0.25"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7">
        <f t="shared" ca="1" si="22"/>
        <v>1.8294383536179848E-3</v>
      </c>
      <c r="X1423" s="3"/>
      <c r="Y1423" s="3"/>
      <c r="Z1423" s="3"/>
      <c r="AA1423" s="3"/>
      <c r="AB1423" s="3"/>
      <c r="AC1423" s="3"/>
      <c r="AD1423" s="3"/>
      <c r="AE1423" s="3"/>
      <c r="AF1423" s="3"/>
      <c r="AG1423" s="3"/>
      <c r="AH1423" s="3"/>
      <c r="AI1423" s="3"/>
      <c r="AJ1423" s="3"/>
      <c r="AK1423" s="3"/>
      <c r="AL1423" s="3"/>
      <c r="AM1423" s="3"/>
      <c r="AN1423" s="3"/>
      <c r="AO1423" s="3"/>
      <c r="AP1423" s="3"/>
      <c r="AQ1423" s="3"/>
      <c r="AR1423" s="3"/>
      <c r="AS1423" s="3"/>
      <c r="AT1423" s="3"/>
      <c r="AU1423" s="3"/>
      <c r="AV1423" s="3"/>
      <c r="AW1423" s="3"/>
      <c r="AX1423" s="3"/>
    </row>
    <row r="1424" spans="8:50" x14ac:dyDescent="0.25"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7">
        <f t="shared" ca="1" si="22"/>
        <v>-0.21124830446351905</v>
      </c>
      <c r="X1424" s="3"/>
      <c r="Y1424" s="3"/>
      <c r="Z1424" s="3"/>
      <c r="AA1424" s="3"/>
      <c r="AB1424" s="3"/>
      <c r="AC1424" s="3"/>
      <c r="AD1424" s="3"/>
      <c r="AE1424" s="3"/>
      <c r="AF1424" s="3"/>
      <c r="AG1424" s="3"/>
      <c r="AH1424" s="3"/>
      <c r="AI1424" s="3"/>
      <c r="AJ1424" s="3"/>
      <c r="AK1424" s="3"/>
      <c r="AL1424" s="3"/>
      <c r="AM1424" s="3"/>
      <c r="AN1424" s="3"/>
      <c r="AO1424" s="3"/>
      <c r="AP1424" s="3"/>
      <c r="AQ1424" s="3"/>
      <c r="AR1424" s="3"/>
      <c r="AS1424" s="3"/>
      <c r="AT1424" s="3"/>
      <c r="AU1424" s="3"/>
      <c r="AV1424" s="3"/>
      <c r="AW1424" s="3"/>
      <c r="AX1424" s="3"/>
    </row>
    <row r="1425" spans="8:50" x14ac:dyDescent="0.25"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7">
        <f t="shared" ca="1" si="22"/>
        <v>0.35895978068122558</v>
      </c>
      <c r="X1425" s="3"/>
      <c r="Y1425" s="3"/>
      <c r="Z1425" s="3"/>
      <c r="AA1425" s="3"/>
      <c r="AB1425" s="3"/>
      <c r="AC1425" s="3"/>
      <c r="AD1425" s="3"/>
      <c r="AE1425" s="3"/>
      <c r="AF1425" s="3"/>
      <c r="AG1425" s="3"/>
      <c r="AH1425" s="3"/>
      <c r="AI1425" s="3"/>
      <c r="AJ1425" s="3"/>
      <c r="AK1425" s="3"/>
      <c r="AL1425" s="3"/>
      <c r="AM1425" s="3"/>
      <c r="AN1425" s="3"/>
      <c r="AO1425" s="3"/>
      <c r="AP1425" s="3"/>
      <c r="AQ1425" s="3"/>
      <c r="AR1425" s="3"/>
      <c r="AS1425" s="3"/>
      <c r="AT1425" s="3"/>
      <c r="AU1425" s="3"/>
      <c r="AV1425" s="3"/>
      <c r="AW1425" s="3"/>
      <c r="AX1425" s="3"/>
    </row>
    <row r="1426" spans="8:50" x14ac:dyDescent="0.25"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7">
        <f t="shared" ca="1" si="22"/>
        <v>-0.14787094099963138</v>
      </c>
      <c r="X1426" s="3"/>
      <c r="Y1426" s="3"/>
      <c r="Z1426" s="3"/>
      <c r="AA1426" s="3"/>
      <c r="AB1426" s="3"/>
      <c r="AC1426" s="3"/>
      <c r="AD1426" s="3"/>
      <c r="AE1426" s="3"/>
      <c r="AF1426" s="3"/>
      <c r="AG1426" s="3"/>
      <c r="AH1426" s="3"/>
      <c r="AI1426" s="3"/>
      <c r="AJ1426" s="3"/>
      <c r="AK1426" s="3"/>
      <c r="AL1426" s="3"/>
      <c r="AM1426" s="3"/>
      <c r="AN1426" s="3"/>
      <c r="AO1426" s="3"/>
      <c r="AP1426" s="3"/>
      <c r="AQ1426" s="3"/>
      <c r="AR1426" s="3"/>
      <c r="AS1426" s="3"/>
      <c r="AT1426" s="3"/>
      <c r="AU1426" s="3"/>
      <c r="AV1426" s="3"/>
      <c r="AW1426" s="3"/>
      <c r="AX1426" s="3"/>
    </row>
    <row r="1427" spans="8:50" x14ac:dyDescent="0.25"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7">
        <f t="shared" ca="1" si="22"/>
        <v>0.27936614651175634</v>
      </c>
      <c r="X1427" s="3"/>
      <c r="Y1427" s="3"/>
      <c r="Z1427" s="3"/>
      <c r="AA1427" s="3"/>
      <c r="AB1427" s="3"/>
      <c r="AC1427" s="3"/>
      <c r="AD1427" s="3"/>
      <c r="AE1427" s="3"/>
      <c r="AF1427" s="3"/>
      <c r="AG1427" s="3"/>
      <c r="AH1427" s="3"/>
      <c r="AI1427" s="3"/>
      <c r="AJ1427" s="3"/>
      <c r="AK1427" s="3"/>
      <c r="AL1427" s="3"/>
      <c r="AM1427" s="3"/>
      <c r="AN1427" s="3"/>
      <c r="AO1427" s="3"/>
      <c r="AP1427" s="3"/>
      <c r="AQ1427" s="3"/>
      <c r="AR1427" s="3"/>
      <c r="AS1427" s="3"/>
      <c r="AT1427" s="3"/>
      <c r="AU1427" s="3"/>
      <c r="AV1427" s="3"/>
      <c r="AW1427" s="3"/>
      <c r="AX1427" s="3"/>
    </row>
    <row r="1428" spans="8:50" x14ac:dyDescent="0.25"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7">
        <f t="shared" ca="1" si="22"/>
        <v>0.28524956942211643</v>
      </c>
      <c r="X1428" s="3"/>
      <c r="Y1428" s="3"/>
      <c r="Z1428" s="3"/>
      <c r="AA1428" s="3"/>
      <c r="AB1428" s="3"/>
      <c r="AC1428" s="3"/>
      <c r="AD1428" s="3"/>
      <c r="AE1428" s="3"/>
      <c r="AF1428" s="3"/>
      <c r="AG1428" s="3"/>
      <c r="AH1428" s="3"/>
      <c r="AI1428" s="3"/>
      <c r="AJ1428" s="3"/>
      <c r="AK1428" s="3"/>
      <c r="AL1428" s="3"/>
      <c r="AM1428" s="3"/>
      <c r="AN1428" s="3"/>
      <c r="AO1428" s="3"/>
      <c r="AP1428" s="3"/>
      <c r="AQ1428" s="3"/>
      <c r="AR1428" s="3"/>
      <c r="AS1428" s="3"/>
      <c r="AT1428" s="3"/>
      <c r="AU1428" s="3"/>
      <c r="AV1428" s="3"/>
      <c r="AW1428" s="3"/>
      <c r="AX1428" s="3"/>
    </row>
    <row r="1429" spans="8:50" x14ac:dyDescent="0.25"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7">
        <f t="shared" ca="1" si="22"/>
        <v>0.14848816513772825</v>
      </c>
      <c r="X1429" s="3"/>
      <c r="Y1429" s="3"/>
      <c r="Z1429" s="3"/>
      <c r="AA1429" s="3"/>
      <c r="AB1429" s="3"/>
      <c r="AC1429" s="3"/>
      <c r="AD1429" s="3"/>
      <c r="AE1429" s="3"/>
      <c r="AF1429" s="3"/>
      <c r="AG1429" s="3"/>
      <c r="AH1429" s="3"/>
      <c r="AI1429" s="3"/>
      <c r="AJ1429" s="3"/>
      <c r="AK1429" s="3"/>
      <c r="AL1429" s="3"/>
      <c r="AM1429" s="3"/>
      <c r="AN1429" s="3"/>
      <c r="AO1429" s="3"/>
      <c r="AP1429" s="3"/>
      <c r="AQ1429" s="3"/>
      <c r="AR1429" s="3"/>
      <c r="AS1429" s="3"/>
      <c r="AT1429" s="3"/>
      <c r="AU1429" s="3"/>
      <c r="AV1429" s="3"/>
      <c r="AW1429" s="3"/>
      <c r="AX1429" s="3"/>
    </row>
    <row r="1430" spans="8:50" x14ac:dyDescent="0.25"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7">
        <f t="shared" ca="1" si="22"/>
        <v>0.14541483331803026</v>
      </c>
      <c r="X1430" s="3"/>
      <c r="Y1430" s="3"/>
      <c r="Z1430" s="3"/>
      <c r="AA1430" s="3"/>
      <c r="AB1430" s="3"/>
      <c r="AC1430" s="3"/>
      <c r="AD1430" s="3"/>
      <c r="AE1430" s="3"/>
      <c r="AF1430" s="3"/>
      <c r="AG1430" s="3"/>
      <c r="AH1430" s="3"/>
      <c r="AI1430" s="3"/>
      <c r="AJ1430" s="3"/>
      <c r="AK1430" s="3"/>
      <c r="AL1430" s="3"/>
      <c r="AM1430" s="3"/>
      <c r="AN1430" s="3"/>
      <c r="AO1430" s="3"/>
      <c r="AP1430" s="3"/>
      <c r="AQ1430" s="3"/>
      <c r="AR1430" s="3"/>
      <c r="AS1430" s="3"/>
      <c r="AT1430" s="3"/>
      <c r="AU1430" s="3"/>
      <c r="AV1430" s="3"/>
      <c r="AW1430" s="3"/>
      <c r="AX1430" s="3"/>
    </row>
    <row r="1431" spans="8:50" x14ac:dyDescent="0.25"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7">
        <f t="shared" ca="1" si="22"/>
        <v>0.19572884763047693</v>
      </c>
      <c r="X1431" s="3"/>
      <c r="Y1431" s="3"/>
      <c r="Z1431" s="3"/>
      <c r="AA1431" s="3"/>
      <c r="AB1431" s="3"/>
      <c r="AC1431" s="3"/>
      <c r="AD1431" s="3"/>
      <c r="AE1431" s="3"/>
      <c r="AF1431" s="3"/>
      <c r="AG1431" s="3"/>
      <c r="AH1431" s="3"/>
      <c r="AI1431" s="3"/>
      <c r="AJ1431" s="3"/>
      <c r="AK1431" s="3"/>
      <c r="AL1431" s="3"/>
      <c r="AM1431" s="3"/>
      <c r="AN1431" s="3"/>
      <c r="AO1431" s="3"/>
      <c r="AP1431" s="3"/>
      <c r="AQ1431" s="3"/>
      <c r="AR1431" s="3"/>
      <c r="AS1431" s="3"/>
      <c r="AT1431" s="3"/>
      <c r="AU1431" s="3"/>
      <c r="AV1431" s="3"/>
      <c r="AW1431" s="3"/>
      <c r="AX1431" s="3"/>
    </row>
    <row r="1432" spans="8:50" x14ac:dyDescent="0.25"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7">
        <f t="shared" ca="1" si="22"/>
        <v>0.40089743355848828</v>
      </c>
      <c r="X1432" s="3"/>
      <c r="Y1432" s="3"/>
      <c r="Z1432" s="3"/>
      <c r="AA1432" s="3"/>
      <c r="AB1432" s="3"/>
      <c r="AC1432" s="3"/>
      <c r="AD1432" s="3"/>
      <c r="AE1432" s="3"/>
      <c r="AF1432" s="3"/>
      <c r="AG1432" s="3"/>
      <c r="AH1432" s="3"/>
      <c r="AI1432" s="3"/>
      <c r="AJ1432" s="3"/>
      <c r="AK1432" s="3"/>
      <c r="AL1432" s="3"/>
      <c r="AM1432" s="3"/>
      <c r="AN1432" s="3"/>
      <c r="AO1432" s="3"/>
      <c r="AP1432" s="3"/>
      <c r="AQ1432" s="3"/>
      <c r="AR1432" s="3"/>
      <c r="AS1432" s="3"/>
      <c r="AT1432" s="3"/>
      <c r="AU1432" s="3"/>
      <c r="AV1432" s="3"/>
      <c r="AW1432" s="3"/>
      <c r="AX1432" s="3"/>
    </row>
    <row r="1433" spans="8:50" x14ac:dyDescent="0.25"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7">
        <f t="shared" ca="1" si="22"/>
        <v>-3.7102918982076516E-3</v>
      </c>
      <c r="X1433" s="3"/>
      <c r="Y1433" s="3"/>
      <c r="Z1433" s="3"/>
      <c r="AA1433" s="3"/>
      <c r="AB1433" s="3"/>
      <c r="AC1433" s="3"/>
      <c r="AD1433" s="3"/>
      <c r="AE1433" s="3"/>
      <c r="AF1433" s="3"/>
      <c r="AG1433" s="3"/>
      <c r="AH1433" s="3"/>
      <c r="AI1433" s="3"/>
      <c r="AJ1433" s="3"/>
      <c r="AK1433" s="3"/>
      <c r="AL1433" s="3"/>
      <c r="AM1433" s="3"/>
      <c r="AN1433" s="3"/>
      <c r="AO1433" s="3"/>
      <c r="AP1433" s="3"/>
      <c r="AQ1433" s="3"/>
      <c r="AR1433" s="3"/>
      <c r="AS1433" s="3"/>
      <c r="AT1433" s="3"/>
      <c r="AU1433" s="3"/>
      <c r="AV1433" s="3"/>
      <c r="AW1433" s="3"/>
      <c r="AX1433" s="3"/>
    </row>
    <row r="1434" spans="8:50" x14ac:dyDescent="0.25"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7">
        <f t="shared" ca="1" si="22"/>
        <v>0.14970678616205058</v>
      </c>
      <c r="X1434" s="3"/>
      <c r="Y1434" s="3"/>
      <c r="Z1434" s="3"/>
      <c r="AA1434" s="3"/>
      <c r="AB1434" s="3"/>
      <c r="AC1434" s="3"/>
      <c r="AD1434" s="3"/>
      <c r="AE1434" s="3"/>
      <c r="AF1434" s="3"/>
      <c r="AG1434" s="3"/>
      <c r="AH1434" s="3"/>
      <c r="AI1434" s="3"/>
      <c r="AJ1434" s="3"/>
      <c r="AK1434" s="3"/>
      <c r="AL1434" s="3"/>
      <c r="AM1434" s="3"/>
      <c r="AN1434" s="3"/>
      <c r="AO1434" s="3"/>
      <c r="AP1434" s="3"/>
      <c r="AQ1434" s="3"/>
      <c r="AR1434" s="3"/>
      <c r="AS1434" s="3"/>
      <c r="AT1434" s="3"/>
      <c r="AU1434" s="3"/>
      <c r="AV1434" s="3"/>
      <c r="AW1434" s="3"/>
      <c r="AX1434" s="3"/>
    </row>
    <row r="1435" spans="8:50" x14ac:dyDescent="0.25"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7">
        <f t="shared" ca="1" si="22"/>
        <v>-0.16435803124670784</v>
      </c>
      <c r="X1435" s="3"/>
      <c r="Y1435" s="3"/>
      <c r="Z1435" s="3"/>
      <c r="AA1435" s="3"/>
      <c r="AB1435" s="3"/>
      <c r="AC1435" s="3"/>
      <c r="AD1435" s="3"/>
      <c r="AE1435" s="3"/>
      <c r="AF1435" s="3"/>
      <c r="AG1435" s="3"/>
      <c r="AH1435" s="3"/>
      <c r="AI1435" s="3"/>
      <c r="AJ1435" s="3"/>
      <c r="AK1435" s="3"/>
      <c r="AL1435" s="3"/>
      <c r="AM1435" s="3"/>
      <c r="AN1435" s="3"/>
      <c r="AO1435" s="3"/>
      <c r="AP1435" s="3"/>
      <c r="AQ1435" s="3"/>
      <c r="AR1435" s="3"/>
      <c r="AS1435" s="3"/>
      <c r="AT1435" s="3"/>
      <c r="AU1435" s="3"/>
      <c r="AV1435" s="3"/>
      <c r="AW1435" s="3"/>
      <c r="AX1435" s="3"/>
    </row>
    <row r="1436" spans="8:50" x14ac:dyDescent="0.25"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7">
        <f t="shared" ca="1" si="22"/>
        <v>0.28301401651280061</v>
      </c>
      <c r="X1436" s="3"/>
      <c r="Y1436" s="3"/>
      <c r="Z1436" s="3"/>
      <c r="AA1436" s="3"/>
      <c r="AB1436" s="3"/>
      <c r="AC1436" s="3"/>
      <c r="AD1436" s="3"/>
      <c r="AE1436" s="3"/>
      <c r="AF1436" s="3"/>
      <c r="AG1436" s="3"/>
      <c r="AH1436" s="3"/>
      <c r="AI1436" s="3"/>
      <c r="AJ1436" s="3"/>
      <c r="AK1436" s="3"/>
      <c r="AL1436" s="3"/>
      <c r="AM1436" s="3"/>
      <c r="AN1436" s="3"/>
      <c r="AO1436" s="3"/>
      <c r="AP1436" s="3"/>
      <c r="AQ1436" s="3"/>
      <c r="AR1436" s="3"/>
      <c r="AS1436" s="3"/>
      <c r="AT1436" s="3"/>
      <c r="AU1436" s="3"/>
      <c r="AV1436" s="3"/>
      <c r="AW1436" s="3"/>
      <c r="AX1436" s="3"/>
    </row>
    <row r="1437" spans="8:50" x14ac:dyDescent="0.25"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7">
        <f t="shared" ca="1" si="22"/>
        <v>9.6959140205746891E-2</v>
      </c>
      <c r="X1437" s="3"/>
      <c r="Y1437" s="3"/>
      <c r="Z1437" s="3"/>
      <c r="AA1437" s="3"/>
      <c r="AB1437" s="3"/>
      <c r="AC1437" s="3"/>
      <c r="AD1437" s="3"/>
      <c r="AE1437" s="3"/>
      <c r="AF1437" s="3"/>
      <c r="AG1437" s="3"/>
      <c r="AH1437" s="3"/>
      <c r="AI1437" s="3"/>
      <c r="AJ1437" s="3"/>
      <c r="AK1437" s="3"/>
      <c r="AL1437" s="3"/>
      <c r="AM1437" s="3"/>
      <c r="AN1437" s="3"/>
      <c r="AO1437" s="3"/>
      <c r="AP1437" s="3"/>
      <c r="AQ1437" s="3"/>
      <c r="AR1437" s="3"/>
      <c r="AS1437" s="3"/>
      <c r="AT1437" s="3"/>
      <c r="AU1437" s="3"/>
      <c r="AV1437" s="3"/>
      <c r="AW1437" s="3"/>
      <c r="AX1437" s="3"/>
    </row>
    <row r="1438" spans="8:50" x14ac:dyDescent="0.25"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7">
        <f t="shared" ca="1" si="22"/>
        <v>-0.24190751931606835</v>
      </c>
      <c r="X1438" s="3"/>
      <c r="Y1438" s="3"/>
      <c r="Z1438" s="3"/>
      <c r="AA1438" s="3"/>
      <c r="AB1438" s="3"/>
      <c r="AC1438" s="3"/>
      <c r="AD1438" s="3"/>
      <c r="AE1438" s="3"/>
      <c r="AF1438" s="3"/>
      <c r="AG1438" s="3"/>
      <c r="AH1438" s="3"/>
      <c r="AI1438" s="3"/>
      <c r="AJ1438" s="3"/>
      <c r="AK1438" s="3"/>
      <c r="AL1438" s="3"/>
      <c r="AM1438" s="3"/>
      <c r="AN1438" s="3"/>
      <c r="AO1438" s="3"/>
      <c r="AP1438" s="3"/>
      <c r="AQ1438" s="3"/>
      <c r="AR1438" s="3"/>
      <c r="AS1438" s="3"/>
      <c r="AT1438" s="3"/>
      <c r="AU1438" s="3"/>
      <c r="AV1438" s="3"/>
      <c r="AW1438" s="3"/>
      <c r="AX1438" s="3"/>
    </row>
    <row r="1439" spans="8:50" x14ac:dyDescent="0.25"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7">
        <f t="shared" ca="1" si="22"/>
        <v>0.24640188241775135</v>
      </c>
      <c r="X1439" s="3"/>
      <c r="Y1439" s="3"/>
      <c r="Z1439" s="3"/>
      <c r="AA1439" s="3"/>
      <c r="AB1439" s="3"/>
      <c r="AC1439" s="3"/>
      <c r="AD1439" s="3"/>
      <c r="AE1439" s="3"/>
      <c r="AF1439" s="3"/>
      <c r="AG1439" s="3"/>
      <c r="AH1439" s="3"/>
      <c r="AI1439" s="3"/>
      <c r="AJ1439" s="3"/>
      <c r="AK1439" s="3"/>
      <c r="AL1439" s="3"/>
      <c r="AM1439" s="3"/>
      <c r="AN1439" s="3"/>
      <c r="AO1439" s="3"/>
      <c r="AP1439" s="3"/>
      <c r="AQ1439" s="3"/>
      <c r="AR1439" s="3"/>
      <c r="AS1439" s="3"/>
      <c r="AT1439" s="3"/>
      <c r="AU1439" s="3"/>
      <c r="AV1439" s="3"/>
      <c r="AW1439" s="3"/>
      <c r="AX1439" s="3"/>
    </row>
    <row r="1440" spans="8:50" x14ac:dyDescent="0.25"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7">
        <f t="shared" ca="1" si="22"/>
        <v>0.37787999226357905</v>
      </c>
      <c r="X1440" s="3"/>
      <c r="Y1440" s="3"/>
      <c r="Z1440" s="3"/>
      <c r="AA1440" s="3"/>
      <c r="AB1440" s="3"/>
      <c r="AC1440" s="3"/>
      <c r="AD1440" s="3"/>
      <c r="AE1440" s="3"/>
      <c r="AF1440" s="3"/>
      <c r="AG1440" s="3"/>
      <c r="AH1440" s="3"/>
      <c r="AI1440" s="3"/>
      <c r="AJ1440" s="3"/>
      <c r="AK1440" s="3"/>
      <c r="AL1440" s="3"/>
      <c r="AM1440" s="3"/>
      <c r="AN1440" s="3"/>
      <c r="AO1440" s="3"/>
      <c r="AP1440" s="3"/>
      <c r="AQ1440" s="3"/>
      <c r="AR1440" s="3"/>
      <c r="AS1440" s="3"/>
      <c r="AT1440" s="3"/>
      <c r="AU1440" s="3"/>
      <c r="AV1440" s="3"/>
      <c r="AW1440" s="3"/>
      <c r="AX1440" s="3"/>
    </row>
    <row r="1441" spans="8:50" x14ac:dyDescent="0.25"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7">
        <f t="shared" ca="1" si="22"/>
        <v>-0.10963154618249794</v>
      </c>
      <c r="X1441" s="3"/>
      <c r="Y1441" s="3"/>
      <c r="Z1441" s="3"/>
      <c r="AA1441" s="3"/>
      <c r="AB1441" s="3"/>
      <c r="AC1441" s="3"/>
      <c r="AD1441" s="3"/>
      <c r="AE1441" s="3"/>
      <c r="AF1441" s="3"/>
      <c r="AG1441" s="3"/>
      <c r="AH1441" s="3"/>
      <c r="AI1441" s="3"/>
      <c r="AJ1441" s="3"/>
      <c r="AK1441" s="3"/>
      <c r="AL1441" s="3"/>
      <c r="AM1441" s="3"/>
      <c r="AN1441" s="3"/>
      <c r="AO1441" s="3"/>
      <c r="AP1441" s="3"/>
      <c r="AQ1441" s="3"/>
      <c r="AR1441" s="3"/>
      <c r="AS1441" s="3"/>
      <c r="AT1441" s="3"/>
      <c r="AU1441" s="3"/>
      <c r="AV1441" s="3"/>
      <c r="AW1441" s="3"/>
      <c r="AX1441" s="3"/>
    </row>
    <row r="1442" spans="8:50" x14ac:dyDescent="0.25"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7">
        <f t="shared" ca="1" si="22"/>
        <v>0.18127240414511042</v>
      </c>
      <c r="X1442" s="3"/>
      <c r="Y1442" s="3"/>
      <c r="Z1442" s="3"/>
      <c r="AA1442" s="3"/>
      <c r="AB1442" s="3"/>
      <c r="AC1442" s="3"/>
      <c r="AD1442" s="3"/>
      <c r="AE1442" s="3"/>
      <c r="AF1442" s="3"/>
      <c r="AG1442" s="3"/>
      <c r="AH1442" s="3"/>
      <c r="AI1442" s="3"/>
      <c r="AJ1442" s="3"/>
      <c r="AK1442" s="3"/>
      <c r="AL1442" s="3"/>
      <c r="AM1442" s="3"/>
      <c r="AN1442" s="3"/>
      <c r="AO1442" s="3"/>
      <c r="AP1442" s="3"/>
      <c r="AQ1442" s="3"/>
      <c r="AR1442" s="3"/>
      <c r="AS1442" s="3"/>
      <c r="AT1442" s="3"/>
      <c r="AU1442" s="3"/>
      <c r="AV1442" s="3"/>
      <c r="AW1442" s="3"/>
      <c r="AX1442" s="3"/>
    </row>
    <row r="1443" spans="8:50" x14ac:dyDescent="0.25"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7">
        <f t="shared" ca="1" si="22"/>
        <v>0.19860439746324102</v>
      </c>
      <c r="X1443" s="3"/>
      <c r="Y1443" s="3"/>
      <c r="Z1443" s="3"/>
      <c r="AA1443" s="3"/>
      <c r="AB1443" s="3"/>
      <c r="AC1443" s="3"/>
      <c r="AD1443" s="3"/>
      <c r="AE1443" s="3"/>
      <c r="AF1443" s="3"/>
      <c r="AG1443" s="3"/>
      <c r="AH1443" s="3"/>
      <c r="AI1443" s="3"/>
      <c r="AJ1443" s="3"/>
      <c r="AK1443" s="3"/>
      <c r="AL1443" s="3"/>
      <c r="AM1443" s="3"/>
      <c r="AN1443" s="3"/>
      <c r="AO1443" s="3"/>
      <c r="AP1443" s="3"/>
      <c r="AQ1443" s="3"/>
      <c r="AR1443" s="3"/>
      <c r="AS1443" s="3"/>
      <c r="AT1443" s="3"/>
      <c r="AU1443" s="3"/>
      <c r="AV1443" s="3"/>
      <c r="AW1443" s="3"/>
      <c r="AX1443" s="3"/>
    </row>
    <row r="1444" spans="8:50" x14ac:dyDescent="0.25"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7">
        <f t="shared" ca="1" si="22"/>
        <v>0.21836521786215485</v>
      </c>
      <c r="X1444" s="3"/>
      <c r="Y1444" s="3"/>
      <c r="Z1444" s="3"/>
      <c r="AA1444" s="3"/>
      <c r="AB1444" s="3"/>
      <c r="AC1444" s="3"/>
      <c r="AD1444" s="3"/>
      <c r="AE1444" s="3"/>
      <c r="AF1444" s="3"/>
      <c r="AG1444" s="3"/>
      <c r="AH1444" s="3"/>
      <c r="AI1444" s="3"/>
      <c r="AJ1444" s="3"/>
      <c r="AK1444" s="3"/>
      <c r="AL1444" s="3"/>
      <c r="AM1444" s="3"/>
      <c r="AN1444" s="3"/>
      <c r="AO1444" s="3"/>
      <c r="AP1444" s="3"/>
      <c r="AQ1444" s="3"/>
      <c r="AR1444" s="3"/>
      <c r="AS1444" s="3"/>
      <c r="AT1444" s="3"/>
      <c r="AU1444" s="3"/>
      <c r="AV1444" s="3"/>
      <c r="AW1444" s="3"/>
      <c r="AX1444" s="3"/>
    </row>
    <row r="1445" spans="8:50" x14ac:dyDescent="0.25"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7">
        <f t="shared" ca="1" si="22"/>
        <v>0.13350543791369859</v>
      </c>
      <c r="X1445" s="3"/>
      <c r="Y1445" s="3"/>
      <c r="Z1445" s="3"/>
      <c r="AA1445" s="3"/>
      <c r="AB1445" s="3"/>
      <c r="AC1445" s="3"/>
      <c r="AD1445" s="3"/>
      <c r="AE1445" s="3"/>
      <c r="AF1445" s="3"/>
      <c r="AG1445" s="3"/>
      <c r="AH1445" s="3"/>
      <c r="AI1445" s="3"/>
      <c r="AJ1445" s="3"/>
      <c r="AK1445" s="3"/>
      <c r="AL1445" s="3"/>
      <c r="AM1445" s="3"/>
      <c r="AN1445" s="3"/>
      <c r="AO1445" s="3"/>
      <c r="AP1445" s="3"/>
      <c r="AQ1445" s="3"/>
      <c r="AR1445" s="3"/>
      <c r="AS1445" s="3"/>
      <c r="AT1445" s="3"/>
      <c r="AU1445" s="3"/>
      <c r="AV1445" s="3"/>
      <c r="AW1445" s="3"/>
      <c r="AX1445" s="3"/>
    </row>
    <row r="1446" spans="8:50" x14ac:dyDescent="0.25"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7">
        <f t="shared" ca="1" si="22"/>
        <v>0.23227002453243512</v>
      </c>
      <c r="X1446" s="3"/>
      <c r="Y1446" s="3"/>
      <c r="Z1446" s="3"/>
      <c r="AA1446" s="3"/>
      <c r="AB1446" s="3"/>
      <c r="AC1446" s="3"/>
      <c r="AD1446" s="3"/>
      <c r="AE1446" s="3"/>
      <c r="AF1446" s="3"/>
      <c r="AG1446" s="3"/>
      <c r="AH1446" s="3"/>
      <c r="AI1446" s="3"/>
      <c r="AJ1446" s="3"/>
      <c r="AK1446" s="3"/>
      <c r="AL1446" s="3"/>
      <c r="AM1446" s="3"/>
      <c r="AN1446" s="3"/>
      <c r="AO1446" s="3"/>
      <c r="AP1446" s="3"/>
      <c r="AQ1446" s="3"/>
      <c r="AR1446" s="3"/>
      <c r="AS1446" s="3"/>
      <c r="AT1446" s="3"/>
      <c r="AU1446" s="3"/>
      <c r="AV1446" s="3"/>
      <c r="AW1446" s="3"/>
      <c r="AX1446" s="3"/>
    </row>
    <row r="1447" spans="8:50" x14ac:dyDescent="0.25"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7">
        <f t="shared" ca="1" si="22"/>
        <v>0.10260337217029682</v>
      </c>
      <c r="X1447" s="3"/>
      <c r="Y1447" s="3"/>
      <c r="Z1447" s="3"/>
      <c r="AA1447" s="3"/>
      <c r="AB1447" s="3"/>
      <c r="AC1447" s="3"/>
      <c r="AD1447" s="3"/>
      <c r="AE1447" s="3"/>
      <c r="AF1447" s="3"/>
      <c r="AG1447" s="3"/>
      <c r="AH1447" s="3"/>
      <c r="AI1447" s="3"/>
      <c r="AJ1447" s="3"/>
      <c r="AK1447" s="3"/>
      <c r="AL1447" s="3"/>
      <c r="AM1447" s="3"/>
      <c r="AN1447" s="3"/>
      <c r="AO1447" s="3"/>
      <c r="AP1447" s="3"/>
      <c r="AQ1447" s="3"/>
      <c r="AR1447" s="3"/>
      <c r="AS1447" s="3"/>
      <c r="AT1447" s="3"/>
      <c r="AU1447" s="3"/>
      <c r="AV1447" s="3"/>
      <c r="AW1447" s="3"/>
      <c r="AX1447" s="3"/>
    </row>
    <row r="1448" spans="8:50" x14ac:dyDescent="0.25"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7">
        <f t="shared" ca="1" si="22"/>
        <v>-0.19776895641349429</v>
      </c>
      <c r="X1448" s="3"/>
      <c r="Y1448" s="3"/>
      <c r="Z1448" s="3"/>
      <c r="AA1448" s="3"/>
      <c r="AB1448" s="3"/>
      <c r="AC1448" s="3"/>
      <c r="AD1448" s="3"/>
      <c r="AE1448" s="3"/>
      <c r="AF1448" s="3"/>
      <c r="AG1448" s="3"/>
      <c r="AH1448" s="3"/>
      <c r="AI1448" s="3"/>
      <c r="AJ1448" s="3"/>
      <c r="AK1448" s="3"/>
      <c r="AL1448" s="3"/>
      <c r="AM1448" s="3"/>
      <c r="AN1448" s="3"/>
      <c r="AO1448" s="3"/>
      <c r="AP1448" s="3"/>
      <c r="AQ1448" s="3"/>
      <c r="AR1448" s="3"/>
      <c r="AS1448" s="3"/>
      <c r="AT1448" s="3"/>
      <c r="AU1448" s="3"/>
      <c r="AV1448" s="3"/>
      <c r="AW1448" s="3"/>
      <c r="AX1448" s="3"/>
    </row>
    <row r="1449" spans="8:50" x14ac:dyDescent="0.25"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7">
        <f t="shared" ca="1" si="22"/>
        <v>0.38387616850262712</v>
      </c>
      <c r="X1449" s="3"/>
      <c r="Y1449" s="3"/>
      <c r="Z1449" s="3"/>
      <c r="AA1449" s="3"/>
      <c r="AB1449" s="3"/>
      <c r="AC1449" s="3"/>
      <c r="AD1449" s="3"/>
      <c r="AE1449" s="3"/>
      <c r="AF1449" s="3"/>
      <c r="AG1449" s="3"/>
      <c r="AH1449" s="3"/>
      <c r="AI1449" s="3"/>
      <c r="AJ1449" s="3"/>
      <c r="AK1449" s="3"/>
      <c r="AL1449" s="3"/>
      <c r="AM1449" s="3"/>
      <c r="AN1449" s="3"/>
      <c r="AO1449" s="3"/>
      <c r="AP1449" s="3"/>
      <c r="AQ1449" s="3"/>
      <c r="AR1449" s="3"/>
      <c r="AS1449" s="3"/>
      <c r="AT1449" s="3"/>
      <c r="AU1449" s="3"/>
      <c r="AV1449" s="3"/>
      <c r="AW1449" s="3"/>
      <c r="AX1449" s="3"/>
    </row>
    <row r="1450" spans="8:50" x14ac:dyDescent="0.25"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7">
        <f t="shared" ca="1" si="22"/>
        <v>0.13136852808759153</v>
      </c>
      <c r="X1450" s="3"/>
      <c r="Y1450" s="3"/>
      <c r="Z1450" s="3"/>
      <c r="AA1450" s="3"/>
      <c r="AB1450" s="3"/>
      <c r="AC1450" s="3"/>
      <c r="AD1450" s="3"/>
      <c r="AE1450" s="3"/>
      <c r="AF1450" s="3"/>
      <c r="AG1450" s="3"/>
      <c r="AH1450" s="3"/>
      <c r="AI1450" s="3"/>
      <c r="AJ1450" s="3"/>
      <c r="AK1450" s="3"/>
      <c r="AL1450" s="3"/>
      <c r="AM1450" s="3"/>
      <c r="AN1450" s="3"/>
      <c r="AO1450" s="3"/>
      <c r="AP1450" s="3"/>
      <c r="AQ1450" s="3"/>
      <c r="AR1450" s="3"/>
      <c r="AS1450" s="3"/>
      <c r="AT1450" s="3"/>
      <c r="AU1450" s="3"/>
      <c r="AV1450" s="3"/>
      <c r="AW1450" s="3"/>
      <c r="AX1450" s="3"/>
    </row>
    <row r="1451" spans="8:50" x14ac:dyDescent="0.25"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7">
        <f t="shared" ca="1" si="22"/>
        <v>1.0746468687347493E-2</v>
      </c>
      <c r="X1451" s="3"/>
      <c r="Y1451" s="3"/>
      <c r="Z1451" s="3"/>
      <c r="AA1451" s="3"/>
      <c r="AB1451" s="3"/>
      <c r="AC1451" s="3"/>
      <c r="AD1451" s="3"/>
      <c r="AE1451" s="3"/>
      <c r="AF1451" s="3"/>
      <c r="AG1451" s="3"/>
      <c r="AH1451" s="3"/>
      <c r="AI1451" s="3"/>
      <c r="AJ1451" s="3"/>
      <c r="AK1451" s="3"/>
      <c r="AL1451" s="3"/>
      <c r="AM1451" s="3"/>
      <c r="AN1451" s="3"/>
      <c r="AO1451" s="3"/>
      <c r="AP1451" s="3"/>
      <c r="AQ1451" s="3"/>
      <c r="AR1451" s="3"/>
      <c r="AS1451" s="3"/>
      <c r="AT1451" s="3"/>
      <c r="AU1451" s="3"/>
      <c r="AV1451" s="3"/>
      <c r="AW1451" s="3"/>
      <c r="AX1451" s="3"/>
    </row>
    <row r="1452" spans="8:50" x14ac:dyDescent="0.25"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7">
        <f t="shared" ca="1" si="22"/>
        <v>0.11503971777663438</v>
      </c>
      <c r="X1452" s="3"/>
      <c r="Y1452" s="3"/>
      <c r="Z1452" s="3"/>
      <c r="AA1452" s="3"/>
      <c r="AB1452" s="3"/>
      <c r="AC1452" s="3"/>
      <c r="AD1452" s="3"/>
      <c r="AE1452" s="3"/>
      <c r="AF1452" s="3"/>
      <c r="AG1452" s="3"/>
      <c r="AH1452" s="3"/>
      <c r="AI1452" s="3"/>
      <c r="AJ1452" s="3"/>
      <c r="AK1452" s="3"/>
      <c r="AL1452" s="3"/>
      <c r="AM1452" s="3"/>
      <c r="AN1452" s="3"/>
      <c r="AO1452" s="3"/>
      <c r="AP1452" s="3"/>
      <c r="AQ1452" s="3"/>
      <c r="AR1452" s="3"/>
      <c r="AS1452" s="3"/>
      <c r="AT1452" s="3"/>
      <c r="AU1452" s="3"/>
      <c r="AV1452" s="3"/>
      <c r="AW1452" s="3"/>
      <c r="AX1452" s="3"/>
    </row>
    <row r="1453" spans="8:50" x14ac:dyDescent="0.25"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7">
        <f t="shared" ca="1" si="22"/>
        <v>0.32284340240507364</v>
      </c>
      <c r="X1453" s="3"/>
      <c r="Y1453" s="3"/>
      <c r="Z1453" s="3"/>
      <c r="AA1453" s="3"/>
      <c r="AB1453" s="3"/>
      <c r="AC1453" s="3"/>
      <c r="AD1453" s="3"/>
      <c r="AE1453" s="3"/>
      <c r="AF1453" s="3"/>
      <c r="AG1453" s="3"/>
      <c r="AH1453" s="3"/>
      <c r="AI1453" s="3"/>
      <c r="AJ1453" s="3"/>
      <c r="AK1453" s="3"/>
      <c r="AL1453" s="3"/>
      <c r="AM1453" s="3"/>
      <c r="AN1453" s="3"/>
      <c r="AO1453" s="3"/>
      <c r="AP1453" s="3"/>
      <c r="AQ1453" s="3"/>
      <c r="AR1453" s="3"/>
      <c r="AS1453" s="3"/>
      <c r="AT1453" s="3"/>
      <c r="AU1453" s="3"/>
      <c r="AV1453" s="3"/>
      <c r="AW1453" s="3"/>
      <c r="AX1453" s="3"/>
    </row>
    <row r="1454" spans="8:50" x14ac:dyDescent="0.25"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7">
        <f t="shared" ca="1" si="22"/>
        <v>0.17368317843546746</v>
      </c>
      <c r="X1454" s="3"/>
      <c r="Y1454" s="3"/>
      <c r="Z1454" s="3"/>
      <c r="AA1454" s="3"/>
      <c r="AB1454" s="3"/>
      <c r="AC1454" s="3"/>
      <c r="AD1454" s="3"/>
      <c r="AE1454" s="3"/>
      <c r="AF1454" s="3"/>
      <c r="AG1454" s="3"/>
      <c r="AH1454" s="3"/>
      <c r="AI1454" s="3"/>
      <c r="AJ1454" s="3"/>
      <c r="AK1454" s="3"/>
      <c r="AL1454" s="3"/>
      <c r="AM1454" s="3"/>
      <c r="AN1454" s="3"/>
      <c r="AO1454" s="3"/>
      <c r="AP1454" s="3"/>
      <c r="AQ1454" s="3"/>
      <c r="AR1454" s="3"/>
      <c r="AS1454" s="3"/>
      <c r="AT1454" s="3"/>
      <c r="AU1454" s="3"/>
      <c r="AV1454" s="3"/>
      <c r="AW1454" s="3"/>
      <c r="AX1454" s="3"/>
    </row>
    <row r="1455" spans="8:50" x14ac:dyDescent="0.25"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7">
        <f t="shared" ca="1" si="22"/>
        <v>0.29428771798917852</v>
      </c>
      <c r="X1455" s="3"/>
      <c r="Y1455" s="3"/>
      <c r="Z1455" s="3"/>
      <c r="AA1455" s="3"/>
      <c r="AB1455" s="3"/>
      <c r="AC1455" s="3"/>
      <c r="AD1455" s="3"/>
      <c r="AE1455" s="3"/>
      <c r="AF1455" s="3"/>
      <c r="AG1455" s="3"/>
      <c r="AH1455" s="3"/>
      <c r="AI1455" s="3"/>
      <c r="AJ1455" s="3"/>
      <c r="AK1455" s="3"/>
      <c r="AL1455" s="3"/>
      <c r="AM1455" s="3"/>
      <c r="AN1455" s="3"/>
      <c r="AO1455" s="3"/>
      <c r="AP1455" s="3"/>
      <c r="AQ1455" s="3"/>
      <c r="AR1455" s="3"/>
      <c r="AS1455" s="3"/>
      <c r="AT1455" s="3"/>
      <c r="AU1455" s="3"/>
      <c r="AV1455" s="3"/>
      <c r="AW1455" s="3"/>
      <c r="AX1455" s="3"/>
    </row>
    <row r="1456" spans="8:50" x14ac:dyDescent="0.25"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7">
        <f t="shared" ca="1" si="22"/>
        <v>4.35717829168214E-2</v>
      </c>
      <c r="X1456" s="3"/>
      <c r="Y1456" s="3"/>
      <c r="Z1456" s="3"/>
      <c r="AA1456" s="3"/>
      <c r="AB1456" s="3"/>
      <c r="AC1456" s="3"/>
      <c r="AD1456" s="3"/>
      <c r="AE1456" s="3"/>
      <c r="AF1456" s="3"/>
      <c r="AG1456" s="3"/>
      <c r="AH1456" s="3"/>
      <c r="AI1456" s="3"/>
      <c r="AJ1456" s="3"/>
      <c r="AK1456" s="3"/>
      <c r="AL1456" s="3"/>
      <c r="AM1456" s="3"/>
      <c r="AN1456" s="3"/>
      <c r="AO1456" s="3"/>
      <c r="AP1456" s="3"/>
      <c r="AQ1456" s="3"/>
      <c r="AR1456" s="3"/>
      <c r="AS1456" s="3"/>
      <c r="AT1456" s="3"/>
      <c r="AU1456" s="3"/>
      <c r="AV1456" s="3"/>
      <c r="AW1456" s="3"/>
      <c r="AX1456" s="3"/>
    </row>
    <row r="1457" spans="8:50" x14ac:dyDescent="0.25"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7">
        <f t="shared" ca="1" si="22"/>
        <v>0.11579723642029349</v>
      </c>
      <c r="X1457" s="3"/>
      <c r="Y1457" s="3"/>
      <c r="Z1457" s="3"/>
      <c r="AA1457" s="3"/>
      <c r="AB1457" s="3"/>
      <c r="AC1457" s="3"/>
      <c r="AD1457" s="3"/>
      <c r="AE1457" s="3"/>
      <c r="AF1457" s="3"/>
      <c r="AG1457" s="3"/>
      <c r="AH1457" s="3"/>
      <c r="AI1457" s="3"/>
      <c r="AJ1457" s="3"/>
      <c r="AK1457" s="3"/>
      <c r="AL1457" s="3"/>
      <c r="AM1457" s="3"/>
      <c r="AN1457" s="3"/>
      <c r="AO1457" s="3"/>
      <c r="AP1457" s="3"/>
      <c r="AQ1457" s="3"/>
      <c r="AR1457" s="3"/>
      <c r="AS1457" s="3"/>
      <c r="AT1457" s="3"/>
      <c r="AU1457" s="3"/>
      <c r="AV1457" s="3"/>
      <c r="AW1457" s="3"/>
      <c r="AX1457" s="3"/>
    </row>
    <row r="1458" spans="8:50" x14ac:dyDescent="0.25"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7">
        <f t="shared" ca="1" si="22"/>
        <v>-7.6416053121107788E-2</v>
      </c>
      <c r="X1458" s="3"/>
      <c r="Y1458" s="3"/>
      <c r="Z1458" s="3"/>
      <c r="AA1458" s="3"/>
      <c r="AB1458" s="3"/>
      <c r="AC1458" s="3"/>
      <c r="AD1458" s="3"/>
      <c r="AE1458" s="3"/>
      <c r="AF1458" s="3"/>
      <c r="AG1458" s="3"/>
      <c r="AH1458" s="3"/>
      <c r="AI1458" s="3"/>
      <c r="AJ1458" s="3"/>
      <c r="AK1458" s="3"/>
      <c r="AL1458" s="3"/>
      <c r="AM1458" s="3"/>
      <c r="AN1458" s="3"/>
      <c r="AO1458" s="3"/>
      <c r="AP1458" s="3"/>
      <c r="AQ1458" s="3"/>
      <c r="AR1458" s="3"/>
      <c r="AS1458" s="3"/>
      <c r="AT1458" s="3"/>
      <c r="AU1458" s="3"/>
      <c r="AV1458" s="3"/>
      <c r="AW1458" s="3"/>
      <c r="AX1458" s="3"/>
    </row>
    <row r="1459" spans="8:50" x14ac:dyDescent="0.25"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7">
        <f t="shared" ca="1" si="22"/>
        <v>0.37917230699925797</v>
      </c>
      <c r="X1459" s="3"/>
      <c r="Y1459" s="3"/>
      <c r="Z1459" s="3"/>
      <c r="AA1459" s="3"/>
      <c r="AB1459" s="3"/>
      <c r="AC1459" s="3"/>
      <c r="AD1459" s="3"/>
      <c r="AE1459" s="3"/>
      <c r="AF1459" s="3"/>
      <c r="AG1459" s="3"/>
      <c r="AH1459" s="3"/>
      <c r="AI1459" s="3"/>
      <c r="AJ1459" s="3"/>
      <c r="AK1459" s="3"/>
      <c r="AL1459" s="3"/>
      <c r="AM1459" s="3"/>
      <c r="AN1459" s="3"/>
      <c r="AO1459" s="3"/>
      <c r="AP1459" s="3"/>
      <c r="AQ1459" s="3"/>
      <c r="AR1459" s="3"/>
      <c r="AS1459" s="3"/>
      <c r="AT1459" s="3"/>
      <c r="AU1459" s="3"/>
      <c r="AV1459" s="3"/>
      <c r="AW1459" s="3"/>
      <c r="AX1459" s="3"/>
    </row>
    <row r="1460" spans="8:50" x14ac:dyDescent="0.25"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7">
        <f t="shared" ca="1" si="22"/>
        <v>0.25835912385268278</v>
      </c>
      <c r="X1460" s="3"/>
      <c r="Y1460" s="3"/>
      <c r="Z1460" s="3"/>
      <c r="AA1460" s="3"/>
      <c r="AB1460" s="3"/>
      <c r="AC1460" s="3"/>
      <c r="AD1460" s="3"/>
      <c r="AE1460" s="3"/>
      <c r="AF1460" s="3"/>
      <c r="AG1460" s="3"/>
      <c r="AH1460" s="3"/>
      <c r="AI1460" s="3"/>
      <c r="AJ1460" s="3"/>
      <c r="AK1460" s="3"/>
      <c r="AL1460" s="3"/>
      <c r="AM1460" s="3"/>
      <c r="AN1460" s="3"/>
      <c r="AO1460" s="3"/>
      <c r="AP1460" s="3"/>
      <c r="AQ1460" s="3"/>
      <c r="AR1460" s="3"/>
      <c r="AS1460" s="3"/>
      <c r="AT1460" s="3"/>
      <c r="AU1460" s="3"/>
      <c r="AV1460" s="3"/>
      <c r="AW1460" s="3"/>
      <c r="AX1460" s="3"/>
    </row>
    <row r="1461" spans="8:50" x14ac:dyDescent="0.25"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7">
        <f t="shared" ca="1" si="22"/>
        <v>4.678406698222079E-2</v>
      </c>
      <c r="X1461" s="3"/>
      <c r="Y1461" s="3"/>
      <c r="Z1461" s="3"/>
      <c r="AA1461" s="3"/>
      <c r="AB1461" s="3"/>
      <c r="AC1461" s="3"/>
      <c r="AD1461" s="3"/>
      <c r="AE1461" s="3"/>
      <c r="AF1461" s="3"/>
      <c r="AG1461" s="3"/>
      <c r="AH1461" s="3"/>
      <c r="AI1461" s="3"/>
      <c r="AJ1461" s="3"/>
      <c r="AK1461" s="3"/>
      <c r="AL1461" s="3"/>
      <c r="AM1461" s="3"/>
      <c r="AN1461" s="3"/>
      <c r="AO1461" s="3"/>
      <c r="AP1461" s="3"/>
      <c r="AQ1461" s="3"/>
      <c r="AR1461" s="3"/>
      <c r="AS1461" s="3"/>
      <c r="AT1461" s="3"/>
      <c r="AU1461" s="3"/>
      <c r="AV1461" s="3"/>
      <c r="AW1461" s="3"/>
      <c r="AX1461" s="3"/>
    </row>
    <row r="1462" spans="8:50" x14ac:dyDescent="0.25"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7">
        <f t="shared" ca="1" si="22"/>
        <v>-7.1508776743069921E-2</v>
      </c>
      <c r="X1462" s="3"/>
      <c r="Y1462" s="3"/>
      <c r="Z1462" s="3"/>
      <c r="AA1462" s="3"/>
      <c r="AB1462" s="3"/>
      <c r="AC1462" s="3"/>
      <c r="AD1462" s="3"/>
      <c r="AE1462" s="3"/>
      <c r="AF1462" s="3"/>
      <c r="AG1462" s="3"/>
      <c r="AH1462" s="3"/>
      <c r="AI1462" s="3"/>
      <c r="AJ1462" s="3"/>
      <c r="AK1462" s="3"/>
      <c r="AL1462" s="3"/>
      <c r="AM1462" s="3"/>
      <c r="AN1462" s="3"/>
      <c r="AO1462" s="3"/>
      <c r="AP1462" s="3"/>
      <c r="AQ1462" s="3"/>
      <c r="AR1462" s="3"/>
      <c r="AS1462" s="3"/>
      <c r="AT1462" s="3"/>
      <c r="AU1462" s="3"/>
      <c r="AV1462" s="3"/>
      <c r="AW1462" s="3"/>
      <c r="AX1462" s="3"/>
    </row>
    <row r="1463" spans="8:50" x14ac:dyDescent="0.25"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7">
        <f t="shared" ca="1" si="22"/>
        <v>0.15444203628611497</v>
      </c>
      <c r="X1463" s="3"/>
      <c r="Y1463" s="3"/>
      <c r="Z1463" s="3"/>
      <c r="AA1463" s="3"/>
      <c r="AB1463" s="3"/>
      <c r="AC1463" s="3"/>
      <c r="AD1463" s="3"/>
      <c r="AE1463" s="3"/>
      <c r="AF1463" s="3"/>
      <c r="AG1463" s="3"/>
      <c r="AH1463" s="3"/>
      <c r="AI1463" s="3"/>
      <c r="AJ1463" s="3"/>
      <c r="AK1463" s="3"/>
      <c r="AL1463" s="3"/>
      <c r="AM1463" s="3"/>
      <c r="AN1463" s="3"/>
      <c r="AO1463" s="3"/>
      <c r="AP1463" s="3"/>
      <c r="AQ1463" s="3"/>
      <c r="AR1463" s="3"/>
      <c r="AS1463" s="3"/>
      <c r="AT1463" s="3"/>
      <c r="AU1463" s="3"/>
      <c r="AV1463" s="3"/>
      <c r="AW1463" s="3"/>
      <c r="AX1463" s="3"/>
    </row>
    <row r="1464" spans="8:50" x14ac:dyDescent="0.25"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7">
        <f t="shared" ca="1" si="22"/>
        <v>5.0647197155950771E-2</v>
      </c>
      <c r="X1464" s="3"/>
      <c r="Y1464" s="3"/>
      <c r="Z1464" s="3"/>
      <c r="AA1464" s="3"/>
      <c r="AB1464" s="3"/>
      <c r="AC1464" s="3"/>
      <c r="AD1464" s="3"/>
      <c r="AE1464" s="3"/>
      <c r="AF1464" s="3"/>
      <c r="AG1464" s="3"/>
      <c r="AH1464" s="3"/>
      <c r="AI1464" s="3"/>
      <c r="AJ1464" s="3"/>
      <c r="AK1464" s="3"/>
      <c r="AL1464" s="3"/>
      <c r="AM1464" s="3"/>
      <c r="AN1464" s="3"/>
      <c r="AO1464" s="3"/>
      <c r="AP1464" s="3"/>
      <c r="AQ1464" s="3"/>
      <c r="AR1464" s="3"/>
      <c r="AS1464" s="3"/>
      <c r="AT1464" s="3"/>
      <c r="AU1464" s="3"/>
      <c r="AV1464" s="3"/>
      <c r="AW1464" s="3"/>
      <c r="AX1464" s="3"/>
    </row>
    <row r="1465" spans="8:50" x14ac:dyDescent="0.25"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7">
        <f t="shared" ca="1" si="22"/>
        <v>0.33341556473947453</v>
      </c>
      <c r="X1465" s="3"/>
      <c r="Y1465" s="3"/>
      <c r="Z1465" s="3"/>
      <c r="AA1465" s="3"/>
      <c r="AB1465" s="3"/>
      <c r="AC1465" s="3"/>
      <c r="AD1465" s="3"/>
      <c r="AE1465" s="3"/>
      <c r="AF1465" s="3"/>
      <c r="AG1465" s="3"/>
      <c r="AH1465" s="3"/>
      <c r="AI1465" s="3"/>
      <c r="AJ1465" s="3"/>
      <c r="AK1465" s="3"/>
      <c r="AL1465" s="3"/>
      <c r="AM1465" s="3"/>
      <c r="AN1465" s="3"/>
      <c r="AO1465" s="3"/>
      <c r="AP1465" s="3"/>
      <c r="AQ1465" s="3"/>
      <c r="AR1465" s="3"/>
      <c r="AS1465" s="3"/>
      <c r="AT1465" s="3"/>
      <c r="AU1465" s="3"/>
      <c r="AV1465" s="3"/>
      <c r="AW1465" s="3"/>
      <c r="AX1465" s="3"/>
    </row>
    <row r="1466" spans="8:50" x14ac:dyDescent="0.25"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7">
        <f t="shared" ca="1" si="22"/>
        <v>3.7816008484950689E-2</v>
      </c>
      <c r="X1466" s="3"/>
      <c r="Y1466" s="3"/>
      <c r="Z1466" s="3"/>
      <c r="AA1466" s="3"/>
      <c r="AB1466" s="3"/>
      <c r="AC1466" s="3"/>
      <c r="AD1466" s="3"/>
      <c r="AE1466" s="3"/>
      <c r="AF1466" s="3"/>
      <c r="AG1466" s="3"/>
      <c r="AH1466" s="3"/>
      <c r="AI1466" s="3"/>
      <c r="AJ1466" s="3"/>
      <c r="AK1466" s="3"/>
      <c r="AL1466" s="3"/>
      <c r="AM1466" s="3"/>
      <c r="AN1466" s="3"/>
      <c r="AO1466" s="3"/>
      <c r="AP1466" s="3"/>
      <c r="AQ1466" s="3"/>
      <c r="AR1466" s="3"/>
      <c r="AS1466" s="3"/>
      <c r="AT1466" s="3"/>
      <c r="AU1466" s="3"/>
      <c r="AV1466" s="3"/>
      <c r="AW1466" s="3"/>
      <c r="AX1466" s="3"/>
    </row>
    <row r="1467" spans="8:50" x14ac:dyDescent="0.25"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7">
        <f t="shared" ca="1" si="22"/>
        <v>7.6573314903477713E-2</v>
      </c>
      <c r="X1467" s="3"/>
      <c r="Y1467" s="3"/>
      <c r="Z1467" s="3"/>
      <c r="AA1467" s="3"/>
      <c r="AB1467" s="3"/>
      <c r="AC1467" s="3"/>
      <c r="AD1467" s="3"/>
      <c r="AE1467" s="3"/>
      <c r="AF1467" s="3"/>
      <c r="AG1467" s="3"/>
      <c r="AH1467" s="3"/>
      <c r="AI1467" s="3"/>
      <c r="AJ1467" s="3"/>
      <c r="AK1467" s="3"/>
      <c r="AL1467" s="3"/>
      <c r="AM1467" s="3"/>
      <c r="AN1467" s="3"/>
      <c r="AO1467" s="3"/>
      <c r="AP1467" s="3"/>
      <c r="AQ1467" s="3"/>
      <c r="AR1467" s="3"/>
      <c r="AS1467" s="3"/>
      <c r="AT1467" s="3"/>
      <c r="AU1467" s="3"/>
      <c r="AV1467" s="3"/>
      <c r="AW1467" s="3"/>
      <c r="AX1467" s="3"/>
    </row>
    <row r="1468" spans="8:50" x14ac:dyDescent="0.25"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7">
        <f t="shared" ca="1" si="22"/>
        <v>0.23822092212154364</v>
      </c>
      <c r="X1468" s="3"/>
      <c r="Y1468" s="3"/>
      <c r="Z1468" s="3"/>
      <c r="AA1468" s="3"/>
      <c r="AB1468" s="3"/>
      <c r="AC1468" s="3"/>
      <c r="AD1468" s="3"/>
      <c r="AE1468" s="3"/>
      <c r="AF1468" s="3"/>
      <c r="AG1468" s="3"/>
      <c r="AH1468" s="3"/>
      <c r="AI1468" s="3"/>
      <c r="AJ1468" s="3"/>
      <c r="AK1468" s="3"/>
      <c r="AL1468" s="3"/>
      <c r="AM1468" s="3"/>
      <c r="AN1468" s="3"/>
      <c r="AO1468" s="3"/>
      <c r="AP1468" s="3"/>
      <c r="AQ1468" s="3"/>
      <c r="AR1468" s="3"/>
      <c r="AS1468" s="3"/>
      <c r="AT1468" s="3"/>
      <c r="AU1468" s="3"/>
      <c r="AV1468" s="3"/>
      <c r="AW1468" s="3"/>
      <c r="AX1468" s="3"/>
    </row>
    <row r="1469" spans="8:50" x14ac:dyDescent="0.25"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7">
        <f t="shared" ca="1" si="22"/>
        <v>0.22011846549044789</v>
      </c>
      <c r="X1469" s="3"/>
      <c r="Y1469" s="3"/>
      <c r="Z1469" s="3"/>
      <c r="AA1469" s="3"/>
      <c r="AB1469" s="3"/>
      <c r="AC1469" s="3"/>
      <c r="AD1469" s="3"/>
      <c r="AE1469" s="3"/>
      <c r="AF1469" s="3"/>
      <c r="AG1469" s="3"/>
      <c r="AH1469" s="3"/>
      <c r="AI1469" s="3"/>
      <c r="AJ1469" s="3"/>
      <c r="AK1469" s="3"/>
      <c r="AL1469" s="3"/>
      <c r="AM1469" s="3"/>
      <c r="AN1469" s="3"/>
      <c r="AO1469" s="3"/>
      <c r="AP1469" s="3"/>
      <c r="AQ1469" s="3"/>
      <c r="AR1469" s="3"/>
      <c r="AS1469" s="3"/>
      <c r="AT1469" s="3"/>
      <c r="AU1469" s="3"/>
      <c r="AV1469" s="3"/>
      <c r="AW1469" s="3"/>
      <c r="AX1469" s="3"/>
    </row>
    <row r="1470" spans="8:50" x14ac:dyDescent="0.25"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7">
        <f t="shared" ca="1" si="22"/>
        <v>9.5422876262158063E-2</v>
      </c>
      <c r="X1470" s="3"/>
      <c r="Y1470" s="3"/>
      <c r="Z1470" s="3"/>
      <c r="AA1470" s="3"/>
      <c r="AB1470" s="3"/>
      <c r="AC1470" s="3"/>
      <c r="AD1470" s="3"/>
      <c r="AE1470" s="3"/>
      <c r="AF1470" s="3"/>
      <c r="AG1470" s="3"/>
      <c r="AH1470" s="3"/>
      <c r="AI1470" s="3"/>
      <c r="AJ1470" s="3"/>
      <c r="AK1470" s="3"/>
      <c r="AL1470" s="3"/>
      <c r="AM1470" s="3"/>
      <c r="AN1470" s="3"/>
      <c r="AO1470" s="3"/>
      <c r="AP1470" s="3"/>
      <c r="AQ1470" s="3"/>
      <c r="AR1470" s="3"/>
      <c r="AS1470" s="3"/>
      <c r="AT1470" s="3"/>
      <c r="AU1470" s="3"/>
      <c r="AV1470" s="3"/>
      <c r="AW1470" s="3"/>
      <c r="AX1470" s="3"/>
    </row>
    <row r="1471" spans="8:50" x14ac:dyDescent="0.25"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7">
        <f t="shared" ca="1" si="22"/>
        <v>-2.3232423008537881E-2</v>
      </c>
      <c r="X1471" s="3"/>
      <c r="Y1471" s="3"/>
      <c r="Z1471" s="3"/>
      <c r="AA1471" s="3"/>
      <c r="AB1471" s="3"/>
      <c r="AC1471" s="3"/>
      <c r="AD1471" s="3"/>
      <c r="AE1471" s="3"/>
      <c r="AF1471" s="3"/>
      <c r="AG1471" s="3"/>
      <c r="AH1471" s="3"/>
      <c r="AI1471" s="3"/>
      <c r="AJ1471" s="3"/>
      <c r="AK1471" s="3"/>
      <c r="AL1471" s="3"/>
      <c r="AM1471" s="3"/>
      <c r="AN1471" s="3"/>
      <c r="AO1471" s="3"/>
      <c r="AP1471" s="3"/>
      <c r="AQ1471" s="3"/>
      <c r="AR1471" s="3"/>
      <c r="AS1471" s="3"/>
      <c r="AT1471" s="3"/>
      <c r="AU1471" s="3"/>
      <c r="AV1471" s="3"/>
      <c r="AW1471" s="3"/>
      <c r="AX1471" s="3"/>
    </row>
    <row r="1472" spans="8:50" x14ac:dyDescent="0.25"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7">
        <f t="shared" ca="1" si="22"/>
        <v>0.14877993883060139</v>
      </c>
      <c r="X1472" s="3"/>
      <c r="Y1472" s="3"/>
      <c r="Z1472" s="3"/>
      <c r="AA1472" s="3"/>
      <c r="AB1472" s="3"/>
      <c r="AC1472" s="3"/>
      <c r="AD1472" s="3"/>
      <c r="AE1472" s="3"/>
      <c r="AF1472" s="3"/>
      <c r="AG1472" s="3"/>
      <c r="AH1472" s="3"/>
      <c r="AI1472" s="3"/>
      <c r="AJ1472" s="3"/>
      <c r="AK1472" s="3"/>
      <c r="AL1472" s="3"/>
      <c r="AM1472" s="3"/>
      <c r="AN1472" s="3"/>
      <c r="AO1472" s="3"/>
      <c r="AP1472" s="3"/>
      <c r="AQ1472" s="3"/>
      <c r="AR1472" s="3"/>
      <c r="AS1472" s="3"/>
      <c r="AT1472" s="3"/>
      <c r="AU1472" s="3"/>
      <c r="AV1472" s="3"/>
      <c r="AW1472" s="3"/>
      <c r="AX1472" s="3"/>
    </row>
    <row r="1473" spans="8:50" x14ac:dyDescent="0.25"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7">
        <f t="shared" ca="1" si="22"/>
        <v>-0.12027473605738702</v>
      </c>
      <c r="X1473" s="3"/>
      <c r="Y1473" s="3"/>
      <c r="Z1473" s="3"/>
      <c r="AA1473" s="3"/>
      <c r="AB1473" s="3"/>
      <c r="AC1473" s="3"/>
      <c r="AD1473" s="3"/>
      <c r="AE1473" s="3"/>
      <c r="AF1473" s="3"/>
      <c r="AG1473" s="3"/>
      <c r="AH1473" s="3"/>
      <c r="AI1473" s="3"/>
      <c r="AJ1473" s="3"/>
      <c r="AK1473" s="3"/>
      <c r="AL1473" s="3"/>
      <c r="AM1473" s="3"/>
      <c r="AN1473" s="3"/>
      <c r="AO1473" s="3"/>
      <c r="AP1473" s="3"/>
      <c r="AQ1473" s="3"/>
      <c r="AR1473" s="3"/>
      <c r="AS1473" s="3"/>
      <c r="AT1473" s="3"/>
      <c r="AU1473" s="3"/>
      <c r="AV1473" s="3"/>
      <c r="AW1473" s="3"/>
      <c r="AX1473" s="3"/>
    </row>
    <row r="1474" spans="8:50" x14ac:dyDescent="0.25"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7">
        <f t="shared" ca="1" si="22"/>
        <v>0.166078287866743</v>
      </c>
      <c r="X1474" s="3"/>
      <c r="Y1474" s="3"/>
      <c r="Z1474" s="3"/>
      <c r="AA1474" s="3"/>
      <c r="AB1474" s="3"/>
      <c r="AC1474" s="3"/>
      <c r="AD1474" s="3"/>
      <c r="AE1474" s="3"/>
      <c r="AF1474" s="3"/>
      <c r="AG1474" s="3"/>
      <c r="AH1474" s="3"/>
      <c r="AI1474" s="3"/>
      <c r="AJ1474" s="3"/>
      <c r="AK1474" s="3"/>
      <c r="AL1474" s="3"/>
      <c r="AM1474" s="3"/>
      <c r="AN1474" s="3"/>
      <c r="AO1474" s="3"/>
      <c r="AP1474" s="3"/>
      <c r="AQ1474" s="3"/>
      <c r="AR1474" s="3"/>
      <c r="AS1474" s="3"/>
      <c r="AT1474" s="3"/>
      <c r="AU1474" s="3"/>
      <c r="AV1474" s="3"/>
      <c r="AW1474" s="3"/>
      <c r="AX1474" s="3"/>
    </row>
    <row r="1475" spans="8:50" x14ac:dyDescent="0.25"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7">
        <f t="shared" ca="1" si="22"/>
        <v>-5.7221802269923489E-3</v>
      </c>
      <c r="X1475" s="3"/>
      <c r="Y1475" s="3"/>
      <c r="Z1475" s="3"/>
      <c r="AA1475" s="3"/>
      <c r="AB1475" s="3"/>
      <c r="AC1475" s="3"/>
      <c r="AD1475" s="3"/>
      <c r="AE1475" s="3"/>
      <c r="AF1475" s="3"/>
      <c r="AG1475" s="3"/>
      <c r="AH1475" s="3"/>
      <c r="AI1475" s="3"/>
      <c r="AJ1475" s="3"/>
      <c r="AK1475" s="3"/>
      <c r="AL1475" s="3"/>
      <c r="AM1475" s="3"/>
      <c r="AN1475" s="3"/>
      <c r="AO1475" s="3"/>
      <c r="AP1475" s="3"/>
      <c r="AQ1475" s="3"/>
      <c r="AR1475" s="3"/>
      <c r="AS1475" s="3"/>
      <c r="AT1475" s="3"/>
      <c r="AU1475" s="3"/>
      <c r="AV1475" s="3"/>
      <c r="AW1475" s="3"/>
      <c r="AX1475" s="3"/>
    </row>
    <row r="1476" spans="8:50" x14ac:dyDescent="0.25"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7">
        <f t="shared" ca="1" si="22"/>
        <v>0.39550260742322535</v>
      </c>
      <c r="X1476" s="3"/>
      <c r="Y1476" s="3"/>
      <c r="Z1476" s="3"/>
      <c r="AA1476" s="3"/>
      <c r="AB1476" s="3"/>
      <c r="AC1476" s="3"/>
      <c r="AD1476" s="3"/>
      <c r="AE1476" s="3"/>
      <c r="AF1476" s="3"/>
      <c r="AG1476" s="3"/>
      <c r="AH1476" s="3"/>
      <c r="AI1476" s="3"/>
      <c r="AJ1476" s="3"/>
      <c r="AK1476" s="3"/>
      <c r="AL1476" s="3"/>
      <c r="AM1476" s="3"/>
      <c r="AN1476" s="3"/>
      <c r="AO1476" s="3"/>
      <c r="AP1476" s="3"/>
      <c r="AQ1476" s="3"/>
      <c r="AR1476" s="3"/>
      <c r="AS1476" s="3"/>
      <c r="AT1476" s="3"/>
      <c r="AU1476" s="3"/>
      <c r="AV1476" s="3"/>
      <c r="AW1476" s="3"/>
      <c r="AX1476" s="3"/>
    </row>
    <row r="1477" spans="8:50" x14ac:dyDescent="0.25"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7">
        <f t="shared" ca="1" si="22"/>
        <v>0.3324709806766315</v>
      </c>
      <c r="X1477" s="3"/>
      <c r="Y1477" s="3"/>
      <c r="Z1477" s="3"/>
      <c r="AA1477" s="3"/>
      <c r="AB1477" s="3"/>
      <c r="AC1477" s="3"/>
      <c r="AD1477" s="3"/>
      <c r="AE1477" s="3"/>
      <c r="AF1477" s="3"/>
      <c r="AG1477" s="3"/>
      <c r="AH1477" s="3"/>
      <c r="AI1477" s="3"/>
      <c r="AJ1477" s="3"/>
      <c r="AK1477" s="3"/>
      <c r="AL1477" s="3"/>
      <c r="AM1477" s="3"/>
      <c r="AN1477" s="3"/>
      <c r="AO1477" s="3"/>
      <c r="AP1477" s="3"/>
      <c r="AQ1477" s="3"/>
      <c r="AR1477" s="3"/>
      <c r="AS1477" s="3"/>
      <c r="AT1477" s="3"/>
      <c r="AU1477" s="3"/>
      <c r="AV1477" s="3"/>
      <c r="AW1477" s="3"/>
      <c r="AX1477" s="3"/>
    </row>
    <row r="1478" spans="8:50" x14ac:dyDescent="0.25"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7">
        <f t="shared" ref="W1478:W1516" ca="1" si="23">+NORMINV(RAND(),$U$2,$U$3)</f>
        <v>0.14682789225184592</v>
      </c>
      <c r="X1478" s="3"/>
      <c r="Y1478" s="3"/>
      <c r="Z1478" s="3"/>
      <c r="AA1478" s="3"/>
      <c r="AB1478" s="3"/>
      <c r="AC1478" s="3"/>
      <c r="AD1478" s="3"/>
      <c r="AE1478" s="3"/>
      <c r="AF1478" s="3"/>
      <c r="AG1478" s="3"/>
      <c r="AH1478" s="3"/>
      <c r="AI1478" s="3"/>
      <c r="AJ1478" s="3"/>
      <c r="AK1478" s="3"/>
      <c r="AL1478" s="3"/>
      <c r="AM1478" s="3"/>
      <c r="AN1478" s="3"/>
      <c r="AO1478" s="3"/>
      <c r="AP1478" s="3"/>
      <c r="AQ1478" s="3"/>
      <c r="AR1478" s="3"/>
      <c r="AS1478" s="3"/>
      <c r="AT1478" s="3"/>
      <c r="AU1478" s="3"/>
      <c r="AV1478" s="3"/>
      <c r="AW1478" s="3"/>
      <c r="AX1478" s="3"/>
    </row>
    <row r="1479" spans="8:50" x14ac:dyDescent="0.25"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7">
        <f t="shared" ca="1" si="23"/>
        <v>1.1750617581981537E-2</v>
      </c>
      <c r="X1479" s="3"/>
      <c r="Y1479" s="3"/>
      <c r="Z1479" s="3"/>
      <c r="AA1479" s="3"/>
      <c r="AB1479" s="3"/>
      <c r="AC1479" s="3"/>
      <c r="AD1479" s="3"/>
      <c r="AE1479" s="3"/>
      <c r="AF1479" s="3"/>
      <c r="AG1479" s="3"/>
      <c r="AH1479" s="3"/>
      <c r="AI1479" s="3"/>
      <c r="AJ1479" s="3"/>
      <c r="AK1479" s="3"/>
      <c r="AL1479" s="3"/>
      <c r="AM1479" s="3"/>
      <c r="AN1479" s="3"/>
      <c r="AO1479" s="3"/>
      <c r="AP1479" s="3"/>
      <c r="AQ1479" s="3"/>
      <c r="AR1479" s="3"/>
      <c r="AS1479" s="3"/>
      <c r="AT1479" s="3"/>
      <c r="AU1479" s="3"/>
      <c r="AV1479" s="3"/>
      <c r="AW1479" s="3"/>
      <c r="AX1479" s="3"/>
    </row>
    <row r="1480" spans="8:50" x14ac:dyDescent="0.25"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7">
        <f t="shared" ca="1" si="23"/>
        <v>0.25296831873095332</v>
      </c>
      <c r="X1480" s="3"/>
      <c r="Y1480" s="3"/>
      <c r="Z1480" s="3"/>
      <c r="AA1480" s="3"/>
      <c r="AB1480" s="3"/>
      <c r="AC1480" s="3"/>
      <c r="AD1480" s="3"/>
      <c r="AE1480" s="3"/>
      <c r="AF1480" s="3"/>
      <c r="AG1480" s="3"/>
      <c r="AH1480" s="3"/>
      <c r="AI1480" s="3"/>
      <c r="AJ1480" s="3"/>
      <c r="AK1480" s="3"/>
      <c r="AL1480" s="3"/>
      <c r="AM1480" s="3"/>
      <c r="AN1480" s="3"/>
      <c r="AO1480" s="3"/>
      <c r="AP1480" s="3"/>
      <c r="AQ1480" s="3"/>
      <c r="AR1480" s="3"/>
      <c r="AS1480" s="3"/>
      <c r="AT1480" s="3"/>
      <c r="AU1480" s="3"/>
      <c r="AV1480" s="3"/>
      <c r="AW1480" s="3"/>
      <c r="AX1480" s="3"/>
    </row>
    <row r="1481" spans="8:50" x14ac:dyDescent="0.25"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7">
        <f t="shared" ca="1" si="23"/>
        <v>-0.26012630604787096</v>
      </c>
      <c r="X1481" s="3"/>
      <c r="Y1481" s="3"/>
      <c r="Z1481" s="3"/>
      <c r="AA1481" s="3"/>
      <c r="AB1481" s="3"/>
      <c r="AC1481" s="3"/>
      <c r="AD1481" s="3"/>
      <c r="AE1481" s="3"/>
      <c r="AF1481" s="3"/>
      <c r="AG1481" s="3"/>
      <c r="AH1481" s="3"/>
      <c r="AI1481" s="3"/>
      <c r="AJ1481" s="3"/>
      <c r="AK1481" s="3"/>
      <c r="AL1481" s="3"/>
      <c r="AM1481" s="3"/>
      <c r="AN1481" s="3"/>
      <c r="AO1481" s="3"/>
      <c r="AP1481" s="3"/>
      <c r="AQ1481" s="3"/>
      <c r="AR1481" s="3"/>
      <c r="AS1481" s="3"/>
      <c r="AT1481" s="3"/>
      <c r="AU1481" s="3"/>
      <c r="AV1481" s="3"/>
      <c r="AW1481" s="3"/>
      <c r="AX1481" s="3"/>
    </row>
    <row r="1482" spans="8:50" x14ac:dyDescent="0.25"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7">
        <f t="shared" ca="1" si="23"/>
        <v>0.16559761389652028</v>
      </c>
      <c r="X1482" s="3"/>
      <c r="Y1482" s="3"/>
      <c r="Z1482" s="3"/>
      <c r="AA1482" s="3"/>
      <c r="AB1482" s="3"/>
      <c r="AC1482" s="3"/>
      <c r="AD1482" s="3"/>
      <c r="AE1482" s="3"/>
      <c r="AF1482" s="3"/>
      <c r="AG1482" s="3"/>
      <c r="AH1482" s="3"/>
      <c r="AI1482" s="3"/>
      <c r="AJ1482" s="3"/>
      <c r="AK1482" s="3"/>
      <c r="AL1482" s="3"/>
      <c r="AM1482" s="3"/>
      <c r="AN1482" s="3"/>
      <c r="AO1482" s="3"/>
      <c r="AP1482" s="3"/>
      <c r="AQ1482" s="3"/>
      <c r="AR1482" s="3"/>
      <c r="AS1482" s="3"/>
      <c r="AT1482" s="3"/>
      <c r="AU1482" s="3"/>
      <c r="AV1482" s="3"/>
      <c r="AW1482" s="3"/>
      <c r="AX1482" s="3"/>
    </row>
    <row r="1483" spans="8:50" x14ac:dyDescent="0.25"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7">
        <f t="shared" ca="1" si="23"/>
        <v>0.17628519545664534</v>
      </c>
      <c r="X1483" s="3"/>
      <c r="Y1483" s="3"/>
      <c r="Z1483" s="3"/>
      <c r="AA1483" s="3"/>
      <c r="AB1483" s="3"/>
      <c r="AC1483" s="3"/>
      <c r="AD1483" s="3"/>
      <c r="AE1483" s="3"/>
      <c r="AF1483" s="3"/>
      <c r="AG1483" s="3"/>
      <c r="AH1483" s="3"/>
      <c r="AI1483" s="3"/>
      <c r="AJ1483" s="3"/>
      <c r="AK1483" s="3"/>
      <c r="AL1483" s="3"/>
      <c r="AM1483" s="3"/>
      <c r="AN1483" s="3"/>
      <c r="AO1483" s="3"/>
      <c r="AP1483" s="3"/>
      <c r="AQ1483" s="3"/>
      <c r="AR1483" s="3"/>
      <c r="AS1483" s="3"/>
      <c r="AT1483" s="3"/>
      <c r="AU1483" s="3"/>
      <c r="AV1483" s="3"/>
      <c r="AW1483" s="3"/>
      <c r="AX1483" s="3"/>
    </row>
    <row r="1484" spans="8:50" x14ac:dyDescent="0.25"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7">
        <f t="shared" ca="1" si="23"/>
        <v>-3.4126196170331649E-2</v>
      </c>
      <c r="X1484" s="3"/>
      <c r="Y1484" s="3"/>
      <c r="Z1484" s="3"/>
      <c r="AA1484" s="3"/>
      <c r="AB1484" s="3"/>
      <c r="AC1484" s="3"/>
      <c r="AD1484" s="3"/>
      <c r="AE1484" s="3"/>
      <c r="AF1484" s="3"/>
      <c r="AG1484" s="3"/>
      <c r="AH1484" s="3"/>
      <c r="AI1484" s="3"/>
      <c r="AJ1484" s="3"/>
      <c r="AK1484" s="3"/>
      <c r="AL1484" s="3"/>
      <c r="AM1484" s="3"/>
      <c r="AN1484" s="3"/>
      <c r="AO1484" s="3"/>
      <c r="AP1484" s="3"/>
      <c r="AQ1484" s="3"/>
      <c r="AR1484" s="3"/>
      <c r="AS1484" s="3"/>
      <c r="AT1484" s="3"/>
      <c r="AU1484" s="3"/>
      <c r="AV1484" s="3"/>
      <c r="AW1484" s="3"/>
      <c r="AX1484" s="3"/>
    </row>
    <row r="1485" spans="8:50" x14ac:dyDescent="0.25"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7">
        <f t="shared" ca="1" si="23"/>
        <v>6.4590127497934843E-2</v>
      </c>
      <c r="X1485" s="3"/>
      <c r="Y1485" s="3"/>
      <c r="Z1485" s="3"/>
      <c r="AA1485" s="3"/>
      <c r="AB1485" s="3"/>
      <c r="AC1485" s="3"/>
      <c r="AD1485" s="3"/>
      <c r="AE1485" s="3"/>
      <c r="AF1485" s="3"/>
      <c r="AG1485" s="3"/>
      <c r="AH1485" s="3"/>
      <c r="AI1485" s="3"/>
      <c r="AJ1485" s="3"/>
      <c r="AK1485" s="3"/>
      <c r="AL1485" s="3"/>
      <c r="AM1485" s="3"/>
      <c r="AN1485" s="3"/>
      <c r="AO1485" s="3"/>
      <c r="AP1485" s="3"/>
      <c r="AQ1485" s="3"/>
      <c r="AR1485" s="3"/>
      <c r="AS1485" s="3"/>
      <c r="AT1485" s="3"/>
      <c r="AU1485" s="3"/>
      <c r="AV1485" s="3"/>
      <c r="AW1485" s="3"/>
      <c r="AX1485" s="3"/>
    </row>
    <row r="1486" spans="8:50" x14ac:dyDescent="0.25"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7">
        <f t="shared" ca="1" si="23"/>
        <v>0.219455404042603</v>
      </c>
      <c r="X1486" s="3"/>
      <c r="Y1486" s="3"/>
      <c r="Z1486" s="3"/>
      <c r="AA1486" s="3"/>
      <c r="AB1486" s="3"/>
      <c r="AC1486" s="3"/>
      <c r="AD1486" s="3"/>
      <c r="AE1486" s="3"/>
      <c r="AF1486" s="3"/>
      <c r="AG1486" s="3"/>
      <c r="AH1486" s="3"/>
      <c r="AI1486" s="3"/>
      <c r="AJ1486" s="3"/>
      <c r="AK1486" s="3"/>
      <c r="AL1486" s="3"/>
      <c r="AM1486" s="3"/>
      <c r="AN1486" s="3"/>
      <c r="AO1486" s="3"/>
      <c r="AP1486" s="3"/>
      <c r="AQ1486" s="3"/>
      <c r="AR1486" s="3"/>
      <c r="AS1486" s="3"/>
      <c r="AT1486" s="3"/>
      <c r="AU1486" s="3"/>
      <c r="AV1486" s="3"/>
      <c r="AW1486" s="3"/>
      <c r="AX1486" s="3"/>
    </row>
    <row r="1487" spans="8:50" x14ac:dyDescent="0.25"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7">
        <f t="shared" ca="1" si="23"/>
        <v>0.12623731952488285</v>
      </c>
      <c r="X1487" s="3"/>
      <c r="Y1487" s="3"/>
      <c r="Z1487" s="3"/>
      <c r="AA1487" s="3"/>
      <c r="AB1487" s="3"/>
      <c r="AC1487" s="3"/>
      <c r="AD1487" s="3"/>
      <c r="AE1487" s="3"/>
      <c r="AF1487" s="3"/>
      <c r="AG1487" s="3"/>
      <c r="AH1487" s="3"/>
      <c r="AI1487" s="3"/>
      <c r="AJ1487" s="3"/>
      <c r="AK1487" s="3"/>
      <c r="AL1487" s="3"/>
      <c r="AM1487" s="3"/>
      <c r="AN1487" s="3"/>
      <c r="AO1487" s="3"/>
      <c r="AP1487" s="3"/>
      <c r="AQ1487" s="3"/>
      <c r="AR1487" s="3"/>
      <c r="AS1487" s="3"/>
      <c r="AT1487" s="3"/>
      <c r="AU1487" s="3"/>
      <c r="AV1487" s="3"/>
      <c r="AW1487" s="3"/>
      <c r="AX1487" s="3"/>
    </row>
    <row r="1488" spans="8:50" x14ac:dyDescent="0.25"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7">
        <f t="shared" ca="1" si="23"/>
        <v>0.29702498266788918</v>
      </c>
      <c r="X1488" s="3"/>
      <c r="Y1488" s="3"/>
      <c r="Z1488" s="3"/>
      <c r="AA1488" s="3"/>
      <c r="AB1488" s="3"/>
      <c r="AC1488" s="3"/>
      <c r="AD1488" s="3"/>
      <c r="AE1488" s="3"/>
      <c r="AF1488" s="3"/>
      <c r="AG1488" s="3"/>
      <c r="AH1488" s="3"/>
      <c r="AI1488" s="3"/>
      <c r="AJ1488" s="3"/>
      <c r="AK1488" s="3"/>
      <c r="AL1488" s="3"/>
      <c r="AM1488" s="3"/>
      <c r="AN1488" s="3"/>
      <c r="AO1488" s="3"/>
      <c r="AP1488" s="3"/>
      <c r="AQ1488" s="3"/>
      <c r="AR1488" s="3"/>
      <c r="AS1488" s="3"/>
      <c r="AT1488" s="3"/>
      <c r="AU1488" s="3"/>
      <c r="AV1488" s="3"/>
      <c r="AW1488" s="3"/>
      <c r="AX1488" s="3"/>
    </row>
    <row r="1489" spans="8:50" x14ac:dyDescent="0.25"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7">
        <f t="shared" ca="1" si="23"/>
        <v>0.26504186475382646</v>
      </c>
      <c r="X1489" s="3"/>
      <c r="Y1489" s="3"/>
      <c r="Z1489" s="3"/>
      <c r="AA1489" s="3"/>
      <c r="AB1489" s="3"/>
      <c r="AC1489" s="3"/>
      <c r="AD1489" s="3"/>
      <c r="AE1489" s="3"/>
      <c r="AF1489" s="3"/>
      <c r="AG1489" s="3"/>
      <c r="AH1489" s="3"/>
      <c r="AI1489" s="3"/>
      <c r="AJ1489" s="3"/>
      <c r="AK1489" s="3"/>
      <c r="AL1489" s="3"/>
      <c r="AM1489" s="3"/>
      <c r="AN1489" s="3"/>
      <c r="AO1489" s="3"/>
      <c r="AP1489" s="3"/>
      <c r="AQ1489" s="3"/>
      <c r="AR1489" s="3"/>
      <c r="AS1489" s="3"/>
      <c r="AT1489" s="3"/>
      <c r="AU1489" s="3"/>
      <c r="AV1489" s="3"/>
      <c r="AW1489" s="3"/>
      <c r="AX1489" s="3"/>
    </row>
    <row r="1490" spans="8:50" x14ac:dyDescent="0.25"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7">
        <f t="shared" ca="1" si="23"/>
        <v>1.6320122125465575E-2</v>
      </c>
      <c r="X1490" s="3"/>
      <c r="Y1490" s="3"/>
      <c r="Z1490" s="3"/>
      <c r="AA1490" s="3"/>
      <c r="AB1490" s="3"/>
      <c r="AC1490" s="3"/>
      <c r="AD1490" s="3"/>
      <c r="AE1490" s="3"/>
      <c r="AF1490" s="3"/>
      <c r="AG1490" s="3"/>
      <c r="AH1490" s="3"/>
      <c r="AI1490" s="3"/>
      <c r="AJ1490" s="3"/>
      <c r="AK1490" s="3"/>
      <c r="AL1490" s="3"/>
      <c r="AM1490" s="3"/>
      <c r="AN1490" s="3"/>
      <c r="AO1490" s="3"/>
      <c r="AP1490" s="3"/>
      <c r="AQ1490" s="3"/>
      <c r="AR1490" s="3"/>
      <c r="AS1490" s="3"/>
      <c r="AT1490" s="3"/>
      <c r="AU1490" s="3"/>
      <c r="AV1490" s="3"/>
      <c r="AW1490" s="3"/>
      <c r="AX1490" s="3"/>
    </row>
    <row r="1491" spans="8:50" x14ac:dyDescent="0.25"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7">
        <f t="shared" ca="1" si="23"/>
        <v>0.33568959530557407</v>
      </c>
      <c r="X1491" s="3"/>
      <c r="Y1491" s="3"/>
      <c r="Z1491" s="3"/>
      <c r="AA1491" s="3"/>
      <c r="AB1491" s="3"/>
      <c r="AC1491" s="3"/>
      <c r="AD1491" s="3"/>
      <c r="AE1491" s="3"/>
      <c r="AF1491" s="3"/>
      <c r="AG1491" s="3"/>
      <c r="AH1491" s="3"/>
      <c r="AI1491" s="3"/>
      <c r="AJ1491" s="3"/>
      <c r="AK1491" s="3"/>
      <c r="AL1491" s="3"/>
      <c r="AM1491" s="3"/>
      <c r="AN1491" s="3"/>
      <c r="AO1491" s="3"/>
      <c r="AP1491" s="3"/>
      <c r="AQ1491" s="3"/>
      <c r="AR1491" s="3"/>
      <c r="AS1491" s="3"/>
      <c r="AT1491" s="3"/>
      <c r="AU1491" s="3"/>
      <c r="AV1491" s="3"/>
      <c r="AW1491" s="3"/>
      <c r="AX1491" s="3"/>
    </row>
    <row r="1492" spans="8:50" x14ac:dyDescent="0.25"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7">
        <f t="shared" ca="1" si="23"/>
        <v>0.1413350450970528</v>
      </c>
      <c r="X1492" s="3"/>
      <c r="Y1492" s="3"/>
      <c r="Z1492" s="3"/>
      <c r="AA1492" s="3"/>
      <c r="AB1492" s="3"/>
      <c r="AC1492" s="3"/>
      <c r="AD1492" s="3"/>
      <c r="AE1492" s="3"/>
      <c r="AF1492" s="3"/>
      <c r="AG1492" s="3"/>
      <c r="AH1492" s="3"/>
      <c r="AI1492" s="3"/>
      <c r="AJ1492" s="3"/>
      <c r="AK1492" s="3"/>
      <c r="AL1492" s="3"/>
      <c r="AM1492" s="3"/>
      <c r="AN1492" s="3"/>
      <c r="AO1492" s="3"/>
      <c r="AP1492" s="3"/>
      <c r="AQ1492" s="3"/>
      <c r="AR1492" s="3"/>
      <c r="AS1492" s="3"/>
      <c r="AT1492" s="3"/>
      <c r="AU1492" s="3"/>
      <c r="AV1492" s="3"/>
      <c r="AW1492" s="3"/>
      <c r="AX1492" s="3"/>
    </row>
    <row r="1493" spans="8:50" x14ac:dyDescent="0.25"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7">
        <f t="shared" ca="1" si="23"/>
        <v>9.8802683689025533E-2</v>
      </c>
      <c r="X1493" s="3"/>
      <c r="Y1493" s="3"/>
      <c r="Z1493" s="3"/>
      <c r="AA1493" s="3"/>
      <c r="AB1493" s="3"/>
      <c r="AC1493" s="3"/>
      <c r="AD1493" s="3"/>
      <c r="AE1493" s="3"/>
      <c r="AF1493" s="3"/>
      <c r="AG1493" s="3"/>
      <c r="AH1493" s="3"/>
      <c r="AI1493" s="3"/>
      <c r="AJ1493" s="3"/>
      <c r="AK1493" s="3"/>
      <c r="AL1493" s="3"/>
      <c r="AM1493" s="3"/>
      <c r="AN1493" s="3"/>
      <c r="AO1493" s="3"/>
      <c r="AP1493" s="3"/>
      <c r="AQ1493" s="3"/>
      <c r="AR1493" s="3"/>
      <c r="AS1493" s="3"/>
      <c r="AT1493" s="3"/>
      <c r="AU1493" s="3"/>
      <c r="AV1493" s="3"/>
      <c r="AW1493" s="3"/>
      <c r="AX1493" s="3"/>
    </row>
    <row r="1494" spans="8:50" x14ac:dyDescent="0.25"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7">
        <f t="shared" ca="1" si="23"/>
        <v>0.4111852230782499</v>
      </c>
      <c r="X1494" s="3"/>
      <c r="Y1494" s="3"/>
      <c r="Z1494" s="3"/>
      <c r="AA1494" s="3"/>
      <c r="AB1494" s="3"/>
      <c r="AC1494" s="3"/>
      <c r="AD1494" s="3"/>
      <c r="AE1494" s="3"/>
      <c r="AF1494" s="3"/>
      <c r="AG1494" s="3"/>
      <c r="AH1494" s="3"/>
      <c r="AI1494" s="3"/>
      <c r="AJ1494" s="3"/>
      <c r="AK1494" s="3"/>
      <c r="AL1494" s="3"/>
      <c r="AM1494" s="3"/>
      <c r="AN1494" s="3"/>
      <c r="AO1494" s="3"/>
      <c r="AP1494" s="3"/>
      <c r="AQ1494" s="3"/>
      <c r="AR1494" s="3"/>
      <c r="AS1494" s="3"/>
      <c r="AT1494" s="3"/>
      <c r="AU1494" s="3"/>
      <c r="AV1494" s="3"/>
      <c r="AW1494" s="3"/>
      <c r="AX1494" s="3"/>
    </row>
    <row r="1495" spans="8:50" x14ac:dyDescent="0.25"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7">
        <f t="shared" ca="1" si="23"/>
        <v>8.6471729091505328E-2</v>
      </c>
      <c r="X1495" s="3"/>
      <c r="Y1495" s="3"/>
      <c r="Z1495" s="3"/>
      <c r="AA1495" s="3"/>
      <c r="AB1495" s="3"/>
      <c r="AC1495" s="3"/>
      <c r="AD1495" s="3"/>
      <c r="AE1495" s="3"/>
      <c r="AF1495" s="3"/>
      <c r="AG1495" s="3"/>
      <c r="AH1495" s="3"/>
      <c r="AI1495" s="3"/>
      <c r="AJ1495" s="3"/>
      <c r="AK1495" s="3"/>
      <c r="AL1495" s="3"/>
      <c r="AM1495" s="3"/>
      <c r="AN1495" s="3"/>
      <c r="AO1495" s="3"/>
      <c r="AP1495" s="3"/>
      <c r="AQ1495" s="3"/>
      <c r="AR1495" s="3"/>
      <c r="AS1495" s="3"/>
      <c r="AT1495" s="3"/>
      <c r="AU1495" s="3"/>
      <c r="AV1495" s="3"/>
      <c r="AW1495" s="3"/>
      <c r="AX1495" s="3"/>
    </row>
    <row r="1496" spans="8:50" x14ac:dyDescent="0.25"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7">
        <f t="shared" ca="1" si="23"/>
        <v>0.37400741098042983</v>
      </c>
      <c r="X1496" s="3"/>
      <c r="Y1496" s="3"/>
      <c r="Z1496" s="3"/>
      <c r="AA1496" s="3"/>
      <c r="AB1496" s="3"/>
      <c r="AC1496" s="3"/>
      <c r="AD1496" s="3"/>
      <c r="AE1496" s="3"/>
      <c r="AF1496" s="3"/>
      <c r="AG1496" s="3"/>
      <c r="AH1496" s="3"/>
      <c r="AI1496" s="3"/>
      <c r="AJ1496" s="3"/>
      <c r="AK1496" s="3"/>
      <c r="AL1496" s="3"/>
      <c r="AM1496" s="3"/>
      <c r="AN1496" s="3"/>
      <c r="AO1496" s="3"/>
      <c r="AP1496" s="3"/>
      <c r="AQ1496" s="3"/>
      <c r="AR1496" s="3"/>
      <c r="AS1496" s="3"/>
      <c r="AT1496" s="3"/>
      <c r="AU1496" s="3"/>
      <c r="AV1496" s="3"/>
      <c r="AW1496" s="3"/>
      <c r="AX1496" s="3"/>
    </row>
    <row r="1497" spans="8:50" x14ac:dyDescent="0.25"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7">
        <f t="shared" ca="1" si="23"/>
        <v>0.2856513583447568</v>
      </c>
      <c r="X1497" s="3"/>
      <c r="Y1497" s="3"/>
      <c r="Z1497" s="3"/>
      <c r="AA1497" s="3"/>
      <c r="AB1497" s="3"/>
      <c r="AC1497" s="3"/>
      <c r="AD1497" s="3"/>
      <c r="AE1497" s="3"/>
      <c r="AF1497" s="3"/>
      <c r="AG1497" s="3"/>
      <c r="AH1497" s="3"/>
      <c r="AI1497" s="3"/>
      <c r="AJ1497" s="3"/>
      <c r="AK1497" s="3"/>
      <c r="AL1497" s="3"/>
      <c r="AM1497" s="3"/>
      <c r="AN1497" s="3"/>
      <c r="AO1497" s="3"/>
      <c r="AP1497" s="3"/>
      <c r="AQ1497" s="3"/>
      <c r="AR1497" s="3"/>
      <c r="AS1497" s="3"/>
      <c r="AT1497" s="3"/>
      <c r="AU1497" s="3"/>
      <c r="AV1497" s="3"/>
      <c r="AW1497" s="3"/>
      <c r="AX1497" s="3"/>
    </row>
    <row r="1498" spans="8:50" x14ac:dyDescent="0.25"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7">
        <f t="shared" ca="1" si="23"/>
        <v>0.3392349065978697</v>
      </c>
      <c r="X1498" s="3"/>
      <c r="Y1498" s="3"/>
      <c r="Z1498" s="3"/>
      <c r="AA1498" s="3"/>
      <c r="AB1498" s="3"/>
      <c r="AC1498" s="3"/>
      <c r="AD1498" s="3"/>
      <c r="AE1498" s="3"/>
      <c r="AF1498" s="3"/>
      <c r="AG1498" s="3"/>
      <c r="AH1498" s="3"/>
      <c r="AI1498" s="3"/>
      <c r="AJ1498" s="3"/>
      <c r="AK1498" s="3"/>
      <c r="AL1498" s="3"/>
      <c r="AM1498" s="3"/>
      <c r="AN1498" s="3"/>
      <c r="AO1498" s="3"/>
      <c r="AP1498" s="3"/>
      <c r="AQ1498" s="3"/>
      <c r="AR1498" s="3"/>
      <c r="AS1498" s="3"/>
      <c r="AT1498" s="3"/>
      <c r="AU1498" s="3"/>
      <c r="AV1498" s="3"/>
      <c r="AW1498" s="3"/>
      <c r="AX1498" s="3"/>
    </row>
    <row r="1499" spans="8:50" x14ac:dyDescent="0.25"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7">
        <f t="shared" ca="1" si="23"/>
        <v>-7.5437684862820209E-3</v>
      </c>
      <c r="X1499" s="3"/>
      <c r="Y1499" s="3"/>
      <c r="Z1499" s="3"/>
      <c r="AA1499" s="3"/>
      <c r="AB1499" s="3"/>
      <c r="AC1499" s="3"/>
      <c r="AD1499" s="3"/>
      <c r="AE1499" s="3"/>
      <c r="AF1499" s="3"/>
      <c r="AG1499" s="3"/>
      <c r="AH1499" s="3"/>
      <c r="AI1499" s="3"/>
      <c r="AJ1499" s="3"/>
      <c r="AK1499" s="3"/>
      <c r="AL1499" s="3"/>
      <c r="AM1499" s="3"/>
      <c r="AN1499" s="3"/>
      <c r="AO1499" s="3"/>
      <c r="AP1499" s="3"/>
      <c r="AQ1499" s="3"/>
      <c r="AR1499" s="3"/>
      <c r="AS1499" s="3"/>
      <c r="AT1499" s="3"/>
      <c r="AU1499" s="3"/>
      <c r="AV1499" s="3"/>
      <c r="AW1499" s="3"/>
      <c r="AX1499" s="3"/>
    </row>
    <row r="1500" spans="8:50" x14ac:dyDescent="0.25"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7">
        <f t="shared" ca="1" si="23"/>
        <v>6.6312278801228003E-2</v>
      </c>
      <c r="X1500" s="3"/>
      <c r="Y1500" s="3"/>
      <c r="Z1500" s="3"/>
      <c r="AA1500" s="3"/>
      <c r="AB1500" s="3"/>
      <c r="AC1500" s="3"/>
      <c r="AD1500" s="3"/>
      <c r="AE1500" s="3"/>
      <c r="AF1500" s="3"/>
      <c r="AG1500" s="3"/>
      <c r="AH1500" s="3"/>
      <c r="AI1500" s="3"/>
      <c r="AJ1500" s="3"/>
      <c r="AK1500" s="3"/>
      <c r="AL1500" s="3"/>
      <c r="AM1500" s="3"/>
      <c r="AN1500" s="3"/>
      <c r="AO1500" s="3"/>
      <c r="AP1500" s="3"/>
      <c r="AQ1500" s="3"/>
      <c r="AR1500" s="3"/>
      <c r="AS1500" s="3"/>
      <c r="AT1500" s="3"/>
      <c r="AU1500" s="3"/>
      <c r="AV1500" s="3"/>
      <c r="AW1500" s="3"/>
      <c r="AX1500" s="3"/>
    </row>
    <row r="1501" spans="8:50" x14ac:dyDescent="0.25"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7">
        <f t="shared" ca="1" si="23"/>
        <v>8.1230026933432911E-2</v>
      </c>
      <c r="X1501" s="3"/>
      <c r="Y1501" s="3"/>
      <c r="Z1501" s="3"/>
      <c r="AA1501" s="3"/>
      <c r="AB1501" s="3"/>
      <c r="AC1501" s="3"/>
      <c r="AD1501" s="3"/>
      <c r="AE1501" s="3"/>
      <c r="AF1501" s="3"/>
      <c r="AG1501" s="3"/>
      <c r="AH1501" s="3"/>
      <c r="AI1501" s="3"/>
      <c r="AJ1501" s="3"/>
      <c r="AK1501" s="3"/>
      <c r="AL1501" s="3"/>
      <c r="AM1501" s="3"/>
      <c r="AN1501" s="3"/>
      <c r="AO1501" s="3"/>
      <c r="AP1501" s="3"/>
      <c r="AQ1501" s="3"/>
      <c r="AR1501" s="3"/>
      <c r="AS1501" s="3"/>
      <c r="AT1501" s="3"/>
      <c r="AU1501" s="3"/>
      <c r="AV1501" s="3"/>
      <c r="AW1501" s="3"/>
      <c r="AX1501" s="3"/>
    </row>
    <row r="1502" spans="8:50" x14ac:dyDescent="0.25"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7">
        <f t="shared" ca="1" si="23"/>
        <v>0.2606252073873378</v>
      </c>
      <c r="X1502" s="3"/>
      <c r="Y1502" s="3"/>
      <c r="Z1502" s="3"/>
      <c r="AA1502" s="3"/>
      <c r="AB1502" s="3"/>
      <c r="AC1502" s="3"/>
      <c r="AD1502" s="3"/>
      <c r="AE1502" s="3"/>
      <c r="AF1502" s="3"/>
      <c r="AG1502" s="3"/>
      <c r="AH1502" s="3"/>
      <c r="AI1502" s="3"/>
      <c r="AJ1502" s="3"/>
      <c r="AK1502" s="3"/>
      <c r="AL1502" s="3"/>
      <c r="AM1502" s="3"/>
      <c r="AN1502" s="3"/>
      <c r="AO1502" s="3"/>
      <c r="AP1502" s="3"/>
      <c r="AQ1502" s="3"/>
      <c r="AR1502" s="3"/>
      <c r="AS1502" s="3"/>
      <c r="AT1502" s="3"/>
      <c r="AU1502" s="3"/>
      <c r="AV1502" s="3"/>
      <c r="AW1502" s="3"/>
      <c r="AX1502" s="3"/>
    </row>
    <row r="1503" spans="8:50" x14ac:dyDescent="0.25"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7">
        <f t="shared" ca="1" si="23"/>
        <v>0.21187419415278266</v>
      </c>
      <c r="X1503" s="3"/>
      <c r="Y1503" s="3"/>
      <c r="Z1503" s="3"/>
      <c r="AA1503" s="3"/>
      <c r="AB1503" s="3"/>
      <c r="AC1503" s="3"/>
      <c r="AD1503" s="3"/>
      <c r="AE1503" s="3"/>
      <c r="AF1503" s="3"/>
      <c r="AG1503" s="3"/>
      <c r="AH1503" s="3"/>
      <c r="AI1503" s="3"/>
      <c r="AJ1503" s="3"/>
      <c r="AK1503" s="3"/>
      <c r="AL1503" s="3"/>
      <c r="AM1503" s="3"/>
      <c r="AN1503" s="3"/>
      <c r="AO1503" s="3"/>
      <c r="AP1503" s="3"/>
      <c r="AQ1503" s="3"/>
      <c r="AR1503" s="3"/>
      <c r="AS1503" s="3"/>
      <c r="AT1503" s="3"/>
      <c r="AU1503" s="3"/>
      <c r="AV1503" s="3"/>
      <c r="AW1503" s="3"/>
      <c r="AX1503" s="3"/>
    </row>
    <row r="1504" spans="8:50" x14ac:dyDescent="0.25"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7">
        <f t="shared" ca="1" si="23"/>
        <v>0.25427738872035066</v>
      </c>
      <c r="X1504" s="3"/>
      <c r="Y1504" s="3"/>
      <c r="Z1504" s="3"/>
      <c r="AA1504" s="3"/>
      <c r="AB1504" s="3"/>
      <c r="AC1504" s="3"/>
      <c r="AD1504" s="3"/>
      <c r="AE1504" s="3"/>
      <c r="AF1504" s="3"/>
      <c r="AG1504" s="3"/>
      <c r="AH1504" s="3"/>
      <c r="AI1504" s="3"/>
      <c r="AJ1504" s="3"/>
      <c r="AK1504" s="3"/>
      <c r="AL1504" s="3"/>
      <c r="AM1504" s="3"/>
      <c r="AN1504" s="3"/>
      <c r="AO1504" s="3"/>
      <c r="AP1504" s="3"/>
      <c r="AQ1504" s="3"/>
      <c r="AR1504" s="3"/>
      <c r="AS1504" s="3"/>
      <c r="AT1504" s="3"/>
      <c r="AU1504" s="3"/>
      <c r="AV1504" s="3"/>
      <c r="AW1504" s="3"/>
      <c r="AX1504" s="3"/>
    </row>
    <row r="1505" spans="8:50" x14ac:dyDescent="0.25"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7">
        <f t="shared" ca="1" si="23"/>
        <v>-0.11326452877578035</v>
      </c>
      <c r="X1505" s="3"/>
      <c r="Y1505" s="3"/>
      <c r="Z1505" s="3"/>
      <c r="AA1505" s="3"/>
      <c r="AB1505" s="3"/>
      <c r="AC1505" s="3"/>
      <c r="AD1505" s="3"/>
      <c r="AE1505" s="3"/>
      <c r="AF1505" s="3"/>
      <c r="AG1505" s="3"/>
      <c r="AH1505" s="3"/>
      <c r="AI1505" s="3"/>
      <c r="AJ1505" s="3"/>
      <c r="AK1505" s="3"/>
      <c r="AL1505" s="3"/>
      <c r="AM1505" s="3"/>
      <c r="AN1505" s="3"/>
      <c r="AO1505" s="3"/>
      <c r="AP1505" s="3"/>
      <c r="AQ1505" s="3"/>
      <c r="AR1505" s="3"/>
      <c r="AS1505" s="3"/>
      <c r="AT1505" s="3"/>
      <c r="AU1505" s="3"/>
      <c r="AV1505" s="3"/>
      <c r="AW1505" s="3"/>
      <c r="AX1505" s="3"/>
    </row>
    <row r="1506" spans="8:50" x14ac:dyDescent="0.25"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7">
        <f t="shared" ca="1" si="23"/>
        <v>0.20697345409190895</v>
      </c>
      <c r="X1506" s="3"/>
      <c r="Y1506" s="3"/>
      <c r="Z1506" s="3"/>
      <c r="AA1506" s="3"/>
      <c r="AB1506" s="3"/>
      <c r="AC1506" s="3"/>
      <c r="AD1506" s="3"/>
      <c r="AE1506" s="3"/>
      <c r="AF1506" s="3"/>
      <c r="AG1506" s="3"/>
      <c r="AH1506" s="3"/>
      <c r="AI1506" s="3"/>
      <c r="AJ1506" s="3"/>
      <c r="AK1506" s="3"/>
      <c r="AL1506" s="3"/>
      <c r="AM1506" s="3"/>
      <c r="AN1506" s="3"/>
      <c r="AO1506" s="3"/>
      <c r="AP1506" s="3"/>
      <c r="AQ1506" s="3"/>
      <c r="AR1506" s="3"/>
      <c r="AS1506" s="3"/>
      <c r="AT1506" s="3"/>
      <c r="AU1506" s="3"/>
      <c r="AV1506" s="3"/>
      <c r="AW1506" s="3"/>
      <c r="AX1506" s="3"/>
    </row>
    <row r="1507" spans="8:50" x14ac:dyDescent="0.25"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7">
        <f t="shared" ca="1" si="23"/>
        <v>-0.22910406694092372</v>
      </c>
      <c r="X1507" s="3"/>
      <c r="Y1507" s="3"/>
      <c r="Z1507" s="3"/>
      <c r="AA1507" s="3"/>
      <c r="AB1507" s="3"/>
      <c r="AC1507" s="3"/>
      <c r="AD1507" s="3"/>
      <c r="AE1507" s="3"/>
      <c r="AF1507" s="3"/>
      <c r="AG1507" s="3"/>
      <c r="AH1507" s="3"/>
      <c r="AI1507" s="3"/>
      <c r="AJ1507" s="3"/>
      <c r="AK1507" s="3"/>
      <c r="AL1507" s="3"/>
      <c r="AM1507" s="3"/>
      <c r="AN1507" s="3"/>
      <c r="AO1507" s="3"/>
      <c r="AP1507" s="3"/>
      <c r="AQ1507" s="3"/>
      <c r="AR1507" s="3"/>
      <c r="AS1507" s="3"/>
      <c r="AT1507" s="3"/>
      <c r="AU1507" s="3"/>
      <c r="AV1507" s="3"/>
      <c r="AW1507" s="3"/>
      <c r="AX1507" s="3"/>
    </row>
    <row r="1508" spans="8:50" x14ac:dyDescent="0.25"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7">
        <f t="shared" ca="1" si="23"/>
        <v>0.28622751980658284</v>
      </c>
      <c r="X1508" s="3"/>
      <c r="Y1508" s="3"/>
      <c r="Z1508" s="3"/>
      <c r="AA1508" s="3"/>
      <c r="AB1508" s="3"/>
      <c r="AC1508" s="3"/>
      <c r="AD1508" s="3"/>
      <c r="AE1508" s="3"/>
      <c r="AF1508" s="3"/>
      <c r="AG1508" s="3"/>
      <c r="AH1508" s="3"/>
      <c r="AI1508" s="3"/>
      <c r="AJ1508" s="3"/>
      <c r="AK1508" s="3"/>
      <c r="AL1508" s="3"/>
      <c r="AM1508" s="3"/>
      <c r="AN1508" s="3"/>
      <c r="AO1508" s="3"/>
      <c r="AP1508" s="3"/>
      <c r="AQ1508" s="3"/>
      <c r="AR1508" s="3"/>
      <c r="AS1508" s="3"/>
      <c r="AT1508" s="3"/>
      <c r="AU1508" s="3"/>
      <c r="AV1508" s="3"/>
      <c r="AW1508" s="3"/>
      <c r="AX1508" s="3"/>
    </row>
    <row r="1509" spans="8:50" x14ac:dyDescent="0.25"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7">
        <f t="shared" ca="1" si="23"/>
        <v>-0.22469092476372804</v>
      </c>
      <c r="X1509" s="3"/>
      <c r="Y1509" s="3"/>
      <c r="Z1509" s="3"/>
      <c r="AA1509" s="3"/>
      <c r="AB1509" s="3"/>
      <c r="AC1509" s="3"/>
      <c r="AD1509" s="3"/>
      <c r="AE1509" s="3"/>
      <c r="AF1509" s="3"/>
      <c r="AG1509" s="3"/>
      <c r="AH1509" s="3"/>
      <c r="AI1509" s="3"/>
      <c r="AJ1509" s="3"/>
      <c r="AK1509" s="3"/>
      <c r="AL1509" s="3"/>
      <c r="AM1509" s="3"/>
      <c r="AN1509" s="3"/>
      <c r="AO1509" s="3"/>
      <c r="AP1509" s="3"/>
      <c r="AQ1509" s="3"/>
      <c r="AR1509" s="3"/>
      <c r="AS1509" s="3"/>
      <c r="AT1509" s="3"/>
      <c r="AU1509" s="3"/>
      <c r="AV1509" s="3"/>
      <c r="AW1509" s="3"/>
      <c r="AX1509" s="3"/>
    </row>
    <row r="1510" spans="8:50" x14ac:dyDescent="0.25"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7">
        <f t="shared" ca="1" si="23"/>
        <v>0.22244683182861585</v>
      </c>
      <c r="X1510" s="3"/>
      <c r="Y1510" s="3"/>
      <c r="Z1510" s="3"/>
      <c r="AA1510" s="3"/>
      <c r="AB1510" s="3"/>
      <c r="AC1510" s="3"/>
      <c r="AD1510" s="3"/>
      <c r="AE1510" s="3"/>
      <c r="AF1510" s="3"/>
      <c r="AG1510" s="3"/>
      <c r="AH1510" s="3"/>
      <c r="AI1510" s="3"/>
      <c r="AJ1510" s="3"/>
      <c r="AK1510" s="3"/>
      <c r="AL1510" s="3"/>
      <c r="AM1510" s="3"/>
      <c r="AN1510" s="3"/>
      <c r="AO1510" s="3"/>
      <c r="AP1510" s="3"/>
      <c r="AQ1510" s="3"/>
      <c r="AR1510" s="3"/>
      <c r="AS1510" s="3"/>
      <c r="AT1510" s="3"/>
      <c r="AU1510" s="3"/>
      <c r="AV1510" s="3"/>
      <c r="AW1510" s="3"/>
      <c r="AX1510" s="3"/>
    </row>
    <row r="1511" spans="8:50" x14ac:dyDescent="0.25"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7">
        <f t="shared" ca="1" si="23"/>
        <v>0.22844248668306433</v>
      </c>
      <c r="X1511" s="3"/>
      <c r="Y1511" s="3"/>
      <c r="Z1511" s="3"/>
      <c r="AA1511" s="3"/>
      <c r="AB1511" s="3"/>
      <c r="AC1511" s="3"/>
      <c r="AD1511" s="3"/>
      <c r="AE1511" s="3"/>
      <c r="AF1511" s="3"/>
      <c r="AG1511" s="3"/>
      <c r="AH1511" s="3"/>
      <c r="AI1511" s="3"/>
      <c r="AJ1511" s="3"/>
      <c r="AK1511" s="3"/>
      <c r="AL1511" s="3"/>
      <c r="AM1511" s="3"/>
      <c r="AN1511" s="3"/>
      <c r="AO1511" s="3"/>
      <c r="AP1511" s="3"/>
      <c r="AQ1511" s="3"/>
      <c r="AR1511" s="3"/>
      <c r="AS1511" s="3"/>
      <c r="AT1511" s="3"/>
      <c r="AU1511" s="3"/>
      <c r="AV1511" s="3"/>
      <c r="AW1511" s="3"/>
      <c r="AX1511" s="3"/>
    </row>
    <row r="1512" spans="8:50" x14ac:dyDescent="0.25"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7">
        <f t="shared" ca="1" si="23"/>
        <v>9.4958502545233095E-2</v>
      </c>
      <c r="X1512" s="3"/>
      <c r="Y1512" s="3"/>
      <c r="Z1512" s="3"/>
      <c r="AA1512" s="3"/>
      <c r="AB1512" s="3"/>
      <c r="AC1512" s="3"/>
      <c r="AD1512" s="3"/>
      <c r="AE1512" s="3"/>
      <c r="AF1512" s="3"/>
      <c r="AG1512" s="3"/>
      <c r="AH1512" s="3"/>
      <c r="AI1512" s="3"/>
      <c r="AJ1512" s="3"/>
      <c r="AK1512" s="3"/>
      <c r="AL1512" s="3"/>
      <c r="AM1512" s="3"/>
      <c r="AN1512" s="3"/>
      <c r="AO1512" s="3"/>
      <c r="AP1512" s="3"/>
      <c r="AQ1512" s="3"/>
      <c r="AR1512" s="3"/>
      <c r="AS1512" s="3"/>
      <c r="AT1512" s="3"/>
      <c r="AU1512" s="3"/>
      <c r="AV1512" s="3"/>
      <c r="AW1512" s="3"/>
      <c r="AX1512" s="3"/>
    </row>
    <row r="1513" spans="8:50" x14ac:dyDescent="0.25"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7">
        <f t="shared" ca="1" si="23"/>
        <v>-0.18335459644974095</v>
      </c>
      <c r="X1513" s="3"/>
      <c r="Y1513" s="3"/>
      <c r="Z1513" s="3"/>
      <c r="AA1513" s="3"/>
      <c r="AB1513" s="3"/>
      <c r="AC1513" s="3"/>
      <c r="AD1513" s="3"/>
      <c r="AE1513" s="3"/>
      <c r="AF1513" s="3"/>
      <c r="AG1513" s="3"/>
      <c r="AH1513" s="3"/>
      <c r="AI1513" s="3"/>
      <c r="AJ1513" s="3"/>
      <c r="AK1513" s="3"/>
      <c r="AL1513" s="3"/>
      <c r="AM1513" s="3"/>
      <c r="AN1513" s="3"/>
      <c r="AO1513" s="3"/>
      <c r="AP1513" s="3"/>
      <c r="AQ1513" s="3"/>
      <c r="AR1513" s="3"/>
      <c r="AS1513" s="3"/>
      <c r="AT1513" s="3"/>
      <c r="AU1513" s="3"/>
      <c r="AV1513" s="3"/>
      <c r="AW1513" s="3"/>
      <c r="AX1513" s="3"/>
    </row>
    <row r="1514" spans="8:50" x14ac:dyDescent="0.25"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7">
        <f t="shared" ca="1" si="23"/>
        <v>4.4314461714688183E-2</v>
      </c>
      <c r="X1514" s="3"/>
      <c r="Y1514" s="3"/>
      <c r="Z1514" s="3"/>
      <c r="AA1514" s="3"/>
      <c r="AB1514" s="3"/>
      <c r="AC1514" s="3"/>
      <c r="AD1514" s="3"/>
      <c r="AE1514" s="3"/>
      <c r="AF1514" s="3"/>
      <c r="AG1514" s="3"/>
      <c r="AH1514" s="3"/>
      <c r="AI1514" s="3"/>
      <c r="AJ1514" s="3"/>
      <c r="AK1514" s="3"/>
      <c r="AL1514" s="3"/>
      <c r="AM1514" s="3"/>
      <c r="AN1514" s="3"/>
      <c r="AO1514" s="3"/>
      <c r="AP1514" s="3"/>
      <c r="AQ1514" s="3"/>
      <c r="AR1514" s="3"/>
      <c r="AS1514" s="3"/>
      <c r="AT1514" s="3"/>
      <c r="AU1514" s="3"/>
      <c r="AV1514" s="3"/>
      <c r="AW1514" s="3"/>
      <c r="AX1514" s="3"/>
    </row>
    <row r="1515" spans="8:50" x14ac:dyDescent="0.25"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7">
        <f t="shared" ca="1" si="23"/>
        <v>0.38550891435946338</v>
      </c>
      <c r="X1515" s="3"/>
      <c r="Y1515" s="3"/>
      <c r="Z1515" s="3"/>
      <c r="AA1515" s="3"/>
      <c r="AB1515" s="3"/>
      <c r="AC1515" s="3"/>
      <c r="AD1515" s="3"/>
      <c r="AE1515" s="3"/>
      <c r="AF1515" s="3"/>
      <c r="AG1515" s="3"/>
      <c r="AH1515" s="3"/>
      <c r="AI1515" s="3"/>
      <c r="AJ1515" s="3"/>
      <c r="AK1515" s="3"/>
      <c r="AL1515" s="3"/>
      <c r="AM1515" s="3"/>
      <c r="AN1515" s="3"/>
      <c r="AO1515" s="3"/>
      <c r="AP1515" s="3"/>
      <c r="AQ1515" s="3"/>
      <c r="AR1515" s="3"/>
      <c r="AS1515" s="3"/>
      <c r="AT1515" s="3"/>
      <c r="AU1515" s="3"/>
      <c r="AV1515" s="3"/>
      <c r="AW1515" s="3"/>
      <c r="AX1515" s="3"/>
    </row>
    <row r="1516" spans="8:50" x14ac:dyDescent="0.25"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7">
        <f t="shared" ca="1" si="23"/>
        <v>0.16543846663376496</v>
      </c>
      <c r="X1516" s="3"/>
      <c r="Y1516" s="3"/>
      <c r="Z1516" s="3"/>
      <c r="AA1516" s="3"/>
      <c r="AB1516" s="3"/>
      <c r="AC1516" s="3"/>
      <c r="AD1516" s="3"/>
      <c r="AE1516" s="3"/>
      <c r="AF1516" s="3"/>
      <c r="AG1516" s="3"/>
      <c r="AH1516" s="3"/>
      <c r="AI1516" s="3"/>
      <c r="AJ1516" s="3"/>
      <c r="AK1516" s="3"/>
      <c r="AL1516" s="3"/>
      <c r="AM1516" s="3"/>
      <c r="AN1516" s="3"/>
      <c r="AO1516" s="3"/>
      <c r="AP1516" s="3"/>
      <c r="AQ1516" s="3"/>
      <c r="AR1516" s="3"/>
      <c r="AS1516" s="3"/>
      <c r="AT1516" s="3"/>
      <c r="AU1516" s="3"/>
      <c r="AV1516" s="3"/>
      <c r="AW1516" s="3"/>
      <c r="AX1516" s="3"/>
    </row>
    <row r="1517" spans="8:50" x14ac:dyDescent="0.25"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  <c r="AD1517" s="3"/>
      <c r="AE1517" s="3"/>
      <c r="AF1517" s="3"/>
      <c r="AG1517" s="3"/>
      <c r="AH1517" s="3"/>
      <c r="AI1517" s="3"/>
      <c r="AJ1517" s="3"/>
      <c r="AK1517" s="3"/>
      <c r="AL1517" s="3"/>
      <c r="AM1517" s="3"/>
      <c r="AN1517" s="3"/>
      <c r="AO1517" s="3"/>
      <c r="AP1517" s="3"/>
      <c r="AQ1517" s="3"/>
      <c r="AR1517" s="3"/>
      <c r="AS1517" s="3"/>
      <c r="AT1517" s="3"/>
      <c r="AU1517" s="3"/>
      <c r="AV1517" s="3"/>
      <c r="AW1517" s="3"/>
      <c r="AX1517" s="3"/>
    </row>
    <row r="1518" spans="8:50" x14ac:dyDescent="0.25"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  <c r="AD1518" s="3"/>
      <c r="AE1518" s="3"/>
      <c r="AF1518" s="3"/>
      <c r="AG1518" s="3"/>
      <c r="AH1518" s="3"/>
      <c r="AI1518" s="3"/>
      <c r="AJ1518" s="3"/>
      <c r="AK1518" s="3"/>
      <c r="AL1518" s="3"/>
      <c r="AM1518" s="3"/>
      <c r="AN1518" s="3"/>
      <c r="AO1518" s="3"/>
      <c r="AP1518" s="3"/>
      <c r="AQ1518" s="3"/>
      <c r="AR1518" s="3"/>
      <c r="AS1518" s="3"/>
      <c r="AT1518" s="3"/>
      <c r="AU1518" s="3"/>
      <c r="AV1518" s="3"/>
      <c r="AW1518" s="3"/>
      <c r="AX1518" s="3"/>
    </row>
    <row r="1519" spans="8:50" x14ac:dyDescent="0.25"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  <c r="AD1519" s="3"/>
      <c r="AE1519" s="3"/>
      <c r="AF1519" s="3"/>
      <c r="AG1519" s="3"/>
      <c r="AH1519" s="3"/>
      <c r="AI1519" s="3"/>
      <c r="AJ1519" s="3"/>
      <c r="AK1519" s="3"/>
      <c r="AL1519" s="3"/>
      <c r="AM1519" s="3"/>
      <c r="AN1519" s="3"/>
      <c r="AO1519" s="3"/>
      <c r="AP1519" s="3"/>
      <c r="AQ1519" s="3"/>
      <c r="AR1519" s="3"/>
      <c r="AS1519" s="3"/>
      <c r="AT1519" s="3"/>
      <c r="AU1519" s="3"/>
      <c r="AV1519" s="3"/>
      <c r="AW1519" s="3"/>
      <c r="AX1519" s="3"/>
    </row>
    <row r="1520" spans="8:50" x14ac:dyDescent="0.25"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  <c r="AD1520" s="3"/>
      <c r="AE1520" s="3"/>
      <c r="AF1520" s="3"/>
      <c r="AG1520" s="3"/>
      <c r="AH1520" s="3"/>
      <c r="AI1520" s="3"/>
      <c r="AJ1520" s="3"/>
      <c r="AK1520" s="3"/>
      <c r="AL1520" s="3"/>
      <c r="AM1520" s="3"/>
      <c r="AN1520" s="3"/>
      <c r="AO1520" s="3"/>
      <c r="AP1520" s="3"/>
      <c r="AQ1520" s="3"/>
      <c r="AR1520" s="3"/>
      <c r="AS1520" s="3"/>
      <c r="AT1520" s="3"/>
      <c r="AU1520" s="3"/>
      <c r="AV1520" s="3"/>
      <c r="AW1520" s="3"/>
      <c r="AX1520" s="3"/>
    </row>
    <row r="1521" spans="8:50" x14ac:dyDescent="0.25"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  <c r="AD1521" s="3"/>
      <c r="AE1521" s="3"/>
      <c r="AF1521" s="3"/>
      <c r="AG1521" s="3"/>
      <c r="AH1521" s="3"/>
      <c r="AI1521" s="3"/>
      <c r="AJ1521" s="3"/>
      <c r="AK1521" s="3"/>
      <c r="AL1521" s="3"/>
      <c r="AM1521" s="3"/>
      <c r="AN1521" s="3"/>
      <c r="AO1521" s="3"/>
      <c r="AP1521" s="3"/>
      <c r="AQ1521" s="3"/>
      <c r="AR1521" s="3"/>
      <c r="AS1521" s="3"/>
      <c r="AT1521" s="3"/>
      <c r="AU1521" s="3"/>
      <c r="AV1521" s="3"/>
      <c r="AW1521" s="3"/>
      <c r="AX1521" s="3"/>
    </row>
    <row r="1522" spans="8:50" x14ac:dyDescent="0.25"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  <c r="AD1522" s="3"/>
      <c r="AE1522" s="3"/>
      <c r="AF1522" s="3"/>
      <c r="AG1522" s="3"/>
      <c r="AH1522" s="3"/>
      <c r="AI1522" s="3"/>
      <c r="AJ1522" s="3"/>
      <c r="AK1522" s="3"/>
      <c r="AL1522" s="3"/>
      <c r="AM1522" s="3"/>
      <c r="AN1522" s="3"/>
      <c r="AO1522" s="3"/>
      <c r="AP1522" s="3"/>
      <c r="AQ1522" s="3"/>
      <c r="AR1522" s="3"/>
      <c r="AS1522" s="3"/>
      <c r="AT1522" s="3"/>
      <c r="AU1522" s="3"/>
      <c r="AV1522" s="3"/>
      <c r="AW1522" s="3"/>
      <c r="AX1522" s="3"/>
    </row>
    <row r="1523" spans="8:50" x14ac:dyDescent="0.25"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  <c r="AD1523" s="3"/>
      <c r="AE1523" s="3"/>
      <c r="AF1523" s="3"/>
      <c r="AG1523" s="3"/>
      <c r="AH1523" s="3"/>
      <c r="AI1523" s="3"/>
      <c r="AJ1523" s="3"/>
      <c r="AK1523" s="3"/>
      <c r="AL1523" s="3"/>
      <c r="AM1523" s="3"/>
      <c r="AN1523" s="3"/>
      <c r="AO1523" s="3"/>
      <c r="AP1523" s="3"/>
      <c r="AQ1523" s="3"/>
      <c r="AR1523" s="3"/>
      <c r="AS1523" s="3"/>
      <c r="AT1523" s="3"/>
      <c r="AU1523" s="3"/>
      <c r="AV1523" s="3"/>
      <c r="AW1523" s="3"/>
      <c r="AX1523" s="3"/>
    </row>
    <row r="1524" spans="8:50" x14ac:dyDescent="0.25"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  <c r="AD1524" s="3"/>
      <c r="AE1524" s="3"/>
      <c r="AF1524" s="3"/>
      <c r="AG1524" s="3"/>
      <c r="AH1524" s="3"/>
      <c r="AI1524" s="3"/>
      <c r="AJ1524" s="3"/>
      <c r="AK1524" s="3"/>
      <c r="AL1524" s="3"/>
      <c r="AM1524" s="3"/>
      <c r="AN1524" s="3"/>
      <c r="AO1524" s="3"/>
      <c r="AP1524" s="3"/>
      <c r="AQ1524" s="3"/>
      <c r="AR1524" s="3"/>
      <c r="AS1524" s="3"/>
      <c r="AT1524" s="3"/>
      <c r="AU1524" s="3"/>
      <c r="AV1524" s="3"/>
      <c r="AW1524" s="3"/>
      <c r="AX1524" s="3"/>
    </row>
    <row r="1525" spans="8:50" x14ac:dyDescent="0.25"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  <c r="AD1525" s="3"/>
      <c r="AE1525" s="3"/>
      <c r="AF1525" s="3"/>
      <c r="AG1525" s="3"/>
      <c r="AH1525" s="3"/>
      <c r="AI1525" s="3"/>
      <c r="AJ1525" s="3"/>
      <c r="AK1525" s="3"/>
      <c r="AL1525" s="3"/>
      <c r="AM1525" s="3"/>
      <c r="AN1525" s="3"/>
      <c r="AO1525" s="3"/>
      <c r="AP1525" s="3"/>
      <c r="AQ1525" s="3"/>
      <c r="AR1525" s="3"/>
      <c r="AS1525" s="3"/>
      <c r="AT1525" s="3"/>
      <c r="AU1525" s="3"/>
      <c r="AV1525" s="3"/>
      <c r="AW1525" s="3"/>
      <c r="AX1525" s="3"/>
    </row>
    <row r="1526" spans="8:50" x14ac:dyDescent="0.25"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  <c r="AD1526" s="3"/>
      <c r="AE1526" s="3"/>
      <c r="AF1526" s="3"/>
      <c r="AG1526" s="3"/>
      <c r="AH1526" s="3"/>
      <c r="AI1526" s="3"/>
      <c r="AJ1526" s="3"/>
      <c r="AK1526" s="3"/>
      <c r="AL1526" s="3"/>
      <c r="AM1526" s="3"/>
      <c r="AN1526" s="3"/>
      <c r="AO1526" s="3"/>
      <c r="AP1526" s="3"/>
      <c r="AQ1526" s="3"/>
      <c r="AR1526" s="3"/>
      <c r="AS1526" s="3"/>
      <c r="AT1526" s="3"/>
      <c r="AU1526" s="3"/>
      <c r="AV1526" s="3"/>
      <c r="AW1526" s="3"/>
      <c r="AX1526" s="3"/>
    </row>
    <row r="1527" spans="8:50" x14ac:dyDescent="0.25"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  <c r="AD1527" s="3"/>
      <c r="AE1527" s="3"/>
      <c r="AF1527" s="3"/>
      <c r="AG1527" s="3"/>
      <c r="AH1527" s="3"/>
      <c r="AI1527" s="3"/>
      <c r="AJ1527" s="3"/>
      <c r="AK1527" s="3"/>
      <c r="AL1527" s="3"/>
      <c r="AM1527" s="3"/>
      <c r="AN1527" s="3"/>
      <c r="AO1527" s="3"/>
      <c r="AP1527" s="3"/>
      <c r="AQ1527" s="3"/>
      <c r="AR1527" s="3"/>
      <c r="AS1527" s="3"/>
      <c r="AT1527" s="3"/>
      <c r="AU1527" s="3"/>
      <c r="AV1527" s="3"/>
      <c r="AW1527" s="3"/>
      <c r="AX1527" s="3"/>
    </row>
    <row r="1528" spans="8:50" x14ac:dyDescent="0.25"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  <c r="AD1528" s="3"/>
      <c r="AE1528" s="3"/>
      <c r="AF1528" s="3"/>
      <c r="AG1528" s="3"/>
      <c r="AH1528" s="3"/>
      <c r="AI1528" s="3"/>
      <c r="AJ1528" s="3"/>
      <c r="AK1528" s="3"/>
      <c r="AL1528" s="3"/>
      <c r="AM1528" s="3"/>
      <c r="AN1528" s="3"/>
      <c r="AO1528" s="3"/>
      <c r="AP1528" s="3"/>
      <c r="AQ1528" s="3"/>
      <c r="AR1528" s="3"/>
      <c r="AS1528" s="3"/>
      <c r="AT1528" s="3"/>
      <c r="AU1528" s="3"/>
      <c r="AV1528" s="3"/>
      <c r="AW1528" s="3"/>
      <c r="AX1528" s="3"/>
    </row>
    <row r="1529" spans="8:50" x14ac:dyDescent="0.25"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  <c r="AD1529" s="3"/>
      <c r="AE1529" s="3"/>
      <c r="AF1529" s="3"/>
      <c r="AG1529" s="3"/>
      <c r="AH1529" s="3"/>
      <c r="AI1529" s="3"/>
      <c r="AJ1529" s="3"/>
      <c r="AK1529" s="3"/>
      <c r="AL1529" s="3"/>
      <c r="AM1529" s="3"/>
      <c r="AN1529" s="3"/>
      <c r="AO1529" s="3"/>
      <c r="AP1529" s="3"/>
      <c r="AQ1529" s="3"/>
      <c r="AR1529" s="3"/>
      <c r="AS1529" s="3"/>
      <c r="AT1529" s="3"/>
      <c r="AU1529" s="3"/>
      <c r="AV1529" s="3"/>
      <c r="AW1529" s="3"/>
      <c r="AX1529" s="3"/>
    </row>
    <row r="1530" spans="8:50" x14ac:dyDescent="0.25"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  <c r="AD1530" s="3"/>
      <c r="AE1530" s="3"/>
      <c r="AF1530" s="3"/>
      <c r="AG1530" s="3"/>
      <c r="AH1530" s="3"/>
      <c r="AI1530" s="3"/>
      <c r="AJ1530" s="3"/>
      <c r="AK1530" s="3"/>
      <c r="AL1530" s="3"/>
      <c r="AM1530" s="3"/>
      <c r="AN1530" s="3"/>
      <c r="AO1530" s="3"/>
      <c r="AP1530" s="3"/>
      <c r="AQ1530" s="3"/>
      <c r="AR1530" s="3"/>
      <c r="AS1530" s="3"/>
      <c r="AT1530" s="3"/>
      <c r="AU1530" s="3"/>
      <c r="AV1530" s="3"/>
      <c r="AW1530" s="3"/>
      <c r="AX1530" s="3"/>
    </row>
    <row r="1531" spans="8:50" x14ac:dyDescent="0.25"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  <c r="AD1531" s="3"/>
      <c r="AE1531" s="3"/>
      <c r="AF1531" s="3"/>
      <c r="AG1531" s="3"/>
      <c r="AH1531" s="3"/>
      <c r="AI1531" s="3"/>
      <c r="AJ1531" s="3"/>
      <c r="AK1531" s="3"/>
      <c r="AL1531" s="3"/>
      <c r="AM1531" s="3"/>
      <c r="AN1531" s="3"/>
      <c r="AO1531" s="3"/>
      <c r="AP1531" s="3"/>
      <c r="AQ1531" s="3"/>
      <c r="AR1531" s="3"/>
      <c r="AS1531" s="3"/>
      <c r="AT1531" s="3"/>
      <c r="AU1531" s="3"/>
      <c r="AV1531" s="3"/>
      <c r="AW1531" s="3"/>
      <c r="AX1531" s="3"/>
    </row>
    <row r="1532" spans="8:50" x14ac:dyDescent="0.25"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  <c r="AD1532" s="3"/>
      <c r="AE1532" s="3"/>
      <c r="AF1532" s="3"/>
      <c r="AG1532" s="3"/>
      <c r="AH1532" s="3"/>
      <c r="AI1532" s="3"/>
      <c r="AJ1532" s="3"/>
      <c r="AK1532" s="3"/>
      <c r="AL1532" s="3"/>
      <c r="AM1532" s="3"/>
      <c r="AN1532" s="3"/>
      <c r="AO1532" s="3"/>
      <c r="AP1532" s="3"/>
      <c r="AQ1532" s="3"/>
      <c r="AR1532" s="3"/>
      <c r="AS1532" s="3"/>
      <c r="AT1532" s="3"/>
      <c r="AU1532" s="3"/>
      <c r="AV1532" s="3"/>
      <c r="AW1532" s="3"/>
      <c r="AX1532" s="3"/>
    </row>
    <row r="1533" spans="8:50" x14ac:dyDescent="0.25"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  <c r="AD1533" s="3"/>
      <c r="AE1533" s="3"/>
      <c r="AF1533" s="3"/>
      <c r="AG1533" s="3"/>
      <c r="AH1533" s="3"/>
      <c r="AI1533" s="3"/>
      <c r="AJ1533" s="3"/>
      <c r="AK1533" s="3"/>
      <c r="AL1533" s="3"/>
      <c r="AM1533" s="3"/>
      <c r="AN1533" s="3"/>
      <c r="AO1533" s="3"/>
      <c r="AP1533" s="3"/>
      <c r="AQ1533" s="3"/>
      <c r="AR1533" s="3"/>
      <c r="AS1533" s="3"/>
      <c r="AT1533" s="3"/>
      <c r="AU1533" s="3"/>
      <c r="AV1533" s="3"/>
      <c r="AW1533" s="3"/>
      <c r="AX1533" s="3"/>
    </row>
    <row r="1534" spans="8:50" x14ac:dyDescent="0.25"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  <c r="AD1534" s="3"/>
      <c r="AE1534" s="3"/>
      <c r="AF1534" s="3"/>
      <c r="AG1534" s="3"/>
      <c r="AH1534" s="3"/>
      <c r="AI1534" s="3"/>
      <c r="AJ1534" s="3"/>
      <c r="AK1534" s="3"/>
      <c r="AL1534" s="3"/>
      <c r="AM1534" s="3"/>
      <c r="AN1534" s="3"/>
      <c r="AO1534" s="3"/>
      <c r="AP1534" s="3"/>
      <c r="AQ1534" s="3"/>
      <c r="AR1534" s="3"/>
      <c r="AS1534" s="3"/>
      <c r="AT1534" s="3"/>
      <c r="AU1534" s="3"/>
      <c r="AV1534" s="3"/>
      <c r="AW1534" s="3"/>
      <c r="AX1534" s="3"/>
    </row>
    <row r="1535" spans="8:50" x14ac:dyDescent="0.25"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  <c r="AD1535" s="3"/>
      <c r="AE1535" s="3"/>
      <c r="AF1535" s="3"/>
      <c r="AG1535" s="3"/>
      <c r="AH1535" s="3"/>
      <c r="AI1535" s="3"/>
      <c r="AJ1535" s="3"/>
      <c r="AK1535" s="3"/>
      <c r="AL1535" s="3"/>
      <c r="AM1535" s="3"/>
      <c r="AN1535" s="3"/>
      <c r="AO1535" s="3"/>
      <c r="AP1535" s="3"/>
      <c r="AQ1535" s="3"/>
      <c r="AR1535" s="3"/>
      <c r="AS1535" s="3"/>
      <c r="AT1535" s="3"/>
      <c r="AU1535" s="3"/>
      <c r="AV1535" s="3"/>
      <c r="AW1535" s="3"/>
      <c r="AX1535" s="3"/>
    </row>
    <row r="1536" spans="8:50" x14ac:dyDescent="0.25"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  <c r="AD1536" s="3"/>
      <c r="AE1536" s="3"/>
      <c r="AF1536" s="3"/>
      <c r="AG1536" s="3"/>
      <c r="AH1536" s="3"/>
      <c r="AI1536" s="3"/>
      <c r="AJ1536" s="3"/>
      <c r="AK1536" s="3"/>
      <c r="AL1536" s="3"/>
      <c r="AM1536" s="3"/>
      <c r="AN1536" s="3"/>
      <c r="AO1536" s="3"/>
      <c r="AP1536" s="3"/>
      <c r="AQ1536" s="3"/>
      <c r="AR1536" s="3"/>
      <c r="AS1536" s="3"/>
      <c r="AT1536" s="3"/>
      <c r="AU1536" s="3"/>
      <c r="AV1536" s="3"/>
      <c r="AW1536" s="3"/>
      <c r="AX1536" s="3"/>
    </row>
    <row r="1537" spans="8:50" x14ac:dyDescent="0.25"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  <c r="AD1537" s="3"/>
      <c r="AE1537" s="3"/>
      <c r="AF1537" s="3"/>
      <c r="AG1537" s="3"/>
      <c r="AH1537" s="3"/>
      <c r="AI1537" s="3"/>
      <c r="AJ1537" s="3"/>
      <c r="AK1537" s="3"/>
      <c r="AL1537" s="3"/>
      <c r="AM1537" s="3"/>
      <c r="AN1537" s="3"/>
      <c r="AO1537" s="3"/>
      <c r="AP1537" s="3"/>
      <c r="AQ1537" s="3"/>
      <c r="AR1537" s="3"/>
      <c r="AS1537" s="3"/>
      <c r="AT1537" s="3"/>
      <c r="AU1537" s="3"/>
      <c r="AV1537" s="3"/>
      <c r="AW1537" s="3"/>
      <c r="AX1537" s="3"/>
    </row>
    <row r="1538" spans="8:50" x14ac:dyDescent="0.25"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  <c r="AD1538" s="3"/>
      <c r="AE1538" s="3"/>
      <c r="AF1538" s="3"/>
      <c r="AG1538" s="3"/>
      <c r="AH1538" s="3"/>
      <c r="AI1538" s="3"/>
      <c r="AJ1538" s="3"/>
      <c r="AK1538" s="3"/>
      <c r="AL1538" s="3"/>
      <c r="AM1538" s="3"/>
      <c r="AN1538" s="3"/>
      <c r="AO1538" s="3"/>
      <c r="AP1538" s="3"/>
      <c r="AQ1538" s="3"/>
      <c r="AR1538" s="3"/>
      <c r="AS1538" s="3"/>
      <c r="AT1538" s="3"/>
      <c r="AU1538" s="3"/>
      <c r="AV1538" s="3"/>
      <c r="AW1538" s="3"/>
      <c r="AX1538" s="3"/>
    </row>
    <row r="1539" spans="8:50" x14ac:dyDescent="0.25"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  <c r="AD1539" s="3"/>
      <c r="AE1539" s="3"/>
      <c r="AF1539" s="3"/>
      <c r="AG1539" s="3"/>
      <c r="AH1539" s="3"/>
      <c r="AI1539" s="3"/>
      <c r="AJ1539" s="3"/>
      <c r="AK1539" s="3"/>
      <c r="AL1539" s="3"/>
      <c r="AM1539" s="3"/>
      <c r="AN1539" s="3"/>
      <c r="AO1539" s="3"/>
      <c r="AP1539" s="3"/>
      <c r="AQ1539" s="3"/>
      <c r="AR1539" s="3"/>
      <c r="AS1539" s="3"/>
      <c r="AT1539" s="3"/>
      <c r="AU1539" s="3"/>
      <c r="AV1539" s="3"/>
      <c r="AW1539" s="3"/>
      <c r="AX1539" s="3"/>
    </row>
    <row r="1540" spans="8:50" x14ac:dyDescent="0.25"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  <c r="AD1540" s="3"/>
      <c r="AE1540" s="3"/>
      <c r="AF1540" s="3"/>
      <c r="AG1540" s="3"/>
      <c r="AH1540" s="3"/>
      <c r="AI1540" s="3"/>
      <c r="AJ1540" s="3"/>
      <c r="AK1540" s="3"/>
      <c r="AL1540" s="3"/>
      <c r="AM1540" s="3"/>
      <c r="AN1540" s="3"/>
      <c r="AO1540" s="3"/>
      <c r="AP1540" s="3"/>
      <c r="AQ1540" s="3"/>
      <c r="AR1540" s="3"/>
      <c r="AS1540" s="3"/>
      <c r="AT1540" s="3"/>
      <c r="AU1540" s="3"/>
      <c r="AV1540" s="3"/>
      <c r="AW1540" s="3"/>
      <c r="AX1540" s="3"/>
    </row>
    <row r="1541" spans="8:50" x14ac:dyDescent="0.25"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  <c r="AD1541" s="3"/>
      <c r="AE1541" s="3"/>
      <c r="AF1541" s="3"/>
      <c r="AG1541" s="3"/>
      <c r="AH1541" s="3"/>
      <c r="AI1541" s="3"/>
      <c r="AJ1541" s="3"/>
      <c r="AK1541" s="3"/>
      <c r="AL1541" s="3"/>
      <c r="AM1541" s="3"/>
      <c r="AN1541" s="3"/>
      <c r="AO1541" s="3"/>
      <c r="AP1541" s="3"/>
      <c r="AQ1541" s="3"/>
      <c r="AR1541" s="3"/>
      <c r="AS1541" s="3"/>
      <c r="AT1541" s="3"/>
      <c r="AU1541" s="3"/>
      <c r="AV1541" s="3"/>
      <c r="AW1541" s="3"/>
      <c r="AX1541" s="3"/>
    </row>
    <row r="1542" spans="8:50" x14ac:dyDescent="0.25"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  <c r="AD1542" s="3"/>
      <c r="AE1542" s="3"/>
      <c r="AF1542" s="3"/>
      <c r="AG1542" s="3"/>
      <c r="AH1542" s="3"/>
      <c r="AI1542" s="3"/>
      <c r="AJ1542" s="3"/>
      <c r="AK1542" s="3"/>
      <c r="AL1542" s="3"/>
      <c r="AM1542" s="3"/>
      <c r="AN1542" s="3"/>
      <c r="AO1542" s="3"/>
      <c r="AP1542" s="3"/>
      <c r="AQ1542" s="3"/>
      <c r="AR1542" s="3"/>
      <c r="AS1542" s="3"/>
      <c r="AT1542" s="3"/>
      <c r="AU1542" s="3"/>
      <c r="AV1542" s="3"/>
      <c r="AW1542" s="3"/>
      <c r="AX1542" s="3"/>
    </row>
    <row r="1543" spans="8:50" x14ac:dyDescent="0.25"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  <c r="AD1543" s="3"/>
      <c r="AE1543" s="3"/>
      <c r="AF1543" s="3"/>
      <c r="AG1543" s="3"/>
      <c r="AH1543" s="3"/>
      <c r="AI1543" s="3"/>
      <c r="AJ1543" s="3"/>
      <c r="AK1543" s="3"/>
      <c r="AL1543" s="3"/>
      <c r="AM1543" s="3"/>
      <c r="AN1543" s="3"/>
      <c r="AO1543" s="3"/>
      <c r="AP1543" s="3"/>
      <c r="AQ1543" s="3"/>
      <c r="AR1543" s="3"/>
      <c r="AS1543" s="3"/>
      <c r="AT1543" s="3"/>
      <c r="AU1543" s="3"/>
      <c r="AV1543" s="3"/>
      <c r="AW1543" s="3"/>
      <c r="AX1543" s="3"/>
    </row>
    <row r="1544" spans="8:50" x14ac:dyDescent="0.25"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  <c r="AD1544" s="3"/>
      <c r="AE1544" s="3"/>
      <c r="AF1544" s="3"/>
      <c r="AG1544" s="3"/>
      <c r="AH1544" s="3"/>
      <c r="AI1544" s="3"/>
      <c r="AJ1544" s="3"/>
      <c r="AK1544" s="3"/>
      <c r="AL1544" s="3"/>
      <c r="AM1544" s="3"/>
      <c r="AN1544" s="3"/>
      <c r="AO1544" s="3"/>
      <c r="AP1544" s="3"/>
      <c r="AQ1544" s="3"/>
      <c r="AR1544" s="3"/>
      <c r="AS1544" s="3"/>
      <c r="AT1544" s="3"/>
      <c r="AU1544" s="3"/>
      <c r="AV1544" s="3"/>
      <c r="AW1544" s="3"/>
      <c r="AX1544" s="3"/>
    </row>
    <row r="1545" spans="8:50" x14ac:dyDescent="0.25"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  <c r="AD1545" s="3"/>
      <c r="AE1545" s="3"/>
      <c r="AF1545" s="3"/>
      <c r="AG1545" s="3"/>
      <c r="AH1545" s="3"/>
      <c r="AI1545" s="3"/>
      <c r="AJ1545" s="3"/>
      <c r="AK1545" s="3"/>
      <c r="AL1545" s="3"/>
      <c r="AM1545" s="3"/>
      <c r="AN1545" s="3"/>
      <c r="AO1545" s="3"/>
      <c r="AP1545" s="3"/>
      <c r="AQ1545" s="3"/>
      <c r="AR1545" s="3"/>
      <c r="AS1545" s="3"/>
      <c r="AT1545" s="3"/>
      <c r="AU1545" s="3"/>
      <c r="AV1545" s="3"/>
      <c r="AW1545" s="3"/>
      <c r="AX1545" s="3"/>
    </row>
    <row r="1546" spans="8:50" x14ac:dyDescent="0.25"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  <c r="AD1546" s="3"/>
      <c r="AE1546" s="3"/>
      <c r="AF1546" s="3"/>
      <c r="AG1546" s="3"/>
      <c r="AH1546" s="3"/>
      <c r="AI1546" s="3"/>
      <c r="AJ1546" s="3"/>
      <c r="AK1546" s="3"/>
      <c r="AL1546" s="3"/>
      <c r="AM1546" s="3"/>
      <c r="AN1546" s="3"/>
      <c r="AO1546" s="3"/>
      <c r="AP1546" s="3"/>
      <c r="AQ1546" s="3"/>
      <c r="AR1546" s="3"/>
      <c r="AS1546" s="3"/>
      <c r="AT1546" s="3"/>
      <c r="AU1546" s="3"/>
      <c r="AV1546" s="3"/>
      <c r="AW1546" s="3"/>
      <c r="AX1546" s="3"/>
    </row>
    <row r="1547" spans="8:50" x14ac:dyDescent="0.25"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  <c r="AD1547" s="3"/>
      <c r="AE1547" s="3"/>
      <c r="AF1547" s="3"/>
      <c r="AG1547" s="3"/>
      <c r="AH1547" s="3"/>
      <c r="AI1547" s="3"/>
      <c r="AJ1547" s="3"/>
      <c r="AK1547" s="3"/>
      <c r="AL1547" s="3"/>
      <c r="AM1547" s="3"/>
      <c r="AN1547" s="3"/>
      <c r="AO1547" s="3"/>
      <c r="AP1547" s="3"/>
      <c r="AQ1547" s="3"/>
      <c r="AR1547" s="3"/>
      <c r="AS1547" s="3"/>
      <c r="AT1547" s="3"/>
      <c r="AU1547" s="3"/>
      <c r="AV1547" s="3"/>
      <c r="AW1547" s="3"/>
      <c r="AX1547" s="3"/>
    </row>
    <row r="1548" spans="8:50" x14ac:dyDescent="0.25"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  <c r="AD1548" s="3"/>
      <c r="AE1548" s="3"/>
      <c r="AF1548" s="3"/>
      <c r="AG1548" s="3"/>
      <c r="AH1548" s="3"/>
      <c r="AI1548" s="3"/>
      <c r="AJ1548" s="3"/>
      <c r="AK1548" s="3"/>
      <c r="AL1548" s="3"/>
      <c r="AM1548" s="3"/>
      <c r="AN1548" s="3"/>
      <c r="AO1548" s="3"/>
      <c r="AP1548" s="3"/>
      <c r="AQ1548" s="3"/>
      <c r="AR1548" s="3"/>
      <c r="AS1548" s="3"/>
      <c r="AT1548" s="3"/>
      <c r="AU1548" s="3"/>
      <c r="AV1548" s="3"/>
      <c r="AW1548" s="3"/>
      <c r="AX1548" s="3"/>
    </row>
    <row r="1549" spans="8:50" x14ac:dyDescent="0.25"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  <c r="AD1549" s="3"/>
      <c r="AE1549" s="3"/>
      <c r="AF1549" s="3"/>
      <c r="AG1549" s="3"/>
      <c r="AH1549" s="3"/>
      <c r="AI1549" s="3"/>
      <c r="AJ1549" s="3"/>
      <c r="AK1549" s="3"/>
      <c r="AL1549" s="3"/>
      <c r="AM1549" s="3"/>
      <c r="AN1549" s="3"/>
      <c r="AO1549" s="3"/>
      <c r="AP1549" s="3"/>
      <c r="AQ1549" s="3"/>
      <c r="AR1549" s="3"/>
      <c r="AS1549" s="3"/>
      <c r="AT1549" s="3"/>
      <c r="AU1549" s="3"/>
      <c r="AV1549" s="3"/>
      <c r="AW1549" s="3"/>
      <c r="AX1549" s="3"/>
    </row>
    <row r="1550" spans="8:50" x14ac:dyDescent="0.25"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  <c r="AD1550" s="3"/>
      <c r="AE1550" s="3"/>
      <c r="AF1550" s="3"/>
      <c r="AG1550" s="3"/>
      <c r="AH1550" s="3"/>
      <c r="AI1550" s="3"/>
      <c r="AJ1550" s="3"/>
      <c r="AK1550" s="3"/>
      <c r="AL1550" s="3"/>
      <c r="AM1550" s="3"/>
      <c r="AN1550" s="3"/>
      <c r="AO1550" s="3"/>
      <c r="AP1550" s="3"/>
      <c r="AQ1550" s="3"/>
      <c r="AR1550" s="3"/>
      <c r="AS1550" s="3"/>
      <c r="AT1550" s="3"/>
      <c r="AU1550" s="3"/>
      <c r="AV1550" s="3"/>
      <c r="AW1550" s="3"/>
      <c r="AX1550" s="3"/>
    </row>
    <row r="1551" spans="8:50" x14ac:dyDescent="0.25"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  <c r="AD1551" s="3"/>
      <c r="AE1551" s="3"/>
      <c r="AF1551" s="3"/>
      <c r="AG1551" s="3"/>
      <c r="AH1551" s="3"/>
      <c r="AI1551" s="3"/>
      <c r="AJ1551" s="3"/>
      <c r="AK1551" s="3"/>
      <c r="AL1551" s="3"/>
      <c r="AM1551" s="3"/>
      <c r="AN1551" s="3"/>
      <c r="AO1551" s="3"/>
      <c r="AP1551" s="3"/>
      <c r="AQ1551" s="3"/>
      <c r="AR1551" s="3"/>
      <c r="AS1551" s="3"/>
      <c r="AT1551" s="3"/>
      <c r="AU1551" s="3"/>
      <c r="AV1551" s="3"/>
      <c r="AW1551" s="3"/>
      <c r="AX1551" s="3"/>
    </row>
    <row r="1552" spans="8:50" x14ac:dyDescent="0.25"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  <c r="AD1552" s="3"/>
      <c r="AE1552" s="3"/>
      <c r="AF1552" s="3"/>
      <c r="AG1552" s="3"/>
      <c r="AH1552" s="3"/>
      <c r="AI1552" s="3"/>
      <c r="AJ1552" s="3"/>
      <c r="AK1552" s="3"/>
      <c r="AL1552" s="3"/>
      <c r="AM1552" s="3"/>
      <c r="AN1552" s="3"/>
      <c r="AO1552" s="3"/>
      <c r="AP1552" s="3"/>
      <c r="AQ1552" s="3"/>
      <c r="AR1552" s="3"/>
      <c r="AS1552" s="3"/>
      <c r="AT1552" s="3"/>
      <c r="AU1552" s="3"/>
      <c r="AV1552" s="3"/>
      <c r="AW1552" s="3"/>
      <c r="AX1552" s="3"/>
    </row>
    <row r="1553" spans="8:50" x14ac:dyDescent="0.25"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  <c r="AD1553" s="3"/>
      <c r="AE1553" s="3"/>
      <c r="AF1553" s="3"/>
      <c r="AG1553" s="3"/>
      <c r="AH1553" s="3"/>
      <c r="AI1553" s="3"/>
      <c r="AJ1553" s="3"/>
      <c r="AK1553" s="3"/>
      <c r="AL1553" s="3"/>
      <c r="AM1553" s="3"/>
      <c r="AN1553" s="3"/>
      <c r="AO1553" s="3"/>
      <c r="AP1553" s="3"/>
      <c r="AQ1553" s="3"/>
      <c r="AR1553" s="3"/>
      <c r="AS1553" s="3"/>
      <c r="AT1553" s="3"/>
      <c r="AU1553" s="3"/>
      <c r="AV1553" s="3"/>
      <c r="AW1553" s="3"/>
      <c r="AX1553" s="3"/>
    </row>
    <row r="1554" spans="8:50" x14ac:dyDescent="0.25"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  <c r="AD1554" s="3"/>
      <c r="AE1554" s="3"/>
      <c r="AF1554" s="3"/>
      <c r="AG1554" s="3"/>
      <c r="AH1554" s="3"/>
      <c r="AI1554" s="3"/>
      <c r="AJ1554" s="3"/>
      <c r="AK1554" s="3"/>
      <c r="AL1554" s="3"/>
      <c r="AM1554" s="3"/>
      <c r="AN1554" s="3"/>
      <c r="AO1554" s="3"/>
      <c r="AP1554" s="3"/>
      <c r="AQ1554" s="3"/>
      <c r="AR1554" s="3"/>
      <c r="AS1554" s="3"/>
      <c r="AT1554" s="3"/>
      <c r="AU1554" s="3"/>
      <c r="AV1554" s="3"/>
      <c r="AW1554" s="3"/>
      <c r="AX1554" s="3"/>
    </row>
    <row r="1555" spans="8:50" x14ac:dyDescent="0.25"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  <c r="AD1555" s="3"/>
      <c r="AE1555" s="3"/>
      <c r="AF1555" s="3"/>
      <c r="AG1555" s="3"/>
      <c r="AH1555" s="3"/>
      <c r="AI1555" s="3"/>
      <c r="AJ1555" s="3"/>
      <c r="AK1555" s="3"/>
      <c r="AL1555" s="3"/>
      <c r="AM1555" s="3"/>
      <c r="AN1555" s="3"/>
      <c r="AO1555" s="3"/>
      <c r="AP1555" s="3"/>
      <c r="AQ1555" s="3"/>
      <c r="AR1555" s="3"/>
      <c r="AS1555" s="3"/>
      <c r="AT1555" s="3"/>
      <c r="AU1555" s="3"/>
      <c r="AV1555" s="3"/>
      <c r="AW1555" s="3"/>
      <c r="AX1555" s="3"/>
    </row>
    <row r="1556" spans="8:50" x14ac:dyDescent="0.25"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  <c r="AD1556" s="3"/>
      <c r="AE1556" s="3"/>
      <c r="AF1556" s="3"/>
      <c r="AG1556" s="3"/>
      <c r="AH1556" s="3"/>
      <c r="AI1556" s="3"/>
      <c r="AJ1556" s="3"/>
      <c r="AK1556" s="3"/>
      <c r="AL1556" s="3"/>
      <c r="AM1556" s="3"/>
      <c r="AN1556" s="3"/>
      <c r="AO1556" s="3"/>
      <c r="AP1556" s="3"/>
      <c r="AQ1556" s="3"/>
      <c r="AR1556" s="3"/>
      <c r="AS1556" s="3"/>
      <c r="AT1556" s="3"/>
      <c r="AU1556" s="3"/>
      <c r="AV1556" s="3"/>
      <c r="AW1556" s="3"/>
      <c r="AX1556" s="3"/>
    </row>
    <row r="1557" spans="8:50" x14ac:dyDescent="0.25"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  <c r="AD1557" s="3"/>
      <c r="AE1557" s="3"/>
      <c r="AF1557" s="3"/>
      <c r="AG1557" s="3"/>
      <c r="AH1557" s="3"/>
      <c r="AI1557" s="3"/>
      <c r="AJ1557" s="3"/>
      <c r="AK1557" s="3"/>
      <c r="AL1557" s="3"/>
      <c r="AM1557" s="3"/>
      <c r="AN1557" s="3"/>
      <c r="AO1557" s="3"/>
      <c r="AP1557" s="3"/>
      <c r="AQ1557" s="3"/>
      <c r="AR1557" s="3"/>
      <c r="AS1557" s="3"/>
      <c r="AT1557" s="3"/>
      <c r="AU1557" s="3"/>
      <c r="AV1557" s="3"/>
      <c r="AW1557" s="3"/>
      <c r="AX1557" s="3"/>
    </row>
    <row r="1558" spans="8:50" x14ac:dyDescent="0.25"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  <c r="AD1558" s="3"/>
      <c r="AE1558" s="3"/>
      <c r="AF1558" s="3"/>
      <c r="AG1558" s="3"/>
      <c r="AH1558" s="3"/>
      <c r="AI1558" s="3"/>
      <c r="AJ1558" s="3"/>
      <c r="AK1558" s="3"/>
      <c r="AL1558" s="3"/>
      <c r="AM1558" s="3"/>
      <c r="AN1558" s="3"/>
      <c r="AO1558" s="3"/>
      <c r="AP1558" s="3"/>
      <c r="AQ1558" s="3"/>
      <c r="AR1558" s="3"/>
      <c r="AS1558" s="3"/>
      <c r="AT1558" s="3"/>
      <c r="AU1558" s="3"/>
      <c r="AV1558" s="3"/>
      <c r="AW1558" s="3"/>
      <c r="AX1558" s="3"/>
    </row>
    <row r="1559" spans="8:50" x14ac:dyDescent="0.25"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  <c r="AD1559" s="3"/>
      <c r="AE1559" s="3"/>
      <c r="AF1559" s="3"/>
      <c r="AG1559" s="3"/>
      <c r="AH1559" s="3"/>
      <c r="AI1559" s="3"/>
      <c r="AJ1559" s="3"/>
      <c r="AK1559" s="3"/>
      <c r="AL1559" s="3"/>
      <c r="AM1559" s="3"/>
      <c r="AN1559" s="3"/>
      <c r="AO1559" s="3"/>
      <c r="AP1559" s="3"/>
      <c r="AQ1559" s="3"/>
      <c r="AR1559" s="3"/>
      <c r="AS1559" s="3"/>
      <c r="AT1559" s="3"/>
      <c r="AU1559" s="3"/>
      <c r="AV1559" s="3"/>
      <c r="AW1559" s="3"/>
      <c r="AX1559" s="3"/>
    </row>
    <row r="1560" spans="8:50" x14ac:dyDescent="0.25"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  <c r="AD1560" s="3"/>
      <c r="AE1560" s="3"/>
      <c r="AF1560" s="3"/>
      <c r="AG1560" s="3"/>
      <c r="AH1560" s="3"/>
      <c r="AI1560" s="3"/>
      <c r="AJ1560" s="3"/>
      <c r="AK1560" s="3"/>
      <c r="AL1560" s="3"/>
      <c r="AM1560" s="3"/>
      <c r="AN1560" s="3"/>
      <c r="AO1560" s="3"/>
      <c r="AP1560" s="3"/>
      <c r="AQ1560" s="3"/>
      <c r="AR1560" s="3"/>
      <c r="AS1560" s="3"/>
      <c r="AT1560" s="3"/>
      <c r="AU1560" s="3"/>
      <c r="AV1560" s="3"/>
      <c r="AW1560" s="3"/>
      <c r="AX1560" s="3"/>
    </row>
    <row r="1561" spans="8:50" x14ac:dyDescent="0.25"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  <c r="AD1561" s="3"/>
      <c r="AE1561" s="3"/>
      <c r="AF1561" s="3"/>
      <c r="AG1561" s="3"/>
      <c r="AH1561" s="3"/>
      <c r="AI1561" s="3"/>
      <c r="AJ1561" s="3"/>
      <c r="AK1561" s="3"/>
      <c r="AL1561" s="3"/>
      <c r="AM1561" s="3"/>
      <c r="AN1561" s="3"/>
      <c r="AO1561" s="3"/>
      <c r="AP1561" s="3"/>
      <c r="AQ1561" s="3"/>
      <c r="AR1561" s="3"/>
      <c r="AS1561" s="3"/>
      <c r="AT1561" s="3"/>
      <c r="AU1561" s="3"/>
      <c r="AV1561" s="3"/>
      <c r="AW1561" s="3"/>
      <c r="AX1561" s="3"/>
    </row>
    <row r="1562" spans="8:50" x14ac:dyDescent="0.25"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  <c r="AD1562" s="3"/>
      <c r="AE1562" s="3"/>
      <c r="AF1562" s="3"/>
      <c r="AG1562" s="3"/>
      <c r="AH1562" s="3"/>
      <c r="AI1562" s="3"/>
      <c r="AJ1562" s="3"/>
      <c r="AK1562" s="3"/>
      <c r="AL1562" s="3"/>
      <c r="AM1562" s="3"/>
      <c r="AN1562" s="3"/>
      <c r="AO1562" s="3"/>
      <c r="AP1562" s="3"/>
      <c r="AQ1562" s="3"/>
      <c r="AR1562" s="3"/>
      <c r="AS1562" s="3"/>
      <c r="AT1562" s="3"/>
      <c r="AU1562" s="3"/>
      <c r="AV1562" s="3"/>
      <c r="AW1562" s="3"/>
      <c r="AX1562" s="3"/>
    </row>
    <row r="1563" spans="8:50" x14ac:dyDescent="0.25"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  <c r="AD1563" s="3"/>
      <c r="AE1563" s="3"/>
      <c r="AF1563" s="3"/>
      <c r="AG1563" s="3"/>
      <c r="AH1563" s="3"/>
      <c r="AI1563" s="3"/>
      <c r="AJ1563" s="3"/>
      <c r="AK1563" s="3"/>
      <c r="AL1563" s="3"/>
      <c r="AM1563" s="3"/>
      <c r="AN1563" s="3"/>
      <c r="AO1563" s="3"/>
      <c r="AP1563" s="3"/>
      <c r="AQ1563" s="3"/>
      <c r="AR1563" s="3"/>
      <c r="AS1563" s="3"/>
      <c r="AT1563" s="3"/>
      <c r="AU1563" s="3"/>
      <c r="AV1563" s="3"/>
      <c r="AW1563" s="3"/>
      <c r="AX1563" s="3"/>
    </row>
    <row r="1564" spans="8:50" x14ac:dyDescent="0.25"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  <c r="AD1564" s="3"/>
      <c r="AE1564" s="3"/>
      <c r="AF1564" s="3"/>
      <c r="AG1564" s="3"/>
      <c r="AH1564" s="3"/>
      <c r="AI1564" s="3"/>
      <c r="AJ1564" s="3"/>
      <c r="AK1564" s="3"/>
      <c r="AL1564" s="3"/>
      <c r="AM1564" s="3"/>
      <c r="AN1564" s="3"/>
      <c r="AO1564" s="3"/>
      <c r="AP1564" s="3"/>
      <c r="AQ1564" s="3"/>
      <c r="AR1564" s="3"/>
      <c r="AS1564" s="3"/>
      <c r="AT1564" s="3"/>
      <c r="AU1564" s="3"/>
      <c r="AV1564" s="3"/>
      <c r="AW1564" s="3"/>
      <c r="AX1564" s="3"/>
    </row>
    <row r="1565" spans="8:50" x14ac:dyDescent="0.25"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  <c r="AD1565" s="3"/>
      <c r="AE1565" s="3"/>
      <c r="AF1565" s="3"/>
      <c r="AG1565" s="3"/>
      <c r="AH1565" s="3"/>
      <c r="AI1565" s="3"/>
      <c r="AJ1565" s="3"/>
      <c r="AK1565" s="3"/>
      <c r="AL1565" s="3"/>
      <c r="AM1565" s="3"/>
      <c r="AN1565" s="3"/>
      <c r="AO1565" s="3"/>
      <c r="AP1565" s="3"/>
      <c r="AQ1565" s="3"/>
      <c r="AR1565" s="3"/>
      <c r="AS1565" s="3"/>
      <c r="AT1565" s="3"/>
      <c r="AU1565" s="3"/>
      <c r="AV1565" s="3"/>
      <c r="AW1565" s="3"/>
      <c r="AX1565" s="3"/>
    </row>
    <row r="1566" spans="8:50" x14ac:dyDescent="0.25"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  <c r="AD1566" s="3"/>
      <c r="AE1566" s="3"/>
      <c r="AF1566" s="3"/>
      <c r="AG1566" s="3"/>
      <c r="AH1566" s="3"/>
      <c r="AI1566" s="3"/>
      <c r="AJ1566" s="3"/>
      <c r="AK1566" s="3"/>
      <c r="AL1566" s="3"/>
      <c r="AM1566" s="3"/>
      <c r="AN1566" s="3"/>
      <c r="AO1566" s="3"/>
      <c r="AP1566" s="3"/>
      <c r="AQ1566" s="3"/>
      <c r="AR1566" s="3"/>
      <c r="AS1566" s="3"/>
      <c r="AT1566" s="3"/>
      <c r="AU1566" s="3"/>
      <c r="AV1566" s="3"/>
      <c r="AW1566" s="3"/>
      <c r="AX1566" s="3"/>
    </row>
    <row r="1567" spans="8:50" x14ac:dyDescent="0.25"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  <c r="AD1567" s="3"/>
      <c r="AE1567" s="3"/>
      <c r="AF1567" s="3"/>
      <c r="AG1567" s="3"/>
      <c r="AH1567" s="3"/>
      <c r="AI1567" s="3"/>
      <c r="AJ1567" s="3"/>
      <c r="AK1567" s="3"/>
      <c r="AL1567" s="3"/>
      <c r="AM1567" s="3"/>
      <c r="AN1567" s="3"/>
      <c r="AO1567" s="3"/>
      <c r="AP1567" s="3"/>
      <c r="AQ1567" s="3"/>
      <c r="AR1567" s="3"/>
      <c r="AS1567" s="3"/>
      <c r="AT1567" s="3"/>
      <c r="AU1567" s="3"/>
      <c r="AV1567" s="3"/>
      <c r="AW1567" s="3"/>
      <c r="AX1567" s="3"/>
    </row>
    <row r="1568" spans="8:50" x14ac:dyDescent="0.25"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  <c r="AD1568" s="3"/>
      <c r="AE1568" s="3"/>
      <c r="AF1568" s="3"/>
      <c r="AG1568" s="3"/>
      <c r="AH1568" s="3"/>
      <c r="AI1568" s="3"/>
      <c r="AJ1568" s="3"/>
      <c r="AK1568" s="3"/>
      <c r="AL1568" s="3"/>
      <c r="AM1568" s="3"/>
      <c r="AN1568" s="3"/>
      <c r="AO1568" s="3"/>
      <c r="AP1568" s="3"/>
      <c r="AQ1568" s="3"/>
      <c r="AR1568" s="3"/>
      <c r="AS1568" s="3"/>
      <c r="AT1568" s="3"/>
      <c r="AU1568" s="3"/>
      <c r="AV1568" s="3"/>
      <c r="AW1568" s="3"/>
      <c r="AX1568" s="3"/>
    </row>
    <row r="1569" spans="8:50" x14ac:dyDescent="0.25"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  <c r="AD1569" s="3"/>
      <c r="AE1569" s="3"/>
      <c r="AF1569" s="3"/>
      <c r="AG1569" s="3"/>
      <c r="AH1569" s="3"/>
      <c r="AI1569" s="3"/>
      <c r="AJ1569" s="3"/>
      <c r="AK1569" s="3"/>
      <c r="AL1569" s="3"/>
      <c r="AM1569" s="3"/>
      <c r="AN1569" s="3"/>
      <c r="AO1569" s="3"/>
      <c r="AP1569" s="3"/>
      <c r="AQ1569" s="3"/>
      <c r="AR1569" s="3"/>
      <c r="AS1569" s="3"/>
      <c r="AT1569" s="3"/>
      <c r="AU1569" s="3"/>
      <c r="AV1569" s="3"/>
      <c r="AW1569" s="3"/>
      <c r="AX1569" s="3"/>
    </row>
    <row r="1570" spans="8:50" x14ac:dyDescent="0.25"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  <c r="AD1570" s="3"/>
      <c r="AE1570" s="3"/>
      <c r="AF1570" s="3"/>
      <c r="AG1570" s="3"/>
      <c r="AH1570" s="3"/>
      <c r="AI1570" s="3"/>
      <c r="AJ1570" s="3"/>
      <c r="AK1570" s="3"/>
      <c r="AL1570" s="3"/>
      <c r="AM1570" s="3"/>
      <c r="AN1570" s="3"/>
      <c r="AO1570" s="3"/>
      <c r="AP1570" s="3"/>
      <c r="AQ1570" s="3"/>
      <c r="AR1570" s="3"/>
      <c r="AS1570" s="3"/>
      <c r="AT1570" s="3"/>
      <c r="AU1570" s="3"/>
      <c r="AV1570" s="3"/>
      <c r="AW1570" s="3"/>
      <c r="AX1570" s="3"/>
    </row>
    <row r="1571" spans="8:50" x14ac:dyDescent="0.25"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  <c r="AD1571" s="3"/>
      <c r="AE1571" s="3"/>
      <c r="AF1571" s="3"/>
      <c r="AG1571" s="3"/>
      <c r="AH1571" s="3"/>
      <c r="AI1571" s="3"/>
      <c r="AJ1571" s="3"/>
      <c r="AK1571" s="3"/>
      <c r="AL1571" s="3"/>
      <c r="AM1571" s="3"/>
      <c r="AN1571" s="3"/>
      <c r="AO1571" s="3"/>
      <c r="AP1571" s="3"/>
      <c r="AQ1571" s="3"/>
      <c r="AR1571" s="3"/>
      <c r="AS1571" s="3"/>
      <c r="AT1571" s="3"/>
      <c r="AU1571" s="3"/>
      <c r="AV1571" s="3"/>
      <c r="AW1571" s="3"/>
      <c r="AX1571" s="3"/>
    </row>
    <row r="1572" spans="8:50" x14ac:dyDescent="0.25"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  <c r="AD1572" s="3"/>
      <c r="AE1572" s="3"/>
      <c r="AF1572" s="3"/>
      <c r="AG1572" s="3"/>
      <c r="AH1572" s="3"/>
      <c r="AI1572" s="3"/>
      <c r="AJ1572" s="3"/>
      <c r="AK1572" s="3"/>
      <c r="AL1572" s="3"/>
      <c r="AM1572" s="3"/>
      <c r="AN1572" s="3"/>
      <c r="AO1572" s="3"/>
      <c r="AP1572" s="3"/>
      <c r="AQ1572" s="3"/>
      <c r="AR1572" s="3"/>
      <c r="AS1572" s="3"/>
      <c r="AT1572" s="3"/>
      <c r="AU1572" s="3"/>
      <c r="AV1572" s="3"/>
      <c r="AW1572" s="3"/>
      <c r="AX1572" s="3"/>
    </row>
    <row r="1573" spans="8:50" x14ac:dyDescent="0.25"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  <c r="AD1573" s="3"/>
      <c r="AE1573" s="3"/>
      <c r="AF1573" s="3"/>
      <c r="AG1573" s="3"/>
      <c r="AH1573" s="3"/>
      <c r="AI1573" s="3"/>
      <c r="AJ1573" s="3"/>
      <c r="AK1573" s="3"/>
      <c r="AL1573" s="3"/>
      <c r="AM1573" s="3"/>
      <c r="AN1573" s="3"/>
      <c r="AO1573" s="3"/>
      <c r="AP1573" s="3"/>
      <c r="AQ1573" s="3"/>
      <c r="AR1573" s="3"/>
      <c r="AS1573" s="3"/>
      <c r="AT1573" s="3"/>
      <c r="AU1573" s="3"/>
      <c r="AV1573" s="3"/>
      <c r="AW1573" s="3"/>
      <c r="AX1573" s="3"/>
    </row>
    <row r="1574" spans="8:50" x14ac:dyDescent="0.25"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  <c r="AD1574" s="3"/>
      <c r="AE1574" s="3"/>
      <c r="AF1574" s="3"/>
      <c r="AG1574" s="3"/>
      <c r="AH1574" s="3"/>
      <c r="AI1574" s="3"/>
      <c r="AJ1574" s="3"/>
      <c r="AK1574" s="3"/>
      <c r="AL1574" s="3"/>
      <c r="AM1574" s="3"/>
      <c r="AN1574" s="3"/>
      <c r="AO1574" s="3"/>
      <c r="AP1574" s="3"/>
      <c r="AQ1574" s="3"/>
      <c r="AR1574" s="3"/>
      <c r="AS1574" s="3"/>
      <c r="AT1574" s="3"/>
      <c r="AU1574" s="3"/>
      <c r="AV1574" s="3"/>
      <c r="AW1574" s="3"/>
      <c r="AX1574" s="3"/>
    </row>
    <row r="1575" spans="8:50" x14ac:dyDescent="0.25"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  <c r="AD1575" s="3"/>
      <c r="AE1575" s="3"/>
      <c r="AF1575" s="3"/>
      <c r="AG1575" s="3"/>
      <c r="AH1575" s="3"/>
      <c r="AI1575" s="3"/>
      <c r="AJ1575" s="3"/>
      <c r="AK1575" s="3"/>
      <c r="AL1575" s="3"/>
      <c r="AM1575" s="3"/>
      <c r="AN1575" s="3"/>
      <c r="AO1575" s="3"/>
      <c r="AP1575" s="3"/>
      <c r="AQ1575" s="3"/>
      <c r="AR1575" s="3"/>
      <c r="AS1575" s="3"/>
      <c r="AT1575" s="3"/>
      <c r="AU1575" s="3"/>
      <c r="AV1575" s="3"/>
      <c r="AW1575" s="3"/>
      <c r="AX1575" s="3"/>
    </row>
    <row r="1576" spans="8:50" x14ac:dyDescent="0.25"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  <c r="AD1576" s="3"/>
      <c r="AE1576" s="3"/>
      <c r="AF1576" s="3"/>
      <c r="AG1576" s="3"/>
      <c r="AH1576" s="3"/>
      <c r="AI1576" s="3"/>
      <c r="AJ1576" s="3"/>
      <c r="AK1576" s="3"/>
      <c r="AL1576" s="3"/>
      <c r="AM1576" s="3"/>
      <c r="AN1576" s="3"/>
      <c r="AO1576" s="3"/>
      <c r="AP1576" s="3"/>
      <c r="AQ1576" s="3"/>
      <c r="AR1576" s="3"/>
      <c r="AS1576" s="3"/>
      <c r="AT1576" s="3"/>
      <c r="AU1576" s="3"/>
      <c r="AV1576" s="3"/>
      <c r="AW1576" s="3"/>
      <c r="AX1576" s="3"/>
    </row>
    <row r="1577" spans="8:50" x14ac:dyDescent="0.25"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  <c r="AD1577" s="3"/>
      <c r="AE1577" s="3"/>
      <c r="AF1577" s="3"/>
      <c r="AG1577" s="3"/>
      <c r="AH1577" s="3"/>
      <c r="AI1577" s="3"/>
      <c r="AJ1577" s="3"/>
      <c r="AK1577" s="3"/>
      <c r="AL1577" s="3"/>
      <c r="AM1577" s="3"/>
      <c r="AN1577" s="3"/>
      <c r="AO1577" s="3"/>
      <c r="AP1577" s="3"/>
      <c r="AQ1577" s="3"/>
      <c r="AR1577" s="3"/>
      <c r="AS1577" s="3"/>
      <c r="AT1577" s="3"/>
      <c r="AU1577" s="3"/>
      <c r="AV1577" s="3"/>
      <c r="AW1577" s="3"/>
      <c r="AX1577" s="3"/>
    </row>
    <row r="1578" spans="8:50" x14ac:dyDescent="0.25"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  <c r="AD1578" s="3"/>
      <c r="AE1578" s="3"/>
      <c r="AF1578" s="3"/>
      <c r="AG1578" s="3"/>
      <c r="AH1578" s="3"/>
      <c r="AI1578" s="3"/>
      <c r="AJ1578" s="3"/>
      <c r="AK1578" s="3"/>
      <c r="AL1578" s="3"/>
      <c r="AM1578" s="3"/>
      <c r="AN1578" s="3"/>
      <c r="AO1578" s="3"/>
      <c r="AP1578" s="3"/>
      <c r="AQ1578" s="3"/>
      <c r="AR1578" s="3"/>
      <c r="AS1578" s="3"/>
      <c r="AT1578" s="3"/>
      <c r="AU1578" s="3"/>
      <c r="AV1578" s="3"/>
      <c r="AW1578" s="3"/>
      <c r="AX1578" s="3"/>
    </row>
    <row r="1579" spans="8:50" x14ac:dyDescent="0.25"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  <c r="AD1579" s="3"/>
      <c r="AE1579" s="3"/>
      <c r="AF1579" s="3"/>
      <c r="AG1579" s="3"/>
      <c r="AH1579" s="3"/>
      <c r="AI1579" s="3"/>
      <c r="AJ1579" s="3"/>
      <c r="AK1579" s="3"/>
      <c r="AL1579" s="3"/>
      <c r="AM1579" s="3"/>
      <c r="AN1579" s="3"/>
      <c r="AO1579" s="3"/>
      <c r="AP1579" s="3"/>
      <c r="AQ1579" s="3"/>
      <c r="AR1579" s="3"/>
      <c r="AS1579" s="3"/>
      <c r="AT1579" s="3"/>
      <c r="AU1579" s="3"/>
      <c r="AV1579" s="3"/>
      <c r="AW1579" s="3"/>
      <c r="AX1579" s="3"/>
    </row>
    <row r="1580" spans="8:50" x14ac:dyDescent="0.25"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  <c r="AD1580" s="3"/>
      <c r="AE1580" s="3"/>
      <c r="AF1580" s="3"/>
      <c r="AG1580" s="3"/>
      <c r="AH1580" s="3"/>
      <c r="AI1580" s="3"/>
      <c r="AJ1580" s="3"/>
      <c r="AK1580" s="3"/>
      <c r="AL1580" s="3"/>
      <c r="AM1580" s="3"/>
      <c r="AN1580" s="3"/>
      <c r="AO1580" s="3"/>
      <c r="AP1580" s="3"/>
      <c r="AQ1580" s="3"/>
      <c r="AR1580" s="3"/>
      <c r="AS1580" s="3"/>
      <c r="AT1580" s="3"/>
      <c r="AU1580" s="3"/>
      <c r="AV1580" s="3"/>
      <c r="AW1580" s="3"/>
      <c r="AX1580" s="3"/>
    </row>
    <row r="1581" spans="8:50" x14ac:dyDescent="0.25"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  <c r="AD1581" s="3"/>
      <c r="AE1581" s="3"/>
      <c r="AF1581" s="3"/>
      <c r="AG1581" s="3"/>
      <c r="AH1581" s="3"/>
      <c r="AI1581" s="3"/>
      <c r="AJ1581" s="3"/>
      <c r="AK1581" s="3"/>
      <c r="AL1581" s="3"/>
      <c r="AM1581" s="3"/>
      <c r="AN1581" s="3"/>
      <c r="AO1581" s="3"/>
      <c r="AP1581" s="3"/>
      <c r="AQ1581" s="3"/>
      <c r="AR1581" s="3"/>
      <c r="AS1581" s="3"/>
      <c r="AT1581" s="3"/>
      <c r="AU1581" s="3"/>
      <c r="AV1581" s="3"/>
      <c r="AW1581" s="3"/>
      <c r="AX1581" s="3"/>
    </row>
    <row r="1582" spans="8:50" x14ac:dyDescent="0.25"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  <c r="AD1582" s="3"/>
      <c r="AE1582" s="3"/>
      <c r="AF1582" s="3"/>
      <c r="AG1582" s="3"/>
      <c r="AH1582" s="3"/>
      <c r="AI1582" s="3"/>
      <c r="AJ1582" s="3"/>
      <c r="AK1582" s="3"/>
      <c r="AL1582" s="3"/>
      <c r="AM1582" s="3"/>
      <c r="AN1582" s="3"/>
      <c r="AO1582" s="3"/>
      <c r="AP1582" s="3"/>
      <c r="AQ1582" s="3"/>
      <c r="AR1582" s="3"/>
      <c r="AS1582" s="3"/>
      <c r="AT1582" s="3"/>
      <c r="AU1582" s="3"/>
      <c r="AV1582" s="3"/>
      <c r="AW1582" s="3"/>
      <c r="AX1582" s="3"/>
    </row>
    <row r="1583" spans="8:50" x14ac:dyDescent="0.25"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  <c r="AD1583" s="3"/>
      <c r="AE1583" s="3"/>
      <c r="AF1583" s="3"/>
      <c r="AG1583" s="3"/>
      <c r="AH1583" s="3"/>
      <c r="AI1583" s="3"/>
      <c r="AJ1583" s="3"/>
      <c r="AK1583" s="3"/>
      <c r="AL1583" s="3"/>
      <c r="AM1583" s="3"/>
      <c r="AN1583" s="3"/>
      <c r="AO1583" s="3"/>
      <c r="AP1583" s="3"/>
      <c r="AQ1583" s="3"/>
      <c r="AR1583" s="3"/>
      <c r="AS1583" s="3"/>
      <c r="AT1583" s="3"/>
      <c r="AU1583" s="3"/>
      <c r="AV1583" s="3"/>
      <c r="AW1583" s="3"/>
      <c r="AX1583" s="3"/>
    </row>
    <row r="1584" spans="8:50" x14ac:dyDescent="0.25"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  <c r="AD1584" s="3"/>
      <c r="AE1584" s="3"/>
      <c r="AF1584" s="3"/>
      <c r="AG1584" s="3"/>
      <c r="AH1584" s="3"/>
      <c r="AI1584" s="3"/>
      <c r="AJ1584" s="3"/>
      <c r="AK1584" s="3"/>
      <c r="AL1584" s="3"/>
      <c r="AM1584" s="3"/>
      <c r="AN1584" s="3"/>
      <c r="AO1584" s="3"/>
      <c r="AP1584" s="3"/>
      <c r="AQ1584" s="3"/>
      <c r="AR1584" s="3"/>
      <c r="AS1584" s="3"/>
      <c r="AT1584" s="3"/>
      <c r="AU1584" s="3"/>
      <c r="AV1584" s="3"/>
      <c r="AW1584" s="3"/>
      <c r="AX1584" s="3"/>
    </row>
    <row r="1585" spans="8:50" x14ac:dyDescent="0.25"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  <c r="AD1585" s="3"/>
      <c r="AE1585" s="3"/>
      <c r="AF1585" s="3"/>
      <c r="AG1585" s="3"/>
      <c r="AH1585" s="3"/>
      <c r="AI1585" s="3"/>
      <c r="AJ1585" s="3"/>
      <c r="AK1585" s="3"/>
      <c r="AL1585" s="3"/>
      <c r="AM1585" s="3"/>
      <c r="AN1585" s="3"/>
      <c r="AO1585" s="3"/>
      <c r="AP1585" s="3"/>
      <c r="AQ1585" s="3"/>
      <c r="AR1585" s="3"/>
      <c r="AS1585" s="3"/>
      <c r="AT1585" s="3"/>
      <c r="AU1585" s="3"/>
      <c r="AV1585" s="3"/>
      <c r="AW1585" s="3"/>
      <c r="AX1585" s="3"/>
    </row>
    <row r="1586" spans="8:50" x14ac:dyDescent="0.25"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  <c r="AD1586" s="3"/>
      <c r="AE1586" s="3"/>
      <c r="AF1586" s="3"/>
      <c r="AG1586" s="3"/>
      <c r="AH1586" s="3"/>
      <c r="AI1586" s="3"/>
      <c r="AJ1586" s="3"/>
      <c r="AK1586" s="3"/>
      <c r="AL1586" s="3"/>
      <c r="AM1586" s="3"/>
      <c r="AN1586" s="3"/>
      <c r="AO1586" s="3"/>
      <c r="AP1586" s="3"/>
      <c r="AQ1586" s="3"/>
      <c r="AR1586" s="3"/>
      <c r="AS1586" s="3"/>
      <c r="AT1586" s="3"/>
      <c r="AU1586" s="3"/>
      <c r="AV1586" s="3"/>
      <c r="AW1586" s="3"/>
      <c r="AX1586" s="3"/>
    </row>
    <row r="1587" spans="8:50" x14ac:dyDescent="0.25"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  <c r="AD1587" s="3"/>
      <c r="AE1587" s="3"/>
      <c r="AF1587" s="3"/>
      <c r="AG1587" s="3"/>
      <c r="AH1587" s="3"/>
      <c r="AI1587" s="3"/>
      <c r="AJ1587" s="3"/>
      <c r="AK1587" s="3"/>
      <c r="AL1587" s="3"/>
      <c r="AM1587" s="3"/>
      <c r="AN1587" s="3"/>
      <c r="AO1587" s="3"/>
      <c r="AP1587" s="3"/>
      <c r="AQ1587" s="3"/>
      <c r="AR1587" s="3"/>
      <c r="AS1587" s="3"/>
      <c r="AT1587" s="3"/>
      <c r="AU1587" s="3"/>
      <c r="AV1587" s="3"/>
      <c r="AW1587" s="3"/>
      <c r="AX1587" s="3"/>
    </row>
    <row r="1588" spans="8:50" x14ac:dyDescent="0.25"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  <c r="AD1588" s="3"/>
      <c r="AE1588" s="3"/>
      <c r="AF1588" s="3"/>
      <c r="AG1588" s="3"/>
      <c r="AH1588" s="3"/>
      <c r="AI1588" s="3"/>
      <c r="AJ1588" s="3"/>
      <c r="AK1588" s="3"/>
      <c r="AL1588" s="3"/>
      <c r="AM1588" s="3"/>
      <c r="AN1588" s="3"/>
      <c r="AO1588" s="3"/>
      <c r="AP1588" s="3"/>
      <c r="AQ1588" s="3"/>
      <c r="AR1588" s="3"/>
      <c r="AS1588" s="3"/>
      <c r="AT1588" s="3"/>
      <c r="AU1588" s="3"/>
      <c r="AV1588" s="3"/>
      <c r="AW1588" s="3"/>
      <c r="AX1588" s="3"/>
    </row>
    <row r="1589" spans="8:50" x14ac:dyDescent="0.25"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  <c r="AD1589" s="3"/>
      <c r="AE1589" s="3"/>
      <c r="AF1589" s="3"/>
      <c r="AG1589" s="3"/>
      <c r="AH1589" s="3"/>
      <c r="AI1589" s="3"/>
      <c r="AJ1589" s="3"/>
      <c r="AK1589" s="3"/>
      <c r="AL1589" s="3"/>
      <c r="AM1589" s="3"/>
      <c r="AN1589" s="3"/>
      <c r="AO1589" s="3"/>
      <c r="AP1589" s="3"/>
      <c r="AQ1589" s="3"/>
      <c r="AR1589" s="3"/>
      <c r="AS1589" s="3"/>
      <c r="AT1589" s="3"/>
      <c r="AU1589" s="3"/>
      <c r="AV1589" s="3"/>
      <c r="AW1589" s="3"/>
      <c r="AX1589" s="3"/>
    </row>
    <row r="1590" spans="8:50" x14ac:dyDescent="0.25"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  <c r="AD1590" s="3"/>
      <c r="AE1590" s="3"/>
      <c r="AF1590" s="3"/>
      <c r="AG1590" s="3"/>
      <c r="AH1590" s="3"/>
      <c r="AI1590" s="3"/>
      <c r="AJ1590" s="3"/>
      <c r="AK1590" s="3"/>
      <c r="AL1590" s="3"/>
      <c r="AM1590" s="3"/>
      <c r="AN1590" s="3"/>
      <c r="AO1590" s="3"/>
      <c r="AP1590" s="3"/>
      <c r="AQ1590" s="3"/>
      <c r="AR1590" s="3"/>
      <c r="AS1590" s="3"/>
      <c r="AT1590" s="3"/>
      <c r="AU1590" s="3"/>
      <c r="AV1590" s="3"/>
      <c r="AW1590" s="3"/>
      <c r="AX1590" s="3"/>
    </row>
    <row r="1591" spans="8:50" x14ac:dyDescent="0.25"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  <c r="AD1591" s="3"/>
      <c r="AE1591" s="3"/>
      <c r="AF1591" s="3"/>
      <c r="AG1591" s="3"/>
      <c r="AH1591" s="3"/>
      <c r="AI1591" s="3"/>
      <c r="AJ1591" s="3"/>
      <c r="AK1591" s="3"/>
      <c r="AL1591" s="3"/>
      <c r="AM1591" s="3"/>
      <c r="AN1591" s="3"/>
      <c r="AO1591" s="3"/>
      <c r="AP1591" s="3"/>
      <c r="AQ1591" s="3"/>
      <c r="AR1591" s="3"/>
      <c r="AS1591" s="3"/>
      <c r="AT1591" s="3"/>
      <c r="AU1591" s="3"/>
      <c r="AV1591" s="3"/>
      <c r="AW1591" s="3"/>
      <c r="AX1591" s="3"/>
    </row>
    <row r="1592" spans="8:50" x14ac:dyDescent="0.25"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  <c r="AD1592" s="3"/>
      <c r="AE1592" s="3"/>
      <c r="AF1592" s="3"/>
      <c r="AG1592" s="3"/>
      <c r="AH1592" s="3"/>
      <c r="AI1592" s="3"/>
      <c r="AJ1592" s="3"/>
      <c r="AK1592" s="3"/>
      <c r="AL1592" s="3"/>
      <c r="AM1592" s="3"/>
      <c r="AN1592" s="3"/>
      <c r="AO1592" s="3"/>
      <c r="AP1592" s="3"/>
      <c r="AQ1592" s="3"/>
      <c r="AR1592" s="3"/>
      <c r="AS1592" s="3"/>
      <c r="AT1592" s="3"/>
      <c r="AU1592" s="3"/>
      <c r="AV1592" s="3"/>
      <c r="AW1592" s="3"/>
      <c r="AX1592" s="3"/>
    </row>
    <row r="1593" spans="8:50" x14ac:dyDescent="0.25"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  <c r="AD1593" s="3"/>
      <c r="AE1593" s="3"/>
      <c r="AF1593" s="3"/>
      <c r="AG1593" s="3"/>
      <c r="AH1593" s="3"/>
      <c r="AI1593" s="3"/>
      <c r="AJ1593" s="3"/>
      <c r="AK1593" s="3"/>
      <c r="AL1593" s="3"/>
      <c r="AM1593" s="3"/>
      <c r="AN1593" s="3"/>
      <c r="AO1593" s="3"/>
      <c r="AP1593" s="3"/>
      <c r="AQ1593" s="3"/>
      <c r="AR1593" s="3"/>
      <c r="AS1593" s="3"/>
      <c r="AT1593" s="3"/>
      <c r="AU1593" s="3"/>
      <c r="AV1593" s="3"/>
      <c r="AW1593" s="3"/>
      <c r="AX1593" s="3"/>
    </row>
    <row r="1594" spans="8:50" x14ac:dyDescent="0.25"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  <c r="AD1594" s="3"/>
      <c r="AE1594" s="3"/>
      <c r="AF1594" s="3"/>
      <c r="AG1594" s="3"/>
      <c r="AH1594" s="3"/>
      <c r="AI1594" s="3"/>
      <c r="AJ1594" s="3"/>
      <c r="AK1594" s="3"/>
      <c r="AL1594" s="3"/>
      <c r="AM1594" s="3"/>
      <c r="AN1594" s="3"/>
      <c r="AO1594" s="3"/>
      <c r="AP1594" s="3"/>
      <c r="AQ1594" s="3"/>
      <c r="AR1594" s="3"/>
      <c r="AS1594" s="3"/>
      <c r="AT1594" s="3"/>
      <c r="AU1594" s="3"/>
      <c r="AV1594" s="3"/>
      <c r="AW1594" s="3"/>
      <c r="AX1594" s="3"/>
    </row>
    <row r="1595" spans="8:50" x14ac:dyDescent="0.25"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  <c r="AD1595" s="3"/>
      <c r="AE1595" s="3"/>
      <c r="AF1595" s="3"/>
      <c r="AG1595" s="3"/>
      <c r="AH1595" s="3"/>
      <c r="AI1595" s="3"/>
      <c r="AJ1595" s="3"/>
      <c r="AK1595" s="3"/>
      <c r="AL1595" s="3"/>
      <c r="AM1595" s="3"/>
      <c r="AN1595" s="3"/>
      <c r="AO1595" s="3"/>
      <c r="AP1595" s="3"/>
      <c r="AQ1595" s="3"/>
      <c r="AR1595" s="3"/>
      <c r="AS1595" s="3"/>
      <c r="AT1595" s="3"/>
      <c r="AU1595" s="3"/>
      <c r="AV1595" s="3"/>
      <c r="AW1595" s="3"/>
      <c r="AX1595" s="3"/>
    </row>
    <row r="1596" spans="8:50" x14ac:dyDescent="0.25"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  <c r="AD1596" s="3"/>
      <c r="AE1596" s="3"/>
      <c r="AF1596" s="3"/>
      <c r="AG1596" s="3"/>
      <c r="AH1596" s="3"/>
      <c r="AI1596" s="3"/>
      <c r="AJ1596" s="3"/>
      <c r="AK1596" s="3"/>
      <c r="AL1596" s="3"/>
      <c r="AM1596" s="3"/>
      <c r="AN1596" s="3"/>
      <c r="AO1596" s="3"/>
      <c r="AP1596" s="3"/>
      <c r="AQ1596" s="3"/>
      <c r="AR1596" s="3"/>
      <c r="AS1596" s="3"/>
      <c r="AT1596" s="3"/>
      <c r="AU1596" s="3"/>
      <c r="AV1596" s="3"/>
      <c r="AW1596" s="3"/>
      <c r="AX1596" s="3"/>
    </row>
    <row r="1597" spans="8:50" x14ac:dyDescent="0.25"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  <c r="AD1597" s="3"/>
      <c r="AE1597" s="3"/>
      <c r="AF1597" s="3"/>
      <c r="AG1597" s="3"/>
      <c r="AH1597" s="3"/>
      <c r="AI1597" s="3"/>
      <c r="AJ1597" s="3"/>
      <c r="AK1597" s="3"/>
      <c r="AL1597" s="3"/>
      <c r="AM1597" s="3"/>
      <c r="AN1597" s="3"/>
      <c r="AO1597" s="3"/>
      <c r="AP1597" s="3"/>
      <c r="AQ1597" s="3"/>
      <c r="AR1597" s="3"/>
      <c r="AS1597" s="3"/>
      <c r="AT1597" s="3"/>
      <c r="AU1597" s="3"/>
      <c r="AV1597" s="3"/>
      <c r="AW1597" s="3"/>
      <c r="AX1597" s="3"/>
    </row>
    <row r="1598" spans="8:50" x14ac:dyDescent="0.25"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  <c r="AD1598" s="3"/>
      <c r="AE1598" s="3"/>
      <c r="AF1598" s="3"/>
      <c r="AG1598" s="3"/>
      <c r="AH1598" s="3"/>
      <c r="AI1598" s="3"/>
      <c r="AJ1598" s="3"/>
      <c r="AK1598" s="3"/>
      <c r="AL1598" s="3"/>
      <c r="AM1598" s="3"/>
      <c r="AN1598" s="3"/>
      <c r="AO1598" s="3"/>
      <c r="AP1598" s="3"/>
      <c r="AQ1598" s="3"/>
      <c r="AR1598" s="3"/>
      <c r="AS1598" s="3"/>
      <c r="AT1598" s="3"/>
      <c r="AU1598" s="3"/>
      <c r="AV1598" s="3"/>
      <c r="AW1598" s="3"/>
      <c r="AX1598" s="3"/>
    </row>
    <row r="1599" spans="8:50" x14ac:dyDescent="0.25"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  <c r="AD1599" s="3"/>
      <c r="AE1599" s="3"/>
      <c r="AF1599" s="3"/>
      <c r="AG1599" s="3"/>
      <c r="AH1599" s="3"/>
      <c r="AI1599" s="3"/>
      <c r="AJ1599" s="3"/>
      <c r="AK1599" s="3"/>
      <c r="AL1599" s="3"/>
      <c r="AM1599" s="3"/>
      <c r="AN1599" s="3"/>
      <c r="AO1599" s="3"/>
      <c r="AP1599" s="3"/>
      <c r="AQ1599" s="3"/>
      <c r="AR1599" s="3"/>
      <c r="AS1599" s="3"/>
      <c r="AT1599" s="3"/>
      <c r="AU1599" s="3"/>
      <c r="AV1599" s="3"/>
      <c r="AW1599" s="3"/>
      <c r="AX1599" s="3"/>
    </row>
    <row r="1600" spans="8:50" x14ac:dyDescent="0.25"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  <c r="AD1600" s="3"/>
      <c r="AE1600" s="3"/>
      <c r="AF1600" s="3"/>
      <c r="AG1600" s="3"/>
      <c r="AH1600" s="3"/>
      <c r="AI1600" s="3"/>
      <c r="AJ1600" s="3"/>
      <c r="AK1600" s="3"/>
      <c r="AL1600" s="3"/>
      <c r="AM1600" s="3"/>
      <c r="AN1600" s="3"/>
      <c r="AO1600" s="3"/>
      <c r="AP1600" s="3"/>
      <c r="AQ1600" s="3"/>
      <c r="AR1600" s="3"/>
      <c r="AS1600" s="3"/>
      <c r="AT1600" s="3"/>
      <c r="AU1600" s="3"/>
      <c r="AV1600" s="3"/>
      <c r="AW1600" s="3"/>
      <c r="AX1600" s="3"/>
    </row>
    <row r="1601" spans="8:50" x14ac:dyDescent="0.25"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  <c r="AD1601" s="3"/>
      <c r="AE1601" s="3"/>
      <c r="AF1601" s="3"/>
      <c r="AG1601" s="3"/>
      <c r="AH1601" s="3"/>
      <c r="AI1601" s="3"/>
      <c r="AJ1601" s="3"/>
      <c r="AK1601" s="3"/>
      <c r="AL1601" s="3"/>
      <c r="AM1601" s="3"/>
      <c r="AN1601" s="3"/>
      <c r="AO1601" s="3"/>
      <c r="AP1601" s="3"/>
      <c r="AQ1601" s="3"/>
      <c r="AR1601" s="3"/>
      <c r="AS1601" s="3"/>
      <c r="AT1601" s="3"/>
      <c r="AU1601" s="3"/>
      <c r="AV1601" s="3"/>
      <c r="AW1601" s="3"/>
      <c r="AX1601" s="3"/>
    </row>
    <row r="1602" spans="8:50" x14ac:dyDescent="0.25"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  <c r="AD1602" s="3"/>
      <c r="AE1602" s="3"/>
      <c r="AF1602" s="3"/>
      <c r="AG1602" s="3"/>
      <c r="AH1602" s="3"/>
      <c r="AI1602" s="3"/>
      <c r="AJ1602" s="3"/>
      <c r="AK1602" s="3"/>
      <c r="AL1602" s="3"/>
      <c r="AM1602" s="3"/>
      <c r="AN1602" s="3"/>
      <c r="AO1602" s="3"/>
      <c r="AP1602" s="3"/>
      <c r="AQ1602" s="3"/>
      <c r="AR1602" s="3"/>
      <c r="AS1602" s="3"/>
      <c r="AT1602" s="3"/>
      <c r="AU1602" s="3"/>
      <c r="AV1602" s="3"/>
      <c r="AW1602" s="3"/>
      <c r="AX1602" s="3"/>
    </row>
    <row r="1603" spans="8:50" x14ac:dyDescent="0.25"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  <c r="AD1603" s="3"/>
      <c r="AE1603" s="3"/>
      <c r="AF1603" s="3"/>
      <c r="AG1603" s="3"/>
      <c r="AH1603" s="3"/>
      <c r="AI1603" s="3"/>
      <c r="AJ1603" s="3"/>
      <c r="AK1603" s="3"/>
      <c r="AL1603" s="3"/>
      <c r="AM1603" s="3"/>
      <c r="AN1603" s="3"/>
      <c r="AO1603" s="3"/>
      <c r="AP1603" s="3"/>
      <c r="AQ1603" s="3"/>
      <c r="AR1603" s="3"/>
      <c r="AS1603" s="3"/>
      <c r="AT1603" s="3"/>
      <c r="AU1603" s="3"/>
      <c r="AV1603" s="3"/>
      <c r="AW1603" s="3"/>
      <c r="AX1603" s="3"/>
    </row>
    <row r="1604" spans="8:50" x14ac:dyDescent="0.25"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  <c r="AD1604" s="3"/>
      <c r="AE1604" s="3"/>
      <c r="AF1604" s="3"/>
      <c r="AG1604" s="3"/>
      <c r="AH1604" s="3"/>
      <c r="AI1604" s="3"/>
      <c r="AJ1604" s="3"/>
      <c r="AK1604" s="3"/>
      <c r="AL1604" s="3"/>
      <c r="AM1604" s="3"/>
      <c r="AN1604" s="3"/>
      <c r="AO1604" s="3"/>
      <c r="AP1604" s="3"/>
      <c r="AQ1604" s="3"/>
      <c r="AR1604" s="3"/>
      <c r="AS1604" s="3"/>
      <c r="AT1604" s="3"/>
      <c r="AU1604" s="3"/>
      <c r="AV1604" s="3"/>
      <c r="AW1604" s="3"/>
      <c r="AX1604" s="3"/>
    </row>
    <row r="1605" spans="8:50" x14ac:dyDescent="0.25"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  <c r="AD1605" s="3"/>
      <c r="AE1605" s="3"/>
      <c r="AF1605" s="3"/>
      <c r="AG1605" s="3"/>
      <c r="AH1605" s="3"/>
      <c r="AI1605" s="3"/>
      <c r="AJ1605" s="3"/>
      <c r="AK1605" s="3"/>
      <c r="AL1605" s="3"/>
      <c r="AM1605" s="3"/>
      <c r="AN1605" s="3"/>
      <c r="AO1605" s="3"/>
      <c r="AP1605" s="3"/>
      <c r="AQ1605" s="3"/>
      <c r="AR1605" s="3"/>
      <c r="AS1605" s="3"/>
      <c r="AT1605" s="3"/>
      <c r="AU1605" s="3"/>
      <c r="AV1605" s="3"/>
      <c r="AW1605" s="3"/>
      <c r="AX1605" s="3"/>
    </row>
    <row r="1606" spans="8:50" x14ac:dyDescent="0.25"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  <c r="AD1606" s="3"/>
      <c r="AE1606" s="3"/>
      <c r="AF1606" s="3"/>
      <c r="AG1606" s="3"/>
      <c r="AH1606" s="3"/>
      <c r="AI1606" s="3"/>
      <c r="AJ1606" s="3"/>
      <c r="AK1606" s="3"/>
      <c r="AL1606" s="3"/>
      <c r="AM1606" s="3"/>
      <c r="AN1606" s="3"/>
      <c r="AO1606" s="3"/>
      <c r="AP1606" s="3"/>
      <c r="AQ1606" s="3"/>
      <c r="AR1606" s="3"/>
      <c r="AS1606" s="3"/>
      <c r="AT1606" s="3"/>
      <c r="AU1606" s="3"/>
      <c r="AV1606" s="3"/>
      <c r="AW1606" s="3"/>
      <c r="AX1606" s="3"/>
    </row>
    <row r="1607" spans="8:50" x14ac:dyDescent="0.25"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  <c r="AD1607" s="3"/>
      <c r="AE1607" s="3"/>
      <c r="AF1607" s="3"/>
      <c r="AG1607" s="3"/>
      <c r="AH1607" s="3"/>
      <c r="AI1607" s="3"/>
      <c r="AJ1607" s="3"/>
      <c r="AK1607" s="3"/>
      <c r="AL1607" s="3"/>
      <c r="AM1607" s="3"/>
      <c r="AN1607" s="3"/>
      <c r="AO1607" s="3"/>
      <c r="AP1607" s="3"/>
      <c r="AQ1607" s="3"/>
      <c r="AR1607" s="3"/>
      <c r="AS1607" s="3"/>
      <c r="AT1607" s="3"/>
      <c r="AU1607" s="3"/>
      <c r="AV1607" s="3"/>
      <c r="AW1607" s="3"/>
      <c r="AX1607" s="3"/>
    </row>
    <row r="1608" spans="8:50" x14ac:dyDescent="0.25"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  <c r="AD1608" s="3"/>
      <c r="AE1608" s="3"/>
      <c r="AF1608" s="3"/>
      <c r="AG1608" s="3"/>
      <c r="AH1608" s="3"/>
      <c r="AI1608" s="3"/>
      <c r="AJ1608" s="3"/>
      <c r="AK1608" s="3"/>
      <c r="AL1608" s="3"/>
      <c r="AM1608" s="3"/>
      <c r="AN1608" s="3"/>
      <c r="AO1608" s="3"/>
      <c r="AP1608" s="3"/>
      <c r="AQ1608" s="3"/>
      <c r="AR1608" s="3"/>
      <c r="AS1608" s="3"/>
      <c r="AT1608" s="3"/>
      <c r="AU1608" s="3"/>
      <c r="AV1608" s="3"/>
      <c r="AW1608" s="3"/>
      <c r="AX1608" s="3"/>
    </row>
    <row r="1609" spans="8:50" x14ac:dyDescent="0.25"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  <c r="AD1609" s="3"/>
      <c r="AE1609" s="3"/>
      <c r="AF1609" s="3"/>
      <c r="AG1609" s="3"/>
      <c r="AH1609" s="3"/>
      <c r="AI1609" s="3"/>
      <c r="AJ1609" s="3"/>
      <c r="AK1609" s="3"/>
      <c r="AL1609" s="3"/>
      <c r="AM1609" s="3"/>
      <c r="AN1609" s="3"/>
      <c r="AO1609" s="3"/>
      <c r="AP1609" s="3"/>
      <c r="AQ1609" s="3"/>
      <c r="AR1609" s="3"/>
      <c r="AS1609" s="3"/>
      <c r="AT1609" s="3"/>
      <c r="AU1609" s="3"/>
      <c r="AV1609" s="3"/>
      <c r="AW1609" s="3"/>
      <c r="AX1609" s="3"/>
    </row>
    <row r="1610" spans="8:50" x14ac:dyDescent="0.25"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  <c r="AD1610" s="3"/>
      <c r="AE1610" s="3"/>
      <c r="AF1610" s="3"/>
      <c r="AG1610" s="3"/>
      <c r="AH1610" s="3"/>
      <c r="AI1610" s="3"/>
      <c r="AJ1610" s="3"/>
      <c r="AK1610" s="3"/>
      <c r="AL1610" s="3"/>
      <c r="AM1610" s="3"/>
      <c r="AN1610" s="3"/>
      <c r="AO1610" s="3"/>
      <c r="AP1610" s="3"/>
      <c r="AQ1610" s="3"/>
      <c r="AR1610" s="3"/>
      <c r="AS1610" s="3"/>
      <c r="AT1610" s="3"/>
      <c r="AU1610" s="3"/>
      <c r="AV1610" s="3"/>
      <c r="AW1610" s="3"/>
      <c r="AX1610" s="3"/>
    </row>
    <row r="1611" spans="8:50" x14ac:dyDescent="0.25"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  <c r="AD1611" s="3"/>
      <c r="AE1611" s="3"/>
      <c r="AF1611" s="3"/>
      <c r="AG1611" s="3"/>
      <c r="AH1611" s="3"/>
      <c r="AI1611" s="3"/>
      <c r="AJ1611" s="3"/>
      <c r="AK1611" s="3"/>
      <c r="AL1611" s="3"/>
      <c r="AM1611" s="3"/>
      <c r="AN1611" s="3"/>
      <c r="AO1611" s="3"/>
      <c r="AP1611" s="3"/>
      <c r="AQ1611" s="3"/>
      <c r="AR1611" s="3"/>
      <c r="AS1611" s="3"/>
      <c r="AT1611" s="3"/>
      <c r="AU1611" s="3"/>
      <c r="AV1611" s="3"/>
      <c r="AW1611" s="3"/>
      <c r="AX1611" s="3"/>
    </row>
    <row r="1612" spans="8:50" x14ac:dyDescent="0.25"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  <c r="AD1612" s="3"/>
      <c r="AE1612" s="3"/>
      <c r="AF1612" s="3"/>
      <c r="AG1612" s="3"/>
      <c r="AH1612" s="3"/>
      <c r="AI1612" s="3"/>
      <c r="AJ1612" s="3"/>
      <c r="AK1612" s="3"/>
      <c r="AL1612" s="3"/>
      <c r="AM1612" s="3"/>
      <c r="AN1612" s="3"/>
      <c r="AO1612" s="3"/>
      <c r="AP1612" s="3"/>
      <c r="AQ1612" s="3"/>
      <c r="AR1612" s="3"/>
      <c r="AS1612" s="3"/>
      <c r="AT1612" s="3"/>
      <c r="AU1612" s="3"/>
      <c r="AV1612" s="3"/>
      <c r="AW1612" s="3"/>
      <c r="AX1612" s="3"/>
    </row>
    <row r="1613" spans="8:50" x14ac:dyDescent="0.25"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  <c r="AD1613" s="3"/>
      <c r="AE1613" s="3"/>
      <c r="AF1613" s="3"/>
      <c r="AG1613" s="3"/>
      <c r="AH1613" s="3"/>
      <c r="AI1613" s="3"/>
      <c r="AJ1613" s="3"/>
      <c r="AK1613" s="3"/>
      <c r="AL1613" s="3"/>
      <c r="AM1613" s="3"/>
      <c r="AN1613" s="3"/>
      <c r="AO1613" s="3"/>
      <c r="AP1613" s="3"/>
      <c r="AQ1613" s="3"/>
      <c r="AR1613" s="3"/>
      <c r="AS1613" s="3"/>
      <c r="AT1613" s="3"/>
      <c r="AU1613" s="3"/>
      <c r="AV1613" s="3"/>
      <c r="AW1613" s="3"/>
      <c r="AX1613" s="3"/>
    </row>
    <row r="1614" spans="8:50" x14ac:dyDescent="0.25"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  <c r="AD1614" s="3"/>
      <c r="AE1614" s="3"/>
      <c r="AF1614" s="3"/>
      <c r="AG1614" s="3"/>
      <c r="AH1614" s="3"/>
      <c r="AI1614" s="3"/>
      <c r="AJ1614" s="3"/>
      <c r="AK1614" s="3"/>
      <c r="AL1614" s="3"/>
      <c r="AM1614" s="3"/>
      <c r="AN1614" s="3"/>
      <c r="AO1614" s="3"/>
      <c r="AP1614" s="3"/>
      <c r="AQ1614" s="3"/>
      <c r="AR1614" s="3"/>
      <c r="AS1614" s="3"/>
      <c r="AT1614" s="3"/>
      <c r="AU1614" s="3"/>
      <c r="AV1614" s="3"/>
      <c r="AW1614" s="3"/>
      <c r="AX1614" s="3"/>
    </row>
    <row r="1615" spans="8:50" x14ac:dyDescent="0.25"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  <c r="AD1615" s="3"/>
      <c r="AE1615" s="3"/>
      <c r="AF1615" s="3"/>
      <c r="AG1615" s="3"/>
      <c r="AH1615" s="3"/>
      <c r="AI1615" s="3"/>
      <c r="AJ1615" s="3"/>
      <c r="AK1615" s="3"/>
      <c r="AL1615" s="3"/>
      <c r="AM1615" s="3"/>
      <c r="AN1615" s="3"/>
      <c r="AO1615" s="3"/>
      <c r="AP1615" s="3"/>
      <c r="AQ1615" s="3"/>
      <c r="AR1615" s="3"/>
      <c r="AS1615" s="3"/>
      <c r="AT1615" s="3"/>
      <c r="AU1615" s="3"/>
      <c r="AV1615" s="3"/>
      <c r="AW1615" s="3"/>
      <c r="AX1615" s="3"/>
    </row>
    <row r="1616" spans="8:50" x14ac:dyDescent="0.25"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  <c r="AD1616" s="3"/>
      <c r="AE1616" s="3"/>
      <c r="AF1616" s="3"/>
      <c r="AG1616" s="3"/>
      <c r="AH1616" s="3"/>
      <c r="AI1616" s="3"/>
      <c r="AJ1616" s="3"/>
      <c r="AK1616" s="3"/>
      <c r="AL1616" s="3"/>
      <c r="AM1616" s="3"/>
      <c r="AN1616" s="3"/>
      <c r="AO1616" s="3"/>
      <c r="AP1616" s="3"/>
      <c r="AQ1616" s="3"/>
      <c r="AR1616" s="3"/>
      <c r="AS1616" s="3"/>
      <c r="AT1616" s="3"/>
      <c r="AU1616" s="3"/>
      <c r="AV1616" s="3"/>
      <c r="AW1616" s="3"/>
      <c r="AX1616" s="3"/>
    </row>
    <row r="1617" spans="8:50" x14ac:dyDescent="0.25"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  <c r="AD1617" s="3"/>
      <c r="AE1617" s="3"/>
      <c r="AF1617" s="3"/>
      <c r="AG1617" s="3"/>
      <c r="AH1617" s="3"/>
      <c r="AI1617" s="3"/>
      <c r="AJ1617" s="3"/>
      <c r="AK1617" s="3"/>
      <c r="AL1617" s="3"/>
      <c r="AM1617" s="3"/>
      <c r="AN1617" s="3"/>
      <c r="AO1617" s="3"/>
      <c r="AP1617" s="3"/>
      <c r="AQ1617" s="3"/>
      <c r="AR1617" s="3"/>
      <c r="AS1617" s="3"/>
      <c r="AT1617" s="3"/>
      <c r="AU1617" s="3"/>
      <c r="AV1617" s="3"/>
      <c r="AW1617" s="3"/>
      <c r="AX1617" s="3"/>
    </row>
    <row r="1618" spans="8:50" x14ac:dyDescent="0.25"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  <c r="AD1618" s="3"/>
      <c r="AE1618" s="3"/>
      <c r="AF1618" s="3"/>
      <c r="AG1618" s="3"/>
      <c r="AH1618" s="3"/>
      <c r="AI1618" s="3"/>
      <c r="AJ1618" s="3"/>
      <c r="AK1618" s="3"/>
      <c r="AL1618" s="3"/>
      <c r="AM1618" s="3"/>
      <c r="AN1618" s="3"/>
      <c r="AO1618" s="3"/>
      <c r="AP1618" s="3"/>
      <c r="AQ1618" s="3"/>
      <c r="AR1618" s="3"/>
      <c r="AS1618" s="3"/>
      <c r="AT1618" s="3"/>
      <c r="AU1618" s="3"/>
      <c r="AV1618" s="3"/>
      <c r="AW1618" s="3"/>
      <c r="AX1618" s="3"/>
    </row>
    <row r="1619" spans="8:50" x14ac:dyDescent="0.25"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  <c r="AD1619" s="3"/>
      <c r="AE1619" s="3"/>
      <c r="AF1619" s="3"/>
      <c r="AG1619" s="3"/>
      <c r="AH1619" s="3"/>
      <c r="AI1619" s="3"/>
      <c r="AJ1619" s="3"/>
      <c r="AK1619" s="3"/>
      <c r="AL1619" s="3"/>
      <c r="AM1619" s="3"/>
      <c r="AN1619" s="3"/>
      <c r="AO1619" s="3"/>
      <c r="AP1619" s="3"/>
      <c r="AQ1619" s="3"/>
      <c r="AR1619" s="3"/>
      <c r="AS1619" s="3"/>
      <c r="AT1619" s="3"/>
      <c r="AU1619" s="3"/>
      <c r="AV1619" s="3"/>
      <c r="AW1619" s="3"/>
      <c r="AX1619" s="3"/>
    </row>
    <row r="1620" spans="8:50" x14ac:dyDescent="0.25"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  <c r="AD1620" s="3"/>
      <c r="AE1620" s="3"/>
      <c r="AF1620" s="3"/>
      <c r="AG1620" s="3"/>
      <c r="AH1620" s="3"/>
      <c r="AI1620" s="3"/>
      <c r="AJ1620" s="3"/>
      <c r="AK1620" s="3"/>
      <c r="AL1620" s="3"/>
      <c r="AM1620" s="3"/>
      <c r="AN1620" s="3"/>
      <c r="AO1620" s="3"/>
      <c r="AP1620" s="3"/>
      <c r="AQ1620" s="3"/>
      <c r="AR1620" s="3"/>
      <c r="AS1620" s="3"/>
      <c r="AT1620" s="3"/>
      <c r="AU1620" s="3"/>
      <c r="AV1620" s="3"/>
      <c r="AW1620" s="3"/>
      <c r="AX1620" s="3"/>
    </row>
    <row r="1621" spans="8:50" x14ac:dyDescent="0.25"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  <c r="AD1621" s="3"/>
      <c r="AE1621" s="3"/>
      <c r="AF1621" s="3"/>
      <c r="AG1621" s="3"/>
      <c r="AH1621" s="3"/>
      <c r="AI1621" s="3"/>
      <c r="AJ1621" s="3"/>
      <c r="AK1621" s="3"/>
      <c r="AL1621" s="3"/>
      <c r="AM1621" s="3"/>
      <c r="AN1621" s="3"/>
      <c r="AO1621" s="3"/>
      <c r="AP1621" s="3"/>
      <c r="AQ1621" s="3"/>
      <c r="AR1621" s="3"/>
      <c r="AS1621" s="3"/>
      <c r="AT1621" s="3"/>
      <c r="AU1621" s="3"/>
      <c r="AV1621" s="3"/>
      <c r="AW1621" s="3"/>
      <c r="AX1621" s="3"/>
    </row>
    <row r="1622" spans="8:50" x14ac:dyDescent="0.25"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  <c r="AD1622" s="3"/>
      <c r="AE1622" s="3"/>
      <c r="AF1622" s="3"/>
      <c r="AG1622" s="3"/>
      <c r="AH1622" s="3"/>
      <c r="AI1622" s="3"/>
      <c r="AJ1622" s="3"/>
      <c r="AK1622" s="3"/>
      <c r="AL1622" s="3"/>
      <c r="AM1622" s="3"/>
      <c r="AN1622" s="3"/>
      <c r="AO1622" s="3"/>
      <c r="AP1622" s="3"/>
      <c r="AQ1622" s="3"/>
      <c r="AR1622" s="3"/>
      <c r="AS1622" s="3"/>
      <c r="AT1622" s="3"/>
      <c r="AU1622" s="3"/>
      <c r="AV1622" s="3"/>
      <c r="AW1622" s="3"/>
      <c r="AX1622" s="3"/>
    </row>
    <row r="1623" spans="8:50" x14ac:dyDescent="0.25"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  <c r="AD1623" s="3"/>
      <c r="AE1623" s="3"/>
      <c r="AF1623" s="3"/>
      <c r="AG1623" s="3"/>
      <c r="AH1623" s="3"/>
      <c r="AI1623" s="3"/>
      <c r="AJ1623" s="3"/>
      <c r="AK1623" s="3"/>
      <c r="AL1623" s="3"/>
      <c r="AM1623" s="3"/>
      <c r="AN1623" s="3"/>
      <c r="AO1623" s="3"/>
      <c r="AP1623" s="3"/>
      <c r="AQ1623" s="3"/>
      <c r="AR1623" s="3"/>
      <c r="AS1623" s="3"/>
      <c r="AT1623" s="3"/>
      <c r="AU1623" s="3"/>
      <c r="AV1623" s="3"/>
      <c r="AW1623" s="3"/>
      <c r="AX1623" s="3"/>
    </row>
    <row r="1624" spans="8:50" x14ac:dyDescent="0.25"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  <c r="AD1624" s="3"/>
      <c r="AE1624" s="3"/>
      <c r="AF1624" s="3"/>
      <c r="AG1624" s="3"/>
      <c r="AH1624" s="3"/>
      <c r="AI1624" s="3"/>
      <c r="AJ1624" s="3"/>
      <c r="AK1624" s="3"/>
      <c r="AL1624" s="3"/>
      <c r="AM1624" s="3"/>
      <c r="AN1624" s="3"/>
      <c r="AO1624" s="3"/>
      <c r="AP1624" s="3"/>
      <c r="AQ1624" s="3"/>
      <c r="AR1624" s="3"/>
      <c r="AS1624" s="3"/>
      <c r="AT1624" s="3"/>
      <c r="AU1624" s="3"/>
      <c r="AV1624" s="3"/>
      <c r="AW1624" s="3"/>
      <c r="AX1624" s="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404F44-8DEE-4BB2-8899-CB6EDB24D1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Markets</vt:lpstr>
      <vt:lpstr>Commodities</vt:lpstr>
      <vt:lpstr>S&amp;P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2024-05-29T15:25:23Z</dcterms:created>
  <dcterms:modified xsi:type="dcterms:W3CDTF">2025-09-01T16:54:23Z</dcterms:modified>
</cp:coreProperties>
</file>