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C4F40FA-4D62-4565-BD2B-F4D5EAC10D46}" xr6:coauthVersionLast="47" xr6:coauthVersionMax="47" xr10:uidLastSave="{00000000-0000-0000-0000-000000000000}"/>
  <bookViews>
    <workbookView xWindow="225" yWindow="3510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F14" i="1"/>
  <c r="H14" i="1" s="1"/>
  <c r="E14" i="1"/>
  <c r="M14" i="1" s="1"/>
  <c r="G13" i="1"/>
  <c r="F13" i="1"/>
  <c r="E13" i="1"/>
  <c r="M13" i="1" s="1"/>
  <c r="H13" i="1" l="1"/>
  <c r="G12" i="1"/>
  <c r="F12" i="1"/>
  <c r="E12" i="1"/>
  <c r="M12" i="1" s="1"/>
  <c r="H12" i="1" l="1"/>
  <c r="G11" i="1"/>
  <c r="F11" i="1"/>
  <c r="E11" i="1"/>
  <c r="M11" i="1" s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<sst xmlns="http://schemas.openxmlformats.org/spreadsheetml/2006/main" count="87" uniqueCount="66">
  <si>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</si>
  <si>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</si>
  <si>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</si>
  <si>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</si>
  <si>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</si>
  <si>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</si>
  <si>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</si>
  <si>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</si>
  <si>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</si>
  <si>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</si>
  <si>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</si>
  <si>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</si>
  <si>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</si>
  <si>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</si>
  <si>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</si>
  <si>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</si>
  <si>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</si>
  <si>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</si>
  <si>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</si>
  <si>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</si>
  <si>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</si>
  <si>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</si>
  <si>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</si>
  <si>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</si>
  <si>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</si>
  <si>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</si>
  <si>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</si>
  <si>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</si>
  <si>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</si>
  <si>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</si>
  <si>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</si>
  <si>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</si>
  <si>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</si>
  <si>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</si>
  <si>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</si>
  <si>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</si>
  <si>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</si>
  <si>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</si>
  <si>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</si>
  <si>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</si>
  <si>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</si>
  <si>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</si>
  <si>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</si>
  <si>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</si>
  <si>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</si>
  <si>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</si>
  <si>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</si>
  <si>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</si>
  <si>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</si>
  <si>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</si>
  <si>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</si>
  <si>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</si>
  <si>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</si>
  <si>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Labubu Hype</t>
  </si>
  <si>
    <t>EBAY</t>
  </si>
  <si>
    <t>Marketplace</t>
  </si>
  <si>
    <t>Fiserv</t>
  </si>
  <si>
    <t>Scandivian Tobacco</t>
  </si>
  <si>
    <t>STG.CO</t>
  </si>
  <si>
    <t>DEN</t>
  </si>
  <si>
    <t xml:space="preserve">Crash </t>
  </si>
  <si>
    <t>FI</t>
  </si>
  <si>
    <t>DKK/USD</t>
  </si>
  <si>
    <t>Q323</t>
  </si>
  <si>
    <t>FinTech</t>
  </si>
  <si>
    <t>Tobacco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</si>
</sst>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2" fillId="0" borderId="0" applyFill="0" applyBorder="0" applyAlignment="0" applyProtection="0"/>
    <xf numFmtId="9" fontId="13" fillId="0" borderId="0" applyFont="0" applyFill="0" applyBorder="0" applyAlignment="0" applyProtection="0"/>
  </cellStyleXfs>
  <cellXfs count="32">
    <xf numFmtId="0" fontId="0" fillId="0" borderId="0" xfId="0"/>
    <xf numFmtId="0" fontId="10" fillId="0" borderId="0" xfId="0" applyFont="1"/>
    <xf numFmtId="0" fontId="11" fillId="0" borderId="0" xfId="0" applyFont="1"/>
    <xf numFmtId="0" fontId="9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0" xfId="1"/>
    <xf numFmtId="0" fontId="8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0" applyNumberFormat="1" applyFont="1"/>
    <xf numFmtId="16" fontId="8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9" fontId="8" fillId="0" borderId="0" xfId="2" applyFont="1"/>
    <xf numFmtId="9" fontId="8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16" fontId="4" fillId="0" borderId="0" xfId="0" applyNumberFormat="1" applyFont="1"/>
    <xf numFmtId="0" fontId="4" fillId="0" borderId="0" xfId="0" applyFont="1" applyAlignment="1">
      <alignment horizontal="left"/>
    </xf>
    <xf numFmtId="16" fontId="3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87.86</v>
          </cell>
        </row>
        <row r="4">
          <cell r="J4">
            <v>1766.9831231400001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174.02</v>
          </cell>
        </row>
        <row r="4">
          <cell r="I4">
            <v>19745.715629639999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86.5</v>
          </cell>
        </row>
        <row r="4">
          <cell r="J4">
            <v>6820.9575000000004</v>
          </cell>
        </row>
        <row r="5">
          <cell r="J5">
            <v>67.900000000000006</v>
          </cell>
        </row>
        <row r="6">
          <cell r="J6">
            <v>5226.3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EBAY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10" Type="http://schemas.openxmlformats.org/officeDocument/2006/relationships/hyperlink" Target="..\Models\STG.CO.xlsx" TargetMode="External"/><Relationship Id="rId4" Type="http://schemas.openxmlformats.org/officeDocument/2006/relationships/hyperlink" Target="..\Models\VIRT.xlsx" TargetMode="External"/><Relationship Id="rId9" Type="http://schemas.openxmlformats.org/officeDocument/2006/relationships/hyperlink" Target="..\Models\FI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1"/>
  <sheetViews>
    <sheetView tabSelected="1" zoomScale="200" zoomScaleNormal="200" workbookViewId="0">
      <pane ySplit="4" topLeftCell="A5" activePane="bottomLeft" state="frozen"/>
      <selection pane="bottomLeft" activeCell="B14" sqref="B14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>
        <f>+SUM(M5:M9)</f>
        <v>2.1933426517752319E-2</v>
      </c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87.86</v>
      </c>
      <c r="F5" s="12">
        <f>+[1]Main!$J$4*FX!C2</f>
        <v>2067.3702540738</v>
      </c>
      <c r="G5" s="12">
        <f>(+[1]Main!$J$6-[1]Main!$J$5)*FX!C2</f>
        <v>156.81744000000003</v>
      </c>
      <c r="H5" s="12">
        <f t="shared" ref="H5:H14" si="0">+F5+G5</f>
        <v>2224.1876940738002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-0.11431451612903232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8.2100000000000009</v>
      </c>
      <c r="F6" s="12">
        <f>+[2]Main!$I$4</f>
        <v>14115.934196310003</v>
      </c>
      <c r="G6" s="12">
        <f>+[2]Main!$I$6-[2]Main!$I$5</f>
        <v>544.51200000000017</v>
      </c>
      <c r="H6" s="12">
        <f t="shared" si="0"/>
        <v>14660.446196310004</v>
      </c>
      <c r="I6" s="8" t="s">
        <v>18</v>
      </c>
      <c r="J6" s="27">
        <v>45958</v>
      </c>
      <c r="K6" s="13">
        <v>45889</v>
      </c>
      <c r="L6" s="9">
        <v>7.44</v>
      </c>
      <c r="M6" s="18">
        <f t="shared" ref="M6:M10" si="1">+E6/L6-1</f>
        <v>0.103494623655914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7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174.02</v>
      </c>
      <c r="F7" s="12">
        <f>+[3]Main!$I$4</f>
        <v>19745.715629639999</v>
      </c>
      <c r="G7" s="12">
        <f>+[3]Main!$I$6-[3]Main!$I$5</f>
        <v>-1155.7940000000001</v>
      </c>
      <c r="H7" s="12">
        <f t="shared" si="0"/>
        <v>18589.921629639997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-0.12275041588949942</v>
      </c>
      <c r="O7" s="10" t="s">
        <v>35</v>
      </c>
      <c r="P7" s="9" t="s">
        <v>21</v>
      </c>
    </row>
    <row r="8" spans="1:17" x14ac:dyDescent="0.2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34.51</v>
      </c>
      <c r="F8" s="12">
        <f>+[4]Main!$H$4</f>
        <v>5275.3449914199991</v>
      </c>
      <c r="G8" s="12">
        <f>+[4]Main!$H$6-[4]Main!$H$5</f>
        <v>1242.8240000000001</v>
      </c>
      <c r="H8" s="12">
        <f t="shared" si="0"/>
        <v>6518.1689914199997</v>
      </c>
      <c r="I8" s="8" t="s">
        <v>18</v>
      </c>
      <c r="J8" s="13">
        <v>45953</v>
      </c>
      <c r="K8" s="13">
        <v>45902</v>
      </c>
      <c r="L8" s="9">
        <v>41.3</v>
      </c>
      <c r="M8" s="18">
        <f t="shared" si="1"/>
        <v>-0.16440677966101691</v>
      </c>
      <c r="O8" s="10" t="s">
        <v>34</v>
      </c>
      <c r="P8" s="9" t="s">
        <v>21</v>
      </c>
    </row>
    <row r="9" spans="1:17" x14ac:dyDescent="0.2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177</v>
      </c>
      <c r="F9" s="12">
        <f>+[5]Main!$J$5*FX!C3</f>
        <v>432554.72400000005</v>
      </c>
      <c r="G9" s="12">
        <f>+([5]Main!$J$7-[5]Main!$J$6)*FX!C3</f>
        <v>-41909.560000000005</v>
      </c>
      <c r="H9" s="12">
        <f t="shared" si="0"/>
        <v>390645.16400000005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0.31991051454138697</v>
      </c>
      <c r="O9" s="16" t="s">
        <v>41</v>
      </c>
      <c r="P9" s="14" t="s">
        <v>21</v>
      </c>
    </row>
    <row r="10" spans="1:17" x14ac:dyDescent="0.2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93</v>
      </c>
      <c r="F10" s="12">
        <f>+([6]Main!$J$4)*FX!C2</f>
        <v>7398.3918855599986</v>
      </c>
      <c r="G10" s="12">
        <f>+([6]Main!$J$6-[6]Main!$J$5)*FX!C2</f>
        <v>-277.05716999999999</v>
      </c>
      <c r="H10" s="12">
        <f t="shared" si="0"/>
        <v>7121.3347155599986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9.0269636576787882E-2</v>
      </c>
      <c r="O10" s="21" t="s">
        <v>47</v>
      </c>
      <c r="P10" s="14" t="s">
        <v>21</v>
      </c>
      <c r="Q10" s="20" t="s">
        <v>48</v>
      </c>
    </row>
    <row r="11" spans="1:17" x14ac:dyDescent="0.2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266.8</v>
      </c>
      <c r="F11" s="12">
        <f>+[7]Main!$I$4*FX!C3</f>
        <v>49644.39379200001</v>
      </c>
      <c r="G11" s="12">
        <f>+([7]Main!$I$6-[7]Main!$I$5)*FX!C3</f>
        <v>-1927.1995400000001</v>
      </c>
      <c r="H11" s="12">
        <f t="shared" si="0"/>
        <v>47717.194252000008</v>
      </c>
      <c r="I11" s="22" t="s">
        <v>18</v>
      </c>
      <c r="J11" s="13">
        <v>46078</v>
      </c>
      <c r="K11" s="13">
        <v>45926</v>
      </c>
      <c r="L11" s="9">
        <v>256.39999999999998</v>
      </c>
      <c r="M11" s="18">
        <f>+E11/L11-1</f>
        <v>4.0561622464898806E-2</v>
      </c>
      <c r="O11" s="21" t="s">
        <v>52</v>
      </c>
      <c r="P11" s="14" t="s">
        <v>21</v>
      </c>
      <c r="Q11" s="20" t="s">
        <v>53</v>
      </c>
    </row>
    <row r="12" spans="1:17" x14ac:dyDescent="0.2">
      <c r="A12" s="11">
        <f t="shared" si="2"/>
        <v>8</v>
      </c>
      <c r="B12" s="7" t="s">
        <v>54</v>
      </c>
      <c r="C12" s="23" t="s">
        <v>54</v>
      </c>
      <c r="D12" s="23" t="s">
        <v>24</v>
      </c>
      <c r="E12" s="9">
        <f>+[8]Main!$H$2</f>
        <v>92.17</v>
      </c>
      <c r="F12" s="12">
        <f>+[8]Main!$H$4</f>
        <v>42121.69</v>
      </c>
      <c r="G12" s="12">
        <f>+([8]Main!$H$6-[8]Main!$H$5)</f>
        <v>2998</v>
      </c>
      <c r="H12" s="12">
        <f t="shared" si="0"/>
        <v>45119.69</v>
      </c>
      <c r="I12" s="24" t="s">
        <v>18</v>
      </c>
      <c r="J12" s="25">
        <v>45959</v>
      </c>
      <c r="K12" s="13">
        <v>45934</v>
      </c>
      <c r="L12" s="9">
        <v>92.17</v>
      </c>
      <c r="M12" s="18">
        <f>+E12/L12-1</f>
        <v>0</v>
      </c>
      <c r="O12" s="26" t="s">
        <v>55</v>
      </c>
      <c r="P12" s="14" t="s">
        <v>21</v>
      </c>
    </row>
    <row r="13" spans="1:17" x14ac:dyDescent="0.2">
      <c r="A13" s="11">
        <f t="shared" si="2"/>
        <v>9</v>
      </c>
      <c r="B13" s="7" t="s">
        <v>56</v>
      </c>
      <c r="C13" s="28" t="s">
        <v>61</v>
      </c>
      <c r="D13" s="28" t="s">
        <v>24</v>
      </c>
      <c r="E13" s="9">
        <f>+[9]Main!$I$2</f>
        <v>62.5</v>
      </c>
      <c r="F13" s="12">
        <f>+[9]Main!$I$4</f>
        <v>33615.742937499999</v>
      </c>
      <c r="G13" s="12">
        <f>+[9]Main!$I$6-[9]Main!$I$5</f>
        <v>29131</v>
      </c>
      <c r="H13" s="12">
        <f t="shared" si="0"/>
        <v>62746.742937499999</v>
      </c>
      <c r="I13" s="30" t="s">
        <v>63</v>
      </c>
      <c r="K13" s="13">
        <v>45967</v>
      </c>
      <c r="L13" s="9">
        <v>62.5</v>
      </c>
      <c r="M13" s="18">
        <f>+E13/L13-1</f>
        <v>0</v>
      </c>
      <c r="O13" s="31" t="s">
        <v>64</v>
      </c>
      <c r="P13" s="14" t="s">
        <v>21</v>
      </c>
      <c r="Q13" s="28" t="s">
        <v>60</v>
      </c>
    </row>
    <row r="14" spans="1:17" x14ac:dyDescent="0.2">
      <c r="A14" s="11">
        <f t="shared" si="2"/>
        <v>10</v>
      </c>
      <c r="B14" s="7" t="s">
        <v>57</v>
      </c>
      <c r="C14" s="9" t="s">
        <v>58</v>
      </c>
      <c r="D14" s="28" t="s">
        <v>59</v>
      </c>
      <c r="E14" s="9">
        <f>+[10]Main!$J$2</f>
        <v>86.5</v>
      </c>
      <c r="F14" s="12">
        <f>+[10]Main!$J$4*FX!C4</f>
        <v>1091.3532</v>
      </c>
      <c r="G14" s="12">
        <f>+([10]Main!$J$6-[10]Main!$J$5)*FX!C4</f>
        <v>825.34400000000005</v>
      </c>
      <c r="H14" s="12">
        <f t="shared" si="0"/>
        <v>1916.6972000000001</v>
      </c>
      <c r="I14" s="29" t="s">
        <v>18</v>
      </c>
      <c r="K14" s="13">
        <v>45967</v>
      </c>
      <c r="L14" s="9">
        <v>86.5</v>
      </c>
      <c r="M14" s="18">
        <f>+E14/L14-1</f>
        <v>0</v>
      </c>
      <c r="O14" s="31" t="s">
        <v>65</v>
      </c>
      <c r="P14" s="14" t="s">
        <v>21</v>
      </c>
    </row>
    <row r="15" spans="1:17" x14ac:dyDescent="0.2">
      <c r="A15" s="11">
        <f t="shared" si="2"/>
        <v>11</v>
      </c>
      <c r="B15" s="7"/>
      <c r="F15" s="12"/>
      <c r="G15" s="12"/>
      <c r="H15" s="12"/>
      <c r="I15" s="8"/>
      <c r="P15" s="14"/>
    </row>
    <row r="16" spans="1:17" x14ac:dyDescent="0.2">
      <c r="A16" s="11">
        <f t="shared" si="2"/>
        <v>12</v>
      </c>
      <c r="F16" s="12"/>
      <c r="G16" s="12"/>
      <c r="H16" s="12"/>
      <c r="I16" s="8"/>
    </row>
    <row r="17" spans="1:9" x14ac:dyDescent="0.2">
      <c r="A17" s="11">
        <f t="shared" si="2"/>
        <v>13</v>
      </c>
      <c r="F17" s="12"/>
      <c r="G17" s="12"/>
      <c r="H17" s="12"/>
      <c r="I17" s="8"/>
    </row>
    <row r="18" spans="1:9" x14ac:dyDescent="0.2">
      <c r="A18" s="11">
        <f t="shared" si="2"/>
        <v>14</v>
      </c>
      <c r="F18" s="12"/>
      <c r="G18" s="12"/>
      <c r="H18" s="12"/>
      <c r="I18" s="8"/>
    </row>
    <row r="19" spans="1:9" x14ac:dyDescent="0.2">
      <c r="A19" s="11">
        <f t="shared" si="2"/>
        <v>15</v>
      </c>
      <c r="F19" s="12"/>
      <c r="G19" s="12"/>
      <c r="H19" s="12"/>
      <c r="I19" s="8"/>
    </row>
    <row r="20" spans="1:9" x14ac:dyDescent="0.2">
      <c r="A20" s="11">
        <f t="shared" si="2"/>
        <v>16</v>
      </c>
      <c r="F20" s="12"/>
      <c r="G20" s="12"/>
      <c r="H20" s="12"/>
      <c r="I20" s="8"/>
    </row>
    <row r="21" spans="1:9" x14ac:dyDescent="0.2">
      <c r="A21" s="11">
        <f t="shared" si="2"/>
        <v>17</v>
      </c>
      <c r="F21" s="12"/>
      <c r="G21" s="12"/>
      <c r="H21" s="12"/>
      <c r="I21" s="8"/>
    </row>
    <row r="22" spans="1:9" x14ac:dyDescent="0.2">
      <c r="A22" s="11">
        <f t="shared" si="2"/>
        <v>18</v>
      </c>
      <c r="F22" s="12"/>
      <c r="G22" s="12"/>
      <c r="H22" s="12"/>
      <c r="I22" s="8"/>
    </row>
    <row r="23" spans="1:9" x14ac:dyDescent="0.2">
      <c r="A23" s="11">
        <f t="shared" si="2"/>
        <v>19</v>
      </c>
      <c r="F23" s="12"/>
      <c r="G23" s="12"/>
      <c r="H23" s="12"/>
      <c r="I23" s="8"/>
    </row>
    <row r="24" spans="1:9" x14ac:dyDescent="0.2">
      <c r="A24" s="11">
        <f t="shared" si="2"/>
        <v>20</v>
      </c>
      <c r="F24" s="12"/>
      <c r="G24" s="12"/>
      <c r="H24" s="12"/>
      <c r="I24" s="8"/>
    </row>
    <row r="25" spans="1:9" x14ac:dyDescent="0.2">
      <c r="A25" s="11">
        <f t="shared" si="2"/>
        <v>21</v>
      </c>
      <c r="F25" s="12"/>
      <c r="G25" s="12"/>
      <c r="H25" s="12"/>
      <c r="I25" s="8"/>
    </row>
    <row r="26" spans="1:9" x14ac:dyDescent="0.2">
      <c r="A26" s="11">
        <f t="shared" si="2"/>
        <v>22</v>
      </c>
      <c r="F26" s="12"/>
      <c r="G26" s="12"/>
      <c r="H26" s="12"/>
      <c r="I26" s="8"/>
    </row>
    <row r="27" spans="1:9" x14ac:dyDescent="0.2">
      <c r="A27" s="11">
        <f t="shared" si="2"/>
        <v>23</v>
      </c>
      <c r="F27" s="12"/>
      <c r="G27" s="12"/>
      <c r="H27" s="12"/>
      <c r="I27" s="8"/>
    </row>
    <row r="28" spans="1:9" x14ac:dyDescent="0.2">
      <c r="A28" s="11">
        <f t="shared" si="2"/>
        <v>24</v>
      </c>
      <c r="F28" s="12"/>
      <c r="G28" s="12"/>
      <c r="H28" s="12"/>
      <c r="I28" s="8"/>
    </row>
    <row r="29" spans="1:9" x14ac:dyDescent="0.2">
      <c r="A29" s="11">
        <f t="shared" si="2"/>
        <v>25</v>
      </c>
      <c r="F29" s="12"/>
      <c r="G29" s="12"/>
      <c r="H29" s="12"/>
      <c r="I29" s="8"/>
    </row>
    <row r="30" spans="1:9" x14ac:dyDescent="0.2">
      <c r="A30" s="11">
        <f t="shared" si="2"/>
        <v>26</v>
      </c>
      <c r="F30" s="12"/>
      <c r="G30" s="12"/>
      <c r="H30" s="12"/>
      <c r="I30" s="8"/>
    </row>
    <row r="31" spans="1:9" x14ac:dyDescent="0.2">
      <c r="A31" s="11">
        <f t="shared" si="2"/>
        <v>27</v>
      </c>
      <c r="F31" s="12"/>
      <c r="G31" s="12"/>
      <c r="H31" s="12"/>
      <c r="I31" s="8"/>
    </row>
    <row r="32" spans="1:9" x14ac:dyDescent="0.2">
      <c r="A32" s="11">
        <f t="shared" si="2"/>
        <v>28</v>
      </c>
      <c r="F32" s="12"/>
      <c r="G32" s="12"/>
      <c r="H32" s="12"/>
      <c r="I32" s="8"/>
    </row>
    <row r="33" spans="1:9" x14ac:dyDescent="0.2">
      <c r="A33" s="11">
        <f t="shared" si="2"/>
        <v>29</v>
      </c>
      <c r="F33" s="12"/>
      <c r="G33" s="12"/>
      <c r="H33" s="12"/>
      <c r="I33" s="8"/>
    </row>
    <row r="34" spans="1:9" x14ac:dyDescent="0.2">
      <c r="A34" s="11">
        <f t="shared" si="2"/>
        <v>30</v>
      </c>
      <c r="F34" s="12"/>
      <c r="G34" s="12"/>
      <c r="H34" s="12"/>
      <c r="I34" s="8"/>
    </row>
    <row r="35" spans="1:9" x14ac:dyDescent="0.2">
      <c r="A35" s="11">
        <f t="shared" si="2"/>
        <v>31</v>
      </c>
      <c r="F35" s="12"/>
      <c r="G35" s="12"/>
      <c r="H35" s="12"/>
      <c r="I35" s="8"/>
    </row>
    <row r="36" spans="1:9" x14ac:dyDescent="0.2">
      <c r="A36" s="11">
        <f t="shared" si="2"/>
        <v>32</v>
      </c>
      <c r="F36" s="12"/>
      <c r="G36" s="12"/>
      <c r="H36" s="12"/>
      <c r="I36" s="8"/>
    </row>
    <row r="37" spans="1:9" x14ac:dyDescent="0.2">
      <c r="A37" s="11">
        <f t="shared" si="2"/>
        <v>33</v>
      </c>
      <c r="F37" s="12"/>
      <c r="G37" s="12"/>
      <c r="H37" s="12"/>
      <c r="I37" s="8"/>
    </row>
    <row r="38" spans="1:9" x14ac:dyDescent="0.2">
      <c r="A38" s="11">
        <f t="shared" si="2"/>
        <v>34</v>
      </c>
      <c r="F38" s="12"/>
      <c r="G38" s="12"/>
      <c r="H38" s="12"/>
      <c r="I38" s="8"/>
    </row>
    <row r="39" spans="1:9" x14ac:dyDescent="0.2">
      <c r="A39" s="11">
        <f t="shared" si="2"/>
        <v>35</v>
      </c>
      <c r="F39" s="12"/>
      <c r="G39" s="12"/>
      <c r="H39" s="12"/>
      <c r="I39" s="8"/>
    </row>
    <row r="40" spans="1:9" x14ac:dyDescent="0.2">
      <c r="A40" s="11">
        <f t="shared" si="2"/>
        <v>36</v>
      </c>
      <c r="F40" s="12"/>
      <c r="G40" s="12"/>
      <c r="H40" s="12"/>
      <c r="I40" s="8"/>
    </row>
    <row r="41" spans="1:9" x14ac:dyDescent="0.2">
      <c r="A41" s="11">
        <f t="shared" si="2"/>
        <v>37</v>
      </c>
      <c r="F41" s="12"/>
      <c r="G41" s="12"/>
      <c r="H41" s="12"/>
      <c r="I41" s="8"/>
    </row>
    <row r="42" spans="1:9" x14ac:dyDescent="0.2">
      <c r="A42" s="11">
        <f t="shared" si="2"/>
        <v>38</v>
      </c>
      <c r="F42" s="12"/>
      <c r="G42" s="12"/>
      <c r="H42" s="12"/>
      <c r="I42" s="8"/>
    </row>
    <row r="43" spans="1:9" x14ac:dyDescent="0.2">
      <c r="A43" s="11">
        <f t="shared" si="2"/>
        <v>39</v>
      </c>
      <c r="F43" s="12"/>
      <c r="G43" s="12"/>
      <c r="H43" s="12"/>
      <c r="I43" s="8"/>
    </row>
    <row r="44" spans="1:9" x14ac:dyDescent="0.2">
      <c r="A44" s="11">
        <f t="shared" si="2"/>
        <v>40</v>
      </c>
      <c r="F44" s="12"/>
      <c r="G44" s="12"/>
      <c r="H44" s="12"/>
      <c r="I44" s="8"/>
    </row>
    <row r="45" spans="1:9" x14ac:dyDescent="0.2">
      <c r="A45" s="11">
        <f t="shared" si="2"/>
        <v>41</v>
      </c>
      <c r="F45" s="12"/>
      <c r="G45" s="12"/>
      <c r="H45" s="12"/>
      <c r="I45" s="8"/>
    </row>
    <row r="46" spans="1:9" x14ac:dyDescent="0.2">
      <c r="A46" s="11">
        <f t="shared" si="2"/>
        <v>42</v>
      </c>
      <c r="F46" s="12"/>
      <c r="G46" s="12"/>
      <c r="H46" s="12"/>
      <c r="I46" s="8"/>
    </row>
    <row r="47" spans="1:9" x14ac:dyDescent="0.2">
      <c r="A47" s="11">
        <f t="shared" si="2"/>
        <v>43</v>
      </c>
      <c r="F47" s="12"/>
      <c r="G47" s="12"/>
      <c r="H47" s="12"/>
      <c r="I47" s="8"/>
    </row>
    <row r="48" spans="1:9" x14ac:dyDescent="0.2">
      <c r="A48" s="11"/>
      <c r="F48" s="12"/>
      <c r="G48" s="12"/>
      <c r="H48" s="12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  <c r="I59" s="8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  <row r="131" spans="1:1" x14ac:dyDescent="0.2">
      <c r="A131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  <hyperlink ref="B12" r:id="rId8" xr:uid="{B5E94AC4-BA08-461E-866C-8E618213DE8F}"/>
    <hyperlink ref="B13" r:id="rId9" xr:uid="{393CB23F-6784-4298-AFD5-19F3BDBBFE90}"/>
    <hyperlink ref="B14" r:id="rId10" xr:uid="{30A9981A-0AC0-4E59-B3F8-4D7739771C0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C5" sqref="C5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28" t="s">
        <v>62</v>
      </c>
      <c r="C4" s="3">
        <v>0.16</v>
      </c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2025-11-08T17:35:35Z</dcterms:modified>
</cp:coreProperties>
</file>