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BF4E429F-41D0-4BD1-A55F-FAF361D2B4DE}" xr6:coauthVersionLast="47" xr6:coauthVersionMax="47" xr10:uidLastSave="{00000000-0000-0000-0000-000000000000}"/>
  <bookViews>
    <workbookView xWindow="225" yWindow="2340" windowWidth="38175" windowHeight="15240" activeTab="1" xr2:uid="{17ABFCAF-F8B8-4F77-A601-F3F3D02F1763}"/>
  </bookViews>
  <sheets>
    <sheet name="Main" sheetId="1" r:id="rId1"/>
    <sheet name="Portfolio" sheetId="3" r:id="rId2"/>
    <sheet name="FX" sheetId="2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3" l="1"/>
  <c r="G12" i="3"/>
  <c r="F12" i="3"/>
  <c r="E12" i="3"/>
  <c r="M11" i="3" l="1"/>
  <c r="N11" i="3" s="1"/>
  <c r="M10" i="3"/>
  <c r="N10" i="3" s="1"/>
  <c r="M9" i="3"/>
  <c r="N9" i="3" s="1"/>
  <c r="G11" i="3" l="1"/>
  <c r="F11" i="3"/>
  <c r="H11" i="3" s="1"/>
  <c r="E11" i="3"/>
  <c r="O11" i="3" l="1"/>
  <c r="P11" i="3" s="1"/>
  <c r="G10" i="3" l="1"/>
  <c r="F10" i="3"/>
  <c r="H10" i="3" s="1"/>
  <c r="E10" i="3"/>
  <c r="O10" i="3" l="1"/>
  <c r="P10" i="3" s="1"/>
  <c r="G9" i="3" l="1"/>
  <c r="F9" i="3"/>
  <c r="E9" i="3"/>
  <c r="H9" i="3" l="1"/>
  <c r="G8" i="3"/>
  <c r="F8" i="3"/>
  <c r="H8" i="3" s="1"/>
  <c r="E8" i="3"/>
  <c r="M8" i="3" s="1"/>
  <c r="N8" i="3" s="1"/>
  <c r="O8" i="3" l="1"/>
  <c r="P8" i="3" s="1"/>
  <c r="G7" i="3" l="1"/>
  <c r="F7" i="3"/>
  <c r="E7" i="3"/>
  <c r="M7" i="3" s="1"/>
  <c r="N7" i="3" s="1"/>
  <c r="H7" i="3" l="1"/>
  <c r="O7" i="3"/>
  <c r="P7" i="3" s="1"/>
  <c r="G6" i="3" l="1"/>
  <c r="F6" i="3"/>
  <c r="E6" i="3"/>
  <c r="M6" i="3" s="1"/>
  <c r="N6" i="3" s="1"/>
  <c r="H6" i="3" l="1"/>
  <c r="O6" i="3"/>
  <c r="P6" i="3" s="1"/>
  <c r="G5" i="3" l="1"/>
  <c r="F5" i="3"/>
  <c r="E5" i="3"/>
  <c r="M5" i="3" s="1"/>
  <c r="N5" i="3" s="1"/>
  <c r="H5" i="3" l="1"/>
  <c r="O5" i="3"/>
  <c r="P5" i="3" s="1"/>
  <c r="A6" i="3"/>
  <c r="A7" i="3" s="1"/>
  <c r="A8" i="3" s="1"/>
  <c r="A9" i="3" s="1"/>
  <c r="A10" i="3" s="1"/>
  <c r="A11" i="3" s="1"/>
  <c r="A12" i="3" s="1"/>
  <c r="A13" i="3" s="1"/>
  <c r="A14" i="3" s="1"/>
  <c r="A14" i="1"/>
  <c r="G13" i="1" l="1"/>
  <c r="F13" i="1"/>
  <c r="E13" i="1"/>
  <c r="M13" i="1" s="1"/>
  <c r="H13" i="1" l="1"/>
  <c r="G12" i="1"/>
  <c r="F12" i="1"/>
  <c r="E12" i="1"/>
  <c r="M12" i="1" s="1"/>
  <c r="H12" i="1" l="1"/>
  <c r="G11" i="1"/>
  <c r="F11" i="1"/>
  <c r="E11" i="1"/>
  <c r="M11" i="1" s="1"/>
  <c r="H11" i="1" l="1"/>
  <c r="G10" i="1"/>
  <c r="F10" i="1"/>
  <c r="E10" i="1"/>
  <c r="M10" i="1" s="1"/>
  <c r="H10" i="1" l="1"/>
  <c r="G9" i="1"/>
  <c r="E9" i="1"/>
  <c r="M9" i="1" s="1"/>
  <c r="F9" i="1"/>
  <c r="H9" i="1" l="1"/>
  <c r="G8" i="1" l="1"/>
  <c r="F8" i="1"/>
  <c r="E8" i="1"/>
  <c r="M8" i="1" s="1"/>
  <c r="H8" i="1" l="1"/>
  <c r="G7" i="1"/>
  <c r="F7" i="1"/>
  <c r="E7" i="1"/>
  <c r="M7" i="1" s="1"/>
  <c r="H7" i="1" l="1"/>
  <c r="G6" i="1"/>
  <c r="F6" i="1"/>
  <c r="G5" i="1"/>
  <c r="F5" i="1"/>
  <c r="E6" i="1"/>
  <c r="M6" i="1" s="1"/>
  <c r="H6" i="1" l="1"/>
  <c r="H5" i="1"/>
  <c r="E5" i="1"/>
  <c r="M5" i="1" s="1"/>
  <c r="M15" i="1" s="1"/>
  <c r="A6" i="1" l="1"/>
  <c r="A7" i="1" s="1"/>
  <c r="A8" i="1" s="1"/>
  <c r="A9" i="1" s="1"/>
  <c r="A10" i="1" s="1"/>
  <c r="A11" i="1" s="1"/>
  <c r="A12" i="1" s="1"/>
  <c r="A13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tc={7016EAAF-06C2-4B4E-B159-DD4D4D50A028}</author>
  </authors>
  <commentList>
    <comment ref="L4" authorId="0" shapeId="0" xr:uid="{7016EAAF-06C2-4B4E-B159-DD4D4D50A028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Price</t>
      </text>
    </comment>
  </commentList>
</comments>
</file>

<file path=xl/sharedStrings.xml><?xml version="1.0" encoding="utf-8"?>
<sst xmlns="http://schemas.openxmlformats.org/spreadsheetml/2006/main" count="149" uniqueCount="100">
  <si>
    <t>Watchlist</t>
  </si>
  <si>
    <t>numbers in mio USD</t>
  </si>
  <si>
    <t>EUR/USD</t>
  </si>
  <si>
    <t>Main</t>
  </si>
  <si>
    <t>Name</t>
  </si>
  <si>
    <t>#</t>
  </si>
  <si>
    <t>Ticker</t>
  </si>
  <si>
    <t>Country</t>
  </si>
  <si>
    <t>Price</t>
  </si>
  <si>
    <t>MC</t>
  </si>
  <si>
    <t>Net Debt</t>
  </si>
  <si>
    <t>EV</t>
  </si>
  <si>
    <t>Updated</t>
  </si>
  <si>
    <t>Nxt Rslts</t>
  </si>
  <si>
    <t>Date</t>
  </si>
  <si>
    <t>Redcare Pharmacy</t>
  </si>
  <si>
    <t>GER</t>
  </si>
  <si>
    <t>RDC.F</t>
  </si>
  <si>
    <t>Q225</t>
  </si>
  <si>
    <t>Target</t>
  </si>
  <si>
    <t>Direction</t>
  </si>
  <si>
    <t>long</t>
  </si>
  <si>
    <t>Snap Inc</t>
  </si>
  <si>
    <t>Snap</t>
  </si>
  <si>
    <t>USA</t>
  </si>
  <si>
    <t>Notes</t>
  </si>
  <si>
    <t xml:space="preserve">Possible acquisition target </t>
  </si>
  <si>
    <t xml:space="preserve">Lululemon </t>
  </si>
  <si>
    <t>LULU</t>
  </si>
  <si>
    <t>CAN</t>
  </si>
  <si>
    <t>VIRT</t>
  </si>
  <si>
    <t xml:space="preserve">Virtu Financial </t>
  </si>
  <si>
    <t>Sector</t>
  </si>
  <si>
    <t>Pharmacy</t>
  </si>
  <si>
    <t>Financial Services</t>
  </si>
  <si>
    <t xml:space="preserve">(Sports)-Apperal </t>
  </si>
  <si>
    <t>Technology</t>
  </si>
  <si>
    <t>Alibaba</t>
  </si>
  <si>
    <t>BABA</t>
  </si>
  <si>
    <t>CH</t>
  </si>
  <si>
    <t>Q126</t>
  </si>
  <si>
    <t>E-Commerce</t>
  </si>
  <si>
    <t>RMB/USD</t>
  </si>
  <si>
    <t>Change</t>
  </si>
  <si>
    <t>Brunello Cuchinelli</t>
  </si>
  <si>
    <t>ITA</t>
  </si>
  <si>
    <t>BC.MI</t>
  </si>
  <si>
    <t>Luxury Apperal</t>
  </si>
  <si>
    <t>20% drop after Short Report</t>
  </si>
  <si>
    <t>Pop Mart</t>
  </si>
  <si>
    <t>9992.HK</t>
  </si>
  <si>
    <t>CHI</t>
  </si>
  <si>
    <t>Toys</t>
  </si>
  <si>
    <t>Labubu Hype</t>
  </si>
  <si>
    <t>EBAY</t>
  </si>
  <si>
    <t>Marketplace</t>
  </si>
  <si>
    <t>Fiserv</t>
  </si>
  <si>
    <t xml:space="preserve">Crash </t>
  </si>
  <si>
    <t>FI</t>
  </si>
  <si>
    <t>DKK/USD</t>
  </si>
  <si>
    <t>Q323</t>
  </si>
  <si>
    <t>FinTech</t>
  </si>
  <si>
    <t>Buy-In</t>
  </si>
  <si>
    <t>BAT</t>
  </si>
  <si>
    <t>Crocs</t>
  </si>
  <si>
    <t>PayPal</t>
  </si>
  <si>
    <t>Scandinavian Tobacco</t>
  </si>
  <si>
    <t>Porsche SE</t>
  </si>
  <si>
    <t>Frosta AG</t>
  </si>
  <si>
    <t>Kering</t>
  </si>
  <si>
    <t>KER.PA</t>
  </si>
  <si>
    <t>Delta</t>
  </si>
  <si>
    <t>FR</t>
  </si>
  <si>
    <t>NLM.F</t>
  </si>
  <si>
    <t>PAH3</t>
  </si>
  <si>
    <t>STG.CO</t>
  </si>
  <si>
    <t>DEN</t>
  </si>
  <si>
    <t>PYPL</t>
  </si>
  <si>
    <t>US</t>
  </si>
  <si>
    <t>CROX</t>
  </si>
  <si>
    <t>UK</t>
  </si>
  <si>
    <t>Euro FX</t>
  </si>
  <si>
    <t>GBP/EUR</t>
  </si>
  <si>
    <t>USD/EUR</t>
  </si>
  <si>
    <t>DKK/EUR</t>
  </si>
  <si>
    <t>numbers in mio EUR</t>
  </si>
  <si>
    <t>BATS.L</t>
  </si>
  <si>
    <t>Tobacco</t>
  </si>
  <si>
    <t>Apparel</t>
  </si>
  <si>
    <t>Fintech</t>
  </si>
  <si>
    <t>N.A.</t>
  </si>
  <si>
    <t>Automobil</t>
  </si>
  <si>
    <t>in Euro</t>
  </si>
  <si>
    <t>Food</t>
  </si>
  <si>
    <t>Q226</t>
  </si>
  <si>
    <t>Q425</t>
  </si>
  <si>
    <t>n.a.</t>
  </si>
  <si>
    <t>ASML</t>
  </si>
  <si>
    <t>Lululemon</t>
  </si>
  <si>
    <t xml:space="preserve">Sports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</si>
</sst>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#,##0.0;\(#,##0.0\)"/>
  </numFmts>
  <fonts count="20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1"/>
      <color theme="1"/>
      <name val="Aptos Narrow"/>
      <family val="2"/>
      <scheme val="minor"/>
    </font>
    <font>
      <u/>
      <sz val="10"/>
      <color theme="1"/>
      <name val="Arial"/>
      <family val="2"/>
    </font>
    <font>
      <sz val="10"/>
      <color theme="1"/>
      <name val="Arial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6" fillId="0" borderId="0" applyFill="0" applyBorder="0" applyAlignment="0" applyProtection="0"/>
    <xf numFmtId="9" fontId="17" fillId="0" borderId="0" applyFont="0" applyFill="0" applyBorder="0" applyAlignment="0" applyProtection="0"/>
  </cellStyleXfs>
  <cellXfs count="48">
    <xf numFmtId="0" fontId="0" fillId="0" borderId="0" xfId="0"/>
    <xf numFmtId="0" fontId="14" fillId="0" borderId="0" xfId="0" applyFont="1"/>
    <xf numFmtId="0" fontId="15" fillId="0" borderId="0" xfId="0" applyFont="1"/>
    <xf numFmtId="0" fontId="13" fillId="0" borderId="0" xfId="0" applyFont="1"/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0" fontId="15" fillId="0" borderId="0" xfId="0" applyFont="1" applyAlignment="1">
      <alignment horizontal="left"/>
    </xf>
    <xf numFmtId="0" fontId="16" fillId="0" borderId="0" xfId="1"/>
    <xf numFmtId="0" fontId="12" fillId="0" borderId="0" xfId="0" applyFont="1" applyAlignment="1">
      <alignment horizontal="right"/>
    </xf>
    <xf numFmtId="0" fontId="12" fillId="0" borderId="0" xfId="0" applyFont="1"/>
    <xf numFmtId="0" fontId="12" fillId="0" borderId="0" xfId="0" applyFont="1" applyAlignment="1">
      <alignment horizontal="left"/>
    </xf>
    <xf numFmtId="0" fontId="12" fillId="0" borderId="0" xfId="0" applyFont="1" applyAlignment="1">
      <alignment horizontal="center"/>
    </xf>
    <xf numFmtId="164" fontId="12" fillId="0" borderId="0" xfId="0" applyNumberFormat="1" applyFont="1"/>
    <xf numFmtId="16" fontId="12" fillId="0" borderId="0" xfId="0" applyNumberFormat="1" applyFont="1"/>
    <xf numFmtId="0" fontId="11" fillId="0" borderId="0" xfId="0" applyFont="1"/>
    <xf numFmtId="0" fontId="11" fillId="0" borderId="0" xfId="0" applyFont="1" applyAlignment="1">
      <alignment horizontal="right"/>
    </xf>
    <xf numFmtId="0" fontId="11" fillId="0" borderId="0" xfId="0" applyFont="1" applyAlignment="1">
      <alignment horizontal="left"/>
    </xf>
    <xf numFmtId="0" fontId="10" fillId="0" borderId="0" xfId="0" applyFont="1" applyAlignment="1">
      <alignment horizontal="right"/>
    </xf>
    <xf numFmtId="9" fontId="12" fillId="0" borderId="0" xfId="2" applyFont="1"/>
    <xf numFmtId="9" fontId="12" fillId="0" borderId="0" xfId="0" applyNumberFormat="1" applyFont="1"/>
    <xf numFmtId="0" fontId="9" fillId="0" borderId="0" xfId="0" applyFont="1"/>
    <xf numFmtId="0" fontId="9" fillId="0" borderId="0" xfId="0" applyFont="1" applyAlignment="1">
      <alignment horizontal="left"/>
    </xf>
    <xf numFmtId="0" fontId="9" fillId="0" borderId="0" xfId="0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right"/>
    </xf>
    <xf numFmtId="16" fontId="8" fillId="0" borderId="0" xfId="0" applyNumberFormat="1" applyFont="1"/>
    <xf numFmtId="0" fontId="8" fillId="0" borderId="0" xfId="0" applyFont="1" applyAlignment="1">
      <alignment horizontal="left"/>
    </xf>
    <xf numFmtId="16" fontId="7" fillId="0" borderId="0" xfId="0" applyNumberFormat="1" applyFont="1"/>
    <xf numFmtId="0" fontId="6" fillId="0" borderId="0" xfId="0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4" fillId="0" borderId="0" xfId="0" applyFont="1"/>
    <xf numFmtId="0" fontId="18" fillId="0" borderId="0" xfId="0" applyFont="1"/>
    <xf numFmtId="2" fontId="12" fillId="0" borderId="0" xfId="0" applyNumberFormat="1" applyFont="1"/>
    <xf numFmtId="9" fontId="12" fillId="0" borderId="0" xfId="2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0" fontId="2" fillId="0" borderId="0" xfId="0" applyFont="1"/>
    <xf numFmtId="4" fontId="2" fillId="0" borderId="0" xfId="0" applyNumberFormat="1" applyFont="1"/>
    <xf numFmtId="4" fontId="12" fillId="0" borderId="0" xfId="0" applyNumberFormat="1" applyFont="1"/>
    <xf numFmtId="0" fontId="2" fillId="0" borderId="0" xfId="0" applyFont="1" applyAlignment="1">
      <alignment horizontal="right"/>
    </xf>
    <xf numFmtId="16" fontId="2" fillId="0" borderId="0" xfId="0" applyNumberFormat="1" applyFont="1" applyAlignment="1">
      <alignment horizontal="right"/>
    </xf>
    <xf numFmtId="165" fontId="2" fillId="0" borderId="0" xfId="0" applyNumberFormat="1" applyFont="1" applyAlignment="1">
      <alignment horizontal="right"/>
    </xf>
    <xf numFmtId="17" fontId="19" fillId="0" borderId="0" xfId="0" applyNumberFormat="1" applyFont="1" applyAlignment="1">
      <alignment horizontal="right"/>
    </xf>
    <xf numFmtId="16" fontId="19" fillId="0" borderId="0" xfId="0" applyNumberFormat="1" applyFont="1"/>
    <xf numFmtId="0" fontId="19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right"/>
    </xf>
  </cellXfs>
  <cellStyles count="3">
    <cellStyle name="Hyperlink" xfId="1" builtinId="8" customBuiltin="1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24" Type="http://schemas.openxmlformats.org/officeDocument/2006/relationships/calcChain" Target="calcChain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23" Type="http://schemas.microsoft.com/office/2017/10/relationships/person" Target="persons/person.xml"/><Relationship Id="rId10" Type="http://schemas.openxmlformats.org/officeDocument/2006/relationships/externalLink" Target="externalLinks/externalLink7.xml"/><Relationship Id="rId19" Type="http://schemas.openxmlformats.org/officeDocument/2006/relationships/externalLink" Target="externalLinks/externalLink16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DC.F.xlsx" TargetMode="External"/><Relationship Id="rId2" Type="http://schemas.openxmlformats.org/officeDocument/2006/relationships/externalLinkPath" Target="file:///E:\1.Finance\Anaylsen\Models\RDC.F.xlsx" TargetMode="External"/><Relationship Id="rId1" Type="http://schemas.openxmlformats.org/officeDocument/2006/relationships/externalLinkPath" Target="/1.Finance/Anaylsen/Models/RDC.F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AP.xlsx" TargetMode="External"/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ULU.xlsx" TargetMode="External"/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IRT.xlsx" TargetMode="External"/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ABA.xlsx" TargetMode="External"/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C.MI.xlsx" TargetMode="External"/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92.HK.xlsx" TargetMode="External"/><Relationship Id="rId2" Type="http://schemas.openxmlformats.org/officeDocument/2006/relationships/externalLinkPath" Target="file:///E:\1.Finance\Anaylsen\Models\9992.HK.xlsx" TargetMode="External"/><Relationship Id="rId1" Type="http://schemas.openxmlformats.org/officeDocument/2006/relationships/externalLinkPath" Target="/1.Finance/Anaylsen/Models/9992.HK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BAY.xlsx" TargetMode="External"/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.xlsx" TargetMode="External"/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TI.xlsx" TargetMode="External"/><Relationship Id="rId2" Type="http://schemas.openxmlformats.org/officeDocument/2006/relationships/externalLinkPath" Target="file:///E:\1.Finance\Anaylsen\Models\BTI.xlsx" TargetMode="External"/><Relationship Id="rId1" Type="http://schemas.openxmlformats.org/officeDocument/2006/relationships/externalLinkPath" Target="/1.Finance/Anaylsen/Models/BTI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OX.xlsx" TargetMode="External"/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YPL.xlsx" TargetMode="External"/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TG.CO.xlsx" TargetMode="External"/><Relationship Id="rId2" Type="http://schemas.openxmlformats.org/officeDocument/2006/relationships/externalLinkPath" Target="file:///E:\1.Finance\Anaylsen\Models\STG.CO.xlsx" TargetMode="External"/><Relationship Id="rId1" Type="http://schemas.openxmlformats.org/officeDocument/2006/relationships/externalLinkPath" Target="/1.Finance/Anaylsen/Models/STG.CO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H3.xlsx" TargetMode="External"/><Relationship Id="rId2" Type="http://schemas.openxmlformats.org/officeDocument/2006/relationships/externalLinkPath" Target="file:///E:\1.Finance\Anaylsen\Models\PAH3.xlsx" TargetMode="External"/><Relationship Id="rId1" Type="http://schemas.openxmlformats.org/officeDocument/2006/relationships/externalLinkPath" Target="/1.Finance/Anaylsen/Models/PAH3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LM.F.xlsx" TargetMode="External"/><Relationship Id="rId2" Type="http://schemas.openxmlformats.org/officeDocument/2006/relationships/externalLinkPath" Target="file:///E:\1.Finance\Anaylsen\Models\NLM.F.xlsx" TargetMode="External"/><Relationship Id="rId1" Type="http://schemas.openxmlformats.org/officeDocument/2006/relationships/externalLinkPath" Target="/1.Finance/Anaylsen/Models/NLM.F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ER.PA.xlsx" TargetMode="External"/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</sheetNames>
    <sheetDataSet>
      <sheetData sheetId="0">
        <row r="2">
          <cell r="J2">
            <v>66.3</v>
          </cell>
        </row>
        <row r="4">
          <cell r="J4">
            <v>1333.3824387</v>
          </cell>
        </row>
        <row r="5">
          <cell r="J5">
            <v>315.70799999999997</v>
          </cell>
        </row>
        <row r="6">
          <cell r="J6">
            <v>449.74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4.42</v>
          </cell>
        </row>
        <row r="4">
          <cell r="I4">
            <v>7599.5650606200006</v>
          </cell>
        </row>
        <row r="5">
          <cell r="I5">
            <v>2993.377</v>
          </cell>
        </row>
        <row r="6">
          <cell r="I6">
            <v>3537.8890000000001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110.86</v>
          </cell>
        </row>
        <row r="4">
          <cell r="I4">
            <v>12021.43191302</v>
          </cell>
        </row>
        <row r="5">
          <cell r="I5">
            <v>1514.729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59.96</v>
          </cell>
        </row>
        <row r="4">
          <cell r="H4">
            <v>9165.7399503199995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111</v>
          </cell>
        </row>
        <row r="5">
          <cell r="J5">
            <v>1937593.7999999998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87.92</v>
          </cell>
        </row>
        <row r="4">
          <cell r="J4">
            <v>5978.0039939199996</v>
          </cell>
        </row>
        <row r="5">
          <cell r="J5">
            <v>180.76900000000001</v>
          </cell>
        </row>
        <row r="6">
          <cell r="J6">
            <v>399.72299999999996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160.9</v>
          </cell>
        </row>
        <row r="4">
          <cell r="I4">
            <v>213851.54640000002</v>
          </cell>
        </row>
        <row r="5">
          <cell r="I5">
            <v>13765.710999999999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107.58</v>
          </cell>
        </row>
        <row r="4">
          <cell r="H4">
            <v>48195.839999999997</v>
          </cell>
        </row>
        <row r="5">
          <cell r="H5">
            <v>2919</v>
          </cell>
        </row>
        <row r="6">
          <cell r="H6">
            <v>6746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50.7</v>
          </cell>
        </row>
        <row r="4">
          <cell r="I4">
            <v>27269.090670900005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Products"/>
      <sheetName val="Model"/>
      <sheetName val="Ratios"/>
      <sheetName val="DCF"/>
    </sheetNames>
    <sheetDataSet>
      <sheetData sheetId="0">
        <row r="3">
          <cell r="H3">
            <v>47.45</v>
          </cell>
        </row>
        <row r="5">
          <cell r="H5">
            <v>104105.3</v>
          </cell>
        </row>
        <row r="6">
          <cell r="H6">
            <v>2518</v>
          </cell>
        </row>
        <row r="7">
          <cell r="H7">
            <v>35063</v>
          </cell>
        </row>
      </sheetData>
      <sheetData sheetId="1"/>
      <sheetData sheetId="2"/>
      <sheetData sheetId="3"/>
      <sheetData sheetId="4">
        <row r="4">
          <cell r="J4">
            <v>55.220363038811023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121.86</v>
          </cell>
        </row>
        <row r="4">
          <cell r="H4">
            <v>5842.5868395000007</v>
          </cell>
        </row>
        <row r="5">
          <cell r="H5">
            <v>170.27600000000001</v>
          </cell>
        </row>
        <row r="6">
          <cell r="H6">
            <v>1307.6579999999999</v>
          </cell>
        </row>
      </sheetData>
      <sheetData sheetId="1"/>
      <sheetData sheetId="2"/>
      <sheetData sheetId="3"/>
      <sheetData sheetId="4">
        <row r="4">
          <cell r="J4">
            <v>156.58897026472911</v>
          </cell>
        </row>
      </sheetData>
      <sheetData sheetId="5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58.7</v>
          </cell>
        </row>
        <row r="4">
          <cell r="I4">
            <v>52066.9</v>
          </cell>
        </row>
        <row r="5">
          <cell r="I5">
            <v>11256</v>
          </cell>
        </row>
        <row r="6">
          <cell r="I6">
            <v>13400</v>
          </cell>
        </row>
      </sheetData>
      <sheetData sheetId="1"/>
      <sheetData sheetId="2"/>
      <sheetData sheetId="3"/>
      <sheetData sheetId="4">
        <row r="4">
          <cell r="J4">
            <v>90.720141570568231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"/>
      <sheetName val="DCF"/>
    </sheetNames>
    <sheetDataSet>
      <sheetData sheetId="0">
        <row r="2">
          <cell r="J2">
            <v>70</v>
          </cell>
        </row>
        <row r="4">
          <cell r="J4">
            <v>5511.87</v>
          </cell>
        </row>
        <row r="5">
          <cell r="J5">
            <v>13.5</v>
          </cell>
        </row>
        <row r="6">
          <cell r="J6">
            <v>4770.6000000000004</v>
          </cell>
        </row>
      </sheetData>
      <sheetData sheetId="1"/>
      <sheetData sheetId="2"/>
      <sheetData sheetId="3">
        <row r="4">
          <cell r="J4">
            <v>110.50341825100335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3">
          <cell r="I3">
            <v>38.979999999999997</v>
          </cell>
        </row>
        <row r="5">
          <cell r="I5">
            <v>11937.624999999998</v>
          </cell>
        </row>
        <row r="6">
          <cell r="I6">
            <v>889</v>
          </cell>
        </row>
        <row r="7">
          <cell r="I7">
            <v>6769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WC"/>
      <sheetName val="BC"/>
      <sheetName val="Ratios"/>
      <sheetName val="DCF"/>
      <sheetName val="CoC"/>
    </sheetNames>
    <sheetDataSet>
      <sheetData sheetId="0">
        <row r="2">
          <cell r="H2">
            <v>101.5</v>
          </cell>
        </row>
        <row r="4">
          <cell r="H4">
            <v>691.47869700000001</v>
          </cell>
        </row>
        <row r="6">
          <cell r="H6">
            <v>15.463999999999999</v>
          </cell>
        </row>
      </sheetData>
      <sheetData sheetId="1"/>
      <sheetData sheetId="2"/>
      <sheetData sheetId="3"/>
      <sheetData sheetId="4"/>
      <sheetData sheetId="5">
        <row r="3">
          <cell r="J3">
            <v>97.40723155701005</v>
          </cell>
        </row>
      </sheetData>
      <sheetData sheetId="6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250.5</v>
          </cell>
        </row>
        <row r="4">
          <cell r="H4">
            <v>30716.233848</v>
          </cell>
        </row>
        <row r="5">
          <cell r="H5">
            <v>8480</v>
          </cell>
        </row>
        <row r="6">
          <cell r="H6">
            <v>11804</v>
          </cell>
        </row>
      </sheetData>
      <sheetData sheetId="1"/>
      <sheetData sheetId="2"/>
      <sheetData sheetId="3"/>
      <sheetData sheetId="4"/>
      <sheetData sheetId="5"/>
      <sheetData sheetId="6">
        <row r="4">
          <cell r="J4">
            <v>379.40823731776692</v>
          </cell>
        </row>
      </sheetData>
      <sheetData sheetId="7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4E634C5A-9FB4-4BCE-BEA8-F22D7E8CCFF9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4" dT="2026-07-26T16:51:02.57" personId="{4E634C5A-9FB4-4BCE-BEA8-F22D7E8CCFF9}" id="{7016EAAF-06C2-4B4E-B159-DD4D4D50A028}">
    <text>Average Price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\Models\EBAY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9992.HK.xlsx" TargetMode="External"/><Relationship Id="rId2" Type="http://schemas.openxmlformats.org/officeDocument/2006/relationships/hyperlink" Target="..\Models\SNAP.xlsx" TargetMode="External"/><Relationship Id="rId1" Type="http://schemas.openxmlformats.org/officeDocument/2006/relationships/hyperlink" Target="../Models/RDC.F.xlsx" TargetMode="External"/><Relationship Id="rId6" Type="http://schemas.openxmlformats.org/officeDocument/2006/relationships/hyperlink" Target="..\Models\BC.MI.xlsx" TargetMode="External"/><Relationship Id="rId5" Type="http://schemas.openxmlformats.org/officeDocument/2006/relationships/hyperlink" Target="..\Models\BABA.xlsx" TargetMode="External"/><Relationship Id="rId4" Type="http://schemas.openxmlformats.org/officeDocument/2006/relationships/hyperlink" Target="..\Models\VIRT.xlsx" TargetMode="External"/><Relationship Id="rId9" Type="http://schemas.openxmlformats.org/officeDocument/2006/relationships/hyperlink" Target="..\Models\FI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LULU.xlsx" TargetMode="External"/><Relationship Id="rId3" Type="http://schemas.openxmlformats.org/officeDocument/2006/relationships/hyperlink" Target="..\Models\PAH3.xlsx" TargetMode="External"/><Relationship Id="rId7" Type="http://schemas.openxmlformats.org/officeDocument/2006/relationships/hyperlink" Target="..\Models\BTI.xlsx" TargetMode="External"/><Relationship Id="rId2" Type="http://schemas.openxmlformats.org/officeDocument/2006/relationships/hyperlink" Target="..\Models\NLM.F.xlsx" TargetMode="External"/><Relationship Id="rId1" Type="http://schemas.openxmlformats.org/officeDocument/2006/relationships/hyperlink" Target="..\Models\KER.PA.xlsx" TargetMode="External"/><Relationship Id="rId6" Type="http://schemas.openxmlformats.org/officeDocument/2006/relationships/hyperlink" Target="..\Models\CROX.xlsx" TargetMode="External"/><Relationship Id="rId11" Type="http://schemas.microsoft.com/office/2017/10/relationships/threadedComment" Target="../threadedComments/threadedComment1.xml"/><Relationship Id="rId5" Type="http://schemas.openxmlformats.org/officeDocument/2006/relationships/hyperlink" Target="..\Models\PYPL.xlsx" TargetMode="External"/><Relationship Id="rId10" Type="http://schemas.openxmlformats.org/officeDocument/2006/relationships/comments" Target="../comments1.xml"/><Relationship Id="rId4" Type="http://schemas.openxmlformats.org/officeDocument/2006/relationships/hyperlink" Target="..\Models\STG.CO.xlsx" TargetMode="External"/><Relationship Id="rId9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4A331-3821-4718-A769-006CA9DC39E7}">
  <dimension ref="A1:Q130"/>
  <sheetViews>
    <sheetView zoomScale="200" zoomScaleNormal="200" workbookViewId="0">
      <pane ySplit="4" topLeftCell="A5" activePane="bottomLeft" state="frozen"/>
      <selection pane="bottomLeft" activeCell="B15" sqref="B15"/>
    </sheetView>
  </sheetViews>
  <sheetFormatPr defaultRowHeight="12.75"/>
  <cols>
    <col min="1" max="1" width="3.5703125" style="9" customWidth="1"/>
    <col min="2" max="2" width="20" style="9" customWidth="1"/>
    <col min="3" max="14" width="9.140625" style="9"/>
    <col min="15" max="15" width="16.7109375" style="10" bestFit="1" customWidth="1"/>
    <col min="16" max="16384" width="9.140625" style="9"/>
  </cols>
  <sheetData>
    <row r="1" spans="1:17">
      <c r="A1" s="2" t="s">
        <v>0</v>
      </c>
    </row>
    <row r="2" spans="1:17">
      <c r="A2" s="9" t="s">
        <v>1</v>
      </c>
      <c r="M2" s="19"/>
    </row>
    <row r="4" spans="1:17">
      <c r="A4" s="4" t="s">
        <v>5</v>
      </c>
      <c r="B4" s="2" t="s">
        <v>4</v>
      </c>
      <c r="C4" s="2" t="s">
        <v>6</v>
      </c>
      <c r="D4" s="2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8</v>
      </c>
      <c r="M4" s="5" t="s">
        <v>43</v>
      </c>
      <c r="N4" s="5" t="s">
        <v>19</v>
      </c>
      <c r="O4" s="6" t="s">
        <v>32</v>
      </c>
      <c r="P4" s="6" t="s">
        <v>20</v>
      </c>
      <c r="Q4" s="5" t="s">
        <v>25</v>
      </c>
    </row>
    <row r="5" spans="1:17">
      <c r="A5" s="11">
        <v>1</v>
      </c>
      <c r="B5" s="7" t="s">
        <v>15</v>
      </c>
      <c r="C5" s="9" t="s">
        <v>17</v>
      </c>
      <c r="D5" s="9" t="s">
        <v>16</v>
      </c>
      <c r="E5" s="9">
        <f>+[1]Main!$J$2</f>
        <v>66.3</v>
      </c>
      <c r="F5" s="12">
        <f>+[1]Main!$J$4*FX!C2</f>
        <v>1560.0574532789999</v>
      </c>
      <c r="G5" s="12">
        <f>(+[1]Main!$J$6-[1]Main!$J$5)*FX!C2</f>
        <v>156.81744000000003</v>
      </c>
      <c r="H5" s="12">
        <f t="shared" ref="H5:H13" si="0">+F5+G5</f>
        <v>1716.8748932789999</v>
      </c>
      <c r="I5" s="8" t="s">
        <v>18</v>
      </c>
      <c r="J5" s="13">
        <v>45965</v>
      </c>
      <c r="K5" s="13">
        <v>45888</v>
      </c>
      <c r="L5" s="9">
        <v>99.2</v>
      </c>
      <c r="M5" s="18">
        <f>+E5/L5-1</f>
        <v>-0.33165322580645162</v>
      </c>
      <c r="O5" s="10" t="s">
        <v>33</v>
      </c>
      <c r="P5" s="9" t="s">
        <v>21</v>
      </c>
    </row>
    <row r="6" spans="1:17">
      <c r="A6" s="11">
        <f>+A5+1</f>
        <v>2</v>
      </c>
      <c r="B6" s="7" t="s">
        <v>22</v>
      </c>
      <c r="C6" s="9" t="s">
        <v>23</v>
      </c>
      <c r="D6" s="9" t="s">
        <v>24</v>
      </c>
      <c r="E6" s="9">
        <f>+[2]Main!$I$2</f>
        <v>4.42</v>
      </c>
      <c r="F6" s="12">
        <f>+[2]Main!$I$4</f>
        <v>7599.5650606200006</v>
      </c>
      <c r="G6" s="12">
        <f>+[2]Main!$I$6-[2]Main!$I$5</f>
        <v>544.51200000000017</v>
      </c>
      <c r="H6" s="12">
        <f t="shared" si="0"/>
        <v>8144.0770606200003</v>
      </c>
      <c r="I6" s="8" t="s">
        <v>18</v>
      </c>
      <c r="J6" s="27">
        <v>45958</v>
      </c>
      <c r="K6" s="13">
        <v>45889</v>
      </c>
      <c r="L6" s="9">
        <v>7.44</v>
      </c>
      <c r="M6" s="18">
        <f t="shared" ref="M6:M10" si="1">+E6/L6-1</f>
        <v>-0.40591397849462374</v>
      </c>
      <c r="O6" s="10" t="s">
        <v>36</v>
      </c>
      <c r="P6" s="9" t="s">
        <v>21</v>
      </c>
      <c r="Q6" s="9" t="s">
        <v>26</v>
      </c>
    </row>
    <row r="7" spans="1:17">
      <c r="A7" s="11">
        <f t="shared" ref="A7:A46" si="2">+A6+1</f>
        <v>3</v>
      </c>
      <c r="B7" s="7" t="s">
        <v>27</v>
      </c>
      <c r="C7" s="9" t="s">
        <v>28</v>
      </c>
      <c r="D7" s="9" t="s">
        <v>29</v>
      </c>
      <c r="E7" s="9">
        <f>+[3]Main!$I$2</f>
        <v>110.86</v>
      </c>
      <c r="F7" s="12">
        <f>+[3]Main!$I$4</f>
        <v>12021.43191302</v>
      </c>
      <c r="G7" s="12">
        <f>+[3]Main!$I$6-[3]Main!$I$5</f>
        <v>-1514.729</v>
      </c>
      <c r="H7" s="12">
        <f t="shared" si="0"/>
        <v>10506.702913020001</v>
      </c>
      <c r="I7" s="17" t="s">
        <v>18</v>
      </c>
      <c r="J7" s="13">
        <v>45995</v>
      </c>
      <c r="K7" s="13">
        <v>45891</v>
      </c>
      <c r="L7" s="9">
        <v>198.37</v>
      </c>
      <c r="M7" s="18">
        <f t="shared" si="1"/>
        <v>-0.44114533447597926</v>
      </c>
      <c r="O7" s="10" t="s">
        <v>35</v>
      </c>
      <c r="P7" s="9" t="s">
        <v>21</v>
      </c>
    </row>
    <row r="8" spans="1:17">
      <c r="A8" s="11">
        <f t="shared" si="2"/>
        <v>4</v>
      </c>
      <c r="B8" s="7" t="s">
        <v>31</v>
      </c>
      <c r="C8" s="9" t="s">
        <v>30</v>
      </c>
      <c r="D8" s="9" t="s">
        <v>24</v>
      </c>
      <c r="E8" s="9">
        <f>+[4]Main!$H$2</f>
        <v>59.96</v>
      </c>
      <c r="F8" s="12">
        <f>+[4]Main!$H$4</f>
        <v>9165.7399503199995</v>
      </c>
      <c r="G8" s="12">
        <f>+[4]Main!$H$6-[4]Main!$H$5</f>
        <v>1242.8240000000001</v>
      </c>
      <c r="H8" s="12">
        <f t="shared" si="0"/>
        <v>10408.56395032</v>
      </c>
      <c r="I8" s="8" t="s">
        <v>18</v>
      </c>
      <c r="J8" s="13">
        <v>45953</v>
      </c>
      <c r="K8" s="13">
        <v>45902</v>
      </c>
      <c r="L8" s="9">
        <v>41.3</v>
      </c>
      <c r="M8" s="18">
        <f t="shared" si="1"/>
        <v>0.45181598062954009</v>
      </c>
      <c r="O8" s="10" t="s">
        <v>34</v>
      </c>
      <c r="P8" s="9" t="s">
        <v>21</v>
      </c>
    </row>
    <row r="9" spans="1:17">
      <c r="A9" s="11">
        <f t="shared" si="2"/>
        <v>5</v>
      </c>
      <c r="B9" s="7" t="s">
        <v>37</v>
      </c>
      <c r="C9" s="14" t="s">
        <v>38</v>
      </c>
      <c r="D9" s="14" t="s">
        <v>39</v>
      </c>
      <c r="E9" s="9">
        <f>+[5]Main!$J$2</f>
        <v>111</v>
      </c>
      <c r="F9" s="12">
        <f>+[5]Main!$J$5*FX!C3</f>
        <v>271263.13199999998</v>
      </c>
      <c r="G9" s="12">
        <f>+([5]Main!$J$7-[5]Main!$J$6)*FX!C3</f>
        <v>-41909.560000000005</v>
      </c>
      <c r="H9" s="12">
        <f t="shared" si="0"/>
        <v>229353.57199999999</v>
      </c>
      <c r="I9" s="15" t="s">
        <v>40</v>
      </c>
      <c r="J9" s="13">
        <v>45981</v>
      </c>
      <c r="K9" s="13">
        <v>45902</v>
      </c>
      <c r="L9" s="9">
        <v>134.1</v>
      </c>
      <c r="M9" s="18">
        <f t="shared" si="1"/>
        <v>-0.17225950782997757</v>
      </c>
      <c r="O9" s="16" t="s">
        <v>41</v>
      </c>
      <c r="P9" s="14" t="s">
        <v>21</v>
      </c>
    </row>
    <row r="10" spans="1:17">
      <c r="A10" s="11">
        <f t="shared" si="2"/>
        <v>6</v>
      </c>
      <c r="B10" s="7" t="s">
        <v>44</v>
      </c>
      <c r="C10" s="20" t="s">
        <v>46</v>
      </c>
      <c r="D10" s="20" t="s">
        <v>45</v>
      </c>
      <c r="E10" s="9">
        <f>+[6]Main!$J$2</f>
        <v>87.92</v>
      </c>
      <c r="F10" s="12">
        <f>+([6]Main!$J$4)*FX!C2</f>
        <v>6994.2646728863992</v>
      </c>
      <c r="G10" s="12">
        <f>+([6]Main!$J$6-[6]Main!$J$5)*FX!C2</f>
        <v>256.17617999999993</v>
      </c>
      <c r="H10" s="12">
        <f t="shared" si="0"/>
        <v>7250.4408528863987</v>
      </c>
      <c r="I10" s="22" t="s">
        <v>18</v>
      </c>
      <c r="J10" s="13">
        <v>45946</v>
      </c>
      <c r="K10" s="13">
        <v>45926</v>
      </c>
      <c r="L10" s="9">
        <v>85.3</v>
      </c>
      <c r="M10" s="18">
        <f t="shared" si="1"/>
        <v>3.071512309495894E-2</v>
      </c>
      <c r="O10" s="21" t="s">
        <v>47</v>
      </c>
      <c r="P10" s="14" t="s">
        <v>21</v>
      </c>
      <c r="Q10" s="20" t="s">
        <v>48</v>
      </c>
    </row>
    <row r="11" spans="1:17">
      <c r="A11" s="11">
        <f t="shared" si="2"/>
        <v>7</v>
      </c>
      <c r="B11" s="7" t="s">
        <v>49</v>
      </c>
      <c r="C11" s="20" t="s">
        <v>50</v>
      </c>
      <c r="D11" s="20" t="s">
        <v>51</v>
      </c>
      <c r="E11" s="9">
        <f>+[7]Main!$I$2</f>
        <v>160.9</v>
      </c>
      <c r="F11" s="12">
        <f>+[7]Main!$I$4*FX!C3</f>
        <v>29939.216496000005</v>
      </c>
      <c r="G11" s="12">
        <f>+([7]Main!$I$6-[7]Main!$I$5)*FX!C3</f>
        <v>-1927.1995400000001</v>
      </c>
      <c r="H11" s="12">
        <f t="shared" si="0"/>
        <v>28012.016956000003</v>
      </c>
      <c r="I11" s="22" t="s">
        <v>18</v>
      </c>
      <c r="J11" s="13">
        <v>46078</v>
      </c>
      <c r="K11" s="13">
        <v>45926</v>
      </c>
      <c r="L11" s="9">
        <v>256.39999999999998</v>
      </c>
      <c r="M11" s="18">
        <f>+E11/L11-1</f>
        <v>-0.37246489859594378</v>
      </c>
      <c r="O11" s="21" t="s">
        <v>52</v>
      </c>
      <c r="P11" s="14" t="s">
        <v>21</v>
      </c>
      <c r="Q11" s="20" t="s">
        <v>53</v>
      </c>
    </row>
    <row r="12" spans="1:17">
      <c r="A12" s="11">
        <f t="shared" si="2"/>
        <v>8</v>
      </c>
      <c r="B12" s="7" t="s">
        <v>54</v>
      </c>
      <c r="C12" s="23" t="s">
        <v>54</v>
      </c>
      <c r="D12" s="23" t="s">
        <v>24</v>
      </c>
      <c r="E12" s="9">
        <f>+[8]Main!$H$2</f>
        <v>107.58</v>
      </c>
      <c r="F12" s="12">
        <f>+[8]Main!$H$4</f>
        <v>48195.839999999997</v>
      </c>
      <c r="G12" s="12">
        <f>+([8]Main!$H$6-[8]Main!$H$5)</f>
        <v>3827</v>
      </c>
      <c r="H12" s="12">
        <f t="shared" si="0"/>
        <v>52022.84</v>
      </c>
      <c r="I12" s="24" t="s">
        <v>18</v>
      </c>
      <c r="J12" s="25">
        <v>45959</v>
      </c>
      <c r="K12" s="13">
        <v>45934</v>
      </c>
      <c r="L12" s="9">
        <v>92.17</v>
      </c>
      <c r="M12" s="18">
        <f>+E12/L12-1</f>
        <v>0.16719105999783013</v>
      </c>
      <c r="O12" s="26" t="s">
        <v>55</v>
      </c>
      <c r="P12" s="14" t="s">
        <v>21</v>
      </c>
    </row>
    <row r="13" spans="1:17">
      <c r="A13" s="11">
        <f t="shared" si="2"/>
        <v>9</v>
      </c>
      <c r="B13" s="7" t="s">
        <v>56</v>
      </c>
      <c r="C13" s="28" t="s">
        <v>58</v>
      </c>
      <c r="D13" s="28" t="s">
        <v>24</v>
      </c>
      <c r="E13" s="9">
        <f>+[9]Main!$I$2</f>
        <v>50.7</v>
      </c>
      <c r="F13" s="12">
        <f>+[9]Main!$I$4</f>
        <v>27269.090670900005</v>
      </c>
      <c r="G13" s="12">
        <f>+[9]Main!$I$6-[9]Main!$I$5</f>
        <v>29131</v>
      </c>
      <c r="H13" s="12">
        <f t="shared" si="0"/>
        <v>56400.090670900005</v>
      </c>
      <c r="I13" s="29" t="s">
        <v>60</v>
      </c>
      <c r="K13" s="13">
        <v>45967</v>
      </c>
      <c r="L13" s="9">
        <v>62.5</v>
      </c>
      <c r="M13" s="18">
        <f>+E13/L13-1</f>
        <v>-0.18879999999999997</v>
      </c>
      <c r="O13" s="30" t="s">
        <v>61</v>
      </c>
      <c r="P13" s="14" t="s">
        <v>21</v>
      </c>
      <c r="Q13" s="28" t="s">
        <v>57</v>
      </c>
    </row>
    <row r="14" spans="1:17">
      <c r="A14" s="11">
        <f t="shared" si="2"/>
        <v>10</v>
      </c>
      <c r="B14" s="7" t="s">
        <v>97</v>
      </c>
      <c r="F14" s="12"/>
      <c r="G14" s="12"/>
      <c r="H14" s="12"/>
      <c r="I14" s="8"/>
      <c r="P14" s="14"/>
    </row>
    <row r="15" spans="1:17">
      <c r="A15" s="11">
        <f t="shared" si="2"/>
        <v>11</v>
      </c>
      <c r="F15" s="12"/>
      <c r="G15" s="12"/>
      <c r="H15" s="12"/>
      <c r="I15" s="8"/>
      <c r="M15" s="19">
        <f>+AVERAGE(M5:M13)</f>
        <v>-0.14027942016451631</v>
      </c>
    </row>
    <row r="16" spans="1:17">
      <c r="A16" s="11">
        <f t="shared" si="2"/>
        <v>12</v>
      </c>
      <c r="F16" s="12"/>
      <c r="G16" s="12"/>
      <c r="H16" s="12"/>
      <c r="I16" s="8"/>
    </row>
    <row r="17" spans="1:9">
      <c r="A17" s="11">
        <f t="shared" si="2"/>
        <v>13</v>
      </c>
      <c r="F17" s="12"/>
      <c r="G17" s="12"/>
      <c r="H17" s="12"/>
      <c r="I17" s="8"/>
    </row>
    <row r="18" spans="1:9">
      <c r="A18" s="11">
        <f t="shared" si="2"/>
        <v>14</v>
      </c>
      <c r="F18" s="12"/>
      <c r="G18" s="12"/>
      <c r="H18" s="12"/>
      <c r="I18" s="8"/>
    </row>
    <row r="19" spans="1:9">
      <c r="A19" s="11">
        <f t="shared" si="2"/>
        <v>15</v>
      </c>
      <c r="F19" s="12"/>
      <c r="G19" s="12"/>
      <c r="H19" s="12"/>
      <c r="I19" s="8"/>
    </row>
    <row r="20" spans="1:9">
      <c r="A20" s="11">
        <f t="shared" si="2"/>
        <v>16</v>
      </c>
      <c r="F20" s="12"/>
      <c r="G20" s="12"/>
      <c r="H20" s="12"/>
      <c r="I20" s="8"/>
    </row>
    <row r="21" spans="1:9">
      <c r="A21" s="11">
        <f t="shared" si="2"/>
        <v>17</v>
      </c>
      <c r="F21" s="12"/>
      <c r="G21" s="12"/>
      <c r="H21" s="12"/>
      <c r="I21" s="8"/>
    </row>
    <row r="22" spans="1:9">
      <c r="A22" s="11">
        <f t="shared" si="2"/>
        <v>18</v>
      </c>
      <c r="F22" s="12"/>
      <c r="G22" s="12"/>
      <c r="H22" s="12"/>
      <c r="I22" s="8"/>
    </row>
    <row r="23" spans="1:9">
      <c r="A23" s="11">
        <f t="shared" si="2"/>
        <v>19</v>
      </c>
      <c r="F23" s="12"/>
      <c r="G23" s="12"/>
      <c r="H23" s="12"/>
      <c r="I23" s="8"/>
    </row>
    <row r="24" spans="1:9">
      <c r="A24" s="11">
        <f t="shared" si="2"/>
        <v>20</v>
      </c>
      <c r="F24" s="12"/>
      <c r="G24" s="12"/>
      <c r="H24" s="12"/>
      <c r="I24" s="8"/>
    </row>
    <row r="25" spans="1:9">
      <c r="A25" s="11">
        <f t="shared" si="2"/>
        <v>21</v>
      </c>
      <c r="F25" s="12"/>
      <c r="G25" s="12"/>
      <c r="H25" s="12"/>
      <c r="I25" s="8"/>
    </row>
    <row r="26" spans="1:9">
      <c r="A26" s="11">
        <f t="shared" si="2"/>
        <v>22</v>
      </c>
      <c r="F26" s="12"/>
      <c r="G26" s="12"/>
      <c r="H26" s="12"/>
      <c r="I26" s="8"/>
    </row>
    <row r="27" spans="1:9">
      <c r="A27" s="11">
        <f t="shared" si="2"/>
        <v>23</v>
      </c>
      <c r="F27" s="12"/>
      <c r="G27" s="12"/>
      <c r="H27" s="12"/>
      <c r="I27" s="8"/>
    </row>
    <row r="28" spans="1:9">
      <c r="A28" s="11">
        <f t="shared" si="2"/>
        <v>24</v>
      </c>
      <c r="F28" s="12"/>
      <c r="G28" s="12"/>
      <c r="H28" s="12"/>
      <c r="I28" s="8"/>
    </row>
    <row r="29" spans="1:9">
      <c r="A29" s="11">
        <f t="shared" si="2"/>
        <v>25</v>
      </c>
      <c r="F29" s="12"/>
      <c r="G29" s="12"/>
      <c r="H29" s="12"/>
      <c r="I29" s="8"/>
    </row>
    <row r="30" spans="1:9">
      <c r="A30" s="11">
        <f t="shared" si="2"/>
        <v>26</v>
      </c>
      <c r="F30" s="12"/>
      <c r="G30" s="12"/>
      <c r="H30" s="12"/>
      <c r="I30" s="8"/>
    </row>
    <row r="31" spans="1:9">
      <c r="A31" s="11">
        <f t="shared" si="2"/>
        <v>27</v>
      </c>
      <c r="F31" s="12"/>
      <c r="G31" s="12"/>
      <c r="H31" s="12"/>
      <c r="I31" s="8"/>
    </row>
    <row r="32" spans="1:9">
      <c r="A32" s="11">
        <f t="shared" si="2"/>
        <v>28</v>
      </c>
      <c r="F32" s="12"/>
      <c r="G32" s="12"/>
      <c r="H32" s="12"/>
      <c r="I32" s="8"/>
    </row>
    <row r="33" spans="1:9">
      <c r="A33" s="11">
        <f t="shared" si="2"/>
        <v>29</v>
      </c>
      <c r="F33" s="12"/>
      <c r="G33" s="12"/>
      <c r="H33" s="12"/>
      <c r="I33" s="8"/>
    </row>
    <row r="34" spans="1:9">
      <c r="A34" s="11">
        <f t="shared" si="2"/>
        <v>30</v>
      </c>
      <c r="F34" s="12"/>
      <c r="G34" s="12"/>
      <c r="H34" s="12"/>
      <c r="I34" s="8"/>
    </row>
    <row r="35" spans="1:9">
      <c r="A35" s="11">
        <f t="shared" si="2"/>
        <v>31</v>
      </c>
      <c r="F35" s="12"/>
      <c r="G35" s="12"/>
      <c r="H35" s="12"/>
      <c r="I35" s="8"/>
    </row>
    <row r="36" spans="1:9">
      <c r="A36" s="11">
        <f t="shared" si="2"/>
        <v>32</v>
      </c>
      <c r="F36" s="12"/>
      <c r="G36" s="12"/>
      <c r="H36" s="12"/>
      <c r="I36" s="8"/>
    </row>
    <row r="37" spans="1:9">
      <c r="A37" s="11">
        <f t="shared" si="2"/>
        <v>33</v>
      </c>
      <c r="F37" s="12"/>
      <c r="G37" s="12"/>
      <c r="H37" s="12"/>
      <c r="I37" s="8"/>
    </row>
    <row r="38" spans="1:9">
      <c r="A38" s="11">
        <f t="shared" si="2"/>
        <v>34</v>
      </c>
      <c r="F38" s="12"/>
      <c r="G38" s="12"/>
      <c r="H38" s="12"/>
      <c r="I38" s="8"/>
    </row>
    <row r="39" spans="1:9">
      <c r="A39" s="11">
        <f t="shared" si="2"/>
        <v>35</v>
      </c>
      <c r="F39" s="12"/>
      <c r="G39" s="12"/>
      <c r="H39" s="12"/>
      <c r="I39" s="8"/>
    </row>
    <row r="40" spans="1:9">
      <c r="A40" s="11">
        <f t="shared" si="2"/>
        <v>36</v>
      </c>
      <c r="F40" s="12"/>
      <c r="G40" s="12"/>
      <c r="H40" s="12"/>
      <c r="I40" s="8"/>
    </row>
    <row r="41" spans="1:9">
      <c r="A41" s="11">
        <f t="shared" si="2"/>
        <v>37</v>
      </c>
      <c r="F41" s="12"/>
      <c r="G41" s="12"/>
      <c r="H41" s="12"/>
      <c r="I41" s="8"/>
    </row>
    <row r="42" spans="1:9">
      <c r="A42" s="11">
        <f t="shared" si="2"/>
        <v>38</v>
      </c>
      <c r="F42" s="12"/>
      <c r="G42" s="12"/>
      <c r="H42" s="12"/>
      <c r="I42" s="8"/>
    </row>
    <row r="43" spans="1:9">
      <c r="A43" s="11">
        <f t="shared" si="2"/>
        <v>39</v>
      </c>
      <c r="F43" s="12"/>
      <c r="G43" s="12"/>
      <c r="H43" s="12"/>
      <c r="I43" s="8"/>
    </row>
    <row r="44" spans="1:9">
      <c r="A44" s="11">
        <f t="shared" si="2"/>
        <v>40</v>
      </c>
      <c r="F44" s="12"/>
      <c r="G44" s="12"/>
      <c r="H44" s="12"/>
      <c r="I44" s="8"/>
    </row>
    <row r="45" spans="1:9">
      <c r="A45" s="11">
        <f t="shared" si="2"/>
        <v>41</v>
      </c>
      <c r="F45" s="12"/>
      <c r="G45" s="12"/>
      <c r="H45" s="12"/>
      <c r="I45" s="8"/>
    </row>
    <row r="46" spans="1:9">
      <c r="A46" s="11">
        <f t="shared" si="2"/>
        <v>42</v>
      </c>
      <c r="F46" s="12"/>
      <c r="G46" s="12"/>
      <c r="H46" s="12"/>
      <c r="I46" s="8"/>
    </row>
    <row r="47" spans="1:9">
      <c r="A47" s="11"/>
      <c r="F47" s="12"/>
      <c r="G47" s="12"/>
      <c r="H47" s="12"/>
      <c r="I47" s="8"/>
    </row>
    <row r="48" spans="1:9">
      <c r="A48" s="11"/>
      <c r="I48" s="8"/>
    </row>
    <row r="49" spans="1:9">
      <c r="A49" s="11"/>
      <c r="I49" s="8"/>
    </row>
    <row r="50" spans="1:9">
      <c r="A50" s="11"/>
      <c r="I50" s="8"/>
    </row>
    <row r="51" spans="1:9">
      <c r="A51" s="11"/>
      <c r="I51" s="8"/>
    </row>
    <row r="52" spans="1:9">
      <c r="A52" s="11"/>
      <c r="I52" s="8"/>
    </row>
    <row r="53" spans="1:9">
      <c r="A53" s="11"/>
      <c r="I53" s="8"/>
    </row>
    <row r="54" spans="1:9">
      <c r="A54" s="11"/>
      <c r="I54" s="8"/>
    </row>
    <row r="55" spans="1:9">
      <c r="A55" s="11"/>
      <c r="I55" s="8"/>
    </row>
    <row r="56" spans="1:9">
      <c r="A56" s="11"/>
      <c r="I56" s="8"/>
    </row>
    <row r="57" spans="1:9">
      <c r="A57" s="11"/>
      <c r="I57" s="8"/>
    </row>
    <row r="58" spans="1:9">
      <c r="A58" s="11"/>
      <c r="I58" s="8"/>
    </row>
    <row r="59" spans="1:9">
      <c r="A59" s="11"/>
    </row>
    <row r="60" spans="1:9">
      <c r="A60" s="11"/>
    </row>
    <row r="61" spans="1:9">
      <c r="A61" s="11"/>
    </row>
    <row r="62" spans="1:9">
      <c r="A62" s="11"/>
    </row>
    <row r="63" spans="1:9">
      <c r="A63" s="11"/>
    </row>
    <row r="64" spans="1:9">
      <c r="A64" s="11"/>
    </row>
    <row r="65" spans="1:1">
      <c r="A65" s="11"/>
    </row>
    <row r="66" spans="1:1">
      <c r="A66" s="11"/>
    </row>
    <row r="67" spans="1:1">
      <c r="A67" s="11"/>
    </row>
    <row r="68" spans="1:1">
      <c r="A68" s="11"/>
    </row>
    <row r="69" spans="1:1">
      <c r="A69" s="11"/>
    </row>
    <row r="70" spans="1:1">
      <c r="A70" s="11"/>
    </row>
    <row r="71" spans="1:1">
      <c r="A71" s="11"/>
    </row>
    <row r="72" spans="1:1">
      <c r="A72" s="11"/>
    </row>
    <row r="73" spans="1:1">
      <c r="A73" s="11"/>
    </row>
    <row r="74" spans="1:1">
      <c r="A74" s="11"/>
    </row>
    <row r="75" spans="1:1">
      <c r="A75" s="11"/>
    </row>
    <row r="76" spans="1:1">
      <c r="A76" s="11"/>
    </row>
    <row r="77" spans="1:1">
      <c r="A77" s="11"/>
    </row>
    <row r="78" spans="1:1">
      <c r="A78" s="11"/>
    </row>
    <row r="79" spans="1:1">
      <c r="A79" s="11"/>
    </row>
    <row r="80" spans="1:1">
      <c r="A80" s="11"/>
    </row>
    <row r="81" spans="1:1">
      <c r="A81" s="11"/>
    </row>
    <row r="82" spans="1:1">
      <c r="A82" s="11"/>
    </row>
    <row r="83" spans="1:1">
      <c r="A83" s="11"/>
    </row>
    <row r="84" spans="1:1">
      <c r="A84" s="11"/>
    </row>
    <row r="85" spans="1:1">
      <c r="A85" s="11"/>
    </row>
    <row r="86" spans="1:1">
      <c r="A86" s="11"/>
    </row>
    <row r="87" spans="1:1">
      <c r="A87" s="11"/>
    </row>
    <row r="88" spans="1:1">
      <c r="A88" s="11"/>
    </row>
    <row r="89" spans="1:1">
      <c r="A89" s="11"/>
    </row>
    <row r="90" spans="1:1">
      <c r="A90" s="11"/>
    </row>
    <row r="91" spans="1:1">
      <c r="A91" s="11"/>
    </row>
    <row r="92" spans="1:1">
      <c r="A92" s="11"/>
    </row>
    <row r="93" spans="1:1">
      <c r="A93" s="11"/>
    </row>
    <row r="94" spans="1:1">
      <c r="A94" s="11"/>
    </row>
    <row r="95" spans="1:1">
      <c r="A95" s="11"/>
    </row>
    <row r="96" spans="1:1">
      <c r="A96" s="11"/>
    </row>
    <row r="97" spans="1:1">
      <c r="A97" s="11"/>
    </row>
    <row r="98" spans="1:1">
      <c r="A98" s="11"/>
    </row>
    <row r="99" spans="1:1">
      <c r="A99" s="11"/>
    </row>
    <row r="100" spans="1:1">
      <c r="A100" s="11"/>
    </row>
    <row r="101" spans="1:1">
      <c r="A101" s="11"/>
    </row>
    <row r="102" spans="1:1">
      <c r="A102" s="11"/>
    </row>
    <row r="103" spans="1:1">
      <c r="A103" s="11"/>
    </row>
    <row r="104" spans="1:1">
      <c r="A104" s="11"/>
    </row>
    <row r="105" spans="1:1">
      <c r="A105" s="11"/>
    </row>
    <row r="106" spans="1:1">
      <c r="A106" s="11"/>
    </row>
    <row r="107" spans="1:1">
      <c r="A107" s="11"/>
    </row>
    <row r="108" spans="1:1">
      <c r="A108" s="11"/>
    </row>
    <row r="109" spans="1:1">
      <c r="A109" s="11"/>
    </row>
    <row r="110" spans="1:1">
      <c r="A110" s="11"/>
    </row>
    <row r="111" spans="1:1">
      <c r="A111" s="11"/>
    </row>
    <row r="112" spans="1:1">
      <c r="A112" s="11"/>
    </row>
    <row r="113" spans="1:1">
      <c r="A113" s="11"/>
    </row>
    <row r="114" spans="1:1">
      <c r="A114" s="11"/>
    </row>
    <row r="115" spans="1:1">
      <c r="A115" s="11"/>
    </row>
    <row r="116" spans="1:1">
      <c r="A116" s="11"/>
    </row>
    <row r="117" spans="1:1">
      <c r="A117" s="11"/>
    </row>
    <row r="118" spans="1:1">
      <c r="A118" s="11"/>
    </row>
    <row r="119" spans="1:1">
      <c r="A119" s="11"/>
    </row>
    <row r="120" spans="1:1">
      <c r="A120" s="11"/>
    </row>
    <row r="121" spans="1:1">
      <c r="A121" s="11"/>
    </row>
    <row r="122" spans="1:1">
      <c r="A122" s="11"/>
    </row>
    <row r="123" spans="1:1">
      <c r="A123" s="11"/>
    </row>
    <row r="124" spans="1:1">
      <c r="A124" s="11"/>
    </row>
    <row r="125" spans="1:1">
      <c r="A125" s="11"/>
    </row>
    <row r="126" spans="1:1">
      <c r="A126" s="11"/>
    </row>
    <row r="127" spans="1:1">
      <c r="A127" s="11"/>
    </row>
    <row r="128" spans="1:1">
      <c r="A128" s="11"/>
    </row>
    <row r="129" spans="1:1">
      <c r="A129" s="11"/>
    </row>
    <row r="130" spans="1:1">
      <c r="A130" s="11"/>
    </row>
  </sheetData>
  <hyperlinks>
    <hyperlink ref="B5" r:id="rId1" xr:uid="{862DA998-AAD8-4A5B-8534-7DC3EDBC4AB2}"/>
    <hyperlink ref="B6" r:id="rId2" xr:uid="{43C60588-2186-4192-B5F7-DBC392710280}"/>
    <hyperlink ref="B7" r:id="rId3" xr:uid="{6A12FCF3-584D-4323-A41F-B970C6FF1200}"/>
    <hyperlink ref="B8" r:id="rId4" display="Virt" xr:uid="{40A4329D-348A-4629-AAFA-B94628070672}"/>
    <hyperlink ref="B9" r:id="rId5" xr:uid="{008C64C3-FE55-425E-8F91-6D7191763AE3}"/>
    <hyperlink ref="B10" r:id="rId6" xr:uid="{2F35C231-9D4B-4712-94E5-6754F841B088}"/>
    <hyperlink ref="B11" r:id="rId7" xr:uid="{AED81220-75B7-4217-BDBB-E6654FE09225}"/>
    <hyperlink ref="B12" r:id="rId8" xr:uid="{B5E94AC4-BA08-461E-866C-8E618213DE8F}"/>
    <hyperlink ref="B13" r:id="rId9" xr:uid="{393CB23F-6784-4298-AFD5-19F3BDBBFE9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D887-56C2-45D2-86E7-3AD60D640181}">
  <dimension ref="A1:S14"/>
  <sheetViews>
    <sheetView tabSelected="1" zoomScale="200" zoomScaleNormal="200" workbookViewId="0">
      <pane ySplit="4" topLeftCell="A5" activePane="bottomLeft" state="frozen"/>
      <selection pane="bottomLeft" activeCell="I12" sqref="I12"/>
    </sheetView>
  </sheetViews>
  <sheetFormatPr defaultRowHeight="15"/>
  <cols>
    <col min="1" max="1" width="5" bestFit="1" customWidth="1"/>
    <col min="2" max="2" width="20.5703125" bestFit="1" customWidth="1"/>
  </cols>
  <sheetData>
    <row r="1" spans="1:19" s="9" customFormat="1" ht="12.75">
      <c r="A1" s="7" t="s">
        <v>3</v>
      </c>
      <c r="P1" s="10"/>
    </row>
    <row r="2" spans="1:19" s="9" customFormat="1" ht="12.75">
      <c r="A2" s="31" t="s">
        <v>85</v>
      </c>
      <c r="N2" s="19"/>
      <c r="P2" s="10"/>
    </row>
    <row r="3" spans="1:19" s="9" customFormat="1" ht="12.75">
      <c r="P3" s="10"/>
    </row>
    <row r="4" spans="1:19" s="9" customFormat="1" ht="12.75">
      <c r="A4" s="4" t="s">
        <v>5</v>
      </c>
      <c r="B4" s="2" t="s">
        <v>4</v>
      </c>
      <c r="C4" s="2" t="s">
        <v>6</v>
      </c>
      <c r="D4" s="2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62</v>
      </c>
      <c r="M4" s="5" t="s">
        <v>92</v>
      </c>
      <c r="N4" s="5" t="s">
        <v>43</v>
      </c>
      <c r="O4" s="5" t="s">
        <v>19</v>
      </c>
      <c r="P4" s="5" t="s">
        <v>71</v>
      </c>
      <c r="Q4" s="6" t="s">
        <v>32</v>
      </c>
      <c r="R4" s="6"/>
      <c r="S4" s="5" t="s">
        <v>25</v>
      </c>
    </row>
    <row r="5" spans="1:19" s="9" customFormat="1" ht="12.75">
      <c r="A5" s="11">
        <v>1</v>
      </c>
      <c r="B5" s="7" t="s">
        <v>63</v>
      </c>
      <c r="C5" s="31" t="s">
        <v>86</v>
      </c>
      <c r="D5" s="31" t="s">
        <v>80</v>
      </c>
      <c r="E5" s="9">
        <f>+[10]Main!$H$3</f>
        <v>47.45</v>
      </c>
      <c r="F5" s="12">
        <f>+[10]Main!$H$5*FX!C11</f>
        <v>121803.201</v>
      </c>
      <c r="G5" s="12">
        <f>+([10]Main!$H$7-[10]Main!$H$6)*FX!C11</f>
        <v>38077.649999999994</v>
      </c>
      <c r="H5" s="12">
        <f t="shared" ref="H5:H12" si="0">+F5+G5</f>
        <v>159880.851</v>
      </c>
      <c r="I5" s="42" t="s">
        <v>95</v>
      </c>
      <c r="J5" s="41">
        <v>46233</v>
      </c>
      <c r="K5" s="13">
        <v>45509</v>
      </c>
      <c r="L5" s="38">
        <v>32.515099999999997</v>
      </c>
      <c r="M5" s="38">
        <f>+FX!C11*Portfolio!E5</f>
        <v>55.516500000000001</v>
      </c>
      <c r="N5" s="18">
        <f>+M5/L5-1</f>
        <v>0.70740671257354304</v>
      </c>
      <c r="O5" s="33">
        <f>+[10]DCF!$J$4</f>
        <v>55.220363038811023</v>
      </c>
      <c r="P5" s="34">
        <f>+O5/E5-1</f>
        <v>0.16375896815197089</v>
      </c>
      <c r="Q5" s="35" t="s">
        <v>87</v>
      </c>
    </row>
    <row r="6" spans="1:19" s="9" customFormat="1" ht="12.75">
      <c r="A6" s="11">
        <f>+A5+1</f>
        <v>2</v>
      </c>
      <c r="B6" s="7" t="s">
        <v>64</v>
      </c>
      <c r="C6" s="31" t="s">
        <v>79</v>
      </c>
      <c r="D6" s="31" t="s">
        <v>78</v>
      </c>
      <c r="E6" s="9">
        <f>+[11]Main!$H$2</f>
        <v>121.86</v>
      </c>
      <c r="F6" s="12">
        <f>+[11]Main!$H$4*FX!C12</f>
        <v>5141.4764187600003</v>
      </c>
      <c r="G6" s="12">
        <f>+([11]Main!$H$6-[11]Main!$H$5)*FX!C12</f>
        <v>1000.8961599999999</v>
      </c>
      <c r="H6" s="12">
        <f t="shared" si="0"/>
        <v>6142.3725787600006</v>
      </c>
      <c r="I6" s="45" t="s">
        <v>40</v>
      </c>
      <c r="J6" s="44">
        <v>46240</v>
      </c>
      <c r="K6" s="13">
        <v>45764</v>
      </c>
      <c r="L6" s="39">
        <v>75.48</v>
      </c>
      <c r="M6" s="39">
        <f>+FX!C12*Portfolio!E6</f>
        <v>107.2368</v>
      </c>
      <c r="N6" s="18">
        <f t="shared" ref="N6:N11" si="1">+M6/L6-1</f>
        <v>0.42073131955484899</v>
      </c>
      <c r="O6" s="33">
        <f>+[11]DCF!$J$4</f>
        <v>156.58897026472911</v>
      </c>
      <c r="P6" s="34">
        <f>+O6/E6-1</f>
        <v>0.28499072923624746</v>
      </c>
      <c r="Q6" s="35" t="s">
        <v>88</v>
      </c>
    </row>
    <row r="7" spans="1:19" s="9" customFormat="1" ht="12.75">
      <c r="A7" s="11">
        <f t="shared" ref="A7:A14" si="2">+A6+1</f>
        <v>3</v>
      </c>
      <c r="B7" s="7" t="s">
        <v>65</v>
      </c>
      <c r="C7" s="31" t="s">
        <v>77</v>
      </c>
      <c r="D7" s="31" t="s">
        <v>78</v>
      </c>
      <c r="E7" s="9">
        <f>+[12]Main!$I$2</f>
        <v>58.7</v>
      </c>
      <c r="F7" s="12">
        <f>+[12]Main!$I$4*FX!C12</f>
        <v>45818.872000000003</v>
      </c>
      <c r="G7" s="12">
        <f>+([12]Main!$I$6-[12]Main!$I$5)*FX!C12</f>
        <v>1886.72</v>
      </c>
      <c r="H7" s="12">
        <f t="shared" si="0"/>
        <v>47705.592000000004</v>
      </c>
      <c r="I7" s="40" t="s">
        <v>40</v>
      </c>
      <c r="J7" s="13">
        <v>46231</v>
      </c>
      <c r="K7" s="13">
        <v>45755</v>
      </c>
      <c r="L7" s="38">
        <v>53.947499999999998</v>
      </c>
      <c r="M7" s="38">
        <f>+E7*FX!C12</f>
        <v>51.656000000000006</v>
      </c>
      <c r="N7" s="18">
        <f t="shared" si="1"/>
        <v>-4.2476481764678442E-2</v>
      </c>
      <c r="O7" s="33">
        <f>+[12]DCF!$J$4</f>
        <v>90.720141570568231</v>
      </c>
      <c r="P7" s="34">
        <f>+O7/E7-1</f>
        <v>0.54548793135550633</v>
      </c>
      <c r="Q7" s="35" t="s">
        <v>89</v>
      </c>
    </row>
    <row r="8" spans="1:19" s="9" customFormat="1" ht="12.75">
      <c r="A8" s="11">
        <f t="shared" si="2"/>
        <v>4</v>
      </c>
      <c r="B8" s="7" t="s">
        <v>66</v>
      </c>
      <c r="C8" s="31" t="s">
        <v>75</v>
      </c>
      <c r="D8" s="31" t="s">
        <v>76</v>
      </c>
      <c r="E8" s="9">
        <f>+[13]Main!$J$2</f>
        <v>70</v>
      </c>
      <c r="F8" s="12">
        <f>+[13]Main!$J$4*FX!C13</f>
        <v>716.54309999999998</v>
      </c>
      <c r="G8" s="12">
        <f>+([13]Main!$J$6-[13]Main!$J$5)*FX!C13</f>
        <v>618.42300000000012</v>
      </c>
      <c r="H8" s="12">
        <f t="shared" si="0"/>
        <v>1334.9661000000001</v>
      </c>
      <c r="I8" s="42" t="s">
        <v>40</v>
      </c>
      <c r="J8" s="41">
        <v>46260</v>
      </c>
      <c r="K8" s="13">
        <v>45972</v>
      </c>
      <c r="L8" s="38">
        <v>11.895</v>
      </c>
      <c r="M8" s="38">
        <f>+E8*FX!C13</f>
        <v>9.1</v>
      </c>
      <c r="N8" s="18">
        <f t="shared" si="1"/>
        <v>-0.23497267759562845</v>
      </c>
      <c r="O8" s="33">
        <f>+[13]DCF!$J$4</f>
        <v>110.50341825100335</v>
      </c>
      <c r="P8" s="34">
        <f>+O8/E8-1</f>
        <v>0.57862026072861927</v>
      </c>
      <c r="Q8" s="35" t="s">
        <v>87</v>
      </c>
    </row>
    <row r="9" spans="1:19" s="9" customFormat="1" ht="12.75">
      <c r="A9" s="11">
        <f t="shared" si="2"/>
        <v>5</v>
      </c>
      <c r="B9" s="7" t="s">
        <v>67</v>
      </c>
      <c r="C9" s="31" t="s">
        <v>74</v>
      </c>
      <c r="D9" s="31" t="s">
        <v>16</v>
      </c>
      <c r="E9" s="9">
        <f>+[14]Main!$I$3</f>
        <v>38.979999999999997</v>
      </c>
      <c r="F9" s="12">
        <f>+[14]Main!$I$5</f>
        <v>11937.624999999998</v>
      </c>
      <c r="G9" s="12">
        <f>+[14]Main!$I$7-[14]Main!$I$6</f>
        <v>5880</v>
      </c>
      <c r="H9" s="12">
        <f t="shared" si="0"/>
        <v>17817.625</v>
      </c>
      <c r="I9" s="40" t="s">
        <v>96</v>
      </c>
      <c r="J9" s="40" t="s">
        <v>96</v>
      </c>
      <c r="K9" s="13">
        <v>45084</v>
      </c>
      <c r="L9" s="39">
        <v>56.9</v>
      </c>
      <c r="M9" s="9">
        <f>+[14]Main!$I$3</f>
        <v>38.979999999999997</v>
      </c>
      <c r="N9" s="18">
        <f t="shared" si="1"/>
        <v>-0.3149384885764499</v>
      </c>
      <c r="O9" s="36" t="s">
        <v>90</v>
      </c>
      <c r="P9" s="36" t="s">
        <v>90</v>
      </c>
      <c r="Q9" s="35" t="s">
        <v>91</v>
      </c>
    </row>
    <row r="10" spans="1:19" s="9" customFormat="1" ht="12.75">
      <c r="A10" s="11">
        <f t="shared" si="2"/>
        <v>6</v>
      </c>
      <c r="B10" s="7" t="s">
        <v>68</v>
      </c>
      <c r="C10" s="31" t="s">
        <v>73</v>
      </c>
      <c r="D10" s="31" t="s">
        <v>16</v>
      </c>
      <c r="E10" s="9">
        <f>+[15]Main!$H$2</f>
        <v>101.5</v>
      </c>
      <c r="F10" s="12">
        <f>+[15]Main!$H$4</f>
        <v>691.47869700000001</v>
      </c>
      <c r="G10" s="12">
        <f>+[15]Main!$H$6</f>
        <v>15.463999999999999</v>
      </c>
      <c r="H10" s="12">
        <f t="shared" si="0"/>
        <v>706.94269699999995</v>
      </c>
      <c r="I10" s="40" t="s">
        <v>94</v>
      </c>
      <c r="J10" s="41">
        <v>46186</v>
      </c>
      <c r="K10" s="13">
        <v>45698</v>
      </c>
      <c r="L10" s="39">
        <v>74.495000000000005</v>
      </c>
      <c r="M10" s="9">
        <f>+[15]Main!$H$2</f>
        <v>101.5</v>
      </c>
      <c r="N10" s="18">
        <f t="shared" si="1"/>
        <v>0.36250755084233832</v>
      </c>
      <c r="O10" s="33">
        <f>+[15]DCF!$J$3</f>
        <v>97.40723155701005</v>
      </c>
      <c r="P10" s="34">
        <f>+O10/E10-1</f>
        <v>-4.0322841802856613E-2</v>
      </c>
      <c r="Q10" s="37" t="s">
        <v>93</v>
      </c>
      <c r="R10" s="20"/>
    </row>
    <row r="11" spans="1:19" s="9" customFormat="1" ht="12.75">
      <c r="A11" s="11">
        <f t="shared" si="2"/>
        <v>7</v>
      </c>
      <c r="B11" s="7" t="s">
        <v>69</v>
      </c>
      <c r="C11" s="31" t="s">
        <v>70</v>
      </c>
      <c r="D11" s="31" t="s">
        <v>72</v>
      </c>
      <c r="E11" s="9">
        <f>+[16]Main!$H$2</f>
        <v>250.5</v>
      </c>
      <c r="F11" s="12">
        <f>+[16]Main!$H$4</f>
        <v>30716.233848</v>
      </c>
      <c r="G11" s="12">
        <f>+[16]Main!$H$6-[16]Main!$H$5</f>
        <v>3324</v>
      </c>
      <c r="H11" s="12">
        <f t="shared" si="0"/>
        <v>34040.233848000003</v>
      </c>
      <c r="I11" s="43" t="s">
        <v>40</v>
      </c>
      <c r="J11" s="44">
        <v>46231</v>
      </c>
      <c r="K11" s="13">
        <v>45580</v>
      </c>
      <c r="L11" s="39">
        <v>226.89</v>
      </c>
      <c r="M11" s="9">
        <f>+[16]Main!$H$2</f>
        <v>250.5</v>
      </c>
      <c r="N11" s="18">
        <f t="shared" si="1"/>
        <v>0.10405923575300813</v>
      </c>
      <c r="O11" s="9">
        <f>+[16]DCF!$J$4</f>
        <v>379.40823731776692</v>
      </c>
      <c r="P11" s="34">
        <f>+O11/E11-1</f>
        <v>0.51460374178749269</v>
      </c>
      <c r="Q11" s="35" t="s">
        <v>88</v>
      </c>
      <c r="R11" s="20"/>
    </row>
    <row r="12" spans="1:19" s="9" customFormat="1" ht="12.75">
      <c r="A12" s="11">
        <f t="shared" si="2"/>
        <v>8</v>
      </c>
      <c r="B12" s="7" t="s">
        <v>98</v>
      </c>
      <c r="C12" s="46" t="s">
        <v>28</v>
      </c>
      <c r="D12" s="46" t="s">
        <v>78</v>
      </c>
      <c r="E12" s="9">
        <f>+[3]Main!$I$2</f>
        <v>110.86</v>
      </c>
      <c r="F12" s="12">
        <f>+[3]Main!$I$4</f>
        <v>12021.43191302</v>
      </c>
      <c r="G12" s="12">
        <f>+[3]Main!$I$6-[3]Main!$I$5</f>
        <v>-1514.729</v>
      </c>
      <c r="H12" s="12">
        <f t="shared" si="0"/>
        <v>10506.702913020001</v>
      </c>
      <c r="I12" s="47" t="s">
        <v>40</v>
      </c>
      <c r="J12" s="25"/>
      <c r="K12" s="13"/>
      <c r="N12" s="18"/>
      <c r="P12" s="26"/>
      <c r="Q12" s="46" t="s">
        <v>99</v>
      </c>
    </row>
    <row r="13" spans="1:19" s="9" customFormat="1" ht="12.75">
      <c r="A13" s="11">
        <f t="shared" si="2"/>
        <v>9</v>
      </c>
      <c r="B13" s="7"/>
      <c r="C13" s="28"/>
      <c r="D13" s="28"/>
      <c r="F13" s="12"/>
      <c r="G13" s="12"/>
      <c r="H13" s="12"/>
      <c r="I13" s="29"/>
      <c r="K13" s="13"/>
      <c r="N13" s="18"/>
      <c r="P13" s="30"/>
      <c r="Q13" s="14"/>
      <c r="R13" s="28"/>
    </row>
    <row r="14" spans="1:19" s="9" customFormat="1" ht="12.75">
      <c r="A14" s="11">
        <f t="shared" si="2"/>
        <v>10</v>
      </c>
      <c r="B14" s="7"/>
      <c r="F14" s="12"/>
      <c r="G14" s="12"/>
      <c r="H14" s="12"/>
      <c r="I14" s="8"/>
      <c r="P14" s="10"/>
      <c r="Q14" s="14"/>
    </row>
  </sheetData>
  <hyperlinks>
    <hyperlink ref="A1" location="Main!A1" display="Main" xr:uid="{1794CFC6-2AEA-4E11-A9BA-3889D0D75F94}"/>
    <hyperlink ref="B11" r:id="rId1" xr:uid="{A820B1DA-C5FE-45E5-B57D-CD4E2C400A5A}"/>
    <hyperlink ref="B10" r:id="rId2" xr:uid="{547B0603-1275-4D29-869A-D4EBA76FFD25}"/>
    <hyperlink ref="B9" r:id="rId3" xr:uid="{321210F2-65AA-4E53-885E-71ECFD1CB23B}"/>
    <hyperlink ref="B8" r:id="rId4" xr:uid="{1BC137DB-A3DF-4798-841A-BD61751FCC08}"/>
    <hyperlink ref="B7" r:id="rId5" xr:uid="{018DBD35-7DB3-46D1-A0AA-358A16A16D4A}"/>
    <hyperlink ref="B6" r:id="rId6" xr:uid="{DA19B0B3-37EC-4843-A572-3E9DFACEFCA4}"/>
    <hyperlink ref="B5" r:id="rId7" xr:uid="{91117BF7-0788-4B43-ADAF-699E0F21AEC2}"/>
    <hyperlink ref="B12" r:id="rId8" xr:uid="{94C4823C-98CB-4C18-A807-39999389542E}"/>
  </hyperlinks>
  <pageMargins left="0.7" right="0.7" top="0.75" bottom="0.75" header="0.3" footer="0.3"/>
  <legacyDrawing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2DF4B-01E2-41F7-B53D-8680A3262A00}">
  <dimension ref="A1:CB334"/>
  <sheetViews>
    <sheetView zoomScale="200" zoomScaleNormal="200" workbookViewId="0">
      <selection activeCell="B14" sqref="B14"/>
    </sheetView>
  </sheetViews>
  <sheetFormatPr defaultRowHeight="15"/>
  <cols>
    <col min="1" max="1" width="5.140625" customWidth="1"/>
    <col min="2" max="2" width="14.42578125" customWidth="1"/>
  </cols>
  <sheetData>
    <row r="1" spans="1:80">
      <c r="A1" s="7" t="s">
        <v>3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  <c r="AT1" s="31"/>
      <c r="AU1" s="31"/>
      <c r="AV1" s="31"/>
      <c r="AW1" s="31"/>
      <c r="AX1" s="31"/>
      <c r="AY1" s="31"/>
      <c r="AZ1" s="31"/>
      <c r="BA1" s="31"/>
      <c r="BB1" s="31"/>
      <c r="BC1" s="31"/>
      <c r="BD1" s="31"/>
      <c r="BE1" s="31"/>
      <c r="BF1" s="31"/>
      <c r="BG1" s="31"/>
      <c r="BH1" s="31"/>
      <c r="BI1" s="31"/>
      <c r="BJ1" s="31"/>
      <c r="BK1" s="31"/>
      <c r="BL1" s="31"/>
      <c r="BM1" s="31"/>
      <c r="BN1" s="31"/>
      <c r="BO1" s="31"/>
      <c r="BP1" s="31"/>
      <c r="BQ1" s="31"/>
      <c r="BR1" s="31"/>
      <c r="BS1" s="31"/>
      <c r="BT1" s="31"/>
      <c r="BU1" s="31"/>
      <c r="BV1" s="31"/>
      <c r="BW1" s="31"/>
      <c r="BX1" s="31"/>
      <c r="BY1" s="31"/>
      <c r="BZ1" s="31"/>
      <c r="CA1" s="31"/>
      <c r="CB1" s="31"/>
    </row>
    <row r="2" spans="1:80">
      <c r="A2" s="3"/>
      <c r="B2" s="31" t="s">
        <v>2</v>
      </c>
      <c r="C2" s="31">
        <v>1.17</v>
      </c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1"/>
      <c r="BQ2" s="31"/>
      <c r="BR2" s="31"/>
      <c r="BS2" s="31"/>
      <c r="BT2" s="31"/>
      <c r="BU2" s="31"/>
      <c r="BV2" s="31"/>
      <c r="BW2" s="31"/>
      <c r="BX2" s="31"/>
      <c r="BY2" s="31"/>
      <c r="BZ2" s="31"/>
      <c r="CA2" s="31"/>
      <c r="CB2" s="31"/>
    </row>
    <row r="3" spans="1:80">
      <c r="A3" s="3"/>
      <c r="B3" s="31" t="s">
        <v>42</v>
      </c>
      <c r="C3" s="31">
        <v>0.14000000000000001</v>
      </c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  <c r="AT3" s="31"/>
      <c r="AU3" s="31"/>
      <c r="AV3" s="31"/>
      <c r="AW3" s="31"/>
      <c r="AX3" s="31"/>
      <c r="AY3" s="31"/>
      <c r="AZ3" s="31"/>
      <c r="BA3" s="31"/>
      <c r="BB3" s="31"/>
      <c r="BC3" s="31"/>
      <c r="BD3" s="31"/>
      <c r="BE3" s="31"/>
      <c r="BF3" s="31"/>
      <c r="BG3" s="31"/>
      <c r="BH3" s="31"/>
      <c r="BI3" s="31"/>
      <c r="BJ3" s="31"/>
      <c r="BK3" s="31"/>
      <c r="BL3" s="31"/>
      <c r="BM3" s="31"/>
      <c r="BN3" s="31"/>
      <c r="BO3" s="31"/>
      <c r="BP3" s="31"/>
      <c r="BQ3" s="31"/>
      <c r="BR3" s="31"/>
      <c r="BS3" s="31"/>
      <c r="BT3" s="31"/>
      <c r="BU3" s="31"/>
      <c r="BV3" s="31"/>
      <c r="BW3" s="31"/>
      <c r="BX3" s="31"/>
      <c r="BY3" s="31"/>
      <c r="BZ3" s="31"/>
      <c r="CA3" s="31"/>
      <c r="CB3" s="31"/>
    </row>
    <row r="4" spans="1:80">
      <c r="A4" s="3"/>
      <c r="B4" s="31" t="s">
        <v>59</v>
      </c>
      <c r="C4" s="31">
        <v>0.16</v>
      </c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  <c r="BK4" s="31"/>
      <c r="BL4" s="31"/>
      <c r="BM4" s="31"/>
      <c r="BN4" s="31"/>
      <c r="BO4" s="31"/>
      <c r="BP4" s="31"/>
      <c r="BQ4" s="31"/>
      <c r="BR4" s="31"/>
      <c r="BS4" s="31"/>
      <c r="BT4" s="31"/>
      <c r="BU4" s="31"/>
      <c r="BV4" s="31"/>
      <c r="BW4" s="31"/>
      <c r="BX4" s="31"/>
      <c r="BY4" s="31"/>
      <c r="BZ4" s="31"/>
      <c r="CA4" s="31"/>
      <c r="CB4" s="31"/>
    </row>
    <row r="5" spans="1:80">
      <c r="A5" s="3"/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1"/>
      <c r="BT5" s="31"/>
      <c r="BU5" s="31"/>
      <c r="BV5" s="31"/>
      <c r="BW5" s="31"/>
      <c r="BX5" s="31"/>
      <c r="BY5" s="31"/>
      <c r="BZ5" s="31"/>
      <c r="CA5" s="31"/>
      <c r="CB5" s="31"/>
    </row>
    <row r="6" spans="1:80">
      <c r="A6" s="1"/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31"/>
      <c r="BD6" s="31"/>
      <c r="BE6" s="31"/>
      <c r="BF6" s="31"/>
      <c r="BG6" s="31"/>
      <c r="BH6" s="31"/>
      <c r="BI6" s="31"/>
      <c r="BJ6" s="31"/>
      <c r="BK6" s="31"/>
      <c r="BL6" s="31"/>
      <c r="BM6" s="31"/>
      <c r="BN6" s="31"/>
      <c r="BO6" s="31"/>
      <c r="BP6" s="31"/>
      <c r="BQ6" s="31"/>
      <c r="BR6" s="31"/>
      <c r="BS6" s="31"/>
      <c r="BT6" s="31"/>
      <c r="BU6" s="31"/>
      <c r="BV6" s="31"/>
      <c r="BW6" s="31"/>
      <c r="BX6" s="31"/>
      <c r="BY6" s="31"/>
      <c r="BZ6" s="31"/>
      <c r="CA6" s="31"/>
      <c r="CB6" s="31"/>
    </row>
    <row r="7" spans="1:80"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31"/>
      <c r="BD7" s="31"/>
      <c r="BE7" s="31"/>
      <c r="BF7" s="31"/>
      <c r="BG7" s="31"/>
      <c r="BH7" s="31"/>
      <c r="BI7" s="31"/>
      <c r="BJ7" s="31"/>
      <c r="BK7" s="31"/>
      <c r="BL7" s="31"/>
      <c r="BM7" s="31"/>
      <c r="BN7" s="31"/>
      <c r="BO7" s="31"/>
      <c r="BP7" s="31"/>
      <c r="BQ7" s="31"/>
      <c r="BR7" s="31"/>
      <c r="BS7" s="31"/>
      <c r="BT7" s="31"/>
      <c r="BU7" s="31"/>
      <c r="BV7" s="31"/>
      <c r="BW7" s="31"/>
      <c r="BX7" s="31"/>
      <c r="BY7" s="31"/>
      <c r="BZ7" s="31"/>
      <c r="CA7" s="31"/>
      <c r="CB7" s="31"/>
    </row>
    <row r="8" spans="1:80"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  <c r="AT8" s="31"/>
      <c r="AU8" s="31"/>
      <c r="AV8" s="31"/>
      <c r="AW8" s="31"/>
      <c r="AX8" s="31"/>
      <c r="AY8" s="31"/>
      <c r="AZ8" s="31"/>
      <c r="BA8" s="31"/>
      <c r="BB8" s="31"/>
      <c r="BC8" s="31"/>
      <c r="BD8" s="31"/>
      <c r="BE8" s="31"/>
      <c r="BF8" s="31"/>
      <c r="BG8" s="31"/>
      <c r="BH8" s="31"/>
      <c r="BI8" s="31"/>
      <c r="BJ8" s="31"/>
      <c r="BK8" s="31"/>
      <c r="BL8" s="31"/>
      <c r="BM8" s="31"/>
      <c r="BN8" s="31"/>
      <c r="BO8" s="31"/>
      <c r="BP8" s="31"/>
      <c r="BQ8" s="31"/>
      <c r="BR8" s="31"/>
      <c r="BS8" s="31"/>
      <c r="BT8" s="31"/>
      <c r="BU8" s="31"/>
      <c r="BV8" s="31"/>
      <c r="BW8" s="31"/>
      <c r="BX8" s="31"/>
      <c r="BY8" s="31"/>
      <c r="BZ8" s="31"/>
      <c r="CA8" s="31"/>
      <c r="CB8" s="31"/>
    </row>
    <row r="9" spans="1:80"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1"/>
      <c r="BA9" s="31"/>
      <c r="BB9" s="31"/>
      <c r="BC9" s="31"/>
      <c r="BD9" s="31"/>
      <c r="BE9" s="31"/>
      <c r="BF9" s="31"/>
      <c r="BG9" s="31"/>
      <c r="BH9" s="31"/>
      <c r="BI9" s="31"/>
      <c r="BJ9" s="31"/>
      <c r="BK9" s="31"/>
      <c r="BL9" s="31"/>
      <c r="BM9" s="31"/>
      <c r="BN9" s="31"/>
      <c r="BO9" s="31"/>
      <c r="BP9" s="31"/>
      <c r="BQ9" s="31"/>
      <c r="BR9" s="31"/>
      <c r="BS9" s="31"/>
      <c r="BT9" s="31"/>
      <c r="BU9" s="31"/>
      <c r="BV9" s="31"/>
      <c r="BW9" s="31"/>
      <c r="BX9" s="31"/>
      <c r="BY9" s="31"/>
      <c r="BZ9" s="31"/>
      <c r="CA9" s="31"/>
      <c r="CB9" s="31"/>
    </row>
    <row r="10" spans="1:80">
      <c r="B10" s="32" t="s">
        <v>81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  <c r="AT10" s="31"/>
      <c r="AU10" s="31"/>
      <c r="AV10" s="31"/>
      <c r="AW10" s="31"/>
      <c r="AX10" s="31"/>
      <c r="AY10" s="31"/>
      <c r="AZ10" s="31"/>
      <c r="BA10" s="31"/>
      <c r="BB10" s="31"/>
      <c r="BC10" s="31"/>
      <c r="BD10" s="31"/>
      <c r="BE10" s="31"/>
      <c r="BF10" s="31"/>
      <c r="BG10" s="31"/>
      <c r="BH10" s="31"/>
      <c r="BI10" s="31"/>
      <c r="BJ10" s="31"/>
      <c r="BK10" s="31"/>
      <c r="BL10" s="31"/>
      <c r="BM10" s="31"/>
      <c r="BN10" s="31"/>
      <c r="BO10" s="31"/>
      <c r="BP10" s="31"/>
      <c r="BQ10" s="31"/>
      <c r="BR10" s="31"/>
      <c r="BS10" s="31"/>
      <c r="BT10" s="31"/>
      <c r="BU10" s="31"/>
      <c r="BV10" s="31"/>
      <c r="BW10" s="31"/>
      <c r="BX10" s="31"/>
      <c r="BY10" s="31"/>
      <c r="BZ10" s="31"/>
      <c r="CA10" s="31"/>
      <c r="CB10" s="31"/>
    </row>
    <row r="11" spans="1:80">
      <c r="B11" s="31" t="s">
        <v>82</v>
      </c>
      <c r="C11" s="31">
        <v>1.17</v>
      </c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31"/>
      <c r="BD11" s="31"/>
      <c r="BE11" s="31"/>
      <c r="BF11" s="31"/>
      <c r="BG11" s="31"/>
      <c r="BH11" s="31"/>
      <c r="BI11" s="31"/>
      <c r="BJ11" s="31"/>
      <c r="BK11" s="31"/>
      <c r="BL11" s="31"/>
      <c r="BM11" s="31"/>
      <c r="BN11" s="31"/>
      <c r="BO11" s="31"/>
      <c r="BP11" s="31"/>
      <c r="BQ11" s="31"/>
      <c r="BR11" s="31"/>
      <c r="BS11" s="31"/>
      <c r="BT11" s="31"/>
      <c r="BU11" s="31"/>
      <c r="BV11" s="31"/>
      <c r="BW11" s="31"/>
      <c r="BX11" s="31"/>
      <c r="BY11" s="31"/>
      <c r="BZ11" s="31"/>
      <c r="CA11" s="31"/>
      <c r="CB11" s="31"/>
    </row>
    <row r="12" spans="1:80">
      <c r="B12" s="31" t="s">
        <v>83</v>
      </c>
      <c r="C12" s="31">
        <v>0.88</v>
      </c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31"/>
      <c r="BD12" s="31"/>
      <c r="BE12" s="31"/>
      <c r="BF12" s="31"/>
      <c r="BG12" s="31"/>
      <c r="BH12" s="31"/>
      <c r="BI12" s="31"/>
      <c r="BJ12" s="31"/>
      <c r="BK12" s="31"/>
      <c r="BL12" s="31"/>
      <c r="BM12" s="31"/>
      <c r="BN12" s="31"/>
      <c r="BO12" s="31"/>
      <c r="BP12" s="31"/>
      <c r="BQ12" s="31"/>
      <c r="BR12" s="31"/>
      <c r="BS12" s="31"/>
      <c r="BT12" s="31"/>
      <c r="BU12" s="31"/>
      <c r="BV12" s="31"/>
      <c r="BW12" s="31"/>
      <c r="BX12" s="31"/>
      <c r="BY12" s="31"/>
      <c r="BZ12" s="31"/>
      <c r="CA12" s="31"/>
      <c r="CB12" s="31"/>
    </row>
    <row r="13" spans="1:80">
      <c r="B13" s="31" t="s">
        <v>84</v>
      </c>
      <c r="C13" s="31">
        <v>0.13</v>
      </c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31"/>
      <c r="BD13" s="31"/>
      <c r="BE13" s="31"/>
      <c r="BF13" s="31"/>
      <c r="BG13" s="31"/>
      <c r="BH13" s="31"/>
      <c r="BI13" s="31"/>
      <c r="BJ13" s="31"/>
      <c r="BK13" s="31"/>
      <c r="BL13" s="31"/>
      <c r="BM13" s="31"/>
      <c r="BN13" s="31"/>
      <c r="BO13" s="31"/>
      <c r="BP13" s="31"/>
      <c r="BQ13" s="31"/>
      <c r="BR13" s="31"/>
      <c r="BS13" s="31"/>
      <c r="BT13" s="31"/>
      <c r="BU13" s="31"/>
      <c r="BV13" s="31"/>
      <c r="BW13" s="31"/>
      <c r="BX13" s="31"/>
      <c r="BY13" s="31"/>
      <c r="BZ13" s="31"/>
      <c r="CA13" s="31"/>
      <c r="CB13" s="31"/>
    </row>
    <row r="14" spans="1:80"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31"/>
      <c r="BD14" s="31"/>
      <c r="BE14" s="31"/>
      <c r="BF14" s="31"/>
      <c r="BG14" s="31"/>
      <c r="BH14" s="31"/>
      <c r="BI14" s="31"/>
      <c r="BJ14" s="31"/>
      <c r="BK14" s="31"/>
      <c r="BL14" s="31"/>
      <c r="BM14" s="31"/>
      <c r="BN14" s="31"/>
      <c r="BO14" s="31"/>
      <c r="BP14" s="31"/>
      <c r="BQ14" s="31"/>
      <c r="BR14" s="31"/>
      <c r="BS14" s="31"/>
      <c r="BT14" s="31"/>
      <c r="BU14" s="31"/>
      <c r="BV14" s="31"/>
      <c r="BW14" s="31"/>
      <c r="BX14" s="31"/>
      <c r="BY14" s="31"/>
      <c r="BZ14" s="31"/>
      <c r="CA14" s="31"/>
      <c r="CB14" s="31"/>
    </row>
    <row r="15" spans="1:80"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/>
      <c r="AO15" s="31"/>
      <c r="AP15" s="31"/>
      <c r="AQ15" s="31"/>
      <c r="AR15" s="31"/>
      <c r="AS15" s="31"/>
      <c r="AT15" s="31"/>
      <c r="AU15" s="31"/>
      <c r="AV15" s="31"/>
      <c r="AW15" s="31"/>
      <c r="AX15" s="31"/>
      <c r="AY15" s="31"/>
      <c r="AZ15" s="31"/>
      <c r="BA15" s="31"/>
      <c r="BB15" s="31"/>
      <c r="BC15" s="31"/>
      <c r="BD15" s="31"/>
      <c r="BE15" s="31"/>
      <c r="BF15" s="31"/>
      <c r="BG15" s="31"/>
      <c r="BH15" s="31"/>
      <c r="BI15" s="31"/>
      <c r="BJ15" s="31"/>
      <c r="BK15" s="31"/>
      <c r="BL15" s="31"/>
      <c r="BM15" s="31"/>
      <c r="BN15" s="31"/>
      <c r="BO15" s="31"/>
      <c r="BP15" s="31"/>
      <c r="BQ15" s="31"/>
      <c r="BR15" s="31"/>
      <c r="BS15" s="31"/>
      <c r="BT15" s="31"/>
      <c r="BU15" s="31"/>
      <c r="BV15" s="31"/>
      <c r="BW15" s="31"/>
      <c r="BX15" s="31"/>
      <c r="BY15" s="31"/>
      <c r="BZ15" s="31"/>
      <c r="CA15" s="31"/>
      <c r="CB15" s="31"/>
    </row>
    <row r="16" spans="1:80"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  <c r="AY16" s="31"/>
      <c r="AZ16" s="31"/>
      <c r="BA16" s="31"/>
      <c r="BB16" s="31"/>
      <c r="BC16" s="31"/>
      <c r="BD16" s="31"/>
      <c r="BE16" s="31"/>
      <c r="BF16" s="31"/>
      <c r="BG16" s="31"/>
      <c r="BH16" s="31"/>
      <c r="BI16" s="31"/>
      <c r="BJ16" s="31"/>
      <c r="BK16" s="31"/>
      <c r="BL16" s="31"/>
      <c r="BM16" s="31"/>
      <c r="BN16" s="31"/>
      <c r="BO16" s="31"/>
      <c r="BP16" s="31"/>
      <c r="BQ16" s="31"/>
      <c r="BR16" s="31"/>
      <c r="BS16" s="31"/>
      <c r="BT16" s="31"/>
      <c r="BU16" s="31"/>
      <c r="BV16" s="31"/>
      <c r="BW16" s="31"/>
      <c r="BX16" s="31"/>
      <c r="BY16" s="31"/>
      <c r="BZ16" s="31"/>
      <c r="CA16" s="31"/>
      <c r="CB16" s="31"/>
    </row>
    <row r="17" spans="2:80"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  <c r="BP17" s="31"/>
      <c r="BQ17" s="31"/>
      <c r="BR17" s="31"/>
      <c r="BS17" s="31"/>
      <c r="BT17" s="31"/>
      <c r="BU17" s="31"/>
      <c r="BV17" s="31"/>
      <c r="BW17" s="31"/>
      <c r="BX17" s="31"/>
      <c r="BY17" s="31"/>
      <c r="BZ17" s="31"/>
      <c r="CA17" s="31"/>
      <c r="CB17" s="31"/>
    </row>
    <row r="18" spans="2:80"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  <c r="AY18" s="31"/>
      <c r="AZ18" s="31"/>
      <c r="BA18" s="31"/>
      <c r="BB18" s="31"/>
      <c r="BC18" s="31"/>
      <c r="BD18" s="31"/>
      <c r="BE18" s="31"/>
      <c r="BF18" s="31"/>
      <c r="BG18" s="31"/>
      <c r="BH18" s="31"/>
      <c r="BI18" s="31"/>
      <c r="BJ18" s="31"/>
      <c r="BK18" s="31"/>
      <c r="BL18" s="31"/>
      <c r="BM18" s="31"/>
      <c r="BN18" s="31"/>
      <c r="BO18" s="31"/>
      <c r="BP18" s="31"/>
      <c r="BQ18" s="31"/>
      <c r="BR18" s="31"/>
      <c r="BS18" s="31"/>
      <c r="BT18" s="31"/>
      <c r="BU18" s="31"/>
      <c r="BV18" s="31"/>
      <c r="BW18" s="31"/>
      <c r="BX18" s="31"/>
      <c r="BY18" s="31"/>
      <c r="BZ18" s="31"/>
      <c r="CA18" s="31"/>
      <c r="CB18" s="31"/>
    </row>
    <row r="19" spans="2:80"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  <c r="AY19" s="31"/>
      <c r="AZ19" s="31"/>
      <c r="BA19" s="31"/>
      <c r="BB19" s="31"/>
      <c r="BC19" s="31"/>
      <c r="BD19" s="31"/>
      <c r="BE19" s="31"/>
      <c r="BF19" s="31"/>
      <c r="BG19" s="31"/>
      <c r="BH19" s="31"/>
      <c r="BI19" s="31"/>
      <c r="BJ19" s="31"/>
      <c r="BK19" s="31"/>
      <c r="BL19" s="31"/>
      <c r="BM19" s="31"/>
      <c r="BN19" s="31"/>
      <c r="BO19" s="31"/>
      <c r="BP19" s="31"/>
      <c r="BQ19" s="31"/>
      <c r="BR19" s="31"/>
      <c r="BS19" s="31"/>
      <c r="BT19" s="31"/>
      <c r="BU19" s="31"/>
      <c r="BV19" s="31"/>
      <c r="BW19" s="31"/>
      <c r="BX19" s="31"/>
      <c r="BY19" s="31"/>
      <c r="BZ19" s="31"/>
      <c r="CA19" s="31"/>
      <c r="CB19" s="31"/>
    </row>
    <row r="20" spans="2:80"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1"/>
      <c r="AV20" s="31"/>
      <c r="AW20" s="31"/>
      <c r="AX20" s="31"/>
      <c r="AY20" s="31"/>
      <c r="AZ20" s="31"/>
      <c r="BA20" s="31"/>
      <c r="BB20" s="31"/>
      <c r="BC20" s="31"/>
      <c r="BD20" s="31"/>
      <c r="BE20" s="31"/>
      <c r="BF20" s="31"/>
      <c r="BG20" s="31"/>
      <c r="BH20" s="31"/>
      <c r="BI20" s="31"/>
      <c r="BJ20" s="31"/>
      <c r="BK20" s="31"/>
      <c r="BL20" s="31"/>
      <c r="BM20" s="31"/>
      <c r="BN20" s="31"/>
      <c r="BO20" s="31"/>
      <c r="BP20" s="31"/>
      <c r="BQ20" s="31"/>
      <c r="BR20" s="31"/>
      <c r="BS20" s="31"/>
      <c r="BT20" s="31"/>
      <c r="BU20" s="31"/>
      <c r="BV20" s="31"/>
      <c r="BW20" s="31"/>
      <c r="BX20" s="31"/>
      <c r="BY20" s="31"/>
      <c r="BZ20" s="31"/>
      <c r="CA20" s="31"/>
      <c r="CB20" s="31"/>
    </row>
    <row r="21" spans="2:80"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31"/>
      <c r="AZ21" s="31"/>
      <c r="BA21" s="31"/>
      <c r="BB21" s="31"/>
      <c r="BC21" s="31"/>
      <c r="BD21" s="31"/>
      <c r="BE21" s="31"/>
      <c r="BF21" s="31"/>
      <c r="BG21" s="31"/>
      <c r="BH21" s="31"/>
      <c r="BI21" s="31"/>
      <c r="BJ21" s="31"/>
      <c r="BK21" s="31"/>
      <c r="BL21" s="31"/>
      <c r="BM21" s="31"/>
      <c r="BN21" s="31"/>
      <c r="BO21" s="31"/>
      <c r="BP21" s="31"/>
      <c r="BQ21" s="31"/>
      <c r="BR21" s="31"/>
      <c r="BS21" s="31"/>
      <c r="BT21" s="31"/>
      <c r="BU21" s="31"/>
      <c r="BV21" s="31"/>
      <c r="BW21" s="31"/>
      <c r="BX21" s="31"/>
      <c r="BY21" s="31"/>
      <c r="BZ21" s="31"/>
      <c r="CA21" s="31"/>
      <c r="CB21" s="31"/>
    </row>
    <row r="22" spans="2:80"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31"/>
      <c r="BA22" s="31"/>
      <c r="BB22" s="31"/>
      <c r="BC22" s="31"/>
      <c r="BD22" s="31"/>
      <c r="BE22" s="31"/>
      <c r="BF22" s="31"/>
      <c r="BG22" s="31"/>
      <c r="BH22" s="31"/>
      <c r="BI22" s="31"/>
      <c r="BJ22" s="31"/>
      <c r="BK22" s="31"/>
      <c r="BL22" s="31"/>
      <c r="BM22" s="31"/>
      <c r="BN22" s="31"/>
      <c r="BO22" s="31"/>
      <c r="BP22" s="31"/>
      <c r="BQ22" s="31"/>
      <c r="BR22" s="31"/>
      <c r="BS22" s="31"/>
      <c r="BT22" s="31"/>
      <c r="BU22" s="31"/>
      <c r="BV22" s="31"/>
      <c r="BW22" s="31"/>
      <c r="BX22" s="31"/>
      <c r="BY22" s="31"/>
      <c r="BZ22" s="31"/>
      <c r="CA22" s="31"/>
      <c r="CB22" s="31"/>
    </row>
    <row r="23" spans="2:80"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31"/>
      <c r="AZ23" s="31"/>
      <c r="BA23" s="31"/>
      <c r="BB23" s="31"/>
      <c r="BC23" s="31"/>
      <c r="BD23" s="31"/>
      <c r="BE23" s="31"/>
      <c r="BF23" s="31"/>
      <c r="BG23" s="31"/>
      <c r="BH23" s="31"/>
      <c r="BI23" s="31"/>
      <c r="BJ23" s="31"/>
      <c r="BK23" s="31"/>
      <c r="BL23" s="31"/>
      <c r="BM23" s="31"/>
      <c r="BN23" s="31"/>
      <c r="BO23" s="31"/>
      <c r="BP23" s="31"/>
      <c r="BQ23" s="31"/>
      <c r="BR23" s="31"/>
      <c r="BS23" s="31"/>
      <c r="BT23" s="31"/>
      <c r="BU23" s="31"/>
      <c r="BV23" s="31"/>
      <c r="BW23" s="31"/>
      <c r="BX23" s="31"/>
      <c r="BY23" s="31"/>
      <c r="BZ23" s="31"/>
      <c r="CA23" s="31"/>
      <c r="CB23" s="31"/>
    </row>
    <row r="24" spans="2:80"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31"/>
      <c r="AR24" s="31"/>
      <c r="AS24" s="31"/>
      <c r="AT24" s="31"/>
      <c r="AU24" s="31"/>
      <c r="AV24" s="31"/>
      <c r="AW24" s="31"/>
      <c r="AX24" s="31"/>
      <c r="AY24" s="31"/>
      <c r="AZ24" s="31"/>
      <c r="BA24" s="31"/>
      <c r="BB24" s="31"/>
      <c r="BC24" s="31"/>
      <c r="BD24" s="31"/>
      <c r="BE24" s="31"/>
      <c r="BF24" s="31"/>
      <c r="BG24" s="31"/>
      <c r="BH24" s="31"/>
      <c r="BI24" s="31"/>
      <c r="BJ24" s="31"/>
      <c r="BK24" s="31"/>
      <c r="BL24" s="31"/>
      <c r="BM24" s="31"/>
      <c r="BN24" s="31"/>
      <c r="BO24" s="31"/>
      <c r="BP24" s="31"/>
      <c r="BQ24" s="31"/>
      <c r="BR24" s="31"/>
      <c r="BS24" s="31"/>
      <c r="BT24" s="31"/>
      <c r="BU24" s="31"/>
      <c r="BV24" s="31"/>
      <c r="BW24" s="31"/>
      <c r="BX24" s="31"/>
      <c r="BY24" s="31"/>
      <c r="BZ24" s="31"/>
      <c r="CA24" s="31"/>
      <c r="CB24" s="31"/>
    </row>
    <row r="25" spans="2:80"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/>
      <c r="BA25" s="31"/>
      <c r="BB25" s="31"/>
      <c r="BC25" s="31"/>
      <c r="BD25" s="31"/>
      <c r="BE25" s="31"/>
      <c r="BF25" s="31"/>
      <c r="BG25" s="31"/>
      <c r="BH25" s="31"/>
      <c r="BI25" s="31"/>
      <c r="BJ25" s="31"/>
      <c r="BK25" s="31"/>
      <c r="BL25" s="31"/>
      <c r="BM25" s="31"/>
      <c r="BN25" s="31"/>
      <c r="BO25" s="31"/>
      <c r="BP25" s="31"/>
      <c r="BQ25" s="31"/>
      <c r="BR25" s="31"/>
      <c r="BS25" s="31"/>
      <c r="BT25" s="31"/>
      <c r="BU25" s="31"/>
      <c r="BV25" s="31"/>
      <c r="BW25" s="31"/>
      <c r="BX25" s="31"/>
      <c r="BY25" s="31"/>
      <c r="BZ25" s="31"/>
      <c r="CA25" s="31"/>
      <c r="CB25" s="31"/>
    </row>
    <row r="26" spans="2:80"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31"/>
      <c r="AZ26" s="31"/>
      <c r="BA26" s="31"/>
      <c r="BB26" s="31"/>
      <c r="BC26" s="31"/>
      <c r="BD26" s="31"/>
      <c r="BE26" s="31"/>
      <c r="BF26" s="31"/>
      <c r="BG26" s="31"/>
      <c r="BH26" s="31"/>
      <c r="BI26" s="31"/>
      <c r="BJ26" s="31"/>
      <c r="BK26" s="31"/>
      <c r="BL26" s="31"/>
      <c r="BM26" s="31"/>
      <c r="BN26" s="31"/>
      <c r="BO26" s="31"/>
      <c r="BP26" s="31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</row>
    <row r="27" spans="2:80"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  <c r="AY27" s="31"/>
      <c r="AZ27" s="31"/>
      <c r="BA27" s="31"/>
      <c r="BB27" s="31"/>
      <c r="BC27" s="31"/>
      <c r="BD27" s="31"/>
      <c r="BE27" s="31"/>
      <c r="BF27" s="31"/>
      <c r="BG27" s="31"/>
      <c r="BH27" s="31"/>
      <c r="BI27" s="31"/>
      <c r="BJ27" s="31"/>
      <c r="BK27" s="31"/>
      <c r="BL27" s="31"/>
      <c r="BM27" s="31"/>
      <c r="BN27" s="31"/>
      <c r="BO27" s="31"/>
      <c r="BP27" s="31"/>
      <c r="BQ27" s="31"/>
      <c r="BR27" s="31"/>
      <c r="BS27" s="31"/>
      <c r="BT27" s="31"/>
      <c r="BU27" s="31"/>
      <c r="BV27" s="31"/>
      <c r="BW27" s="31"/>
      <c r="BX27" s="31"/>
      <c r="BY27" s="31"/>
      <c r="BZ27" s="31"/>
      <c r="CA27" s="31"/>
      <c r="CB27" s="31"/>
    </row>
    <row r="28" spans="2:80"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31"/>
      <c r="BA28" s="31"/>
      <c r="BB28" s="31"/>
      <c r="BC28" s="31"/>
      <c r="BD28" s="31"/>
      <c r="BE28" s="31"/>
      <c r="BF28" s="31"/>
      <c r="BG28" s="31"/>
      <c r="BH28" s="31"/>
      <c r="BI28" s="31"/>
      <c r="BJ28" s="31"/>
      <c r="BK28" s="31"/>
      <c r="BL28" s="31"/>
      <c r="BM28" s="31"/>
      <c r="BN28" s="31"/>
      <c r="BO28" s="31"/>
      <c r="BP28" s="31"/>
      <c r="BQ28" s="31"/>
      <c r="BR28" s="31"/>
      <c r="BS28" s="31"/>
      <c r="BT28" s="31"/>
      <c r="BU28" s="31"/>
      <c r="BV28" s="31"/>
      <c r="BW28" s="31"/>
      <c r="BX28" s="31"/>
      <c r="BY28" s="31"/>
      <c r="BZ28" s="31"/>
      <c r="CA28" s="31"/>
      <c r="CB28" s="31"/>
    </row>
    <row r="29" spans="2:80"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  <c r="AS29" s="31"/>
      <c r="AT29" s="31"/>
      <c r="AU29" s="31"/>
      <c r="AV29" s="31"/>
      <c r="AW29" s="31"/>
      <c r="AX29" s="31"/>
      <c r="AY29" s="31"/>
      <c r="AZ29" s="31"/>
      <c r="BA29" s="31"/>
      <c r="BB29" s="31"/>
      <c r="BC29" s="31"/>
      <c r="BD29" s="31"/>
      <c r="BE29" s="31"/>
      <c r="BF29" s="31"/>
      <c r="BG29" s="31"/>
      <c r="BH29" s="31"/>
      <c r="BI29" s="31"/>
      <c r="BJ29" s="31"/>
      <c r="BK29" s="31"/>
      <c r="BL29" s="31"/>
      <c r="BM29" s="31"/>
      <c r="BN29" s="31"/>
      <c r="BO29" s="31"/>
      <c r="BP29" s="31"/>
      <c r="BQ29" s="31"/>
      <c r="BR29" s="31"/>
      <c r="BS29" s="31"/>
      <c r="BT29" s="31"/>
      <c r="BU29" s="31"/>
      <c r="BV29" s="31"/>
      <c r="BW29" s="31"/>
      <c r="BX29" s="31"/>
      <c r="BY29" s="31"/>
      <c r="BZ29" s="31"/>
      <c r="CA29" s="31"/>
      <c r="CB29" s="31"/>
    </row>
    <row r="30" spans="2:80"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/>
      <c r="AS30" s="31"/>
      <c r="AT30" s="31"/>
      <c r="AU30" s="31"/>
      <c r="AV30" s="31"/>
      <c r="AW30" s="31"/>
      <c r="AX30" s="31"/>
      <c r="AY30" s="31"/>
      <c r="AZ30" s="31"/>
      <c r="BA30" s="31"/>
      <c r="BB30" s="31"/>
      <c r="BC30" s="31"/>
      <c r="BD30" s="31"/>
      <c r="BE30" s="31"/>
      <c r="BF30" s="31"/>
      <c r="BG30" s="31"/>
      <c r="BH30" s="31"/>
      <c r="BI30" s="31"/>
      <c r="BJ30" s="31"/>
      <c r="BK30" s="31"/>
      <c r="BL30" s="31"/>
      <c r="BM30" s="31"/>
      <c r="BN30" s="31"/>
      <c r="BO30" s="31"/>
      <c r="BP30" s="31"/>
      <c r="BQ30" s="31"/>
      <c r="BR30" s="31"/>
      <c r="BS30" s="31"/>
      <c r="BT30" s="31"/>
      <c r="BU30" s="31"/>
      <c r="BV30" s="31"/>
      <c r="BW30" s="31"/>
      <c r="BX30" s="31"/>
      <c r="BY30" s="31"/>
      <c r="BZ30" s="31"/>
      <c r="CA30" s="31"/>
      <c r="CB30" s="31"/>
    </row>
    <row r="31" spans="2:80"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  <c r="BB31" s="31"/>
      <c r="BC31" s="31"/>
      <c r="BD31" s="31"/>
      <c r="BE31" s="31"/>
      <c r="BF31" s="31"/>
      <c r="BG31" s="31"/>
      <c r="BH31" s="31"/>
      <c r="BI31" s="31"/>
      <c r="BJ31" s="31"/>
      <c r="BK31" s="31"/>
      <c r="BL31" s="31"/>
      <c r="BM31" s="31"/>
      <c r="BN31" s="31"/>
      <c r="BO31" s="31"/>
      <c r="BP31" s="31"/>
      <c r="BQ31" s="31"/>
      <c r="BR31" s="31"/>
      <c r="BS31" s="31"/>
      <c r="BT31" s="31"/>
      <c r="BU31" s="31"/>
      <c r="BV31" s="31"/>
      <c r="BW31" s="31"/>
      <c r="BX31" s="31"/>
      <c r="BY31" s="31"/>
      <c r="BZ31" s="31"/>
      <c r="CA31" s="31"/>
      <c r="CB31" s="31"/>
    </row>
    <row r="32" spans="2:80"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31"/>
      <c r="BG32" s="31"/>
      <c r="BH32" s="31"/>
      <c r="BI32" s="31"/>
      <c r="BJ32" s="31"/>
      <c r="BK32" s="31"/>
      <c r="BL32" s="31"/>
      <c r="BM32" s="31"/>
      <c r="BN32" s="31"/>
      <c r="BO32" s="31"/>
      <c r="BP32" s="31"/>
      <c r="BQ32" s="31"/>
      <c r="BR32" s="31"/>
      <c r="BS32" s="31"/>
      <c r="BT32" s="31"/>
      <c r="BU32" s="31"/>
      <c r="BV32" s="31"/>
      <c r="BW32" s="31"/>
      <c r="BX32" s="31"/>
      <c r="BY32" s="31"/>
      <c r="BZ32" s="31"/>
      <c r="CA32" s="31"/>
      <c r="CB32" s="31"/>
    </row>
    <row r="33" spans="2:80"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  <c r="BB33" s="31"/>
      <c r="BC33" s="31"/>
      <c r="BD33" s="31"/>
      <c r="BE33" s="31"/>
      <c r="BF33" s="31"/>
      <c r="BG33" s="31"/>
      <c r="BH33" s="31"/>
      <c r="BI33" s="31"/>
      <c r="BJ33" s="31"/>
      <c r="BK33" s="31"/>
      <c r="BL33" s="31"/>
      <c r="BM33" s="31"/>
      <c r="BN33" s="31"/>
      <c r="BO33" s="31"/>
      <c r="BP33" s="31"/>
      <c r="BQ33" s="31"/>
      <c r="BR33" s="31"/>
      <c r="BS33" s="31"/>
      <c r="BT33" s="31"/>
      <c r="BU33" s="31"/>
      <c r="BV33" s="31"/>
      <c r="BW33" s="31"/>
      <c r="BX33" s="31"/>
      <c r="BY33" s="31"/>
      <c r="BZ33" s="31"/>
      <c r="CA33" s="31"/>
      <c r="CB33" s="31"/>
    </row>
    <row r="34" spans="2:80"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  <c r="BI34" s="31"/>
      <c r="BJ34" s="31"/>
      <c r="BK34" s="31"/>
      <c r="BL34" s="31"/>
      <c r="BM34" s="31"/>
      <c r="BN34" s="31"/>
      <c r="BO34" s="31"/>
      <c r="BP34" s="31"/>
      <c r="BQ34" s="31"/>
      <c r="BR34" s="31"/>
      <c r="BS34" s="31"/>
      <c r="BT34" s="31"/>
      <c r="BU34" s="31"/>
      <c r="BV34" s="31"/>
      <c r="BW34" s="31"/>
      <c r="BX34" s="31"/>
      <c r="BY34" s="31"/>
      <c r="BZ34" s="31"/>
      <c r="CA34" s="31"/>
      <c r="CB34" s="31"/>
    </row>
    <row r="35" spans="2:80"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  <c r="BB35" s="31"/>
      <c r="BC35" s="31"/>
      <c r="BD35" s="31"/>
      <c r="BE35" s="31"/>
      <c r="BF35" s="31"/>
      <c r="BG35" s="31"/>
      <c r="BH35" s="31"/>
      <c r="BI35" s="31"/>
      <c r="BJ35" s="31"/>
      <c r="BK35" s="31"/>
      <c r="BL35" s="31"/>
      <c r="BM35" s="31"/>
      <c r="BN35" s="31"/>
      <c r="BO35" s="31"/>
      <c r="BP35" s="31"/>
      <c r="BQ35" s="31"/>
      <c r="BR35" s="31"/>
      <c r="BS35" s="31"/>
      <c r="BT35" s="31"/>
      <c r="BU35" s="31"/>
      <c r="BV35" s="31"/>
      <c r="BW35" s="31"/>
      <c r="BX35" s="31"/>
      <c r="BY35" s="31"/>
      <c r="BZ35" s="31"/>
      <c r="CA35" s="31"/>
      <c r="CB35" s="31"/>
    </row>
    <row r="36" spans="2:80"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  <c r="BJ36" s="31"/>
      <c r="BK36" s="31"/>
      <c r="BL36" s="31"/>
      <c r="BM36" s="31"/>
      <c r="BN36" s="31"/>
      <c r="BO36" s="31"/>
      <c r="BP36" s="31"/>
      <c r="BQ36" s="31"/>
      <c r="BR36" s="31"/>
      <c r="BS36" s="31"/>
      <c r="BT36" s="31"/>
      <c r="BU36" s="31"/>
      <c r="BV36" s="31"/>
      <c r="BW36" s="31"/>
      <c r="BX36" s="31"/>
      <c r="BY36" s="31"/>
      <c r="BZ36" s="31"/>
      <c r="CA36" s="31"/>
      <c r="CB36" s="31"/>
    </row>
    <row r="37" spans="2:80"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  <c r="AY37" s="31"/>
      <c r="AZ37" s="31"/>
      <c r="BA37" s="31"/>
      <c r="BB37" s="31"/>
      <c r="BC37" s="31"/>
      <c r="BD37" s="31"/>
      <c r="BE37" s="31"/>
      <c r="BF37" s="31"/>
      <c r="BG37" s="31"/>
      <c r="BH37" s="31"/>
      <c r="BI37" s="31"/>
      <c r="BJ37" s="31"/>
      <c r="BK37" s="31"/>
      <c r="BL37" s="31"/>
      <c r="BM37" s="31"/>
      <c r="BN37" s="31"/>
      <c r="BO37" s="31"/>
      <c r="BP37" s="31"/>
      <c r="BQ37" s="31"/>
      <c r="BR37" s="31"/>
      <c r="BS37" s="31"/>
      <c r="BT37" s="31"/>
      <c r="BU37" s="31"/>
      <c r="BV37" s="31"/>
      <c r="BW37" s="31"/>
      <c r="BX37" s="31"/>
      <c r="BY37" s="31"/>
      <c r="BZ37" s="31"/>
      <c r="CA37" s="31"/>
      <c r="CB37" s="31"/>
    </row>
    <row r="38" spans="2:80"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31"/>
      <c r="BA38" s="31"/>
      <c r="BB38" s="31"/>
      <c r="BC38" s="31"/>
      <c r="BD38" s="31"/>
      <c r="BE38" s="31"/>
      <c r="BF38" s="31"/>
      <c r="BG38" s="31"/>
      <c r="BH38" s="31"/>
      <c r="BI38" s="31"/>
      <c r="BJ38" s="31"/>
      <c r="BK38" s="31"/>
      <c r="BL38" s="31"/>
      <c r="BM38" s="31"/>
      <c r="BN38" s="31"/>
      <c r="BO38" s="31"/>
      <c r="BP38" s="31"/>
      <c r="BQ38" s="31"/>
      <c r="BR38" s="31"/>
      <c r="BS38" s="31"/>
      <c r="BT38" s="31"/>
      <c r="BU38" s="31"/>
      <c r="BV38" s="31"/>
      <c r="BW38" s="31"/>
      <c r="BX38" s="31"/>
      <c r="BY38" s="31"/>
      <c r="BZ38" s="31"/>
      <c r="CA38" s="31"/>
      <c r="CB38" s="31"/>
    </row>
    <row r="39" spans="2:80"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1"/>
      <c r="BA39" s="31"/>
      <c r="BB39" s="31"/>
      <c r="BC39" s="31"/>
      <c r="BD39" s="31"/>
      <c r="BE39" s="31"/>
      <c r="BF39" s="31"/>
      <c r="BG39" s="31"/>
      <c r="BH39" s="31"/>
      <c r="BI39" s="31"/>
      <c r="BJ39" s="31"/>
      <c r="BK39" s="31"/>
      <c r="BL39" s="31"/>
      <c r="BM39" s="31"/>
      <c r="BN39" s="31"/>
      <c r="BO39" s="31"/>
      <c r="BP39" s="31"/>
      <c r="BQ39" s="31"/>
      <c r="BR39" s="31"/>
      <c r="BS39" s="31"/>
      <c r="BT39" s="31"/>
      <c r="BU39" s="31"/>
      <c r="BV39" s="31"/>
      <c r="BW39" s="31"/>
      <c r="BX39" s="31"/>
      <c r="BY39" s="31"/>
      <c r="BZ39" s="31"/>
      <c r="CA39" s="31"/>
      <c r="CB39" s="31"/>
    </row>
    <row r="40" spans="2:80"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1"/>
      <c r="BA40" s="31"/>
      <c r="BB40" s="31"/>
      <c r="BC40" s="31"/>
      <c r="BD40" s="31"/>
      <c r="BE40" s="31"/>
      <c r="BF40" s="31"/>
      <c r="BG40" s="31"/>
      <c r="BH40" s="31"/>
      <c r="BI40" s="31"/>
      <c r="BJ40" s="31"/>
      <c r="BK40" s="31"/>
      <c r="BL40" s="31"/>
      <c r="BM40" s="31"/>
      <c r="BN40" s="31"/>
      <c r="BO40" s="31"/>
      <c r="BP40" s="31"/>
      <c r="BQ40" s="31"/>
      <c r="BR40" s="31"/>
      <c r="BS40" s="31"/>
      <c r="BT40" s="31"/>
      <c r="BU40" s="31"/>
      <c r="BV40" s="31"/>
      <c r="BW40" s="31"/>
      <c r="BX40" s="31"/>
      <c r="BY40" s="31"/>
      <c r="BZ40" s="31"/>
      <c r="CA40" s="31"/>
      <c r="CB40" s="31"/>
    </row>
    <row r="41" spans="2:80"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/>
      <c r="BA41" s="31"/>
      <c r="BB41" s="31"/>
      <c r="BC41" s="31"/>
      <c r="BD41" s="31"/>
      <c r="BE41" s="31"/>
      <c r="BF41" s="31"/>
      <c r="BG41" s="31"/>
      <c r="BH41" s="31"/>
      <c r="BI41" s="31"/>
      <c r="BJ41" s="31"/>
      <c r="BK41" s="31"/>
      <c r="BL41" s="31"/>
      <c r="BM41" s="31"/>
      <c r="BN41" s="31"/>
      <c r="BO41" s="31"/>
      <c r="BP41" s="31"/>
      <c r="BQ41" s="31"/>
      <c r="BR41" s="31"/>
      <c r="BS41" s="31"/>
      <c r="BT41" s="31"/>
      <c r="BU41" s="31"/>
      <c r="BV41" s="31"/>
      <c r="BW41" s="31"/>
      <c r="BX41" s="31"/>
      <c r="BY41" s="31"/>
      <c r="BZ41" s="31"/>
      <c r="CA41" s="31"/>
      <c r="CB41" s="31"/>
    </row>
    <row r="42" spans="2:80"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/>
      <c r="BA42" s="31"/>
      <c r="BB42" s="31"/>
      <c r="BC42" s="31"/>
      <c r="BD42" s="31"/>
      <c r="BE42" s="31"/>
      <c r="BF42" s="31"/>
      <c r="BG42" s="31"/>
      <c r="BH42" s="31"/>
      <c r="BI42" s="31"/>
      <c r="BJ42" s="31"/>
      <c r="BK42" s="31"/>
      <c r="BL42" s="31"/>
      <c r="BM42" s="31"/>
      <c r="BN42" s="31"/>
      <c r="BO42" s="31"/>
      <c r="BP42" s="31"/>
      <c r="BQ42" s="31"/>
      <c r="BR42" s="31"/>
      <c r="BS42" s="31"/>
      <c r="BT42" s="31"/>
      <c r="BU42" s="31"/>
      <c r="BV42" s="31"/>
      <c r="BW42" s="31"/>
      <c r="BX42" s="31"/>
      <c r="BY42" s="31"/>
      <c r="BZ42" s="31"/>
      <c r="CA42" s="31"/>
      <c r="CB42" s="31"/>
    </row>
    <row r="43" spans="2:80"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/>
      <c r="BA43" s="31"/>
      <c r="BB43" s="31"/>
      <c r="BC43" s="31"/>
      <c r="BD43" s="31"/>
      <c r="BE43" s="31"/>
      <c r="BF43" s="31"/>
      <c r="BG43" s="31"/>
      <c r="BH43" s="31"/>
      <c r="BI43" s="31"/>
      <c r="BJ43" s="31"/>
      <c r="BK43" s="31"/>
      <c r="BL43" s="31"/>
      <c r="BM43" s="31"/>
      <c r="BN43" s="31"/>
      <c r="BO43" s="31"/>
      <c r="BP43" s="31"/>
      <c r="BQ43" s="31"/>
      <c r="BR43" s="31"/>
      <c r="BS43" s="31"/>
      <c r="BT43" s="31"/>
      <c r="BU43" s="31"/>
      <c r="BV43" s="31"/>
      <c r="BW43" s="31"/>
      <c r="BX43" s="31"/>
      <c r="BY43" s="31"/>
      <c r="BZ43" s="31"/>
      <c r="CA43" s="31"/>
      <c r="CB43" s="31"/>
    </row>
    <row r="44" spans="2:80"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/>
      <c r="BA44" s="31"/>
      <c r="BB44" s="31"/>
      <c r="BC44" s="31"/>
      <c r="BD44" s="31"/>
      <c r="BE44" s="31"/>
      <c r="BF44" s="31"/>
      <c r="BG44" s="31"/>
      <c r="BH44" s="31"/>
      <c r="BI44" s="31"/>
      <c r="BJ44" s="31"/>
      <c r="BK44" s="31"/>
      <c r="BL44" s="31"/>
      <c r="BM44" s="31"/>
      <c r="BN44" s="31"/>
      <c r="BO44" s="31"/>
      <c r="BP44" s="31"/>
      <c r="BQ44" s="31"/>
      <c r="BR44" s="31"/>
      <c r="BS44" s="31"/>
      <c r="BT44" s="31"/>
      <c r="BU44" s="31"/>
      <c r="BV44" s="31"/>
      <c r="BW44" s="31"/>
      <c r="BX44" s="31"/>
      <c r="BY44" s="31"/>
      <c r="BZ44" s="31"/>
      <c r="CA44" s="31"/>
      <c r="CB44" s="31"/>
    </row>
    <row r="45" spans="2:80"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31"/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2:80"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1"/>
      <c r="AV46" s="31"/>
      <c r="AW46" s="31"/>
      <c r="AX46" s="31"/>
      <c r="AY46" s="31"/>
      <c r="AZ46" s="31"/>
      <c r="BA46" s="31"/>
      <c r="BB46" s="31"/>
      <c r="BC46" s="31"/>
      <c r="BD46" s="31"/>
      <c r="BE46" s="31"/>
      <c r="BF46" s="31"/>
      <c r="BG46" s="31"/>
      <c r="BH46" s="31"/>
      <c r="BI46" s="31"/>
      <c r="BJ46" s="31"/>
      <c r="BK46" s="31"/>
      <c r="BL46" s="31"/>
      <c r="BM46" s="31"/>
      <c r="BN46" s="31"/>
      <c r="BO46" s="31"/>
      <c r="BP46" s="31"/>
      <c r="BQ46" s="31"/>
      <c r="BR46" s="31"/>
      <c r="BS46" s="31"/>
      <c r="BT46" s="31"/>
      <c r="BU46" s="31"/>
      <c r="BV46" s="31"/>
      <c r="BW46" s="31"/>
      <c r="BX46" s="31"/>
      <c r="BY46" s="31"/>
      <c r="BZ46" s="31"/>
      <c r="CA46" s="31"/>
      <c r="CB46" s="31"/>
    </row>
    <row r="47" spans="2:80"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31"/>
      <c r="AY47" s="31"/>
      <c r="AZ47" s="31"/>
      <c r="BA47" s="31"/>
      <c r="BB47" s="31"/>
      <c r="BC47" s="31"/>
      <c r="BD47" s="31"/>
      <c r="BE47" s="31"/>
      <c r="BF47" s="31"/>
      <c r="BG47" s="31"/>
      <c r="BH47" s="31"/>
      <c r="BI47" s="31"/>
      <c r="BJ47" s="31"/>
      <c r="BK47" s="31"/>
      <c r="BL47" s="31"/>
      <c r="BM47" s="31"/>
      <c r="BN47" s="31"/>
      <c r="BO47" s="31"/>
      <c r="BP47" s="31"/>
      <c r="BQ47" s="31"/>
      <c r="BR47" s="31"/>
      <c r="BS47" s="31"/>
      <c r="BT47" s="31"/>
      <c r="BU47" s="31"/>
      <c r="BV47" s="31"/>
      <c r="BW47" s="31"/>
      <c r="BX47" s="31"/>
      <c r="BY47" s="31"/>
      <c r="BZ47" s="31"/>
      <c r="CA47" s="31"/>
      <c r="CB47" s="31"/>
    </row>
    <row r="48" spans="2:80"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31"/>
      <c r="AY48" s="31"/>
      <c r="AZ48" s="31"/>
      <c r="BA48" s="31"/>
      <c r="BB48" s="31"/>
      <c r="BC48" s="31"/>
      <c r="BD48" s="31"/>
      <c r="BE48" s="31"/>
      <c r="BF48" s="31"/>
      <c r="BG48" s="31"/>
      <c r="BH48" s="31"/>
      <c r="BI48" s="31"/>
      <c r="BJ48" s="31"/>
      <c r="BK48" s="31"/>
      <c r="BL48" s="31"/>
      <c r="BM48" s="31"/>
      <c r="BN48" s="31"/>
      <c r="BO48" s="31"/>
      <c r="BP48" s="31"/>
      <c r="BQ48" s="31"/>
      <c r="BR48" s="31"/>
      <c r="BS48" s="31"/>
      <c r="BT48" s="31"/>
      <c r="BU48" s="31"/>
      <c r="BV48" s="31"/>
      <c r="BW48" s="31"/>
      <c r="BX48" s="31"/>
      <c r="BY48" s="31"/>
      <c r="BZ48" s="31"/>
      <c r="CA48" s="31"/>
      <c r="CB48" s="31"/>
    </row>
    <row r="49" spans="2:80"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31"/>
      <c r="AQ49" s="31"/>
      <c r="AR49" s="31"/>
      <c r="AS49" s="31"/>
      <c r="AT49" s="31"/>
      <c r="AU49" s="31"/>
      <c r="AV49" s="31"/>
      <c r="AW49" s="31"/>
      <c r="AX49" s="31"/>
      <c r="AY49" s="31"/>
      <c r="AZ49" s="31"/>
      <c r="BA49" s="31"/>
      <c r="BB49" s="31"/>
      <c r="BC49" s="31"/>
      <c r="BD49" s="31"/>
      <c r="BE49" s="31"/>
      <c r="BF49" s="31"/>
      <c r="BG49" s="31"/>
      <c r="BH49" s="31"/>
      <c r="BI49" s="31"/>
      <c r="BJ49" s="31"/>
      <c r="BK49" s="31"/>
      <c r="BL49" s="31"/>
      <c r="BM49" s="31"/>
      <c r="BN49" s="31"/>
      <c r="BO49" s="31"/>
      <c r="BP49" s="31"/>
      <c r="BQ49" s="31"/>
      <c r="BR49" s="31"/>
      <c r="BS49" s="31"/>
      <c r="BT49" s="31"/>
      <c r="BU49" s="31"/>
      <c r="BV49" s="31"/>
      <c r="BW49" s="31"/>
      <c r="BX49" s="31"/>
      <c r="BY49" s="31"/>
      <c r="BZ49" s="31"/>
      <c r="CA49" s="31"/>
      <c r="CB49" s="31"/>
    </row>
    <row r="50" spans="2:80"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31"/>
      <c r="AQ50" s="31"/>
      <c r="AR50" s="31"/>
      <c r="AS50" s="31"/>
      <c r="AT50" s="31"/>
      <c r="AU50" s="31"/>
      <c r="AV50" s="31"/>
      <c r="AW50" s="31"/>
      <c r="AX50" s="31"/>
      <c r="AY50" s="31"/>
      <c r="AZ50" s="31"/>
      <c r="BA50" s="31"/>
      <c r="BB50" s="31"/>
      <c r="BC50" s="31"/>
      <c r="BD50" s="31"/>
      <c r="BE50" s="31"/>
      <c r="BF50" s="31"/>
      <c r="BG50" s="31"/>
      <c r="BH50" s="31"/>
      <c r="BI50" s="31"/>
      <c r="BJ50" s="31"/>
      <c r="BK50" s="31"/>
      <c r="BL50" s="31"/>
      <c r="BM50" s="31"/>
      <c r="BN50" s="31"/>
      <c r="BO50" s="31"/>
      <c r="BP50" s="31"/>
      <c r="BQ50" s="31"/>
      <c r="BR50" s="31"/>
      <c r="BS50" s="31"/>
      <c r="BT50" s="31"/>
      <c r="BU50" s="31"/>
      <c r="BV50" s="31"/>
      <c r="BW50" s="31"/>
      <c r="BX50" s="31"/>
      <c r="BY50" s="31"/>
      <c r="BZ50" s="31"/>
      <c r="CA50" s="31"/>
      <c r="CB50" s="31"/>
    </row>
    <row r="51" spans="2:80"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/>
      <c r="AT51" s="31"/>
      <c r="AU51" s="31"/>
      <c r="AV51" s="31"/>
      <c r="AW51" s="31"/>
      <c r="AX51" s="31"/>
      <c r="AY51" s="31"/>
      <c r="AZ51" s="31"/>
      <c r="BA51" s="31"/>
      <c r="BB51" s="31"/>
      <c r="BC51" s="31"/>
      <c r="BD51" s="31"/>
      <c r="BE51" s="31"/>
      <c r="BF51" s="31"/>
      <c r="BG51" s="31"/>
      <c r="BH51" s="31"/>
      <c r="BI51" s="31"/>
      <c r="BJ51" s="31"/>
      <c r="BK51" s="31"/>
      <c r="BL51" s="31"/>
      <c r="BM51" s="31"/>
      <c r="BN51" s="31"/>
      <c r="BO51" s="31"/>
      <c r="BP51" s="31"/>
      <c r="BQ51" s="31"/>
      <c r="BR51" s="31"/>
      <c r="BS51" s="31"/>
      <c r="BT51" s="31"/>
      <c r="BU51" s="31"/>
      <c r="BV51" s="31"/>
      <c r="BW51" s="31"/>
      <c r="BX51" s="31"/>
      <c r="BY51" s="31"/>
      <c r="BZ51" s="31"/>
      <c r="CA51" s="31"/>
      <c r="CB51" s="31"/>
    </row>
    <row r="52" spans="2:80"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1"/>
      <c r="AX52" s="31"/>
      <c r="AY52" s="31"/>
      <c r="AZ52" s="31"/>
      <c r="BA52" s="31"/>
      <c r="BB52" s="31"/>
      <c r="BC52" s="31"/>
      <c r="BD52" s="31"/>
      <c r="BE52" s="31"/>
      <c r="BF52" s="31"/>
      <c r="BG52" s="31"/>
      <c r="BH52" s="31"/>
      <c r="BI52" s="31"/>
      <c r="BJ52" s="31"/>
      <c r="BK52" s="31"/>
      <c r="BL52" s="31"/>
      <c r="BM52" s="31"/>
      <c r="BN52" s="31"/>
      <c r="BO52" s="31"/>
      <c r="BP52" s="31"/>
      <c r="BQ52" s="31"/>
      <c r="BR52" s="31"/>
      <c r="BS52" s="31"/>
      <c r="BT52" s="31"/>
      <c r="BU52" s="31"/>
      <c r="BV52" s="31"/>
      <c r="BW52" s="31"/>
      <c r="BX52" s="31"/>
      <c r="BY52" s="31"/>
      <c r="BZ52" s="31"/>
      <c r="CA52" s="31"/>
      <c r="CB52" s="31"/>
    </row>
    <row r="53" spans="2:80"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31"/>
      <c r="AY53" s="31"/>
      <c r="AZ53" s="31"/>
      <c r="BA53" s="31"/>
      <c r="BB53" s="31"/>
      <c r="BC53" s="31"/>
      <c r="BD53" s="31"/>
      <c r="BE53" s="31"/>
      <c r="BF53" s="31"/>
      <c r="BG53" s="31"/>
      <c r="BH53" s="31"/>
      <c r="BI53" s="31"/>
      <c r="BJ53" s="31"/>
      <c r="BK53" s="31"/>
      <c r="BL53" s="31"/>
      <c r="BM53" s="31"/>
      <c r="BN53" s="31"/>
      <c r="BO53" s="31"/>
      <c r="BP53" s="31"/>
      <c r="BQ53" s="31"/>
      <c r="BR53" s="31"/>
      <c r="BS53" s="31"/>
      <c r="BT53" s="31"/>
      <c r="BU53" s="31"/>
      <c r="BV53" s="31"/>
      <c r="BW53" s="31"/>
      <c r="BX53" s="31"/>
      <c r="BY53" s="31"/>
      <c r="BZ53" s="31"/>
      <c r="CA53" s="31"/>
      <c r="CB53" s="31"/>
    </row>
    <row r="54" spans="2:80"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31"/>
      <c r="AQ54" s="31"/>
      <c r="AR54" s="31"/>
      <c r="AS54" s="31"/>
      <c r="AT54" s="31"/>
      <c r="AU54" s="31"/>
      <c r="AV54" s="31"/>
      <c r="AW54" s="31"/>
      <c r="AX54" s="31"/>
      <c r="AY54" s="31"/>
      <c r="AZ54" s="31"/>
      <c r="BA54" s="31"/>
      <c r="BB54" s="31"/>
      <c r="BC54" s="31"/>
      <c r="BD54" s="31"/>
      <c r="BE54" s="31"/>
      <c r="BF54" s="31"/>
      <c r="BG54" s="31"/>
      <c r="BH54" s="31"/>
      <c r="BI54" s="31"/>
      <c r="BJ54" s="31"/>
      <c r="BK54" s="31"/>
      <c r="BL54" s="31"/>
      <c r="BM54" s="31"/>
      <c r="BN54" s="31"/>
      <c r="BO54" s="31"/>
      <c r="BP54" s="31"/>
      <c r="BQ54" s="31"/>
      <c r="BR54" s="31"/>
      <c r="BS54" s="31"/>
      <c r="BT54" s="31"/>
      <c r="BU54" s="31"/>
      <c r="BV54" s="31"/>
      <c r="BW54" s="31"/>
      <c r="BX54" s="31"/>
      <c r="BY54" s="31"/>
      <c r="BZ54" s="31"/>
      <c r="CA54" s="31"/>
      <c r="CB54" s="31"/>
    </row>
    <row r="55" spans="2:80"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  <c r="AT55" s="31"/>
      <c r="AU55" s="31"/>
      <c r="AV55" s="31"/>
      <c r="AW55" s="31"/>
      <c r="AX55" s="31"/>
      <c r="AY55" s="31"/>
      <c r="AZ55" s="31"/>
      <c r="BA55" s="31"/>
      <c r="BB55" s="31"/>
      <c r="BC55" s="31"/>
      <c r="BD55" s="31"/>
      <c r="BE55" s="31"/>
      <c r="BF55" s="31"/>
      <c r="BG55" s="31"/>
      <c r="BH55" s="31"/>
      <c r="BI55" s="31"/>
      <c r="BJ55" s="31"/>
      <c r="BK55" s="31"/>
      <c r="BL55" s="31"/>
      <c r="BM55" s="31"/>
      <c r="BN55" s="31"/>
      <c r="BO55" s="31"/>
      <c r="BP55" s="31"/>
      <c r="BQ55" s="31"/>
      <c r="BR55" s="31"/>
      <c r="BS55" s="31"/>
      <c r="BT55" s="31"/>
      <c r="BU55" s="31"/>
      <c r="BV55" s="31"/>
      <c r="BW55" s="31"/>
      <c r="BX55" s="31"/>
      <c r="BY55" s="31"/>
      <c r="BZ55" s="31"/>
      <c r="CA55" s="31"/>
      <c r="CB55" s="31"/>
    </row>
    <row r="56" spans="2:80"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  <c r="AT56" s="31"/>
      <c r="AU56" s="31"/>
      <c r="AV56" s="31"/>
      <c r="AW56" s="31"/>
      <c r="AX56" s="31"/>
      <c r="AY56" s="31"/>
      <c r="AZ56" s="31"/>
      <c r="BA56" s="31"/>
      <c r="BB56" s="31"/>
      <c r="BC56" s="31"/>
      <c r="BD56" s="31"/>
      <c r="BE56" s="31"/>
      <c r="BF56" s="31"/>
      <c r="BG56" s="31"/>
      <c r="BH56" s="31"/>
      <c r="BI56" s="31"/>
      <c r="BJ56" s="31"/>
      <c r="BK56" s="31"/>
      <c r="BL56" s="31"/>
      <c r="BM56" s="31"/>
      <c r="BN56" s="31"/>
      <c r="BO56" s="31"/>
      <c r="BP56" s="31"/>
      <c r="BQ56" s="31"/>
      <c r="BR56" s="31"/>
      <c r="BS56" s="31"/>
      <c r="BT56" s="31"/>
      <c r="BU56" s="31"/>
      <c r="BV56" s="31"/>
      <c r="BW56" s="31"/>
      <c r="BX56" s="31"/>
      <c r="BY56" s="31"/>
      <c r="BZ56" s="31"/>
      <c r="CA56" s="31"/>
      <c r="CB56" s="31"/>
    </row>
    <row r="57" spans="2:80"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31"/>
      <c r="BF57" s="31"/>
      <c r="BG57" s="31"/>
      <c r="BH57" s="31"/>
      <c r="BI57" s="31"/>
      <c r="BJ57" s="31"/>
      <c r="BK57" s="31"/>
      <c r="BL57" s="31"/>
      <c r="BM57" s="31"/>
      <c r="BN57" s="31"/>
      <c r="BO57" s="31"/>
      <c r="BP57" s="31"/>
      <c r="BQ57" s="31"/>
      <c r="BR57" s="31"/>
      <c r="BS57" s="31"/>
      <c r="BT57" s="31"/>
      <c r="BU57" s="31"/>
      <c r="BV57" s="31"/>
      <c r="BW57" s="31"/>
      <c r="BX57" s="31"/>
      <c r="BY57" s="31"/>
      <c r="BZ57" s="31"/>
      <c r="CA57" s="31"/>
      <c r="CB57" s="31"/>
    </row>
    <row r="58" spans="2:80"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  <c r="AT58" s="31"/>
      <c r="AU58" s="31"/>
      <c r="AV58" s="31"/>
      <c r="AW58" s="31"/>
      <c r="AX58" s="31"/>
      <c r="AY58" s="31"/>
      <c r="AZ58" s="31"/>
      <c r="BA58" s="31"/>
      <c r="BB58" s="31"/>
      <c r="BC58" s="31"/>
      <c r="BD58" s="31"/>
      <c r="BE58" s="31"/>
      <c r="BF58" s="31"/>
      <c r="BG58" s="31"/>
      <c r="BH58" s="31"/>
      <c r="BI58" s="31"/>
      <c r="BJ58" s="31"/>
      <c r="BK58" s="31"/>
      <c r="BL58" s="31"/>
      <c r="BM58" s="31"/>
      <c r="BN58" s="31"/>
      <c r="BO58" s="31"/>
      <c r="BP58" s="31"/>
      <c r="BQ58" s="31"/>
      <c r="BR58" s="31"/>
      <c r="BS58" s="31"/>
      <c r="BT58" s="31"/>
      <c r="BU58" s="31"/>
      <c r="BV58" s="31"/>
      <c r="BW58" s="31"/>
      <c r="BX58" s="31"/>
      <c r="BY58" s="31"/>
      <c r="BZ58" s="31"/>
      <c r="CA58" s="31"/>
      <c r="CB58" s="31"/>
    </row>
    <row r="59" spans="2:80"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  <c r="AT59" s="31"/>
      <c r="AU59" s="31"/>
      <c r="AV59" s="31"/>
      <c r="AW59" s="31"/>
      <c r="AX59" s="31"/>
      <c r="AY59" s="31"/>
      <c r="AZ59" s="31"/>
      <c r="BA59" s="31"/>
      <c r="BB59" s="31"/>
      <c r="BC59" s="31"/>
      <c r="BD59" s="31"/>
      <c r="BE59" s="31"/>
      <c r="BF59" s="31"/>
      <c r="BG59" s="31"/>
      <c r="BH59" s="31"/>
      <c r="BI59" s="31"/>
      <c r="BJ59" s="31"/>
      <c r="BK59" s="31"/>
      <c r="BL59" s="31"/>
      <c r="BM59" s="31"/>
      <c r="BN59" s="31"/>
      <c r="BO59" s="31"/>
      <c r="BP59" s="31"/>
      <c r="BQ59" s="31"/>
      <c r="BR59" s="31"/>
      <c r="BS59" s="31"/>
      <c r="BT59" s="31"/>
      <c r="BU59" s="31"/>
      <c r="BV59" s="31"/>
      <c r="BW59" s="31"/>
      <c r="BX59" s="31"/>
      <c r="BY59" s="31"/>
      <c r="BZ59" s="31"/>
      <c r="CA59" s="31"/>
      <c r="CB59" s="31"/>
    </row>
    <row r="60" spans="2:80"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  <c r="AT60" s="31"/>
      <c r="AU60" s="31"/>
      <c r="AV60" s="31"/>
      <c r="AW60" s="31"/>
      <c r="AX60" s="31"/>
      <c r="AY60" s="31"/>
      <c r="AZ60" s="31"/>
      <c r="BA60" s="31"/>
      <c r="BB60" s="31"/>
      <c r="BC60" s="31"/>
      <c r="BD60" s="31"/>
      <c r="BE60" s="31"/>
      <c r="BF60" s="31"/>
      <c r="BG60" s="31"/>
      <c r="BH60" s="31"/>
      <c r="BI60" s="31"/>
      <c r="BJ60" s="31"/>
      <c r="BK60" s="31"/>
      <c r="BL60" s="31"/>
      <c r="BM60" s="31"/>
      <c r="BN60" s="31"/>
      <c r="BO60" s="31"/>
      <c r="BP60" s="31"/>
      <c r="BQ60" s="31"/>
      <c r="BR60" s="31"/>
      <c r="BS60" s="31"/>
      <c r="BT60" s="31"/>
      <c r="BU60" s="31"/>
      <c r="BV60" s="31"/>
      <c r="BW60" s="31"/>
      <c r="BX60" s="31"/>
      <c r="BY60" s="31"/>
      <c r="BZ60" s="31"/>
      <c r="CA60" s="31"/>
      <c r="CB60" s="31"/>
    </row>
    <row r="61" spans="2:80"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  <c r="AT61" s="31"/>
      <c r="AU61" s="31"/>
      <c r="AV61" s="31"/>
      <c r="AW61" s="31"/>
      <c r="AX61" s="31"/>
      <c r="AY61" s="31"/>
      <c r="AZ61" s="31"/>
      <c r="BA61" s="31"/>
      <c r="BB61" s="31"/>
      <c r="BC61" s="31"/>
      <c r="BD61" s="31"/>
      <c r="BE61" s="31"/>
      <c r="BF61" s="31"/>
      <c r="BG61" s="31"/>
      <c r="BH61" s="31"/>
      <c r="BI61" s="31"/>
      <c r="BJ61" s="31"/>
      <c r="BK61" s="31"/>
      <c r="BL61" s="31"/>
      <c r="BM61" s="31"/>
      <c r="BN61" s="31"/>
      <c r="BO61" s="31"/>
      <c r="BP61" s="31"/>
      <c r="BQ61" s="31"/>
      <c r="BR61" s="31"/>
      <c r="BS61" s="31"/>
      <c r="BT61" s="31"/>
      <c r="BU61" s="31"/>
      <c r="BV61" s="31"/>
      <c r="BW61" s="31"/>
      <c r="BX61" s="31"/>
      <c r="BY61" s="31"/>
      <c r="BZ61" s="31"/>
      <c r="CA61" s="31"/>
      <c r="CB61" s="31"/>
    </row>
    <row r="62" spans="2:80"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31"/>
      <c r="AY62" s="31"/>
      <c r="AZ62" s="31"/>
      <c r="BA62" s="31"/>
      <c r="BB62" s="31"/>
      <c r="BC62" s="31"/>
      <c r="BD62" s="31"/>
      <c r="BE62" s="31"/>
      <c r="BF62" s="31"/>
      <c r="BG62" s="31"/>
      <c r="BH62" s="31"/>
      <c r="BI62" s="31"/>
      <c r="BJ62" s="31"/>
      <c r="BK62" s="31"/>
      <c r="BL62" s="31"/>
      <c r="BM62" s="31"/>
      <c r="BN62" s="31"/>
      <c r="BO62" s="31"/>
      <c r="BP62" s="31"/>
      <c r="BQ62" s="31"/>
      <c r="BR62" s="31"/>
      <c r="BS62" s="31"/>
      <c r="BT62" s="31"/>
      <c r="BU62" s="31"/>
      <c r="BV62" s="31"/>
      <c r="BW62" s="31"/>
      <c r="BX62" s="31"/>
      <c r="BY62" s="31"/>
      <c r="BZ62" s="31"/>
      <c r="CA62" s="31"/>
      <c r="CB62" s="31"/>
    </row>
    <row r="63" spans="2:80"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  <c r="AT63" s="31"/>
      <c r="AU63" s="31"/>
      <c r="AV63" s="31"/>
      <c r="AW63" s="31"/>
      <c r="AX63" s="31"/>
      <c r="AY63" s="31"/>
      <c r="AZ63" s="31"/>
      <c r="BA63" s="31"/>
      <c r="BB63" s="31"/>
      <c r="BC63" s="31"/>
      <c r="BD63" s="31"/>
      <c r="BE63" s="31"/>
      <c r="BF63" s="31"/>
      <c r="BG63" s="31"/>
      <c r="BH63" s="31"/>
      <c r="BI63" s="31"/>
      <c r="BJ63" s="31"/>
      <c r="BK63" s="31"/>
      <c r="BL63" s="31"/>
      <c r="BM63" s="31"/>
      <c r="BN63" s="31"/>
      <c r="BO63" s="31"/>
      <c r="BP63" s="31"/>
      <c r="BQ63" s="31"/>
      <c r="BR63" s="31"/>
      <c r="BS63" s="31"/>
      <c r="BT63" s="31"/>
      <c r="BU63" s="31"/>
      <c r="BV63" s="31"/>
      <c r="BW63" s="31"/>
      <c r="BX63" s="31"/>
      <c r="BY63" s="31"/>
      <c r="BZ63" s="31"/>
      <c r="CA63" s="31"/>
      <c r="CB63" s="31"/>
    </row>
    <row r="64" spans="2:80"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  <c r="AT64" s="31"/>
      <c r="AU64" s="31"/>
      <c r="AV64" s="31"/>
      <c r="AW64" s="31"/>
      <c r="AX64" s="31"/>
      <c r="AY64" s="31"/>
      <c r="AZ64" s="31"/>
      <c r="BA64" s="31"/>
      <c r="BB64" s="31"/>
      <c r="BC64" s="31"/>
      <c r="BD64" s="31"/>
      <c r="BE64" s="31"/>
      <c r="BF64" s="31"/>
      <c r="BG64" s="31"/>
      <c r="BH64" s="31"/>
      <c r="BI64" s="31"/>
      <c r="BJ64" s="31"/>
      <c r="BK64" s="31"/>
      <c r="BL64" s="31"/>
      <c r="BM64" s="31"/>
      <c r="BN64" s="31"/>
      <c r="BO64" s="31"/>
      <c r="BP64" s="31"/>
      <c r="BQ64" s="31"/>
      <c r="BR64" s="31"/>
      <c r="BS64" s="31"/>
      <c r="BT64" s="31"/>
      <c r="BU64" s="31"/>
      <c r="BV64" s="31"/>
      <c r="BW64" s="31"/>
      <c r="BX64" s="31"/>
      <c r="BY64" s="31"/>
      <c r="BZ64" s="31"/>
      <c r="CA64" s="31"/>
      <c r="CB64" s="31"/>
    </row>
    <row r="65" spans="2:80"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  <c r="AP65" s="31"/>
      <c r="AQ65" s="31"/>
      <c r="AR65" s="31"/>
      <c r="AS65" s="31"/>
      <c r="AT65" s="31"/>
      <c r="AU65" s="31"/>
      <c r="AV65" s="31"/>
      <c r="AW65" s="31"/>
      <c r="AX65" s="31"/>
      <c r="AY65" s="31"/>
      <c r="AZ65" s="31"/>
      <c r="BA65" s="31"/>
      <c r="BB65" s="31"/>
      <c r="BC65" s="31"/>
      <c r="BD65" s="31"/>
      <c r="BE65" s="31"/>
      <c r="BF65" s="31"/>
      <c r="BG65" s="31"/>
      <c r="BH65" s="31"/>
      <c r="BI65" s="31"/>
      <c r="BJ65" s="31"/>
      <c r="BK65" s="31"/>
      <c r="BL65" s="31"/>
      <c r="BM65" s="31"/>
      <c r="BN65" s="31"/>
      <c r="BO65" s="31"/>
      <c r="BP65" s="31"/>
      <c r="BQ65" s="31"/>
      <c r="BR65" s="31"/>
      <c r="BS65" s="31"/>
      <c r="BT65" s="31"/>
      <c r="BU65" s="31"/>
      <c r="BV65" s="31"/>
      <c r="BW65" s="31"/>
      <c r="BX65" s="31"/>
      <c r="BY65" s="31"/>
      <c r="BZ65" s="31"/>
      <c r="CA65" s="31"/>
      <c r="CB65" s="31"/>
    </row>
    <row r="66" spans="2:80"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  <c r="AP66" s="31"/>
      <c r="AQ66" s="31"/>
      <c r="AR66" s="31"/>
      <c r="AS66" s="31"/>
      <c r="AT66" s="31"/>
      <c r="AU66" s="31"/>
      <c r="AV66" s="31"/>
      <c r="AW66" s="31"/>
      <c r="AX66" s="31"/>
      <c r="AY66" s="31"/>
      <c r="AZ66" s="31"/>
      <c r="BA66" s="31"/>
      <c r="BB66" s="31"/>
      <c r="BC66" s="31"/>
      <c r="BD66" s="31"/>
      <c r="BE66" s="31"/>
      <c r="BF66" s="31"/>
      <c r="BG66" s="31"/>
      <c r="BH66" s="31"/>
      <c r="BI66" s="31"/>
      <c r="BJ66" s="31"/>
      <c r="BK66" s="31"/>
      <c r="BL66" s="31"/>
      <c r="BM66" s="31"/>
      <c r="BN66" s="31"/>
      <c r="BO66" s="31"/>
      <c r="BP66" s="31"/>
      <c r="BQ66" s="31"/>
      <c r="BR66" s="31"/>
      <c r="BS66" s="31"/>
      <c r="BT66" s="31"/>
      <c r="BU66" s="31"/>
      <c r="BV66" s="31"/>
      <c r="BW66" s="31"/>
      <c r="BX66" s="31"/>
      <c r="BY66" s="31"/>
      <c r="BZ66" s="31"/>
      <c r="CA66" s="31"/>
      <c r="CB66" s="31"/>
    </row>
    <row r="67" spans="2:80"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AP67" s="31"/>
      <c r="AQ67" s="31"/>
      <c r="AR67" s="31"/>
      <c r="AS67" s="31"/>
      <c r="AT67" s="31"/>
      <c r="AU67" s="31"/>
      <c r="AV67" s="31"/>
      <c r="AW67" s="31"/>
      <c r="AX67" s="31"/>
      <c r="AY67" s="31"/>
      <c r="AZ67" s="31"/>
      <c r="BA67" s="31"/>
      <c r="BB67" s="31"/>
      <c r="BC67" s="31"/>
      <c r="BD67" s="31"/>
      <c r="BE67" s="31"/>
      <c r="BF67" s="31"/>
      <c r="BG67" s="31"/>
      <c r="BH67" s="31"/>
      <c r="BI67" s="31"/>
      <c r="BJ67" s="31"/>
      <c r="BK67" s="31"/>
      <c r="BL67" s="31"/>
      <c r="BM67" s="31"/>
      <c r="BN67" s="31"/>
      <c r="BO67" s="31"/>
      <c r="BP67" s="31"/>
      <c r="BQ67" s="31"/>
      <c r="BR67" s="31"/>
      <c r="BS67" s="31"/>
      <c r="BT67" s="31"/>
      <c r="BU67" s="31"/>
      <c r="BV67" s="31"/>
      <c r="BW67" s="31"/>
      <c r="BX67" s="31"/>
      <c r="BY67" s="31"/>
      <c r="BZ67" s="31"/>
      <c r="CA67" s="31"/>
      <c r="CB67" s="31"/>
    </row>
    <row r="68" spans="2:80"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AP68" s="31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  <c r="BB68" s="31"/>
      <c r="BC68" s="31"/>
      <c r="BD68" s="31"/>
      <c r="BE68" s="31"/>
      <c r="BF68" s="31"/>
      <c r="BG68" s="31"/>
      <c r="BH68" s="31"/>
      <c r="BI68" s="31"/>
      <c r="BJ68" s="31"/>
      <c r="BK68" s="31"/>
      <c r="BL68" s="31"/>
      <c r="BM68" s="31"/>
      <c r="BN68" s="31"/>
      <c r="BO68" s="31"/>
      <c r="BP68" s="31"/>
      <c r="BQ68" s="31"/>
      <c r="BR68" s="31"/>
      <c r="BS68" s="31"/>
      <c r="BT68" s="31"/>
      <c r="BU68" s="31"/>
      <c r="BV68" s="31"/>
      <c r="BW68" s="31"/>
      <c r="BX68" s="31"/>
      <c r="BY68" s="31"/>
      <c r="BZ68" s="31"/>
      <c r="CA68" s="31"/>
      <c r="CB68" s="31"/>
    </row>
    <row r="69" spans="2:80"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AP69" s="31"/>
      <c r="AQ69" s="31"/>
      <c r="AR69" s="31"/>
      <c r="AS69" s="31"/>
      <c r="AT69" s="31"/>
      <c r="AU69" s="31"/>
      <c r="AV69" s="31"/>
      <c r="AW69" s="31"/>
      <c r="AX69" s="31"/>
      <c r="AY69" s="31"/>
      <c r="AZ69" s="31"/>
      <c r="BA69" s="31"/>
      <c r="BB69" s="31"/>
      <c r="BC69" s="31"/>
      <c r="BD69" s="31"/>
      <c r="BE69" s="31"/>
      <c r="BF69" s="31"/>
      <c r="BG69" s="31"/>
      <c r="BH69" s="31"/>
      <c r="BI69" s="31"/>
      <c r="BJ69" s="31"/>
      <c r="BK69" s="31"/>
      <c r="BL69" s="31"/>
      <c r="BM69" s="31"/>
      <c r="BN69" s="31"/>
      <c r="BO69" s="31"/>
      <c r="BP69" s="31"/>
      <c r="BQ69" s="31"/>
      <c r="BR69" s="31"/>
      <c r="BS69" s="31"/>
      <c r="BT69" s="31"/>
      <c r="BU69" s="31"/>
      <c r="BV69" s="31"/>
      <c r="BW69" s="31"/>
      <c r="BX69" s="31"/>
      <c r="BY69" s="31"/>
      <c r="BZ69" s="31"/>
      <c r="CA69" s="31"/>
      <c r="CB69" s="31"/>
    </row>
    <row r="70" spans="2:80"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AP70" s="31"/>
      <c r="AQ70" s="31"/>
      <c r="AR70" s="31"/>
      <c r="AS70" s="31"/>
      <c r="AT70" s="31"/>
      <c r="AU70" s="31"/>
      <c r="AV70" s="31"/>
      <c r="AW70" s="31"/>
      <c r="AX70" s="31"/>
      <c r="AY70" s="31"/>
      <c r="AZ70" s="31"/>
      <c r="BA70" s="31"/>
      <c r="BB70" s="31"/>
      <c r="BC70" s="31"/>
      <c r="BD70" s="31"/>
      <c r="BE70" s="31"/>
      <c r="BF70" s="31"/>
      <c r="BG70" s="31"/>
      <c r="BH70" s="31"/>
      <c r="BI70" s="31"/>
      <c r="BJ70" s="31"/>
      <c r="BK70" s="31"/>
      <c r="BL70" s="31"/>
      <c r="BM70" s="31"/>
      <c r="BN70" s="31"/>
      <c r="BO70" s="31"/>
      <c r="BP70" s="31"/>
      <c r="BQ70" s="31"/>
      <c r="BR70" s="31"/>
      <c r="BS70" s="31"/>
      <c r="BT70" s="31"/>
      <c r="BU70" s="31"/>
      <c r="BV70" s="31"/>
      <c r="BW70" s="31"/>
      <c r="BX70" s="31"/>
      <c r="BY70" s="31"/>
      <c r="BZ70" s="31"/>
      <c r="CA70" s="31"/>
      <c r="CB70" s="31"/>
    </row>
    <row r="71" spans="2:80"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AP71" s="31"/>
      <c r="AQ71" s="31"/>
      <c r="AR71" s="31"/>
      <c r="AS71" s="31"/>
      <c r="AT71" s="31"/>
      <c r="AU71" s="31"/>
      <c r="AV71" s="31"/>
      <c r="AW71" s="31"/>
      <c r="AX71" s="31"/>
      <c r="AY71" s="31"/>
      <c r="AZ71" s="31"/>
      <c r="BA71" s="31"/>
      <c r="BB71" s="31"/>
      <c r="BC71" s="31"/>
      <c r="BD71" s="31"/>
      <c r="BE71" s="31"/>
      <c r="BF71" s="31"/>
      <c r="BG71" s="31"/>
      <c r="BH71" s="31"/>
      <c r="BI71" s="31"/>
      <c r="BJ71" s="31"/>
      <c r="BK71" s="31"/>
      <c r="BL71" s="31"/>
      <c r="BM71" s="31"/>
      <c r="BN71" s="31"/>
      <c r="BO71" s="31"/>
      <c r="BP71" s="31"/>
      <c r="BQ71" s="31"/>
      <c r="BR71" s="31"/>
      <c r="BS71" s="31"/>
      <c r="BT71" s="31"/>
      <c r="BU71" s="31"/>
      <c r="BV71" s="31"/>
      <c r="BW71" s="31"/>
      <c r="BX71" s="31"/>
      <c r="BY71" s="31"/>
      <c r="BZ71" s="31"/>
      <c r="CA71" s="31"/>
      <c r="CB71" s="31"/>
    </row>
    <row r="72" spans="2:80"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AP72" s="31"/>
      <c r="AQ72" s="31"/>
      <c r="AR72" s="31"/>
      <c r="AS72" s="31"/>
      <c r="AT72" s="31"/>
      <c r="AU72" s="31"/>
      <c r="AV72" s="31"/>
      <c r="AW72" s="31"/>
      <c r="AX72" s="31"/>
      <c r="AY72" s="31"/>
      <c r="AZ72" s="31"/>
      <c r="BA72" s="31"/>
      <c r="BB72" s="31"/>
      <c r="BC72" s="31"/>
      <c r="BD72" s="31"/>
      <c r="BE72" s="31"/>
      <c r="BF72" s="31"/>
      <c r="BG72" s="31"/>
      <c r="BH72" s="31"/>
      <c r="BI72" s="31"/>
      <c r="BJ72" s="31"/>
      <c r="BK72" s="31"/>
      <c r="BL72" s="31"/>
      <c r="BM72" s="31"/>
      <c r="BN72" s="31"/>
      <c r="BO72" s="31"/>
      <c r="BP72" s="31"/>
      <c r="BQ72" s="31"/>
      <c r="BR72" s="31"/>
      <c r="BS72" s="31"/>
      <c r="BT72" s="31"/>
      <c r="BU72" s="31"/>
      <c r="BV72" s="31"/>
      <c r="BW72" s="31"/>
      <c r="BX72" s="31"/>
      <c r="BY72" s="31"/>
      <c r="BZ72" s="31"/>
      <c r="CA72" s="31"/>
      <c r="CB72" s="31"/>
    </row>
    <row r="73" spans="2:80"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  <c r="AP73" s="31"/>
      <c r="AQ73" s="31"/>
      <c r="AR73" s="31"/>
      <c r="AS73" s="31"/>
      <c r="AT73" s="31"/>
      <c r="AU73" s="31"/>
      <c r="AV73" s="31"/>
      <c r="AW73" s="31"/>
      <c r="AX73" s="31"/>
      <c r="AY73" s="31"/>
      <c r="AZ73" s="31"/>
      <c r="BA73" s="31"/>
      <c r="BB73" s="31"/>
      <c r="BC73" s="31"/>
      <c r="BD73" s="31"/>
      <c r="BE73" s="31"/>
      <c r="BF73" s="31"/>
      <c r="BG73" s="31"/>
      <c r="BH73" s="31"/>
      <c r="BI73" s="31"/>
      <c r="BJ73" s="31"/>
      <c r="BK73" s="31"/>
      <c r="BL73" s="31"/>
      <c r="BM73" s="31"/>
      <c r="BN73" s="31"/>
      <c r="BO73" s="31"/>
      <c r="BP73" s="31"/>
      <c r="BQ73" s="31"/>
      <c r="BR73" s="31"/>
      <c r="BS73" s="31"/>
      <c r="BT73" s="31"/>
      <c r="BU73" s="31"/>
      <c r="BV73" s="31"/>
      <c r="BW73" s="31"/>
      <c r="BX73" s="31"/>
      <c r="BY73" s="31"/>
      <c r="BZ73" s="31"/>
      <c r="CA73" s="31"/>
      <c r="CB73" s="31"/>
    </row>
    <row r="74" spans="2:80"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  <c r="AT74" s="31"/>
      <c r="AU74" s="31"/>
      <c r="AV74" s="31"/>
      <c r="AW74" s="31"/>
      <c r="AX74" s="31"/>
      <c r="AY74" s="31"/>
      <c r="AZ74" s="31"/>
      <c r="BA74" s="31"/>
      <c r="BB74" s="31"/>
      <c r="BC74" s="31"/>
      <c r="BD74" s="31"/>
      <c r="BE74" s="31"/>
      <c r="BF74" s="31"/>
      <c r="BG74" s="31"/>
      <c r="BH74" s="31"/>
      <c r="BI74" s="31"/>
      <c r="BJ74" s="31"/>
      <c r="BK74" s="31"/>
      <c r="BL74" s="31"/>
      <c r="BM74" s="31"/>
      <c r="BN74" s="31"/>
      <c r="BO74" s="31"/>
      <c r="BP74" s="31"/>
      <c r="BQ74" s="31"/>
      <c r="BR74" s="31"/>
      <c r="BS74" s="31"/>
      <c r="BT74" s="31"/>
      <c r="BU74" s="31"/>
      <c r="BV74" s="31"/>
      <c r="BW74" s="31"/>
      <c r="BX74" s="31"/>
      <c r="BY74" s="31"/>
      <c r="BZ74" s="31"/>
      <c r="CA74" s="31"/>
      <c r="CB74" s="31"/>
    </row>
    <row r="75" spans="2:80"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  <c r="AT75" s="31"/>
      <c r="AU75" s="31"/>
      <c r="AV75" s="31"/>
      <c r="AW75" s="31"/>
      <c r="AX75" s="31"/>
      <c r="AY75" s="31"/>
      <c r="AZ75" s="31"/>
      <c r="BA75" s="31"/>
      <c r="BB75" s="31"/>
      <c r="BC75" s="31"/>
      <c r="BD75" s="31"/>
      <c r="BE75" s="31"/>
      <c r="BF75" s="31"/>
      <c r="BG75" s="31"/>
      <c r="BH75" s="31"/>
      <c r="BI75" s="31"/>
      <c r="BJ75" s="31"/>
      <c r="BK75" s="31"/>
      <c r="BL75" s="31"/>
      <c r="BM75" s="31"/>
      <c r="BN75" s="31"/>
      <c r="BO75" s="31"/>
      <c r="BP75" s="31"/>
      <c r="BQ75" s="31"/>
      <c r="BR75" s="31"/>
      <c r="BS75" s="31"/>
      <c r="BT75" s="31"/>
      <c r="BU75" s="31"/>
      <c r="BV75" s="31"/>
      <c r="BW75" s="31"/>
      <c r="BX75" s="31"/>
      <c r="BY75" s="31"/>
      <c r="BZ75" s="31"/>
      <c r="CA75" s="31"/>
      <c r="CB75" s="31"/>
    </row>
    <row r="76" spans="2:80"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  <c r="AT76" s="31"/>
      <c r="AU76" s="31"/>
      <c r="AV76" s="31"/>
      <c r="AW76" s="31"/>
      <c r="AX76" s="31"/>
      <c r="AY76" s="31"/>
      <c r="AZ76" s="31"/>
      <c r="BA76" s="31"/>
      <c r="BB76" s="31"/>
      <c r="BC76" s="31"/>
      <c r="BD76" s="31"/>
      <c r="BE76" s="31"/>
      <c r="BF76" s="31"/>
      <c r="BG76" s="31"/>
      <c r="BH76" s="31"/>
      <c r="BI76" s="31"/>
      <c r="BJ76" s="31"/>
      <c r="BK76" s="31"/>
      <c r="BL76" s="31"/>
      <c r="BM76" s="31"/>
      <c r="BN76" s="31"/>
      <c r="BO76" s="31"/>
      <c r="BP76" s="31"/>
      <c r="BQ76" s="31"/>
      <c r="BR76" s="31"/>
      <c r="BS76" s="31"/>
      <c r="BT76" s="31"/>
      <c r="BU76" s="31"/>
      <c r="BV76" s="31"/>
      <c r="BW76" s="31"/>
      <c r="BX76" s="31"/>
      <c r="BY76" s="31"/>
      <c r="BZ76" s="31"/>
      <c r="CA76" s="31"/>
      <c r="CB76" s="31"/>
    </row>
    <row r="77" spans="2:80"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  <c r="AT77" s="31"/>
      <c r="AU77" s="31"/>
      <c r="AV77" s="31"/>
      <c r="AW77" s="31"/>
      <c r="AX77" s="31"/>
      <c r="AY77" s="31"/>
      <c r="AZ77" s="31"/>
      <c r="BA77" s="31"/>
      <c r="BB77" s="31"/>
      <c r="BC77" s="31"/>
      <c r="BD77" s="31"/>
      <c r="BE77" s="31"/>
      <c r="BF77" s="31"/>
      <c r="BG77" s="31"/>
      <c r="BH77" s="31"/>
      <c r="BI77" s="31"/>
      <c r="BJ77" s="31"/>
      <c r="BK77" s="31"/>
      <c r="BL77" s="31"/>
      <c r="BM77" s="31"/>
      <c r="BN77" s="31"/>
      <c r="BO77" s="31"/>
      <c r="BP77" s="31"/>
      <c r="BQ77" s="31"/>
      <c r="BR77" s="31"/>
      <c r="BS77" s="31"/>
      <c r="BT77" s="31"/>
      <c r="BU77" s="31"/>
      <c r="BV77" s="31"/>
      <c r="BW77" s="31"/>
      <c r="BX77" s="31"/>
      <c r="BY77" s="31"/>
      <c r="BZ77" s="31"/>
      <c r="CA77" s="31"/>
      <c r="CB77" s="31"/>
    </row>
    <row r="78" spans="2:80"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  <c r="AT78" s="31"/>
      <c r="AU78" s="31"/>
      <c r="AV78" s="31"/>
      <c r="AW78" s="31"/>
      <c r="AX78" s="31"/>
      <c r="AY78" s="31"/>
      <c r="AZ78" s="31"/>
      <c r="BA78" s="31"/>
      <c r="BB78" s="31"/>
      <c r="BC78" s="31"/>
      <c r="BD78" s="31"/>
      <c r="BE78" s="31"/>
      <c r="BF78" s="31"/>
      <c r="BG78" s="31"/>
      <c r="BH78" s="31"/>
      <c r="BI78" s="31"/>
      <c r="BJ78" s="31"/>
      <c r="BK78" s="31"/>
      <c r="BL78" s="31"/>
      <c r="BM78" s="31"/>
      <c r="BN78" s="31"/>
      <c r="BO78" s="31"/>
      <c r="BP78" s="31"/>
      <c r="BQ78" s="31"/>
      <c r="BR78" s="31"/>
      <c r="BS78" s="31"/>
      <c r="BT78" s="31"/>
      <c r="BU78" s="31"/>
      <c r="BV78" s="31"/>
      <c r="BW78" s="31"/>
      <c r="BX78" s="31"/>
      <c r="BY78" s="31"/>
      <c r="BZ78" s="31"/>
      <c r="CA78" s="31"/>
      <c r="CB78" s="31"/>
    </row>
    <row r="79" spans="2:80"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  <c r="AT79" s="31"/>
      <c r="AU79" s="31"/>
      <c r="AV79" s="31"/>
      <c r="AW79" s="31"/>
      <c r="AX79" s="31"/>
      <c r="AY79" s="31"/>
      <c r="AZ79" s="31"/>
      <c r="BA79" s="31"/>
      <c r="BB79" s="31"/>
      <c r="BC79" s="31"/>
      <c r="BD79" s="31"/>
      <c r="BE79" s="31"/>
      <c r="BF79" s="31"/>
      <c r="BG79" s="31"/>
      <c r="BH79" s="31"/>
      <c r="BI79" s="31"/>
      <c r="BJ79" s="31"/>
      <c r="BK79" s="31"/>
      <c r="BL79" s="31"/>
      <c r="BM79" s="31"/>
      <c r="BN79" s="31"/>
      <c r="BO79" s="31"/>
      <c r="BP79" s="31"/>
      <c r="BQ79" s="31"/>
      <c r="BR79" s="31"/>
      <c r="BS79" s="31"/>
      <c r="BT79" s="31"/>
      <c r="BU79" s="31"/>
      <c r="BV79" s="31"/>
      <c r="BW79" s="31"/>
      <c r="BX79" s="31"/>
      <c r="BY79" s="31"/>
      <c r="BZ79" s="31"/>
      <c r="CA79" s="31"/>
      <c r="CB79" s="31"/>
    </row>
    <row r="80" spans="2:80"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  <c r="AT80" s="31"/>
      <c r="AU80" s="31"/>
      <c r="AV80" s="31"/>
      <c r="AW80" s="31"/>
      <c r="AX80" s="31"/>
      <c r="AY80" s="31"/>
      <c r="AZ80" s="31"/>
      <c r="BA80" s="31"/>
      <c r="BB80" s="31"/>
      <c r="BC80" s="31"/>
      <c r="BD80" s="31"/>
      <c r="BE80" s="31"/>
      <c r="BF80" s="31"/>
      <c r="BG80" s="31"/>
      <c r="BH80" s="31"/>
      <c r="BI80" s="31"/>
      <c r="BJ80" s="31"/>
      <c r="BK80" s="31"/>
      <c r="BL80" s="31"/>
      <c r="BM80" s="31"/>
      <c r="BN80" s="31"/>
      <c r="BO80" s="31"/>
      <c r="BP80" s="31"/>
      <c r="BQ80" s="31"/>
      <c r="BR80" s="31"/>
      <c r="BS80" s="31"/>
      <c r="BT80" s="31"/>
      <c r="BU80" s="31"/>
      <c r="BV80" s="31"/>
      <c r="BW80" s="31"/>
      <c r="BX80" s="31"/>
      <c r="BY80" s="31"/>
      <c r="BZ80" s="31"/>
      <c r="CA80" s="31"/>
      <c r="CB80" s="31"/>
    </row>
    <row r="81" spans="2:80"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  <c r="AT81" s="31"/>
      <c r="AU81" s="31"/>
      <c r="AV81" s="31"/>
      <c r="AW81" s="31"/>
      <c r="AX81" s="31"/>
      <c r="AY81" s="31"/>
      <c r="AZ81" s="31"/>
      <c r="BA81" s="31"/>
      <c r="BB81" s="31"/>
      <c r="BC81" s="31"/>
      <c r="BD81" s="31"/>
      <c r="BE81" s="31"/>
      <c r="BF81" s="31"/>
      <c r="BG81" s="31"/>
      <c r="BH81" s="31"/>
      <c r="BI81" s="31"/>
      <c r="BJ81" s="31"/>
      <c r="BK81" s="31"/>
      <c r="BL81" s="31"/>
      <c r="BM81" s="31"/>
      <c r="BN81" s="31"/>
      <c r="BO81" s="31"/>
      <c r="BP81" s="31"/>
      <c r="BQ81" s="31"/>
      <c r="BR81" s="31"/>
      <c r="BS81" s="31"/>
      <c r="BT81" s="31"/>
      <c r="BU81" s="31"/>
      <c r="BV81" s="31"/>
      <c r="BW81" s="31"/>
      <c r="BX81" s="31"/>
      <c r="BY81" s="31"/>
      <c r="BZ81" s="31"/>
      <c r="CA81" s="31"/>
      <c r="CB81" s="31"/>
    </row>
    <row r="82" spans="2:80"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  <c r="AT82" s="31"/>
      <c r="AU82" s="31"/>
      <c r="AV82" s="31"/>
      <c r="AW82" s="31"/>
      <c r="AX82" s="31"/>
      <c r="AY82" s="31"/>
      <c r="AZ82" s="31"/>
      <c r="BA82" s="31"/>
      <c r="BB82" s="31"/>
      <c r="BC82" s="31"/>
      <c r="BD82" s="31"/>
      <c r="BE82" s="31"/>
      <c r="BF82" s="31"/>
      <c r="BG82" s="31"/>
      <c r="BH82" s="31"/>
      <c r="BI82" s="31"/>
      <c r="BJ82" s="31"/>
      <c r="BK82" s="31"/>
      <c r="BL82" s="31"/>
      <c r="BM82" s="31"/>
      <c r="BN82" s="31"/>
      <c r="BO82" s="31"/>
      <c r="BP82" s="31"/>
      <c r="BQ82" s="31"/>
      <c r="BR82" s="31"/>
      <c r="BS82" s="31"/>
      <c r="BT82" s="31"/>
      <c r="BU82" s="31"/>
      <c r="BV82" s="31"/>
      <c r="BW82" s="31"/>
      <c r="BX82" s="31"/>
      <c r="BY82" s="31"/>
      <c r="BZ82" s="31"/>
      <c r="CA82" s="31"/>
      <c r="CB82" s="31"/>
    </row>
    <row r="83" spans="2:80"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  <c r="AT83" s="31"/>
      <c r="AU83" s="31"/>
      <c r="AV83" s="31"/>
      <c r="AW83" s="31"/>
      <c r="AX83" s="31"/>
      <c r="AY83" s="31"/>
      <c r="AZ83" s="31"/>
      <c r="BA83" s="31"/>
      <c r="BB83" s="31"/>
      <c r="BC83" s="31"/>
      <c r="BD83" s="31"/>
      <c r="BE83" s="31"/>
      <c r="BF83" s="31"/>
      <c r="BG83" s="31"/>
      <c r="BH83" s="31"/>
      <c r="BI83" s="31"/>
      <c r="BJ83" s="31"/>
      <c r="BK83" s="31"/>
      <c r="BL83" s="31"/>
      <c r="BM83" s="31"/>
      <c r="BN83" s="31"/>
      <c r="BO83" s="31"/>
      <c r="BP83" s="31"/>
      <c r="BQ83" s="31"/>
      <c r="BR83" s="31"/>
      <c r="BS83" s="31"/>
      <c r="BT83" s="31"/>
      <c r="BU83" s="31"/>
      <c r="BV83" s="31"/>
      <c r="BW83" s="31"/>
      <c r="BX83" s="31"/>
      <c r="BY83" s="31"/>
      <c r="BZ83" s="31"/>
      <c r="CA83" s="31"/>
      <c r="CB83" s="31"/>
    </row>
    <row r="84" spans="2:80"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  <c r="AT84" s="31"/>
      <c r="AU84" s="31"/>
      <c r="AV84" s="31"/>
      <c r="AW84" s="31"/>
      <c r="AX84" s="31"/>
      <c r="AY84" s="31"/>
      <c r="AZ84" s="31"/>
      <c r="BA84" s="31"/>
      <c r="BB84" s="31"/>
      <c r="BC84" s="31"/>
      <c r="BD84" s="31"/>
      <c r="BE84" s="31"/>
      <c r="BF84" s="31"/>
      <c r="BG84" s="31"/>
      <c r="BH84" s="31"/>
      <c r="BI84" s="31"/>
      <c r="BJ84" s="31"/>
      <c r="BK84" s="31"/>
      <c r="BL84" s="31"/>
      <c r="BM84" s="31"/>
      <c r="BN84" s="31"/>
      <c r="BO84" s="31"/>
      <c r="BP84" s="31"/>
      <c r="BQ84" s="31"/>
      <c r="BR84" s="31"/>
      <c r="BS84" s="31"/>
      <c r="BT84" s="31"/>
      <c r="BU84" s="31"/>
      <c r="BV84" s="31"/>
      <c r="BW84" s="31"/>
      <c r="BX84" s="31"/>
      <c r="BY84" s="31"/>
      <c r="BZ84" s="31"/>
      <c r="CA84" s="31"/>
      <c r="CB84" s="31"/>
    </row>
    <row r="85" spans="2:80"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  <c r="AT85" s="31"/>
      <c r="AU85" s="31"/>
      <c r="AV85" s="31"/>
      <c r="AW85" s="31"/>
      <c r="AX85" s="31"/>
      <c r="AY85" s="31"/>
      <c r="AZ85" s="31"/>
      <c r="BA85" s="31"/>
      <c r="BB85" s="31"/>
      <c r="BC85" s="31"/>
      <c r="BD85" s="31"/>
      <c r="BE85" s="31"/>
      <c r="BF85" s="31"/>
      <c r="BG85" s="31"/>
      <c r="BH85" s="31"/>
      <c r="BI85" s="31"/>
      <c r="BJ85" s="31"/>
      <c r="BK85" s="31"/>
      <c r="BL85" s="31"/>
      <c r="BM85" s="31"/>
      <c r="BN85" s="31"/>
      <c r="BO85" s="31"/>
      <c r="BP85" s="31"/>
      <c r="BQ85" s="31"/>
      <c r="BR85" s="31"/>
      <c r="BS85" s="31"/>
      <c r="BT85" s="31"/>
      <c r="BU85" s="31"/>
      <c r="BV85" s="31"/>
      <c r="BW85" s="31"/>
      <c r="BX85" s="31"/>
      <c r="BY85" s="31"/>
      <c r="BZ85" s="31"/>
      <c r="CA85" s="31"/>
      <c r="CB85" s="31"/>
    </row>
    <row r="86" spans="2:80"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  <c r="AT86" s="31"/>
      <c r="AU86" s="31"/>
      <c r="AV86" s="31"/>
      <c r="AW86" s="31"/>
      <c r="AX86" s="31"/>
      <c r="AY86" s="31"/>
      <c r="AZ86" s="31"/>
      <c r="BA86" s="31"/>
      <c r="BB86" s="31"/>
      <c r="BC86" s="31"/>
      <c r="BD86" s="31"/>
      <c r="BE86" s="31"/>
      <c r="BF86" s="31"/>
      <c r="BG86" s="31"/>
      <c r="BH86" s="31"/>
      <c r="BI86" s="31"/>
      <c r="BJ86" s="31"/>
      <c r="BK86" s="31"/>
      <c r="BL86" s="31"/>
      <c r="BM86" s="31"/>
      <c r="BN86" s="31"/>
      <c r="BO86" s="31"/>
      <c r="BP86" s="31"/>
      <c r="BQ86" s="31"/>
      <c r="BR86" s="31"/>
      <c r="BS86" s="31"/>
      <c r="BT86" s="31"/>
      <c r="BU86" s="31"/>
      <c r="BV86" s="31"/>
      <c r="BW86" s="31"/>
      <c r="BX86" s="31"/>
      <c r="BY86" s="31"/>
      <c r="BZ86" s="31"/>
      <c r="CA86" s="31"/>
      <c r="CB86" s="31"/>
    </row>
    <row r="87" spans="2:80"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  <c r="AO87" s="31"/>
      <c r="AP87" s="31"/>
      <c r="AQ87" s="31"/>
      <c r="AR87" s="31"/>
      <c r="AS87" s="31"/>
      <c r="AT87" s="31"/>
      <c r="AU87" s="31"/>
      <c r="AV87" s="31"/>
      <c r="AW87" s="31"/>
      <c r="AX87" s="31"/>
      <c r="AY87" s="31"/>
      <c r="AZ87" s="31"/>
      <c r="BA87" s="31"/>
      <c r="BB87" s="31"/>
      <c r="BC87" s="31"/>
      <c r="BD87" s="31"/>
      <c r="BE87" s="31"/>
      <c r="BF87" s="31"/>
      <c r="BG87" s="31"/>
      <c r="BH87" s="31"/>
      <c r="BI87" s="31"/>
      <c r="BJ87" s="31"/>
      <c r="BK87" s="31"/>
      <c r="BL87" s="31"/>
      <c r="BM87" s="31"/>
      <c r="BN87" s="31"/>
      <c r="BO87" s="31"/>
      <c r="BP87" s="31"/>
      <c r="BQ87" s="31"/>
      <c r="BR87" s="31"/>
      <c r="BS87" s="31"/>
      <c r="BT87" s="31"/>
      <c r="BU87" s="31"/>
      <c r="BV87" s="31"/>
      <c r="BW87" s="31"/>
      <c r="BX87" s="31"/>
      <c r="BY87" s="31"/>
      <c r="BZ87" s="31"/>
      <c r="CA87" s="31"/>
      <c r="CB87" s="31"/>
    </row>
    <row r="88" spans="2:80"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  <c r="AT88" s="31"/>
      <c r="AU88" s="31"/>
      <c r="AV88" s="31"/>
      <c r="AW88" s="31"/>
      <c r="AX88" s="31"/>
      <c r="AY88" s="31"/>
      <c r="AZ88" s="31"/>
      <c r="BA88" s="31"/>
      <c r="BB88" s="31"/>
      <c r="BC88" s="31"/>
      <c r="BD88" s="31"/>
      <c r="BE88" s="31"/>
      <c r="BF88" s="31"/>
      <c r="BG88" s="31"/>
      <c r="BH88" s="31"/>
      <c r="BI88" s="31"/>
      <c r="BJ88" s="31"/>
      <c r="BK88" s="31"/>
      <c r="BL88" s="31"/>
      <c r="BM88" s="31"/>
      <c r="BN88" s="31"/>
      <c r="BO88" s="31"/>
      <c r="BP88" s="31"/>
      <c r="BQ88" s="31"/>
      <c r="BR88" s="31"/>
      <c r="BS88" s="31"/>
      <c r="BT88" s="31"/>
      <c r="BU88" s="31"/>
      <c r="BV88" s="31"/>
      <c r="BW88" s="31"/>
      <c r="BX88" s="31"/>
      <c r="BY88" s="31"/>
      <c r="BZ88" s="31"/>
      <c r="CA88" s="31"/>
      <c r="CB88" s="31"/>
    </row>
    <row r="89" spans="2:80"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  <c r="AT89" s="31"/>
      <c r="AU89" s="31"/>
      <c r="AV89" s="31"/>
      <c r="AW89" s="31"/>
      <c r="AX89" s="31"/>
      <c r="AY89" s="31"/>
      <c r="AZ89" s="31"/>
      <c r="BA89" s="31"/>
      <c r="BB89" s="31"/>
      <c r="BC89" s="31"/>
      <c r="BD89" s="31"/>
      <c r="BE89" s="31"/>
      <c r="BF89" s="31"/>
      <c r="BG89" s="31"/>
      <c r="BH89" s="31"/>
      <c r="BI89" s="31"/>
      <c r="BJ89" s="31"/>
      <c r="BK89" s="31"/>
      <c r="BL89" s="31"/>
      <c r="BM89" s="31"/>
      <c r="BN89" s="31"/>
      <c r="BO89" s="31"/>
      <c r="BP89" s="31"/>
      <c r="BQ89" s="31"/>
      <c r="BR89" s="31"/>
      <c r="BS89" s="31"/>
      <c r="BT89" s="31"/>
      <c r="BU89" s="31"/>
      <c r="BV89" s="31"/>
      <c r="BW89" s="31"/>
      <c r="BX89" s="31"/>
      <c r="BY89" s="31"/>
      <c r="BZ89" s="31"/>
      <c r="CA89" s="31"/>
      <c r="CB89" s="31"/>
    </row>
    <row r="90" spans="2:80"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  <c r="AT90" s="31"/>
      <c r="AU90" s="31"/>
      <c r="AV90" s="31"/>
      <c r="AW90" s="31"/>
      <c r="AX90" s="31"/>
      <c r="AY90" s="31"/>
      <c r="AZ90" s="31"/>
      <c r="BA90" s="31"/>
      <c r="BB90" s="31"/>
      <c r="BC90" s="31"/>
      <c r="BD90" s="31"/>
      <c r="BE90" s="31"/>
      <c r="BF90" s="31"/>
      <c r="BG90" s="31"/>
      <c r="BH90" s="31"/>
      <c r="BI90" s="31"/>
      <c r="BJ90" s="31"/>
      <c r="BK90" s="31"/>
      <c r="BL90" s="31"/>
      <c r="BM90" s="31"/>
      <c r="BN90" s="31"/>
      <c r="BO90" s="31"/>
      <c r="BP90" s="31"/>
      <c r="BQ90" s="31"/>
      <c r="BR90" s="31"/>
      <c r="BS90" s="31"/>
      <c r="BT90" s="31"/>
      <c r="BU90" s="31"/>
      <c r="BV90" s="31"/>
      <c r="BW90" s="31"/>
      <c r="BX90" s="31"/>
      <c r="BY90" s="31"/>
      <c r="BZ90" s="31"/>
      <c r="CA90" s="31"/>
      <c r="CB90" s="31"/>
    </row>
    <row r="91" spans="2:80"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  <c r="AT91" s="31"/>
      <c r="AU91" s="31"/>
      <c r="AV91" s="31"/>
      <c r="AW91" s="31"/>
      <c r="AX91" s="31"/>
      <c r="AY91" s="31"/>
      <c r="AZ91" s="31"/>
      <c r="BA91" s="31"/>
      <c r="BB91" s="31"/>
      <c r="BC91" s="31"/>
      <c r="BD91" s="31"/>
      <c r="BE91" s="31"/>
      <c r="BF91" s="31"/>
      <c r="BG91" s="31"/>
      <c r="BH91" s="31"/>
      <c r="BI91" s="31"/>
      <c r="BJ91" s="31"/>
      <c r="BK91" s="31"/>
      <c r="BL91" s="31"/>
      <c r="BM91" s="31"/>
      <c r="BN91" s="31"/>
      <c r="BO91" s="31"/>
      <c r="BP91" s="31"/>
      <c r="BQ91" s="31"/>
      <c r="BR91" s="31"/>
      <c r="BS91" s="31"/>
      <c r="BT91" s="31"/>
      <c r="BU91" s="31"/>
      <c r="BV91" s="31"/>
      <c r="BW91" s="31"/>
      <c r="BX91" s="31"/>
      <c r="BY91" s="31"/>
      <c r="BZ91" s="31"/>
      <c r="CA91" s="31"/>
      <c r="CB91" s="31"/>
    </row>
    <row r="92" spans="2:80"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  <c r="AT92" s="31"/>
      <c r="AU92" s="31"/>
      <c r="AV92" s="31"/>
      <c r="AW92" s="31"/>
      <c r="AX92" s="31"/>
      <c r="AY92" s="31"/>
      <c r="AZ92" s="31"/>
      <c r="BA92" s="31"/>
      <c r="BB92" s="31"/>
      <c r="BC92" s="31"/>
      <c r="BD92" s="31"/>
      <c r="BE92" s="31"/>
      <c r="BF92" s="31"/>
      <c r="BG92" s="31"/>
      <c r="BH92" s="31"/>
      <c r="BI92" s="31"/>
      <c r="BJ92" s="31"/>
      <c r="BK92" s="31"/>
      <c r="BL92" s="31"/>
      <c r="BM92" s="31"/>
      <c r="BN92" s="31"/>
      <c r="BO92" s="31"/>
      <c r="BP92" s="31"/>
      <c r="BQ92" s="31"/>
      <c r="BR92" s="31"/>
      <c r="BS92" s="31"/>
      <c r="BT92" s="31"/>
      <c r="BU92" s="31"/>
      <c r="BV92" s="31"/>
      <c r="BW92" s="31"/>
      <c r="BX92" s="31"/>
      <c r="BY92" s="31"/>
      <c r="BZ92" s="31"/>
      <c r="CA92" s="31"/>
      <c r="CB92" s="31"/>
    </row>
    <row r="93" spans="2:80"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  <c r="AT93" s="31"/>
      <c r="AU93" s="31"/>
      <c r="AV93" s="31"/>
      <c r="AW93" s="31"/>
      <c r="AX93" s="31"/>
      <c r="AY93" s="31"/>
      <c r="AZ93" s="31"/>
      <c r="BA93" s="31"/>
      <c r="BB93" s="31"/>
      <c r="BC93" s="31"/>
      <c r="BD93" s="31"/>
      <c r="BE93" s="31"/>
      <c r="BF93" s="31"/>
      <c r="BG93" s="31"/>
      <c r="BH93" s="31"/>
      <c r="BI93" s="31"/>
      <c r="BJ93" s="31"/>
      <c r="BK93" s="31"/>
      <c r="BL93" s="31"/>
      <c r="BM93" s="31"/>
      <c r="BN93" s="31"/>
      <c r="BO93" s="31"/>
      <c r="BP93" s="31"/>
      <c r="BQ93" s="31"/>
      <c r="BR93" s="31"/>
      <c r="BS93" s="31"/>
      <c r="BT93" s="31"/>
      <c r="BU93" s="31"/>
      <c r="BV93" s="31"/>
      <c r="BW93" s="31"/>
      <c r="BX93" s="31"/>
      <c r="BY93" s="31"/>
      <c r="BZ93" s="31"/>
      <c r="CA93" s="31"/>
      <c r="CB93" s="31"/>
    </row>
    <row r="94" spans="2:80"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  <c r="AT94" s="31"/>
      <c r="AU94" s="31"/>
      <c r="AV94" s="31"/>
      <c r="AW94" s="31"/>
      <c r="AX94" s="31"/>
      <c r="AY94" s="31"/>
      <c r="AZ94" s="31"/>
      <c r="BA94" s="31"/>
      <c r="BB94" s="31"/>
      <c r="BC94" s="31"/>
      <c r="BD94" s="31"/>
      <c r="BE94" s="31"/>
      <c r="BF94" s="31"/>
      <c r="BG94" s="31"/>
      <c r="BH94" s="31"/>
      <c r="BI94" s="31"/>
      <c r="BJ94" s="31"/>
      <c r="BK94" s="31"/>
      <c r="BL94" s="31"/>
      <c r="BM94" s="31"/>
      <c r="BN94" s="31"/>
      <c r="BO94" s="31"/>
      <c r="BP94" s="31"/>
      <c r="BQ94" s="31"/>
      <c r="BR94" s="31"/>
      <c r="BS94" s="31"/>
      <c r="BT94" s="31"/>
      <c r="BU94" s="31"/>
      <c r="BV94" s="31"/>
      <c r="BW94" s="31"/>
      <c r="BX94" s="31"/>
      <c r="BY94" s="31"/>
      <c r="BZ94" s="31"/>
      <c r="CA94" s="31"/>
      <c r="CB94" s="31"/>
    </row>
    <row r="95" spans="2:80"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  <c r="AT95" s="31"/>
      <c r="AU95" s="31"/>
      <c r="AV95" s="31"/>
      <c r="AW95" s="31"/>
      <c r="AX95" s="31"/>
      <c r="AY95" s="31"/>
      <c r="AZ95" s="31"/>
      <c r="BA95" s="31"/>
      <c r="BB95" s="31"/>
      <c r="BC95" s="31"/>
      <c r="BD95" s="31"/>
      <c r="BE95" s="31"/>
      <c r="BF95" s="31"/>
      <c r="BG95" s="31"/>
      <c r="BH95" s="31"/>
      <c r="BI95" s="31"/>
      <c r="BJ95" s="31"/>
      <c r="BK95" s="31"/>
      <c r="BL95" s="31"/>
      <c r="BM95" s="31"/>
      <c r="BN95" s="31"/>
      <c r="BO95" s="31"/>
      <c r="BP95" s="31"/>
      <c r="BQ95" s="31"/>
      <c r="BR95" s="31"/>
      <c r="BS95" s="31"/>
      <c r="BT95" s="31"/>
      <c r="BU95" s="31"/>
      <c r="BV95" s="31"/>
      <c r="BW95" s="31"/>
      <c r="BX95" s="31"/>
      <c r="BY95" s="31"/>
      <c r="BZ95" s="31"/>
      <c r="CA95" s="31"/>
      <c r="CB95" s="31"/>
    </row>
    <row r="96" spans="2:80"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31"/>
      <c r="AY96" s="31"/>
      <c r="AZ96" s="31"/>
      <c r="BA96" s="31"/>
      <c r="BB96" s="31"/>
      <c r="BC96" s="31"/>
      <c r="BD96" s="31"/>
      <c r="BE96" s="31"/>
      <c r="BF96" s="31"/>
      <c r="BG96" s="31"/>
      <c r="BH96" s="31"/>
      <c r="BI96" s="31"/>
      <c r="BJ96" s="31"/>
      <c r="BK96" s="31"/>
      <c r="BL96" s="31"/>
      <c r="BM96" s="31"/>
      <c r="BN96" s="31"/>
      <c r="BO96" s="31"/>
      <c r="BP96" s="31"/>
      <c r="BQ96" s="31"/>
      <c r="BR96" s="31"/>
      <c r="BS96" s="31"/>
      <c r="BT96" s="31"/>
      <c r="BU96" s="31"/>
      <c r="BV96" s="31"/>
      <c r="BW96" s="31"/>
      <c r="BX96" s="31"/>
      <c r="BY96" s="31"/>
      <c r="BZ96" s="31"/>
      <c r="CA96" s="31"/>
      <c r="CB96" s="31"/>
    </row>
    <row r="97" spans="2:80"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  <c r="AT97" s="31"/>
      <c r="AU97" s="31"/>
      <c r="AV97" s="31"/>
      <c r="AW97" s="31"/>
      <c r="AX97" s="31"/>
      <c r="AY97" s="31"/>
      <c r="AZ97" s="31"/>
      <c r="BA97" s="31"/>
      <c r="BB97" s="31"/>
      <c r="BC97" s="31"/>
      <c r="BD97" s="31"/>
      <c r="BE97" s="31"/>
      <c r="BF97" s="31"/>
      <c r="BG97" s="31"/>
      <c r="BH97" s="31"/>
      <c r="BI97" s="31"/>
      <c r="BJ97" s="31"/>
      <c r="BK97" s="31"/>
      <c r="BL97" s="31"/>
      <c r="BM97" s="31"/>
      <c r="BN97" s="31"/>
      <c r="BO97" s="31"/>
      <c r="BP97" s="31"/>
      <c r="BQ97" s="31"/>
      <c r="BR97" s="31"/>
      <c r="BS97" s="31"/>
      <c r="BT97" s="31"/>
      <c r="BU97" s="31"/>
      <c r="BV97" s="31"/>
      <c r="BW97" s="31"/>
      <c r="BX97" s="31"/>
      <c r="BY97" s="31"/>
      <c r="BZ97" s="31"/>
      <c r="CA97" s="31"/>
      <c r="CB97" s="31"/>
    </row>
    <row r="98" spans="2:80"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  <c r="AT98" s="31"/>
      <c r="AU98" s="31"/>
      <c r="AV98" s="31"/>
      <c r="AW98" s="31"/>
      <c r="AX98" s="31"/>
      <c r="AY98" s="31"/>
      <c r="AZ98" s="31"/>
      <c r="BA98" s="31"/>
      <c r="BB98" s="31"/>
      <c r="BC98" s="31"/>
      <c r="BD98" s="31"/>
      <c r="BE98" s="31"/>
      <c r="BF98" s="31"/>
      <c r="BG98" s="31"/>
      <c r="BH98" s="31"/>
      <c r="BI98" s="31"/>
      <c r="BJ98" s="31"/>
      <c r="BK98" s="31"/>
      <c r="BL98" s="31"/>
      <c r="BM98" s="31"/>
      <c r="BN98" s="31"/>
      <c r="BO98" s="31"/>
      <c r="BP98" s="31"/>
      <c r="BQ98" s="31"/>
      <c r="BR98" s="31"/>
      <c r="BS98" s="31"/>
      <c r="BT98" s="31"/>
      <c r="BU98" s="31"/>
      <c r="BV98" s="31"/>
      <c r="BW98" s="31"/>
      <c r="BX98" s="31"/>
      <c r="BY98" s="31"/>
      <c r="BZ98" s="31"/>
      <c r="CA98" s="31"/>
      <c r="CB98" s="31"/>
    </row>
    <row r="99" spans="2:80"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  <c r="AT99" s="31"/>
      <c r="AU99" s="31"/>
      <c r="AV99" s="31"/>
      <c r="AW99" s="31"/>
      <c r="AX99" s="31"/>
      <c r="AY99" s="31"/>
      <c r="AZ99" s="31"/>
      <c r="BA99" s="31"/>
      <c r="BB99" s="31"/>
      <c r="BC99" s="31"/>
      <c r="BD99" s="31"/>
      <c r="BE99" s="31"/>
      <c r="BF99" s="31"/>
      <c r="BG99" s="31"/>
      <c r="BH99" s="31"/>
      <c r="BI99" s="31"/>
      <c r="BJ99" s="31"/>
      <c r="BK99" s="31"/>
      <c r="BL99" s="31"/>
      <c r="BM99" s="31"/>
      <c r="BN99" s="31"/>
      <c r="BO99" s="31"/>
      <c r="BP99" s="31"/>
      <c r="BQ99" s="31"/>
      <c r="BR99" s="31"/>
      <c r="BS99" s="31"/>
      <c r="BT99" s="31"/>
      <c r="BU99" s="31"/>
      <c r="BV99" s="31"/>
      <c r="BW99" s="31"/>
      <c r="BX99" s="31"/>
      <c r="BY99" s="31"/>
      <c r="BZ99" s="31"/>
      <c r="CA99" s="31"/>
      <c r="CB99" s="31"/>
    </row>
    <row r="100" spans="2:80"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  <c r="AT100" s="31"/>
      <c r="AU100" s="31"/>
      <c r="AV100" s="31"/>
      <c r="AW100" s="31"/>
      <c r="AX100" s="31"/>
      <c r="AY100" s="31"/>
      <c r="AZ100" s="31"/>
      <c r="BA100" s="31"/>
      <c r="BB100" s="31"/>
      <c r="BC100" s="31"/>
      <c r="BD100" s="31"/>
      <c r="BE100" s="31"/>
      <c r="BF100" s="31"/>
      <c r="BG100" s="31"/>
      <c r="BH100" s="31"/>
      <c r="BI100" s="31"/>
      <c r="BJ100" s="31"/>
      <c r="BK100" s="31"/>
      <c r="BL100" s="31"/>
      <c r="BM100" s="31"/>
      <c r="BN100" s="31"/>
      <c r="BO100" s="31"/>
      <c r="BP100" s="31"/>
      <c r="BQ100" s="31"/>
      <c r="BR100" s="31"/>
      <c r="BS100" s="31"/>
      <c r="BT100" s="31"/>
      <c r="BU100" s="31"/>
      <c r="BV100" s="31"/>
      <c r="BW100" s="31"/>
      <c r="BX100" s="31"/>
      <c r="BY100" s="31"/>
      <c r="BZ100" s="31"/>
      <c r="CA100" s="31"/>
      <c r="CB100" s="31"/>
    </row>
    <row r="101" spans="2:80"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  <c r="AT101" s="31"/>
      <c r="AU101" s="31"/>
      <c r="AV101" s="31"/>
      <c r="AW101" s="31"/>
      <c r="AX101" s="31"/>
      <c r="AY101" s="31"/>
      <c r="AZ101" s="31"/>
      <c r="BA101" s="31"/>
      <c r="BB101" s="31"/>
      <c r="BC101" s="31"/>
      <c r="BD101" s="31"/>
      <c r="BE101" s="31"/>
      <c r="BF101" s="31"/>
      <c r="BG101" s="31"/>
      <c r="BH101" s="31"/>
      <c r="BI101" s="31"/>
      <c r="BJ101" s="31"/>
      <c r="BK101" s="31"/>
      <c r="BL101" s="31"/>
      <c r="BM101" s="31"/>
      <c r="BN101" s="31"/>
      <c r="BO101" s="31"/>
      <c r="BP101" s="31"/>
      <c r="BQ101" s="31"/>
      <c r="BR101" s="31"/>
      <c r="BS101" s="31"/>
      <c r="BT101" s="31"/>
      <c r="BU101" s="31"/>
      <c r="BV101" s="31"/>
      <c r="BW101" s="31"/>
      <c r="BX101" s="31"/>
      <c r="BY101" s="31"/>
      <c r="BZ101" s="31"/>
      <c r="CA101" s="31"/>
      <c r="CB101" s="31"/>
    </row>
    <row r="102" spans="2:80"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  <c r="AT102" s="31"/>
      <c r="AU102" s="31"/>
      <c r="AV102" s="31"/>
      <c r="AW102" s="31"/>
      <c r="AX102" s="31"/>
      <c r="AY102" s="31"/>
      <c r="AZ102" s="31"/>
      <c r="BA102" s="31"/>
      <c r="BB102" s="31"/>
      <c r="BC102" s="31"/>
      <c r="BD102" s="31"/>
      <c r="BE102" s="31"/>
      <c r="BF102" s="31"/>
      <c r="BG102" s="31"/>
      <c r="BH102" s="31"/>
      <c r="BI102" s="31"/>
      <c r="BJ102" s="31"/>
      <c r="BK102" s="31"/>
      <c r="BL102" s="31"/>
      <c r="BM102" s="31"/>
      <c r="BN102" s="31"/>
      <c r="BO102" s="31"/>
      <c r="BP102" s="31"/>
      <c r="BQ102" s="31"/>
      <c r="BR102" s="31"/>
      <c r="BS102" s="31"/>
      <c r="BT102" s="31"/>
      <c r="BU102" s="31"/>
      <c r="BV102" s="31"/>
      <c r="BW102" s="31"/>
      <c r="BX102" s="31"/>
      <c r="BY102" s="31"/>
      <c r="BZ102" s="31"/>
      <c r="CA102" s="31"/>
      <c r="CB102" s="31"/>
    </row>
    <row r="103" spans="2:80"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31"/>
      <c r="AY103" s="31"/>
      <c r="AZ103" s="31"/>
      <c r="BA103" s="31"/>
      <c r="BB103" s="31"/>
      <c r="BC103" s="31"/>
      <c r="BD103" s="31"/>
      <c r="BE103" s="31"/>
      <c r="BF103" s="31"/>
      <c r="BG103" s="31"/>
      <c r="BH103" s="31"/>
      <c r="BI103" s="31"/>
      <c r="BJ103" s="31"/>
      <c r="BK103" s="31"/>
      <c r="BL103" s="31"/>
      <c r="BM103" s="31"/>
      <c r="BN103" s="31"/>
      <c r="BO103" s="31"/>
      <c r="BP103" s="31"/>
      <c r="BQ103" s="31"/>
      <c r="BR103" s="31"/>
      <c r="BS103" s="31"/>
      <c r="BT103" s="31"/>
      <c r="BU103" s="31"/>
      <c r="BV103" s="31"/>
      <c r="BW103" s="31"/>
      <c r="BX103" s="31"/>
      <c r="BY103" s="31"/>
      <c r="BZ103" s="31"/>
      <c r="CA103" s="31"/>
      <c r="CB103" s="31"/>
    </row>
    <row r="104" spans="2:80"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  <c r="AT104" s="31"/>
      <c r="AU104" s="31"/>
      <c r="AV104" s="31"/>
      <c r="AW104" s="31"/>
      <c r="AX104" s="31"/>
      <c r="AY104" s="31"/>
      <c r="AZ104" s="31"/>
      <c r="BA104" s="31"/>
      <c r="BB104" s="31"/>
      <c r="BC104" s="31"/>
      <c r="BD104" s="31"/>
      <c r="BE104" s="31"/>
      <c r="BF104" s="31"/>
      <c r="BG104" s="31"/>
      <c r="BH104" s="31"/>
      <c r="BI104" s="31"/>
      <c r="BJ104" s="31"/>
      <c r="BK104" s="31"/>
      <c r="BL104" s="31"/>
      <c r="BM104" s="31"/>
      <c r="BN104" s="31"/>
      <c r="BO104" s="31"/>
      <c r="BP104" s="31"/>
      <c r="BQ104" s="31"/>
      <c r="BR104" s="31"/>
      <c r="BS104" s="31"/>
      <c r="BT104" s="31"/>
      <c r="BU104" s="31"/>
      <c r="BV104" s="31"/>
      <c r="BW104" s="31"/>
      <c r="BX104" s="31"/>
      <c r="BY104" s="31"/>
      <c r="BZ104" s="31"/>
      <c r="CA104" s="31"/>
      <c r="CB104" s="31"/>
    </row>
    <row r="105" spans="2:80"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  <c r="AT105" s="31"/>
      <c r="AU105" s="31"/>
      <c r="AV105" s="31"/>
      <c r="AW105" s="31"/>
      <c r="AX105" s="31"/>
      <c r="AY105" s="31"/>
      <c r="AZ105" s="31"/>
      <c r="BA105" s="31"/>
      <c r="BB105" s="31"/>
      <c r="BC105" s="31"/>
      <c r="BD105" s="31"/>
      <c r="BE105" s="31"/>
      <c r="BF105" s="31"/>
      <c r="BG105" s="31"/>
      <c r="BH105" s="31"/>
      <c r="BI105" s="31"/>
      <c r="BJ105" s="31"/>
      <c r="BK105" s="31"/>
      <c r="BL105" s="31"/>
      <c r="BM105" s="31"/>
      <c r="BN105" s="31"/>
      <c r="BO105" s="31"/>
      <c r="BP105" s="31"/>
      <c r="BQ105" s="31"/>
      <c r="BR105" s="31"/>
      <c r="BS105" s="31"/>
      <c r="BT105" s="31"/>
      <c r="BU105" s="31"/>
      <c r="BV105" s="31"/>
      <c r="BW105" s="31"/>
      <c r="BX105" s="31"/>
      <c r="BY105" s="31"/>
      <c r="BZ105" s="31"/>
      <c r="CA105" s="31"/>
      <c r="CB105" s="31"/>
    </row>
    <row r="106" spans="2:80"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  <c r="AX106" s="31"/>
      <c r="AY106" s="31"/>
      <c r="AZ106" s="31"/>
      <c r="BA106" s="31"/>
      <c r="BB106" s="31"/>
      <c r="BC106" s="31"/>
      <c r="BD106" s="31"/>
      <c r="BE106" s="31"/>
      <c r="BF106" s="31"/>
      <c r="BG106" s="31"/>
      <c r="BH106" s="31"/>
      <c r="BI106" s="31"/>
      <c r="BJ106" s="31"/>
      <c r="BK106" s="31"/>
      <c r="BL106" s="31"/>
      <c r="BM106" s="31"/>
      <c r="BN106" s="31"/>
      <c r="BO106" s="31"/>
      <c r="BP106" s="31"/>
      <c r="BQ106" s="31"/>
      <c r="BR106" s="31"/>
      <c r="BS106" s="31"/>
      <c r="BT106" s="31"/>
      <c r="BU106" s="31"/>
      <c r="BV106" s="31"/>
      <c r="BW106" s="31"/>
      <c r="BX106" s="31"/>
      <c r="BY106" s="31"/>
      <c r="BZ106" s="31"/>
      <c r="CA106" s="31"/>
      <c r="CB106" s="31"/>
    </row>
    <row r="107" spans="2:80"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  <c r="AX107" s="31"/>
      <c r="AY107" s="31"/>
      <c r="AZ107" s="31"/>
      <c r="BA107" s="31"/>
      <c r="BB107" s="31"/>
      <c r="BC107" s="31"/>
      <c r="BD107" s="31"/>
      <c r="BE107" s="31"/>
      <c r="BF107" s="31"/>
      <c r="BG107" s="31"/>
      <c r="BH107" s="31"/>
      <c r="BI107" s="31"/>
      <c r="BJ107" s="31"/>
      <c r="BK107" s="31"/>
      <c r="BL107" s="31"/>
      <c r="BM107" s="31"/>
      <c r="BN107" s="31"/>
      <c r="BO107" s="31"/>
      <c r="BP107" s="31"/>
      <c r="BQ107" s="31"/>
      <c r="BR107" s="31"/>
      <c r="BS107" s="31"/>
      <c r="BT107" s="31"/>
      <c r="BU107" s="31"/>
      <c r="BV107" s="31"/>
      <c r="BW107" s="31"/>
      <c r="BX107" s="31"/>
      <c r="BY107" s="31"/>
      <c r="BZ107" s="31"/>
      <c r="CA107" s="31"/>
      <c r="CB107" s="31"/>
    </row>
    <row r="108" spans="2:80"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  <c r="AT108" s="31"/>
      <c r="AU108" s="31"/>
      <c r="AV108" s="31"/>
      <c r="AW108" s="31"/>
      <c r="AX108" s="31"/>
      <c r="AY108" s="31"/>
      <c r="AZ108" s="31"/>
      <c r="BA108" s="31"/>
      <c r="BB108" s="31"/>
      <c r="BC108" s="31"/>
      <c r="BD108" s="31"/>
      <c r="BE108" s="31"/>
      <c r="BF108" s="31"/>
      <c r="BG108" s="31"/>
      <c r="BH108" s="31"/>
      <c r="BI108" s="31"/>
      <c r="BJ108" s="31"/>
      <c r="BK108" s="31"/>
      <c r="BL108" s="31"/>
      <c r="BM108" s="31"/>
      <c r="BN108" s="31"/>
      <c r="BO108" s="31"/>
      <c r="BP108" s="31"/>
      <c r="BQ108" s="31"/>
      <c r="BR108" s="31"/>
      <c r="BS108" s="31"/>
      <c r="BT108" s="31"/>
      <c r="BU108" s="31"/>
      <c r="BV108" s="31"/>
      <c r="BW108" s="31"/>
      <c r="BX108" s="31"/>
      <c r="BY108" s="31"/>
      <c r="BZ108" s="31"/>
      <c r="CA108" s="31"/>
      <c r="CB108" s="31"/>
    </row>
    <row r="109" spans="2:80"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  <c r="AT109" s="31"/>
      <c r="AU109" s="31"/>
      <c r="AV109" s="31"/>
      <c r="AW109" s="31"/>
      <c r="AX109" s="31"/>
      <c r="AY109" s="31"/>
      <c r="AZ109" s="31"/>
      <c r="BA109" s="31"/>
      <c r="BB109" s="31"/>
      <c r="BC109" s="31"/>
      <c r="BD109" s="31"/>
      <c r="BE109" s="31"/>
      <c r="BF109" s="31"/>
      <c r="BG109" s="31"/>
      <c r="BH109" s="31"/>
      <c r="BI109" s="31"/>
      <c r="BJ109" s="31"/>
      <c r="BK109" s="31"/>
      <c r="BL109" s="31"/>
      <c r="BM109" s="31"/>
      <c r="BN109" s="31"/>
      <c r="BO109" s="31"/>
      <c r="BP109" s="31"/>
      <c r="BQ109" s="31"/>
      <c r="BR109" s="31"/>
      <c r="BS109" s="31"/>
      <c r="BT109" s="31"/>
      <c r="BU109" s="31"/>
      <c r="BV109" s="31"/>
      <c r="BW109" s="31"/>
      <c r="BX109" s="31"/>
      <c r="BY109" s="31"/>
      <c r="BZ109" s="31"/>
      <c r="CA109" s="31"/>
      <c r="CB109" s="31"/>
    </row>
    <row r="110" spans="2:80"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  <c r="AT110" s="31"/>
      <c r="AU110" s="31"/>
      <c r="AV110" s="31"/>
      <c r="AW110" s="31"/>
      <c r="AX110" s="31"/>
      <c r="AY110" s="31"/>
      <c r="AZ110" s="31"/>
      <c r="BA110" s="31"/>
      <c r="BB110" s="31"/>
      <c r="BC110" s="31"/>
      <c r="BD110" s="31"/>
      <c r="BE110" s="31"/>
      <c r="BF110" s="31"/>
      <c r="BG110" s="31"/>
      <c r="BH110" s="31"/>
      <c r="BI110" s="31"/>
      <c r="BJ110" s="31"/>
      <c r="BK110" s="31"/>
      <c r="BL110" s="31"/>
      <c r="BM110" s="31"/>
      <c r="BN110" s="31"/>
      <c r="BO110" s="31"/>
      <c r="BP110" s="31"/>
      <c r="BQ110" s="31"/>
      <c r="BR110" s="31"/>
      <c r="BS110" s="31"/>
      <c r="BT110" s="31"/>
      <c r="BU110" s="31"/>
      <c r="BV110" s="31"/>
      <c r="BW110" s="31"/>
      <c r="BX110" s="31"/>
      <c r="BY110" s="31"/>
      <c r="BZ110" s="31"/>
      <c r="CA110" s="31"/>
      <c r="CB110" s="31"/>
    </row>
    <row r="111" spans="2:80"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  <c r="AT111" s="31"/>
      <c r="AU111" s="31"/>
      <c r="AV111" s="31"/>
      <c r="AW111" s="31"/>
      <c r="AX111" s="31"/>
      <c r="AY111" s="31"/>
      <c r="AZ111" s="31"/>
      <c r="BA111" s="31"/>
      <c r="BB111" s="31"/>
      <c r="BC111" s="31"/>
      <c r="BD111" s="31"/>
      <c r="BE111" s="31"/>
      <c r="BF111" s="31"/>
      <c r="BG111" s="31"/>
      <c r="BH111" s="31"/>
      <c r="BI111" s="31"/>
      <c r="BJ111" s="31"/>
      <c r="BK111" s="31"/>
      <c r="BL111" s="31"/>
      <c r="BM111" s="31"/>
      <c r="BN111" s="31"/>
      <c r="BO111" s="31"/>
      <c r="BP111" s="31"/>
      <c r="BQ111" s="31"/>
      <c r="BR111" s="31"/>
      <c r="BS111" s="31"/>
      <c r="BT111" s="31"/>
      <c r="BU111" s="31"/>
      <c r="BV111" s="31"/>
      <c r="BW111" s="31"/>
      <c r="BX111" s="31"/>
      <c r="BY111" s="31"/>
      <c r="BZ111" s="31"/>
      <c r="CA111" s="31"/>
      <c r="CB111" s="31"/>
    </row>
    <row r="112" spans="2:80"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  <c r="AT112" s="31"/>
      <c r="AU112" s="31"/>
      <c r="AV112" s="31"/>
      <c r="AW112" s="31"/>
      <c r="AX112" s="31"/>
      <c r="AY112" s="31"/>
      <c r="AZ112" s="31"/>
      <c r="BA112" s="31"/>
      <c r="BB112" s="31"/>
      <c r="BC112" s="31"/>
      <c r="BD112" s="31"/>
      <c r="BE112" s="31"/>
      <c r="BF112" s="31"/>
      <c r="BG112" s="31"/>
      <c r="BH112" s="31"/>
      <c r="BI112" s="31"/>
      <c r="BJ112" s="31"/>
      <c r="BK112" s="31"/>
      <c r="BL112" s="31"/>
      <c r="BM112" s="31"/>
      <c r="BN112" s="31"/>
      <c r="BO112" s="31"/>
      <c r="BP112" s="31"/>
      <c r="BQ112" s="31"/>
      <c r="BR112" s="31"/>
      <c r="BS112" s="31"/>
      <c r="BT112" s="31"/>
      <c r="BU112" s="31"/>
      <c r="BV112" s="31"/>
      <c r="BW112" s="31"/>
      <c r="BX112" s="31"/>
      <c r="BY112" s="31"/>
      <c r="BZ112" s="31"/>
      <c r="CA112" s="31"/>
      <c r="CB112" s="31"/>
    </row>
    <row r="113" spans="2:80"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  <c r="AT113" s="31"/>
      <c r="AU113" s="31"/>
      <c r="AV113" s="31"/>
      <c r="AW113" s="31"/>
      <c r="AX113" s="31"/>
      <c r="AY113" s="31"/>
      <c r="AZ113" s="31"/>
      <c r="BA113" s="31"/>
      <c r="BB113" s="31"/>
      <c r="BC113" s="31"/>
      <c r="BD113" s="31"/>
      <c r="BE113" s="31"/>
      <c r="BF113" s="31"/>
      <c r="BG113" s="31"/>
      <c r="BH113" s="31"/>
      <c r="BI113" s="31"/>
      <c r="BJ113" s="31"/>
      <c r="BK113" s="31"/>
      <c r="BL113" s="31"/>
      <c r="BM113" s="31"/>
      <c r="BN113" s="31"/>
      <c r="BO113" s="31"/>
      <c r="BP113" s="31"/>
      <c r="BQ113" s="31"/>
      <c r="BR113" s="31"/>
      <c r="BS113" s="31"/>
      <c r="BT113" s="31"/>
      <c r="BU113" s="31"/>
      <c r="BV113" s="31"/>
      <c r="BW113" s="31"/>
      <c r="BX113" s="31"/>
      <c r="BY113" s="31"/>
      <c r="BZ113" s="31"/>
      <c r="CA113" s="31"/>
      <c r="CB113" s="31"/>
    </row>
    <row r="114" spans="2:80"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  <c r="AT114" s="31"/>
      <c r="AU114" s="31"/>
      <c r="AV114" s="31"/>
      <c r="AW114" s="31"/>
      <c r="AX114" s="31"/>
      <c r="AY114" s="31"/>
      <c r="AZ114" s="31"/>
      <c r="BA114" s="31"/>
      <c r="BB114" s="31"/>
      <c r="BC114" s="31"/>
      <c r="BD114" s="31"/>
      <c r="BE114" s="31"/>
      <c r="BF114" s="31"/>
      <c r="BG114" s="31"/>
      <c r="BH114" s="31"/>
      <c r="BI114" s="31"/>
      <c r="BJ114" s="31"/>
      <c r="BK114" s="31"/>
      <c r="BL114" s="31"/>
      <c r="BM114" s="31"/>
      <c r="BN114" s="31"/>
      <c r="BO114" s="31"/>
      <c r="BP114" s="31"/>
      <c r="BQ114" s="31"/>
      <c r="BR114" s="31"/>
      <c r="BS114" s="31"/>
      <c r="BT114" s="31"/>
      <c r="BU114" s="31"/>
      <c r="BV114" s="31"/>
      <c r="BW114" s="31"/>
      <c r="BX114" s="31"/>
      <c r="BY114" s="31"/>
      <c r="BZ114" s="31"/>
      <c r="CA114" s="31"/>
      <c r="CB114" s="31"/>
    </row>
    <row r="115" spans="2:80"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  <c r="AT115" s="31"/>
      <c r="AU115" s="31"/>
      <c r="AV115" s="31"/>
      <c r="AW115" s="31"/>
      <c r="AX115" s="31"/>
      <c r="AY115" s="31"/>
      <c r="AZ115" s="31"/>
      <c r="BA115" s="31"/>
      <c r="BB115" s="31"/>
      <c r="BC115" s="31"/>
      <c r="BD115" s="31"/>
      <c r="BE115" s="31"/>
      <c r="BF115" s="31"/>
      <c r="BG115" s="31"/>
      <c r="BH115" s="31"/>
      <c r="BI115" s="31"/>
      <c r="BJ115" s="31"/>
      <c r="BK115" s="31"/>
      <c r="BL115" s="31"/>
      <c r="BM115" s="31"/>
      <c r="BN115" s="31"/>
      <c r="BO115" s="31"/>
      <c r="BP115" s="31"/>
      <c r="BQ115" s="31"/>
      <c r="BR115" s="31"/>
      <c r="BS115" s="31"/>
      <c r="BT115" s="31"/>
      <c r="BU115" s="31"/>
      <c r="BV115" s="31"/>
      <c r="BW115" s="31"/>
      <c r="BX115" s="31"/>
      <c r="BY115" s="31"/>
      <c r="BZ115" s="31"/>
      <c r="CA115" s="31"/>
      <c r="CB115" s="31"/>
    </row>
    <row r="116" spans="2:80"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  <c r="AT116" s="31"/>
      <c r="AU116" s="31"/>
      <c r="AV116" s="31"/>
      <c r="AW116" s="31"/>
      <c r="AX116" s="31"/>
      <c r="AY116" s="31"/>
      <c r="AZ116" s="31"/>
      <c r="BA116" s="31"/>
      <c r="BB116" s="31"/>
      <c r="BC116" s="31"/>
      <c r="BD116" s="31"/>
      <c r="BE116" s="31"/>
      <c r="BF116" s="31"/>
      <c r="BG116" s="31"/>
      <c r="BH116" s="31"/>
      <c r="BI116" s="31"/>
      <c r="BJ116" s="31"/>
      <c r="BK116" s="31"/>
      <c r="BL116" s="31"/>
      <c r="BM116" s="31"/>
      <c r="BN116" s="31"/>
      <c r="BO116" s="31"/>
      <c r="BP116" s="31"/>
      <c r="BQ116" s="31"/>
      <c r="BR116" s="31"/>
      <c r="BS116" s="31"/>
      <c r="BT116" s="31"/>
      <c r="BU116" s="31"/>
      <c r="BV116" s="31"/>
      <c r="BW116" s="31"/>
      <c r="BX116" s="31"/>
      <c r="BY116" s="31"/>
      <c r="BZ116" s="31"/>
      <c r="CA116" s="31"/>
      <c r="CB116" s="31"/>
    </row>
    <row r="117" spans="2:80"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  <c r="AT117" s="31"/>
      <c r="AU117" s="31"/>
      <c r="AV117" s="31"/>
      <c r="AW117" s="31"/>
      <c r="AX117" s="31"/>
      <c r="AY117" s="31"/>
      <c r="AZ117" s="31"/>
      <c r="BA117" s="31"/>
      <c r="BB117" s="31"/>
      <c r="BC117" s="31"/>
      <c r="BD117" s="31"/>
      <c r="BE117" s="31"/>
      <c r="BF117" s="31"/>
      <c r="BG117" s="31"/>
      <c r="BH117" s="31"/>
      <c r="BI117" s="31"/>
      <c r="BJ117" s="31"/>
      <c r="BK117" s="31"/>
      <c r="BL117" s="31"/>
      <c r="BM117" s="31"/>
      <c r="BN117" s="31"/>
      <c r="BO117" s="31"/>
      <c r="BP117" s="31"/>
      <c r="BQ117" s="31"/>
      <c r="BR117" s="31"/>
      <c r="BS117" s="31"/>
      <c r="BT117" s="31"/>
      <c r="BU117" s="31"/>
      <c r="BV117" s="31"/>
      <c r="BW117" s="31"/>
      <c r="BX117" s="31"/>
      <c r="BY117" s="31"/>
      <c r="BZ117" s="31"/>
      <c r="CA117" s="31"/>
      <c r="CB117" s="31"/>
    </row>
    <row r="118" spans="2:80"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  <c r="AT118" s="31"/>
      <c r="AU118" s="31"/>
      <c r="AV118" s="31"/>
      <c r="AW118" s="31"/>
      <c r="AX118" s="31"/>
      <c r="AY118" s="31"/>
      <c r="AZ118" s="31"/>
      <c r="BA118" s="31"/>
      <c r="BB118" s="31"/>
      <c r="BC118" s="31"/>
      <c r="BD118" s="31"/>
      <c r="BE118" s="31"/>
      <c r="BF118" s="31"/>
      <c r="BG118" s="31"/>
      <c r="BH118" s="31"/>
      <c r="BI118" s="31"/>
      <c r="BJ118" s="31"/>
      <c r="BK118" s="31"/>
      <c r="BL118" s="31"/>
      <c r="BM118" s="31"/>
      <c r="BN118" s="31"/>
      <c r="BO118" s="31"/>
      <c r="BP118" s="31"/>
      <c r="BQ118" s="31"/>
      <c r="BR118" s="31"/>
      <c r="BS118" s="31"/>
      <c r="BT118" s="31"/>
      <c r="BU118" s="31"/>
      <c r="BV118" s="31"/>
      <c r="BW118" s="31"/>
      <c r="BX118" s="31"/>
      <c r="BY118" s="31"/>
      <c r="BZ118" s="31"/>
      <c r="CA118" s="31"/>
      <c r="CB118" s="31"/>
    </row>
    <row r="119" spans="2:80"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  <c r="AT119" s="31"/>
      <c r="AU119" s="31"/>
      <c r="AV119" s="31"/>
      <c r="AW119" s="31"/>
      <c r="AX119" s="31"/>
      <c r="AY119" s="31"/>
      <c r="AZ119" s="31"/>
      <c r="BA119" s="31"/>
      <c r="BB119" s="31"/>
      <c r="BC119" s="31"/>
      <c r="BD119" s="31"/>
      <c r="BE119" s="31"/>
      <c r="BF119" s="31"/>
      <c r="BG119" s="31"/>
      <c r="BH119" s="31"/>
      <c r="BI119" s="31"/>
      <c r="BJ119" s="31"/>
      <c r="BK119" s="31"/>
      <c r="BL119" s="31"/>
      <c r="BM119" s="31"/>
      <c r="BN119" s="31"/>
      <c r="BO119" s="31"/>
      <c r="BP119" s="31"/>
      <c r="BQ119" s="31"/>
      <c r="BR119" s="31"/>
      <c r="BS119" s="31"/>
      <c r="BT119" s="31"/>
      <c r="BU119" s="31"/>
      <c r="BV119" s="31"/>
      <c r="BW119" s="31"/>
      <c r="BX119" s="31"/>
      <c r="BY119" s="31"/>
      <c r="BZ119" s="31"/>
      <c r="CA119" s="31"/>
      <c r="CB119" s="31"/>
    </row>
    <row r="120" spans="2:80"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  <c r="AT120" s="31"/>
      <c r="AU120" s="31"/>
      <c r="AV120" s="31"/>
      <c r="AW120" s="31"/>
      <c r="AX120" s="31"/>
      <c r="AY120" s="31"/>
      <c r="AZ120" s="31"/>
      <c r="BA120" s="31"/>
      <c r="BB120" s="31"/>
      <c r="BC120" s="31"/>
      <c r="BD120" s="31"/>
      <c r="BE120" s="31"/>
      <c r="BF120" s="31"/>
      <c r="BG120" s="31"/>
      <c r="BH120" s="31"/>
      <c r="BI120" s="31"/>
      <c r="BJ120" s="31"/>
      <c r="BK120" s="31"/>
      <c r="BL120" s="31"/>
      <c r="BM120" s="31"/>
      <c r="BN120" s="31"/>
      <c r="BO120" s="31"/>
      <c r="BP120" s="31"/>
      <c r="BQ120" s="31"/>
      <c r="BR120" s="31"/>
      <c r="BS120" s="31"/>
      <c r="BT120" s="31"/>
      <c r="BU120" s="31"/>
      <c r="BV120" s="31"/>
      <c r="BW120" s="31"/>
      <c r="BX120" s="31"/>
      <c r="BY120" s="31"/>
      <c r="BZ120" s="31"/>
      <c r="CA120" s="31"/>
      <c r="CB120" s="31"/>
    </row>
    <row r="121" spans="2:80"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  <c r="AT121" s="31"/>
      <c r="AU121" s="31"/>
      <c r="AV121" s="31"/>
      <c r="AW121" s="31"/>
      <c r="AX121" s="31"/>
      <c r="AY121" s="31"/>
      <c r="AZ121" s="31"/>
      <c r="BA121" s="31"/>
      <c r="BB121" s="31"/>
      <c r="BC121" s="31"/>
      <c r="BD121" s="31"/>
      <c r="BE121" s="31"/>
      <c r="BF121" s="31"/>
      <c r="BG121" s="31"/>
      <c r="BH121" s="31"/>
      <c r="BI121" s="31"/>
      <c r="BJ121" s="31"/>
      <c r="BK121" s="31"/>
      <c r="BL121" s="31"/>
      <c r="BM121" s="31"/>
      <c r="BN121" s="31"/>
      <c r="BO121" s="31"/>
      <c r="BP121" s="31"/>
      <c r="BQ121" s="31"/>
      <c r="BR121" s="31"/>
      <c r="BS121" s="31"/>
      <c r="BT121" s="31"/>
      <c r="BU121" s="31"/>
      <c r="BV121" s="31"/>
      <c r="BW121" s="31"/>
      <c r="BX121" s="31"/>
      <c r="BY121" s="31"/>
      <c r="BZ121" s="31"/>
      <c r="CA121" s="31"/>
      <c r="CB121" s="31"/>
    </row>
    <row r="122" spans="2:80"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  <c r="AT122" s="31"/>
      <c r="AU122" s="31"/>
      <c r="AV122" s="31"/>
      <c r="AW122" s="31"/>
      <c r="AX122" s="31"/>
      <c r="AY122" s="31"/>
      <c r="AZ122" s="31"/>
      <c r="BA122" s="31"/>
      <c r="BB122" s="31"/>
      <c r="BC122" s="31"/>
      <c r="BD122" s="31"/>
      <c r="BE122" s="31"/>
      <c r="BF122" s="31"/>
      <c r="BG122" s="31"/>
      <c r="BH122" s="31"/>
      <c r="BI122" s="31"/>
      <c r="BJ122" s="31"/>
      <c r="BK122" s="31"/>
      <c r="BL122" s="31"/>
      <c r="BM122" s="31"/>
      <c r="BN122" s="31"/>
      <c r="BO122" s="31"/>
      <c r="BP122" s="31"/>
      <c r="BQ122" s="31"/>
      <c r="BR122" s="31"/>
      <c r="BS122" s="31"/>
      <c r="BT122" s="31"/>
      <c r="BU122" s="31"/>
      <c r="BV122" s="31"/>
      <c r="BW122" s="31"/>
      <c r="BX122" s="31"/>
      <c r="BY122" s="31"/>
      <c r="BZ122" s="31"/>
      <c r="CA122" s="31"/>
      <c r="CB122" s="31"/>
    </row>
    <row r="123" spans="2:80"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  <c r="AT123" s="31"/>
      <c r="AU123" s="31"/>
      <c r="AV123" s="31"/>
      <c r="AW123" s="31"/>
      <c r="AX123" s="31"/>
      <c r="AY123" s="31"/>
      <c r="AZ123" s="31"/>
      <c r="BA123" s="31"/>
      <c r="BB123" s="31"/>
      <c r="BC123" s="31"/>
      <c r="BD123" s="31"/>
      <c r="BE123" s="31"/>
      <c r="BF123" s="31"/>
      <c r="BG123" s="31"/>
      <c r="BH123" s="31"/>
      <c r="BI123" s="31"/>
      <c r="BJ123" s="31"/>
      <c r="BK123" s="31"/>
      <c r="BL123" s="31"/>
      <c r="BM123" s="31"/>
      <c r="BN123" s="31"/>
      <c r="BO123" s="31"/>
      <c r="BP123" s="31"/>
      <c r="BQ123" s="31"/>
      <c r="BR123" s="31"/>
      <c r="BS123" s="31"/>
      <c r="BT123" s="31"/>
      <c r="BU123" s="31"/>
      <c r="BV123" s="31"/>
      <c r="BW123" s="31"/>
      <c r="BX123" s="31"/>
      <c r="BY123" s="31"/>
      <c r="BZ123" s="31"/>
      <c r="CA123" s="31"/>
      <c r="CB123" s="31"/>
    </row>
    <row r="124" spans="2:80"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  <c r="AT124" s="31"/>
      <c r="AU124" s="31"/>
      <c r="AV124" s="31"/>
      <c r="AW124" s="31"/>
      <c r="AX124" s="31"/>
      <c r="AY124" s="31"/>
      <c r="AZ124" s="31"/>
      <c r="BA124" s="31"/>
      <c r="BB124" s="31"/>
      <c r="BC124" s="31"/>
      <c r="BD124" s="31"/>
      <c r="BE124" s="31"/>
      <c r="BF124" s="31"/>
      <c r="BG124" s="31"/>
      <c r="BH124" s="31"/>
      <c r="BI124" s="31"/>
      <c r="BJ124" s="31"/>
      <c r="BK124" s="31"/>
      <c r="BL124" s="31"/>
      <c r="BM124" s="31"/>
      <c r="BN124" s="31"/>
      <c r="BO124" s="31"/>
      <c r="BP124" s="31"/>
      <c r="BQ124" s="31"/>
      <c r="BR124" s="31"/>
      <c r="BS124" s="31"/>
      <c r="BT124" s="31"/>
      <c r="BU124" s="31"/>
      <c r="BV124" s="31"/>
      <c r="BW124" s="31"/>
      <c r="BX124" s="31"/>
      <c r="BY124" s="31"/>
      <c r="BZ124" s="31"/>
      <c r="CA124" s="31"/>
      <c r="CB124" s="31"/>
    </row>
    <row r="125" spans="2:80"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  <c r="AT125" s="31"/>
      <c r="AU125" s="31"/>
      <c r="AV125" s="31"/>
      <c r="AW125" s="31"/>
      <c r="AX125" s="31"/>
      <c r="AY125" s="31"/>
      <c r="AZ125" s="31"/>
      <c r="BA125" s="31"/>
      <c r="BB125" s="31"/>
      <c r="BC125" s="31"/>
      <c r="BD125" s="31"/>
      <c r="BE125" s="31"/>
      <c r="BF125" s="31"/>
      <c r="BG125" s="31"/>
      <c r="BH125" s="31"/>
      <c r="BI125" s="31"/>
      <c r="BJ125" s="31"/>
      <c r="BK125" s="31"/>
      <c r="BL125" s="31"/>
      <c r="BM125" s="31"/>
      <c r="BN125" s="31"/>
      <c r="BO125" s="31"/>
      <c r="BP125" s="31"/>
      <c r="BQ125" s="31"/>
      <c r="BR125" s="31"/>
      <c r="BS125" s="31"/>
      <c r="BT125" s="31"/>
      <c r="BU125" s="31"/>
      <c r="BV125" s="31"/>
      <c r="BW125" s="31"/>
      <c r="BX125" s="31"/>
      <c r="BY125" s="31"/>
      <c r="BZ125" s="31"/>
      <c r="CA125" s="31"/>
      <c r="CB125" s="31"/>
    </row>
    <row r="126" spans="2:80"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  <c r="AT126" s="31"/>
      <c r="AU126" s="31"/>
      <c r="AV126" s="31"/>
      <c r="AW126" s="31"/>
      <c r="AX126" s="31"/>
      <c r="AY126" s="31"/>
      <c r="AZ126" s="31"/>
      <c r="BA126" s="31"/>
      <c r="BB126" s="31"/>
      <c r="BC126" s="31"/>
      <c r="BD126" s="31"/>
      <c r="BE126" s="31"/>
      <c r="BF126" s="31"/>
      <c r="BG126" s="31"/>
      <c r="BH126" s="31"/>
      <c r="BI126" s="31"/>
      <c r="BJ126" s="31"/>
      <c r="BK126" s="31"/>
      <c r="BL126" s="31"/>
      <c r="BM126" s="31"/>
      <c r="BN126" s="31"/>
      <c r="BO126" s="31"/>
      <c r="BP126" s="31"/>
      <c r="BQ126" s="31"/>
      <c r="BR126" s="31"/>
      <c r="BS126" s="31"/>
      <c r="BT126" s="31"/>
      <c r="BU126" s="31"/>
      <c r="BV126" s="31"/>
      <c r="BW126" s="31"/>
      <c r="BX126" s="31"/>
      <c r="BY126" s="31"/>
      <c r="BZ126" s="31"/>
      <c r="CA126" s="31"/>
      <c r="CB126" s="31"/>
    </row>
    <row r="127" spans="2:80"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  <c r="AP127" s="31"/>
      <c r="AQ127" s="31"/>
      <c r="AR127" s="31"/>
      <c r="AS127" s="31"/>
      <c r="AT127" s="31"/>
      <c r="AU127" s="31"/>
      <c r="AV127" s="31"/>
      <c r="AW127" s="31"/>
      <c r="AX127" s="31"/>
      <c r="AY127" s="31"/>
      <c r="AZ127" s="31"/>
      <c r="BA127" s="31"/>
      <c r="BB127" s="31"/>
      <c r="BC127" s="31"/>
      <c r="BD127" s="31"/>
      <c r="BE127" s="31"/>
      <c r="BF127" s="31"/>
      <c r="BG127" s="31"/>
      <c r="BH127" s="31"/>
      <c r="BI127" s="31"/>
      <c r="BJ127" s="31"/>
      <c r="BK127" s="31"/>
      <c r="BL127" s="31"/>
      <c r="BM127" s="31"/>
      <c r="BN127" s="31"/>
      <c r="BO127" s="31"/>
      <c r="BP127" s="31"/>
      <c r="BQ127" s="31"/>
      <c r="BR127" s="31"/>
      <c r="BS127" s="31"/>
      <c r="BT127" s="31"/>
      <c r="BU127" s="31"/>
      <c r="BV127" s="31"/>
      <c r="BW127" s="31"/>
      <c r="BX127" s="31"/>
      <c r="BY127" s="31"/>
      <c r="BZ127" s="31"/>
      <c r="CA127" s="31"/>
      <c r="CB127" s="31"/>
    </row>
    <row r="128" spans="2:80"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  <c r="AT128" s="31"/>
      <c r="AU128" s="31"/>
      <c r="AV128" s="31"/>
      <c r="AW128" s="31"/>
      <c r="AX128" s="31"/>
      <c r="AY128" s="31"/>
      <c r="AZ128" s="31"/>
      <c r="BA128" s="31"/>
      <c r="BB128" s="31"/>
      <c r="BC128" s="31"/>
      <c r="BD128" s="31"/>
      <c r="BE128" s="31"/>
      <c r="BF128" s="31"/>
      <c r="BG128" s="31"/>
      <c r="BH128" s="31"/>
      <c r="BI128" s="31"/>
      <c r="BJ128" s="31"/>
      <c r="BK128" s="31"/>
      <c r="BL128" s="31"/>
      <c r="BM128" s="31"/>
      <c r="BN128" s="31"/>
      <c r="BO128" s="31"/>
      <c r="BP128" s="31"/>
      <c r="BQ128" s="31"/>
      <c r="BR128" s="31"/>
      <c r="BS128" s="31"/>
      <c r="BT128" s="31"/>
      <c r="BU128" s="31"/>
      <c r="BV128" s="31"/>
      <c r="BW128" s="31"/>
      <c r="BX128" s="31"/>
      <c r="BY128" s="31"/>
      <c r="BZ128" s="31"/>
      <c r="CA128" s="31"/>
      <c r="CB128" s="31"/>
    </row>
    <row r="129" spans="2:80"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  <c r="AT129" s="31"/>
      <c r="AU129" s="31"/>
      <c r="AV129" s="31"/>
      <c r="AW129" s="31"/>
      <c r="AX129" s="31"/>
      <c r="AY129" s="31"/>
      <c r="AZ129" s="31"/>
      <c r="BA129" s="31"/>
      <c r="BB129" s="31"/>
      <c r="BC129" s="31"/>
      <c r="BD129" s="31"/>
      <c r="BE129" s="31"/>
      <c r="BF129" s="31"/>
      <c r="BG129" s="31"/>
      <c r="BH129" s="31"/>
      <c r="BI129" s="31"/>
      <c r="BJ129" s="31"/>
      <c r="BK129" s="31"/>
      <c r="BL129" s="31"/>
      <c r="BM129" s="31"/>
      <c r="BN129" s="31"/>
      <c r="BO129" s="31"/>
      <c r="BP129" s="31"/>
      <c r="BQ129" s="31"/>
      <c r="BR129" s="31"/>
      <c r="BS129" s="31"/>
      <c r="BT129" s="31"/>
      <c r="BU129" s="31"/>
      <c r="BV129" s="31"/>
      <c r="BW129" s="31"/>
      <c r="BX129" s="31"/>
      <c r="BY129" s="31"/>
      <c r="BZ129" s="31"/>
      <c r="CA129" s="31"/>
      <c r="CB129" s="31"/>
    </row>
    <row r="130" spans="2:80"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  <c r="AN130" s="31"/>
      <c r="AO130" s="31"/>
      <c r="AP130" s="31"/>
      <c r="AQ130" s="31"/>
      <c r="AR130" s="31"/>
      <c r="AS130" s="31"/>
      <c r="AT130" s="31"/>
      <c r="AU130" s="31"/>
      <c r="AV130" s="31"/>
      <c r="AW130" s="31"/>
      <c r="AX130" s="31"/>
      <c r="AY130" s="31"/>
      <c r="AZ130" s="31"/>
      <c r="BA130" s="31"/>
      <c r="BB130" s="31"/>
      <c r="BC130" s="31"/>
      <c r="BD130" s="31"/>
      <c r="BE130" s="31"/>
      <c r="BF130" s="31"/>
      <c r="BG130" s="31"/>
      <c r="BH130" s="31"/>
      <c r="BI130" s="31"/>
      <c r="BJ130" s="31"/>
      <c r="BK130" s="31"/>
      <c r="BL130" s="31"/>
      <c r="BM130" s="31"/>
      <c r="BN130" s="31"/>
      <c r="BO130" s="31"/>
      <c r="BP130" s="31"/>
      <c r="BQ130" s="31"/>
      <c r="BR130" s="31"/>
      <c r="BS130" s="31"/>
      <c r="BT130" s="31"/>
      <c r="BU130" s="31"/>
      <c r="BV130" s="31"/>
      <c r="BW130" s="31"/>
      <c r="BX130" s="31"/>
      <c r="BY130" s="31"/>
      <c r="BZ130" s="31"/>
      <c r="CA130" s="31"/>
      <c r="CB130" s="31"/>
    </row>
    <row r="131" spans="2:80"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31"/>
      <c r="AR131" s="31"/>
      <c r="AS131" s="31"/>
      <c r="AT131" s="31"/>
      <c r="AU131" s="31"/>
      <c r="AV131" s="31"/>
      <c r="AW131" s="31"/>
      <c r="AX131" s="31"/>
      <c r="AY131" s="31"/>
      <c r="AZ131" s="31"/>
      <c r="BA131" s="31"/>
      <c r="BB131" s="31"/>
      <c r="BC131" s="31"/>
      <c r="BD131" s="31"/>
      <c r="BE131" s="31"/>
      <c r="BF131" s="31"/>
      <c r="BG131" s="31"/>
      <c r="BH131" s="31"/>
      <c r="BI131" s="31"/>
      <c r="BJ131" s="31"/>
      <c r="BK131" s="31"/>
      <c r="BL131" s="31"/>
      <c r="BM131" s="31"/>
      <c r="BN131" s="31"/>
      <c r="BO131" s="31"/>
      <c r="BP131" s="31"/>
      <c r="BQ131" s="31"/>
      <c r="BR131" s="31"/>
      <c r="BS131" s="31"/>
      <c r="BT131" s="31"/>
      <c r="BU131" s="31"/>
      <c r="BV131" s="31"/>
      <c r="BW131" s="31"/>
      <c r="BX131" s="31"/>
      <c r="BY131" s="31"/>
      <c r="BZ131" s="31"/>
      <c r="CA131" s="31"/>
      <c r="CB131" s="31"/>
    </row>
    <row r="132" spans="2:80"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  <c r="AT132" s="31"/>
      <c r="AU132" s="31"/>
      <c r="AV132" s="31"/>
      <c r="AW132" s="31"/>
      <c r="AX132" s="31"/>
      <c r="AY132" s="31"/>
      <c r="AZ132" s="31"/>
      <c r="BA132" s="31"/>
      <c r="BB132" s="31"/>
      <c r="BC132" s="31"/>
      <c r="BD132" s="31"/>
      <c r="BE132" s="31"/>
      <c r="BF132" s="31"/>
      <c r="BG132" s="31"/>
      <c r="BH132" s="31"/>
      <c r="BI132" s="31"/>
      <c r="BJ132" s="31"/>
      <c r="BK132" s="31"/>
      <c r="BL132" s="31"/>
      <c r="BM132" s="31"/>
      <c r="BN132" s="31"/>
      <c r="BO132" s="31"/>
      <c r="BP132" s="31"/>
      <c r="BQ132" s="31"/>
      <c r="BR132" s="31"/>
      <c r="BS132" s="31"/>
      <c r="BT132" s="31"/>
      <c r="BU132" s="31"/>
      <c r="BV132" s="31"/>
      <c r="BW132" s="31"/>
      <c r="BX132" s="31"/>
      <c r="BY132" s="31"/>
      <c r="BZ132" s="31"/>
      <c r="CA132" s="31"/>
      <c r="CB132" s="31"/>
    </row>
    <row r="133" spans="2:80"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  <c r="AT133" s="31"/>
      <c r="AU133" s="31"/>
      <c r="AV133" s="31"/>
      <c r="AW133" s="31"/>
      <c r="AX133" s="31"/>
      <c r="AY133" s="31"/>
      <c r="AZ133" s="31"/>
      <c r="BA133" s="31"/>
      <c r="BB133" s="31"/>
      <c r="BC133" s="31"/>
      <c r="BD133" s="31"/>
      <c r="BE133" s="31"/>
      <c r="BF133" s="31"/>
      <c r="BG133" s="31"/>
      <c r="BH133" s="31"/>
      <c r="BI133" s="31"/>
      <c r="BJ133" s="31"/>
      <c r="BK133" s="31"/>
      <c r="BL133" s="31"/>
      <c r="BM133" s="31"/>
      <c r="BN133" s="31"/>
      <c r="BO133" s="31"/>
      <c r="BP133" s="31"/>
      <c r="BQ133" s="31"/>
      <c r="BR133" s="31"/>
      <c r="BS133" s="31"/>
      <c r="BT133" s="31"/>
      <c r="BU133" s="31"/>
      <c r="BV133" s="31"/>
      <c r="BW133" s="31"/>
      <c r="BX133" s="31"/>
      <c r="BY133" s="31"/>
      <c r="BZ133" s="31"/>
      <c r="CA133" s="31"/>
      <c r="CB133" s="31"/>
    </row>
    <row r="134" spans="2:80"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  <c r="AT134" s="31"/>
      <c r="AU134" s="31"/>
      <c r="AV134" s="31"/>
      <c r="AW134" s="31"/>
      <c r="AX134" s="31"/>
      <c r="AY134" s="31"/>
      <c r="AZ134" s="31"/>
      <c r="BA134" s="31"/>
      <c r="BB134" s="31"/>
      <c r="BC134" s="31"/>
      <c r="BD134" s="31"/>
      <c r="BE134" s="31"/>
      <c r="BF134" s="31"/>
      <c r="BG134" s="31"/>
      <c r="BH134" s="31"/>
      <c r="BI134" s="31"/>
      <c r="BJ134" s="31"/>
      <c r="BK134" s="31"/>
      <c r="BL134" s="31"/>
      <c r="BM134" s="31"/>
      <c r="BN134" s="31"/>
      <c r="BO134" s="31"/>
      <c r="BP134" s="31"/>
      <c r="BQ134" s="31"/>
      <c r="BR134" s="31"/>
      <c r="BS134" s="31"/>
      <c r="BT134" s="31"/>
      <c r="BU134" s="31"/>
      <c r="BV134" s="31"/>
      <c r="BW134" s="31"/>
      <c r="BX134" s="31"/>
      <c r="BY134" s="31"/>
      <c r="BZ134" s="31"/>
      <c r="CA134" s="31"/>
      <c r="CB134" s="31"/>
    </row>
    <row r="135" spans="2:80"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  <c r="AT135" s="31"/>
      <c r="AU135" s="31"/>
      <c r="AV135" s="31"/>
      <c r="AW135" s="31"/>
      <c r="AX135" s="31"/>
      <c r="AY135" s="31"/>
      <c r="AZ135" s="31"/>
      <c r="BA135" s="31"/>
      <c r="BB135" s="31"/>
      <c r="BC135" s="31"/>
      <c r="BD135" s="31"/>
      <c r="BE135" s="31"/>
      <c r="BF135" s="31"/>
      <c r="BG135" s="31"/>
      <c r="BH135" s="31"/>
      <c r="BI135" s="31"/>
      <c r="BJ135" s="31"/>
      <c r="BK135" s="31"/>
      <c r="BL135" s="31"/>
      <c r="BM135" s="31"/>
      <c r="BN135" s="31"/>
      <c r="BO135" s="31"/>
      <c r="BP135" s="31"/>
      <c r="BQ135" s="31"/>
      <c r="BR135" s="31"/>
      <c r="BS135" s="31"/>
      <c r="BT135" s="31"/>
      <c r="BU135" s="31"/>
      <c r="BV135" s="31"/>
      <c r="BW135" s="31"/>
      <c r="BX135" s="31"/>
      <c r="BY135" s="31"/>
      <c r="BZ135" s="31"/>
      <c r="CA135" s="31"/>
      <c r="CB135" s="31"/>
    </row>
    <row r="136" spans="2:80"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  <c r="AN136" s="31"/>
      <c r="AO136" s="31"/>
      <c r="AP136" s="31"/>
      <c r="AQ136" s="31"/>
      <c r="AR136" s="31"/>
      <c r="AS136" s="31"/>
      <c r="AT136" s="31"/>
      <c r="AU136" s="31"/>
      <c r="AV136" s="31"/>
      <c r="AW136" s="31"/>
      <c r="AX136" s="31"/>
      <c r="AY136" s="31"/>
      <c r="AZ136" s="31"/>
      <c r="BA136" s="31"/>
      <c r="BB136" s="31"/>
      <c r="BC136" s="31"/>
      <c r="BD136" s="31"/>
      <c r="BE136" s="31"/>
      <c r="BF136" s="31"/>
      <c r="BG136" s="31"/>
      <c r="BH136" s="31"/>
      <c r="BI136" s="31"/>
      <c r="BJ136" s="31"/>
      <c r="BK136" s="31"/>
      <c r="BL136" s="31"/>
      <c r="BM136" s="31"/>
      <c r="BN136" s="31"/>
      <c r="BO136" s="31"/>
      <c r="BP136" s="31"/>
      <c r="BQ136" s="31"/>
      <c r="BR136" s="31"/>
      <c r="BS136" s="31"/>
      <c r="BT136" s="31"/>
      <c r="BU136" s="31"/>
      <c r="BV136" s="31"/>
      <c r="BW136" s="31"/>
      <c r="BX136" s="31"/>
      <c r="BY136" s="31"/>
      <c r="BZ136" s="31"/>
      <c r="CA136" s="31"/>
      <c r="CB136" s="31"/>
    </row>
    <row r="137" spans="2:80"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1"/>
      <c r="AP137" s="31"/>
      <c r="AQ137" s="31"/>
      <c r="AR137" s="31"/>
      <c r="AS137" s="31"/>
      <c r="AT137" s="31"/>
      <c r="AU137" s="31"/>
      <c r="AV137" s="31"/>
      <c r="AW137" s="31"/>
      <c r="AX137" s="31"/>
      <c r="AY137" s="31"/>
      <c r="AZ137" s="31"/>
      <c r="BA137" s="31"/>
      <c r="BB137" s="31"/>
      <c r="BC137" s="31"/>
      <c r="BD137" s="31"/>
      <c r="BE137" s="31"/>
      <c r="BF137" s="31"/>
      <c r="BG137" s="31"/>
      <c r="BH137" s="31"/>
      <c r="BI137" s="31"/>
      <c r="BJ137" s="31"/>
      <c r="BK137" s="31"/>
      <c r="BL137" s="31"/>
      <c r="BM137" s="31"/>
      <c r="BN137" s="31"/>
      <c r="BO137" s="31"/>
      <c r="BP137" s="31"/>
      <c r="BQ137" s="31"/>
      <c r="BR137" s="31"/>
      <c r="BS137" s="31"/>
      <c r="BT137" s="31"/>
      <c r="BU137" s="31"/>
      <c r="BV137" s="31"/>
      <c r="BW137" s="31"/>
      <c r="BX137" s="31"/>
      <c r="BY137" s="31"/>
      <c r="BZ137" s="31"/>
      <c r="CA137" s="31"/>
      <c r="CB137" s="31"/>
    </row>
    <row r="138" spans="2:80"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  <c r="AT138" s="31"/>
      <c r="AU138" s="31"/>
      <c r="AV138" s="31"/>
      <c r="AW138" s="31"/>
      <c r="AX138" s="31"/>
      <c r="AY138" s="31"/>
      <c r="AZ138" s="31"/>
      <c r="BA138" s="31"/>
      <c r="BB138" s="31"/>
      <c r="BC138" s="31"/>
      <c r="BD138" s="31"/>
      <c r="BE138" s="31"/>
      <c r="BF138" s="31"/>
      <c r="BG138" s="31"/>
      <c r="BH138" s="31"/>
      <c r="BI138" s="31"/>
      <c r="BJ138" s="31"/>
      <c r="BK138" s="31"/>
      <c r="BL138" s="31"/>
      <c r="BM138" s="31"/>
      <c r="BN138" s="31"/>
      <c r="BO138" s="31"/>
      <c r="BP138" s="31"/>
      <c r="BQ138" s="31"/>
      <c r="BR138" s="31"/>
      <c r="BS138" s="31"/>
      <c r="BT138" s="31"/>
      <c r="BU138" s="31"/>
      <c r="BV138" s="31"/>
      <c r="BW138" s="31"/>
      <c r="BX138" s="31"/>
      <c r="BY138" s="31"/>
      <c r="BZ138" s="31"/>
      <c r="CA138" s="31"/>
      <c r="CB138" s="31"/>
    </row>
    <row r="139" spans="2:80"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  <c r="AT139" s="31"/>
      <c r="AU139" s="31"/>
      <c r="AV139" s="31"/>
      <c r="AW139" s="31"/>
      <c r="AX139" s="31"/>
      <c r="AY139" s="31"/>
      <c r="AZ139" s="31"/>
      <c r="BA139" s="31"/>
      <c r="BB139" s="31"/>
      <c r="BC139" s="31"/>
      <c r="BD139" s="31"/>
      <c r="BE139" s="31"/>
      <c r="BF139" s="31"/>
      <c r="BG139" s="31"/>
      <c r="BH139" s="31"/>
      <c r="BI139" s="31"/>
      <c r="BJ139" s="31"/>
      <c r="BK139" s="31"/>
      <c r="BL139" s="31"/>
      <c r="BM139" s="31"/>
      <c r="BN139" s="31"/>
      <c r="BO139" s="31"/>
      <c r="BP139" s="31"/>
      <c r="BQ139" s="31"/>
      <c r="BR139" s="31"/>
      <c r="BS139" s="31"/>
      <c r="BT139" s="31"/>
      <c r="BU139" s="31"/>
      <c r="BV139" s="31"/>
      <c r="BW139" s="31"/>
      <c r="BX139" s="31"/>
      <c r="BY139" s="31"/>
      <c r="BZ139" s="31"/>
      <c r="CA139" s="31"/>
      <c r="CB139" s="31"/>
    </row>
    <row r="140" spans="2:80"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  <c r="AN140" s="31"/>
      <c r="AO140" s="31"/>
      <c r="AP140" s="31"/>
      <c r="AQ140" s="31"/>
      <c r="AR140" s="31"/>
      <c r="AS140" s="31"/>
      <c r="AT140" s="31"/>
      <c r="AU140" s="31"/>
      <c r="AV140" s="31"/>
      <c r="AW140" s="31"/>
      <c r="AX140" s="31"/>
      <c r="AY140" s="31"/>
      <c r="AZ140" s="31"/>
      <c r="BA140" s="31"/>
      <c r="BB140" s="31"/>
      <c r="BC140" s="31"/>
      <c r="BD140" s="31"/>
      <c r="BE140" s="31"/>
      <c r="BF140" s="31"/>
      <c r="BG140" s="31"/>
      <c r="BH140" s="31"/>
      <c r="BI140" s="31"/>
      <c r="BJ140" s="31"/>
      <c r="BK140" s="31"/>
      <c r="BL140" s="31"/>
      <c r="BM140" s="31"/>
      <c r="BN140" s="31"/>
      <c r="BO140" s="31"/>
      <c r="BP140" s="31"/>
      <c r="BQ140" s="31"/>
      <c r="BR140" s="31"/>
      <c r="BS140" s="31"/>
      <c r="BT140" s="31"/>
      <c r="BU140" s="31"/>
      <c r="BV140" s="31"/>
      <c r="BW140" s="31"/>
      <c r="BX140" s="31"/>
      <c r="BY140" s="31"/>
      <c r="BZ140" s="31"/>
      <c r="CA140" s="31"/>
      <c r="CB140" s="31"/>
    </row>
    <row r="141" spans="2:80"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  <c r="AO141" s="31"/>
      <c r="AP141" s="31"/>
      <c r="AQ141" s="31"/>
      <c r="AR141" s="31"/>
      <c r="AS141" s="31"/>
      <c r="AT141" s="31"/>
      <c r="AU141" s="31"/>
      <c r="AV141" s="31"/>
      <c r="AW141" s="31"/>
      <c r="AX141" s="31"/>
      <c r="AY141" s="31"/>
      <c r="AZ141" s="31"/>
      <c r="BA141" s="31"/>
      <c r="BB141" s="31"/>
      <c r="BC141" s="31"/>
      <c r="BD141" s="31"/>
      <c r="BE141" s="31"/>
      <c r="BF141" s="31"/>
      <c r="BG141" s="31"/>
      <c r="BH141" s="31"/>
      <c r="BI141" s="31"/>
      <c r="BJ141" s="31"/>
      <c r="BK141" s="31"/>
      <c r="BL141" s="31"/>
      <c r="BM141" s="31"/>
      <c r="BN141" s="31"/>
      <c r="BO141" s="31"/>
      <c r="BP141" s="31"/>
      <c r="BQ141" s="31"/>
      <c r="BR141" s="31"/>
      <c r="BS141" s="31"/>
      <c r="BT141" s="31"/>
      <c r="BU141" s="31"/>
      <c r="BV141" s="31"/>
      <c r="BW141" s="31"/>
      <c r="BX141" s="31"/>
      <c r="BY141" s="31"/>
      <c r="BZ141" s="31"/>
      <c r="CA141" s="31"/>
      <c r="CB141" s="31"/>
    </row>
    <row r="142" spans="2:80"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  <c r="AT142" s="31"/>
      <c r="AU142" s="31"/>
      <c r="AV142" s="31"/>
      <c r="AW142" s="31"/>
      <c r="AX142" s="31"/>
      <c r="AY142" s="31"/>
      <c r="AZ142" s="31"/>
      <c r="BA142" s="31"/>
      <c r="BB142" s="31"/>
      <c r="BC142" s="31"/>
      <c r="BD142" s="31"/>
      <c r="BE142" s="31"/>
      <c r="BF142" s="31"/>
      <c r="BG142" s="31"/>
      <c r="BH142" s="31"/>
      <c r="BI142" s="31"/>
      <c r="BJ142" s="31"/>
      <c r="BK142" s="31"/>
      <c r="BL142" s="31"/>
      <c r="BM142" s="31"/>
      <c r="BN142" s="31"/>
      <c r="BO142" s="31"/>
      <c r="BP142" s="31"/>
      <c r="BQ142" s="31"/>
      <c r="BR142" s="31"/>
      <c r="BS142" s="31"/>
      <c r="BT142" s="31"/>
      <c r="BU142" s="31"/>
      <c r="BV142" s="31"/>
      <c r="BW142" s="31"/>
      <c r="BX142" s="31"/>
      <c r="BY142" s="31"/>
      <c r="BZ142" s="31"/>
      <c r="CA142" s="31"/>
      <c r="CB142" s="31"/>
    </row>
    <row r="143" spans="2:80"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  <c r="AT143" s="31"/>
      <c r="AU143" s="31"/>
      <c r="AV143" s="31"/>
      <c r="AW143" s="31"/>
      <c r="AX143" s="31"/>
      <c r="AY143" s="31"/>
      <c r="AZ143" s="31"/>
      <c r="BA143" s="31"/>
      <c r="BB143" s="31"/>
      <c r="BC143" s="31"/>
      <c r="BD143" s="31"/>
      <c r="BE143" s="31"/>
      <c r="BF143" s="31"/>
      <c r="BG143" s="31"/>
      <c r="BH143" s="31"/>
      <c r="BI143" s="31"/>
      <c r="BJ143" s="31"/>
      <c r="BK143" s="31"/>
      <c r="BL143" s="31"/>
      <c r="BM143" s="31"/>
      <c r="BN143" s="31"/>
      <c r="BO143" s="31"/>
      <c r="BP143" s="31"/>
      <c r="BQ143" s="31"/>
      <c r="BR143" s="31"/>
      <c r="BS143" s="31"/>
      <c r="BT143" s="31"/>
      <c r="BU143" s="31"/>
      <c r="BV143" s="31"/>
      <c r="BW143" s="31"/>
      <c r="BX143" s="31"/>
      <c r="BY143" s="31"/>
      <c r="BZ143" s="31"/>
      <c r="CA143" s="31"/>
      <c r="CB143" s="31"/>
    </row>
    <row r="144" spans="2:80"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  <c r="AT144" s="31"/>
      <c r="AU144" s="31"/>
      <c r="AV144" s="31"/>
      <c r="AW144" s="31"/>
      <c r="AX144" s="31"/>
      <c r="AY144" s="31"/>
      <c r="AZ144" s="31"/>
      <c r="BA144" s="31"/>
      <c r="BB144" s="31"/>
      <c r="BC144" s="31"/>
      <c r="BD144" s="31"/>
      <c r="BE144" s="31"/>
      <c r="BF144" s="31"/>
      <c r="BG144" s="31"/>
      <c r="BH144" s="31"/>
      <c r="BI144" s="31"/>
      <c r="BJ144" s="31"/>
      <c r="BK144" s="31"/>
      <c r="BL144" s="31"/>
      <c r="BM144" s="31"/>
      <c r="BN144" s="31"/>
      <c r="BO144" s="31"/>
      <c r="BP144" s="31"/>
      <c r="BQ144" s="31"/>
      <c r="BR144" s="31"/>
      <c r="BS144" s="31"/>
      <c r="BT144" s="31"/>
      <c r="BU144" s="31"/>
      <c r="BV144" s="31"/>
      <c r="BW144" s="31"/>
      <c r="BX144" s="31"/>
      <c r="BY144" s="31"/>
      <c r="BZ144" s="31"/>
      <c r="CA144" s="31"/>
      <c r="CB144" s="31"/>
    </row>
    <row r="145" spans="2:80"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  <c r="AT145" s="31"/>
      <c r="AU145" s="31"/>
      <c r="AV145" s="31"/>
      <c r="AW145" s="31"/>
      <c r="AX145" s="31"/>
      <c r="AY145" s="31"/>
      <c r="AZ145" s="31"/>
      <c r="BA145" s="31"/>
      <c r="BB145" s="31"/>
      <c r="BC145" s="31"/>
      <c r="BD145" s="31"/>
      <c r="BE145" s="31"/>
      <c r="BF145" s="31"/>
      <c r="BG145" s="31"/>
      <c r="BH145" s="31"/>
      <c r="BI145" s="31"/>
      <c r="BJ145" s="31"/>
      <c r="BK145" s="31"/>
      <c r="BL145" s="31"/>
      <c r="BM145" s="31"/>
      <c r="BN145" s="31"/>
      <c r="BO145" s="31"/>
      <c r="BP145" s="31"/>
      <c r="BQ145" s="31"/>
      <c r="BR145" s="31"/>
      <c r="BS145" s="31"/>
      <c r="BT145" s="31"/>
      <c r="BU145" s="31"/>
      <c r="BV145" s="31"/>
      <c r="BW145" s="31"/>
      <c r="BX145" s="31"/>
      <c r="BY145" s="31"/>
      <c r="BZ145" s="31"/>
      <c r="CA145" s="31"/>
      <c r="CB145" s="31"/>
    </row>
    <row r="146" spans="2:80"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  <c r="AN146" s="31"/>
      <c r="AO146" s="31"/>
      <c r="AP146" s="31"/>
      <c r="AQ146" s="31"/>
      <c r="AR146" s="31"/>
      <c r="AS146" s="31"/>
      <c r="AT146" s="31"/>
      <c r="AU146" s="31"/>
      <c r="AV146" s="31"/>
      <c r="AW146" s="31"/>
      <c r="AX146" s="31"/>
      <c r="AY146" s="31"/>
      <c r="AZ146" s="31"/>
      <c r="BA146" s="31"/>
      <c r="BB146" s="31"/>
      <c r="BC146" s="31"/>
      <c r="BD146" s="31"/>
      <c r="BE146" s="31"/>
      <c r="BF146" s="31"/>
      <c r="BG146" s="31"/>
      <c r="BH146" s="31"/>
      <c r="BI146" s="31"/>
      <c r="BJ146" s="31"/>
      <c r="BK146" s="31"/>
      <c r="BL146" s="31"/>
      <c r="BM146" s="31"/>
      <c r="BN146" s="31"/>
      <c r="BO146" s="31"/>
      <c r="BP146" s="31"/>
      <c r="BQ146" s="31"/>
      <c r="BR146" s="31"/>
      <c r="BS146" s="31"/>
      <c r="BT146" s="31"/>
      <c r="BU146" s="31"/>
      <c r="BV146" s="31"/>
      <c r="BW146" s="31"/>
      <c r="BX146" s="31"/>
      <c r="BY146" s="31"/>
      <c r="BZ146" s="31"/>
      <c r="CA146" s="31"/>
      <c r="CB146" s="31"/>
    </row>
    <row r="147" spans="2:80"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1"/>
      <c r="AP147" s="31"/>
      <c r="AQ147" s="31"/>
      <c r="AR147" s="31"/>
      <c r="AS147" s="31"/>
      <c r="AT147" s="31"/>
      <c r="AU147" s="31"/>
      <c r="AV147" s="31"/>
      <c r="AW147" s="31"/>
      <c r="AX147" s="31"/>
      <c r="AY147" s="31"/>
      <c r="AZ147" s="31"/>
      <c r="BA147" s="31"/>
      <c r="BB147" s="31"/>
      <c r="BC147" s="31"/>
      <c r="BD147" s="31"/>
      <c r="BE147" s="31"/>
      <c r="BF147" s="31"/>
      <c r="BG147" s="31"/>
      <c r="BH147" s="31"/>
      <c r="BI147" s="31"/>
      <c r="BJ147" s="31"/>
      <c r="BK147" s="31"/>
      <c r="BL147" s="31"/>
      <c r="BM147" s="31"/>
      <c r="BN147" s="31"/>
      <c r="BO147" s="31"/>
      <c r="BP147" s="31"/>
      <c r="BQ147" s="31"/>
      <c r="BR147" s="31"/>
      <c r="BS147" s="31"/>
      <c r="BT147" s="31"/>
      <c r="BU147" s="31"/>
      <c r="BV147" s="31"/>
      <c r="BW147" s="31"/>
      <c r="BX147" s="31"/>
      <c r="BY147" s="31"/>
      <c r="BZ147" s="31"/>
      <c r="CA147" s="31"/>
      <c r="CB147" s="31"/>
    </row>
    <row r="148" spans="2:80"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  <c r="AT148" s="31"/>
      <c r="AU148" s="31"/>
      <c r="AV148" s="31"/>
      <c r="AW148" s="31"/>
      <c r="AX148" s="31"/>
      <c r="AY148" s="31"/>
      <c r="AZ148" s="31"/>
      <c r="BA148" s="31"/>
      <c r="BB148" s="31"/>
      <c r="BC148" s="31"/>
      <c r="BD148" s="31"/>
      <c r="BE148" s="31"/>
      <c r="BF148" s="31"/>
      <c r="BG148" s="31"/>
      <c r="BH148" s="31"/>
      <c r="BI148" s="31"/>
      <c r="BJ148" s="31"/>
      <c r="BK148" s="31"/>
      <c r="BL148" s="31"/>
      <c r="BM148" s="31"/>
      <c r="BN148" s="31"/>
      <c r="BO148" s="31"/>
      <c r="BP148" s="31"/>
      <c r="BQ148" s="31"/>
      <c r="BR148" s="31"/>
      <c r="BS148" s="31"/>
      <c r="BT148" s="31"/>
      <c r="BU148" s="31"/>
      <c r="BV148" s="31"/>
      <c r="BW148" s="31"/>
      <c r="BX148" s="31"/>
      <c r="BY148" s="31"/>
      <c r="BZ148" s="31"/>
      <c r="CA148" s="31"/>
      <c r="CB148" s="31"/>
    </row>
    <row r="149" spans="2:80"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  <c r="AT149" s="31"/>
      <c r="AU149" s="31"/>
      <c r="AV149" s="31"/>
      <c r="AW149" s="31"/>
      <c r="AX149" s="31"/>
      <c r="AY149" s="31"/>
      <c r="AZ149" s="31"/>
      <c r="BA149" s="31"/>
      <c r="BB149" s="31"/>
      <c r="BC149" s="31"/>
      <c r="BD149" s="31"/>
      <c r="BE149" s="31"/>
      <c r="BF149" s="31"/>
      <c r="BG149" s="31"/>
      <c r="BH149" s="31"/>
      <c r="BI149" s="31"/>
      <c r="BJ149" s="31"/>
      <c r="BK149" s="31"/>
      <c r="BL149" s="31"/>
      <c r="BM149" s="31"/>
      <c r="BN149" s="31"/>
      <c r="BO149" s="31"/>
      <c r="BP149" s="31"/>
      <c r="BQ149" s="31"/>
      <c r="BR149" s="31"/>
      <c r="BS149" s="31"/>
      <c r="BT149" s="31"/>
      <c r="BU149" s="31"/>
      <c r="BV149" s="31"/>
      <c r="BW149" s="31"/>
      <c r="BX149" s="31"/>
      <c r="BY149" s="31"/>
      <c r="BZ149" s="31"/>
      <c r="CA149" s="31"/>
      <c r="CB149" s="31"/>
    </row>
    <row r="150" spans="2:80"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  <c r="AN150" s="31"/>
      <c r="AO150" s="31"/>
      <c r="AP150" s="31"/>
      <c r="AQ150" s="31"/>
      <c r="AR150" s="31"/>
      <c r="AS150" s="31"/>
      <c r="AT150" s="31"/>
      <c r="AU150" s="31"/>
      <c r="AV150" s="31"/>
      <c r="AW150" s="31"/>
      <c r="AX150" s="31"/>
      <c r="AY150" s="31"/>
      <c r="AZ150" s="31"/>
      <c r="BA150" s="31"/>
      <c r="BB150" s="31"/>
      <c r="BC150" s="31"/>
      <c r="BD150" s="31"/>
      <c r="BE150" s="31"/>
      <c r="BF150" s="31"/>
      <c r="BG150" s="31"/>
      <c r="BH150" s="31"/>
      <c r="BI150" s="31"/>
      <c r="BJ150" s="31"/>
      <c r="BK150" s="31"/>
      <c r="BL150" s="31"/>
      <c r="BM150" s="31"/>
      <c r="BN150" s="31"/>
      <c r="BO150" s="31"/>
      <c r="BP150" s="31"/>
      <c r="BQ150" s="31"/>
      <c r="BR150" s="31"/>
      <c r="BS150" s="31"/>
      <c r="BT150" s="31"/>
      <c r="BU150" s="31"/>
      <c r="BV150" s="31"/>
      <c r="BW150" s="31"/>
      <c r="BX150" s="31"/>
      <c r="BY150" s="31"/>
      <c r="BZ150" s="31"/>
      <c r="CA150" s="31"/>
      <c r="CB150" s="31"/>
    </row>
    <row r="151" spans="2:80"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  <c r="AO151" s="31"/>
      <c r="AP151" s="31"/>
      <c r="AQ151" s="31"/>
      <c r="AR151" s="31"/>
      <c r="AS151" s="31"/>
      <c r="AT151" s="31"/>
      <c r="AU151" s="31"/>
      <c r="AV151" s="31"/>
      <c r="AW151" s="31"/>
      <c r="AX151" s="31"/>
      <c r="AY151" s="31"/>
      <c r="AZ151" s="31"/>
      <c r="BA151" s="31"/>
      <c r="BB151" s="31"/>
      <c r="BC151" s="31"/>
      <c r="BD151" s="31"/>
      <c r="BE151" s="31"/>
      <c r="BF151" s="31"/>
      <c r="BG151" s="31"/>
      <c r="BH151" s="31"/>
      <c r="BI151" s="31"/>
      <c r="BJ151" s="31"/>
      <c r="BK151" s="31"/>
      <c r="BL151" s="31"/>
      <c r="BM151" s="31"/>
      <c r="BN151" s="31"/>
      <c r="BO151" s="31"/>
      <c r="BP151" s="31"/>
      <c r="BQ151" s="31"/>
      <c r="BR151" s="31"/>
      <c r="BS151" s="31"/>
      <c r="BT151" s="31"/>
      <c r="BU151" s="31"/>
      <c r="BV151" s="31"/>
      <c r="BW151" s="31"/>
      <c r="BX151" s="31"/>
      <c r="BY151" s="31"/>
      <c r="BZ151" s="31"/>
      <c r="CA151" s="31"/>
      <c r="CB151" s="31"/>
    </row>
    <row r="152" spans="2:80"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  <c r="AT152" s="31"/>
      <c r="AU152" s="31"/>
      <c r="AV152" s="31"/>
      <c r="AW152" s="31"/>
      <c r="AX152" s="31"/>
      <c r="AY152" s="31"/>
      <c r="AZ152" s="31"/>
      <c r="BA152" s="31"/>
      <c r="BB152" s="31"/>
      <c r="BC152" s="31"/>
      <c r="BD152" s="31"/>
      <c r="BE152" s="31"/>
      <c r="BF152" s="31"/>
      <c r="BG152" s="31"/>
      <c r="BH152" s="31"/>
      <c r="BI152" s="31"/>
      <c r="BJ152" s="31"/>
      <c r="BK152" s="31"/>
      <c r="BL152" s="31"/>
      <c r="BM152" s="31"/>
      <c r="BN152" s="31"/>
      <c r="BO152" s="31"/>
      <c r="BP152" s="31"/>
      <c r="BQ152" s="31"/>
      <c r="BR152" s="31"/>
      <c r="BS152" s="31"/>
      <c r="BT152" s="31"/>
      <c r="BU152" s="31"/>
      <c r="BV152" s="31"/>
      <c r="BW152" s="31"/>
      <c r="BX152" s="31"/>
      <c r="BY152" s="31"/>
      <c r="BZ152" s="31"/>
      <c r="CA152" s="31"/>
      <c r="CB152" s="31"/>
    </row>
    <row r="153" spans="2:80"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  <c r="AT153" s="31"/>
      <c r="AU153" s="31"/>
      <c r="AV153" s="31"/>
      <c r="AW153" s="31"/>
      <c r="AX153" s="31"/>
      <c r="AY153" s="31"/>
      <c r="AZ153" s="31"/>
      <c r="BA153" s="31"/>
      <c r="BB153" s="31"/>
      <c r="BC153" s="31"/>
      <c r="BD153" s="31"/>
      <c r="BE153" s="31"/>
      <c r="BF153" s="31"/>
      <c r="BG153" s="31"/>
      <c r="BH153" s="31"/>
      <c r="BI153" s="31"/>
      <c r="BJ153" s="31"/>
      <c r="BK153" s="31"/>
      <c r="BL153" s="31"/>
      <c r="BM153" s="31"/>
      <c r="BN153" s="31"/>
      <c r="BO153" s="31"/>
      <c r="BP153" s="31"/>
      <c r="BQ153" s="31"/>
      <c r="BR153" s="31"/>
      <c r="BS153" s="31"/>
      <c r="BT153" s="31"/>
      <c r="BU153" s="31"/>
      <c r="BV153" s="31"/>
      <c r="BW153" s="31"/>
      <c r="BX153" s="31"/>
      <c r="BY153" s="31"/>
      <c r="BZ153" s="31"/>
      <c r="CA153" s="31"/>
      <c r="CB153" s="31"/>
    </row>
    <row r="154" spans="2:80"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  <c r="AT154" s="31"/>
      <c r="AU154" s="31"/>
      <c r="AV154" s="31"/>
      <c r="AW154" s="31"/>
      <c r="AX154" s="31"/>
      <c r="AY154" s="31"/>
      <c r="AZ154" s="31"/>
      <c r="BA154" s="31"/>
      <c r="BB154" s="31"/>
      <c r="BC154" s="31"/>
      <c r="BD154" s="31"/>
      <c r="BE154" s="31"/>
      <c r="BF154" s="31"/>
      <c r="BG154" s="31"/>
      <c r="BH154" s="31"/>
      <c r="BI154" s="31"/>
      <c r="BJ154" s="31"/>
      <c r="BK154" s="31"/>
      <c r="BL154" s="31"/>
      <c r="BM154" s="31"/>
      <c r="BN154" s="31"/>
      <c r="BO154" s="31"/>
      <c r="BP154" s="31"/>
      <c r="BQ154" s="31"/>
      <c r="BR154" s="31"/>
      <c r="BS154" s="31"/>
      <c r="BT154" s="31"/>
      <c r="BU154" s="31"/>
      <c r="BV154" s="31"/>
      <c r="BW154" s="31"/>
      <c r="BX154" s="31"/>
      <c r="BY154" s="31"/>
      <c r="BZ154" s="31"/>
      <c r="CA154" s="31"/>
      <c r="CB154" s="31"/>
    </row>
    <row r="155" spans="2:80"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  <c r="AN155" s="31"/>
      <c r="AO155" s="31"/>
      <c r="AP155" s="31"/>
      <c r="AQ155" s="31"/>
      <c r="AR155" s="31"/>
      <c r="AS155" s="31"/>
      <c r="AT155" s="31"/>
      <c r="AU155" s="31"/>
      <c r="AV155" s="31"/>
      <c r="AW155" s="31"/>
      <c r="AX155" s="31"/>
      <c r="AY155" s="31"/>
      <c r="AZ155" s="31"/>
      <c r="BA155" s="31"/>
      <c r="BB155" s="31"/>
      <c r="BC155" s="31"/>
      <c r="BD155" s="31"/>
      <c r="BE155" s="31"/>
      <c r="BF155" s="31"/>
      <c r="BG155" s="31"/>
      <c r="BH155" s="31"/>
      <c r="BI155" s="31"/>
      <c r="BJ155" s="31"/>
      <c r="BK155" s="31"/>
      <c r="BL155" s="31"/>
      <c r="BM155" s="31"/>
      <c r="BN155" s="31"/>
      <c r="BO155" s="31"/>
      <c r="BP155" s="31"/>
      <c r="BQ155" s="31"/>
      <c r="BR155" s="31"/>
      <c r="BS155" s="31"/>
      <c r="BT155" s="31"/>
      <c r="BU155" s="31"/>
      <c r="BV155" s="31"/>
      <c r="BW155" s="31"/>
      <c r="BX155" s="31"/>
      <c r="BY155" s="31"/>
      <c r="BZ155" s="31"/>
      <c r="CA155" s="31"/>
      <c r="CB155" s="31"/>
    </row>
    <row r="156" spans="2:80"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  <c r="AO156" s="31"/>
      <c r="AP156" s="31"/>
      <c r="AQ156" s="31"/>
      <c r="AR156" s="31"/>
      <c r="AS156" s="31"/>
      <c r="AT156" s="31"/>
      <c r="AU156" s="31"/>
      <c r="AV156" s="31"/>
      <c r="AW156" s="31"/>
      <c r="AX156" s="31"/>
      <c r="AY156" s="31"/>
      <c r="AZ156" s="31"/>
      <c r="BA156" s="31"/>
      <c r="BB156" s="31"/>
      <c r="BC156" s="31"/>
      <c r="BD156" s="31"/>
      <c r="BE156" s="31"/>
      <c r="BF156" s="31"/>
      <c r="BG156" s="31"/>
      <c r="BH156" s="31"/>
      <c r="BI156" s="31"/>
      <c r="BJ156" s="31"/>
      <c r="BK156" s="31"/>
      <c r="BL156" s="31"/>
      <c r="BM156" s="31"/>
      <c r="BN156" s="31"/>
      <c r="BO156" s="31"/>
      <c r="BP156" s="31"/>
      <c r="BQ156" s="31"/>
      <c r="BR156" s="31"/>
      <c r="BS156" s="31"/>
      <c r="BT156" s="31"/>
      <c r="BU156" s="31"/>
      <c r="BV156" s="31"/>
      <c r="BW156" s="31"/>
      <c r="BX156" s="31"/>
      <c r="BY156" s="31"/>
      <c r="BZ156" s="31"/>
      <c r="CA156" s="31"/>
      <c r="CB156" s="31"/>
    </row>
    <row r="157" spans="2:80"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  <c r="AT157" s="31"/>
      <c r="AU157" s="31"/>
      <c r="AV157" s="31"/>
      <c r="AW157" s="31"/>
      <c r="AX157" s="31"/>
      <c r="AY157" s="31"/>
      <c r="AZ157" s="31"/>
      <c r="BA157" s="31"/>
      <c r="BB157" s="31"/>
      <c r="BC157" s="31"/>
      <c r="BD157" s="31"/>
      <c r="BE157" s="31"/>
      <c r="BF157" s="31"/>
      <c r="BG157" s="31"/>
      <c r="BH157" s="31"/>
      <c r="BI157" s="31"/>
      <c r="BJ157" s="31"/>
      <c r="BK157" s="31"/>
      <c r="BL157" s="31"/>
      <c r="BM157" s="31"/>
      <c r="BN157" s="31"/>
      <c r="BO157" s="31"/>
      <c r="BP157" s="31"/>
      <c r="BQ157" s="31"/>
      <c r="BR157" s="31"/>
      <c r="BS157" s="31"/>
      <c r="BT157" s="31"/>
      <c r="BU157" s="31"/>
      <c r="BV157" s="31"/>
      <c r="BW157" s="31"/>
      <c r="BX157" s="31"/>
      <c r="BY157" s="31"/>
      <c r="BZ157" s="31"/>
      <c r="CA157" s="31"/>
      <c r="CB157" s="31"/>
    </row>
    <row r="158" spans="2:80"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  <c r="AT158" s="31"/>
      <c r="AU158" s="31"/>
      <c r="AV158" s="31"/>
      <c r="AW158" s="31"/>
      <c r="AX158" s="31"/>
      <c r="AY158" s="31"/>
      <c r="AZ158" s="31"/>
      <c r="BA158" s="31"/>
      <c r="BB158" s="31"/>
      <c r="BC158" s="31"/>
      <c r="BD158" s="31"/>
      <c r="BE158" s="31"/>
      <c r="BF158" s="31"/>
      <c r="BG158" s="31"/>
      <c r="BH158" s="31"/>
      <c r="BI158" s="31"/>
      <c r="BJ158" s="31"/>
      <c r="BK158" s="31"/>
      <c r="BL158" s="31"/>
      <c r="BM158" s="31"/>
      <c r="BN158" s="31"/>
      <c r="BO158" s="31"/>
      <c r="BP158" s="31"/>
      <c r="BQ158" s="31"/>
      <c r="BR158" s="31"/>
      <c r="BS158" s="31"/>
      <c r="BT158" s="31"/>
      <c r="BU158" s="31"/>
      <c r="BV158" s="31"/>
      <c r="BW158" s="31"/>
      <c r="BX158" s="31"/>
      <c r="BY158" s="31"/>
      <c r="BZ158" s="31"/>
      <c r="CA158" s="31"/>
      <c r="CB158" s="31"/>
    </row>
    <row r="159" spans="2:80"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  <c r="AN159" s="31"/>
      <c r="AO159" s="31"/>
      <c r="AP159" s="31"/>
      <c r="AQ159" s="31"/>
      <c r="AR159" s="31"/>
      <c r="AS159" s="31"/>
      <c r="AT159" s="31"/>
      <c r="AU159" s="31"/>
      <c r="AV159" s="31"/>
      <c r="AW159" s="31"/>
      <c r="AX159" s="31"/>
      <c r="AY159" s="31"/>
      <c r="AZ159" s="31"/>
      <c r="BA159" s="31"/>
      <c r="BB159" s="31"/>
      <c r="BC159" s="31"/>
      <c r="BD159" s="31"/>
      <c r="BE159" s="31"/>
      <c r="BF159" s="31"/>
      <c r="BG159" s="31"/>
      <c r="BH159" s="31"/>
      <c r="BI159" s="31"/>
      <c r="BJ159" s="31"/>
      <c r="BK159" s="31"/>
      <c r="BL159" s="31"/>
      <c r="BM159" s="31"/>
      <c r="BN159" s="31"/>
      <c r="BO159" s="31"/>
      <c r="BP159" s="31"/>
      <c r="BQ159" s="31"/>
      <c r="BR159" s="31"/>
      <c r="BS159" s="31"/>
      <c r="BT159" s="31"/>
      <c r="BU159" s="31"/>
      <c r="BV159" s="31"/>
      <c r="BW159" s="31"/>
      <c r="BX159" s="31"/>
      <c r="BY159" s="31"/>
      <c r="BZ159" s="31"/>
      <c r="CA159" s="31"/>
      <c r="CB159" s="31"/>
    </row>
    <row r="160" spans="2:80"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1"/>
      <c r="AP160" s="31"/>
      <c r="AQ160" s="31"/>
      <c r="AR160" s="31"/>
      <c r="AS160" s="31"/>
      <c r="AT160" s="31"/>
      <c r="AU160" s="31"/>
      <c r="AV160" s="31"/>
      <c r="AW160" s="31"/>
      <c r="AX160" s="31"/>
      <c r="AY160" s="31"/>
      <c r="AZ160" s="31"/>
      <c r="BA160" s="31"/>
      <c r="BB160" s="31"/>
      <c r="BC160" s="31"/>
      <c r="BD160" s="31"/>
      <c r="BE160" s="31"/>
      <c r="BF160" s="31"/>
      <c r="BG160" s="31"/>
      <c r="BH160" s="31"/>
      <c r="BI160" s="31"/>
      <c r="BJ160" s="31"/>
      <c r="BK160" s="31"/>
      <c r="BL160" s="31"/>
      <c r="BM160" s="31"/>
      <c r="BN160" s="31"/>
      <c r="BO160" s="31"/>
      <c r="BP160" s="31"/>
      <c r="BQ160" s="31"/>
      <c r="BR160" s="31"/>
      <c r="BS160" s="31"/>
      <c r="BT160" s="31"/>
      <c r="BU160" s="31"/>
      <c r="BV160" s="31"/>
      <c r="BW160" s="31"/>
      <c r="BX160" s="31"/>
      <c r="BY160" s="31"/>
      <c r="BZ160" s="31"/>
      <c r="CA160" s="31"/>
      <c r="CB160" s="31"/>
    </row>
    <row r="161" spans="2:80"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  <c r="AT161" s="31"/>
      <c r="AU161" s="31"/>
      <c r="AV161" s="31"/>
      <c r="AW161" s="31"/>
      <c r="AX161" s="31"/>
      <c r="AY161" s="31"/>
      <c r="AZ161" s="31"/>
      <c r="BA161" s="31"/>
      <c r="BB161" s="31"/>
      <c r="BC161" s="31"/>
      <c r="BD161" s="31"/>
      <c r="BE161" s="31"/>
      <c r="BF161" s="31"/>
      <c r="BG161" s="31"/>
      <c r="BH161" s="31"/>
      <c r="BI161" s="31"/>
      <c r="BJ161" s="31"/>
      <c r="BK161" s="31"/>
      <c r="BL161" s="31"/>
      <c r="BM161" s="31"/>
      <c r="BN161" s="31"/>
      <c r="BO161" s="31"/>
      <c r="BP161" s="31"/>
      <c r="BQ161" s="31"/>
      <c r="BR161" s="31"/>
      <c r="BS161" s="31"/>
      <c r="BT161" s="31"/>
      <c r="BU161" s="31"/>
      <c r="BV161" s="31"/>
      <c r="BW161" s="31"/>
      <c r="BX161" s="31"/>
      <c r="BY161" s="31"/>
      <c r="BZ161" s="31"/>
      <c r="CA161" s="31"/>
      <c r="CB161" s="31"/>
    </row>
    <row r="162" spans="2:80"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  <c r="AT162" s="31"/>
      <c r="AU162" s="31"/>
      <c r="AV162" s="31"/>
      <c r="AW162" s="31"/>
      <c r="AX162" s="31"/>
      <c r="AY162" s="31"/>
      <c r="AZ162" s="31"/>
      <c r="BA162" s="31"/>
      <c r="BB162" s="31"/>
      <c r="BC162" s="31"/>
      <c r="BD162" s="31"/>
      <c r="BE162" s="31"/>
      <c r="BF162" s="31"/>
      <c r="BG162" s="31"/>
      <c r="BH162" s="31"/>
      <c r="BI162" s="31"/>
      <c r="BJ162" s="31"/>
      <c r="BK162" s="31"/>
      <c r="BL162" s="31"/>
      <c r="BM162" s="31"/>
      <c r="BN162" s="31"/>
      <c r="BO162" s="31"/>
      <c r="BP162" s="31"/>
      <c r="BQ162" s="31"/>
      <c r="BR162" s="31"/>
      <c r="BS162" s="31"/>
      <c r="BT162" s="31"/>
      <c r="BU162" s="31"/>
      <c r="BV162" s="31"/>
      <c r="BW162" s="31"/>
      <c r="BX162" s="31"/>
      <c r="BY162" s="31"/>
      <c r="BZ162" s="31"/>
      <c r="CA162" s="31"/>
      <c r="CB162" s="31"/>
    </row>
    <row r="163" spans="2:80"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  <c r="AN163" s="31"/>
      <c r="AO163" s="31"/>
      <c r="AP163" s="31"/>
      <c r="AQ163" s="31"/>
      <c r="AR163" s="31"/>
      <c r="AS163" s="31"/>
      <c r="AT163" s="31"/>
      <c r="AU163" s="31"/>
      <c r="AV163" s="31"/>
      <c r="AW163" s="31"/>
      <c r="AX163" s="31"/>
      <c r="AY163" s="31"/>
      <c r="AZ163" s="31"/>
      <c r="BA163" s="31"/>
      <c r="BB163" s="31"/>
      <c r="BC163" s="31"/>
      <c r="BD163" s="31"/>
      <c r="BE163" s="31"/>
      <c r="BF163" s="31"/>
      <c r="BG163" s="31"/>
      <c r="BH163" s="31"/>
      <c r="BI163" s="31"/>
      <c r="BJ163" s="31"/>
      <c r="BK163" s="31"/>
      <c r="BL163" s="31"/>
      <c r="BM163" s="31"/>
      <c r="BN163" s="31"/>
      <c r="BO163" s="31"/>
      <c r="BP163" s="31"/>
      <c r="BQ163" s="31"/>
      <c r="BR163" s="31"/>
      <c r="BS163" s="31"/>
      <c r="BT163" s="31"/>
      <c r="BU163" s="31"/>
      <c r="BV163" s="31"/>
      <c r="BW163" s="31"/>
      <c r="BX163" s="31"/>
      <c r="BY163" s="31"/>
      <c r="BZ163" s="31"/>
      <c r="CA163" s="31"/>
      <c r="CB163" s="31"/>
    </row>
    <row r="164" spans="2:80"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  <c r="AO164" s="31"/>
      <c r="AP164" s="31"/>
      <c r="AQ164" s="31"/>
      <c r="AR164" s="31"/>
      <c r="AS164" s="31"/>
      <c r="AT164" s="31"/>
      <c r="AU164" s="31"/>
      <c r="AV164" s="31"/>
      <c r="AW164" s="31"/>
      <c r="AX164" s="31"/>
      <c r="AY164" s="31"/>
      <c r="AZ164" s="31"/>
      <c r="BA164" s="31"/>
      <c r="BB164" s="31"/>
      <c r="BC164" s="31"/>
      <c r="BD164" s="31"/>
      <c r="BE164" s="31"/>
      <c r="BF164" s="31"/>
      <c r="BG164" s="31"/>
      <c r="BH164" s="31"/>
      <c r="BI164" s="31"/>
      <c r="BJ164" s="31"/>
      <c r="BK164" s="31"/>
      <c r="BL164" s="31"/>
      <c r="BM164" s="31"/>
      <c r="BN164" s="31"/>
      <c r="BO164" s="31"/>
      <c r="BP164" s="31"/>
      <c r="BQ164" s="31"/>
      <c r="BR164" s="31"/>
      <c r="BS164" s="31"/>
      <c r="BT164" s="31"/>
      <c r="BU164" s="31"/>
      <c r="BV164" s="31"/>
      <c r="BW164" s="31"/>
      <c r="BX164" s="31"/>
      <c r="BY164" s="31"/>
      <c r="BZ164" s="31"/>
      <c r="CA164" s="31"/>
      <c r="CB164" s="31"/>
    </row>
    <row r="165" spans="2:80"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  <c r="AT165" s="31"/>
      <c r="AU165" s="31"/>
      <c r="AV165" s="31"/>
      <c r="AW165" s="31"/>
      <c r="AX165" s="31"/>
      <c r="AY165" s="31"/>
      <c r="AZ165" s="31"/>
      <c r="BA165" s="31"/>
      <c r="BB165" s="31"/>
      <c r="BC165" s="31"/>
      <c r="BD165" s="31"/>
      <c r="BE165" s="31"/>
      <c r="BF165" s="31"/>
      <c r="BG165" s="31"/>
      <c r="BH165" s="31"/>
      <c r="BI165" s="31"/>
      <c r="BJ165" s="31"/>
      <c r="BK165" s="31"/>
      <c r="BL165" s="31"/>
      <c r="BM165" s="31"/>
      <c r="BN165" s="31"/>
      <c r="BO165" s="31"/>
      <c r="BP165" s="31"/>
      <c r="BQ165" s="31"/>
      <c r="BR165" s="31"/>
      <c r="BS165" s="31"/>
      <c r="BT165" s="31"/>
      <c r="BU165" s="31"/>
      <c r="BV165" s="31"/>
      <c r="BW165" s="31"/>
      <c r="BX165" s="31"/>
      <c r="BY165" s="31"/>
      <c r="BZ165" s="31"/>
      <c r="CA165" s="31"/>
      <c r="CB165" s="31"/>
    </row>
    <row r="166" spans="2:80"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  <c r="AL166" s="31"/>
      <c r="AM166" s="31"/>
      <c r="AN166" s="31"/>
      <c r="AO166" s="31"/>
      <c r="AP166" s="31"/>
      <c r="AQ166" s="31"/>
      <c r="AR166" s="31"/>
      <c r="AS166" s="31"/>
      <c r="AT166" s="31"/>
      <c r="AU166" s="31"/>
      <c r="AV166" s="31"/>
      <c r="AW166" s="31"/>
      <c r="AX166" s="31"/>
      <c r="AY166" s="31"/>
      <c r="AZ166" s="31"/>
      <c r="BA166" s="31"/>
      <c r="BB166" s="31"/>
      <c r="BC166" s="31"/>
      <c r="BD166" s="31"/>
      <c r="BE166" s="31"/>
      <c r="BF166" s="31"/>
      <c r="BG166" s="31"/>
      <c r="BH166" s="31"/>
      <c r="BI166" s="31"/>
      <c r="BJ166" s="31"/>
      <c r="BK166" s="31"/>
      <c r="BL166" s="31"/>
      <c r="BM166" s="31"/>
      <c r="BN166" s="31"/>
      <c r="BO166" s="31"/>
      <c r="BP166" s="31"/>
      <c r="BQ166" s="31"/>
      <c r="BR166" s="31"/>
      <c r="BS166" s="31"/>
      <c r="BT166" s="31"/>
      <c r="BU166" s="31"/>
      <c r="BV166" s="31"/>
      <c r="BW166" s="31"/>
      <c r="BX166" s="31"/>
      <c r="BY166" s="31"/>
      <c r="BZ166" s="31"/>
      <c r="CA166" s="31"/>
      <c r="CB166" s="31"/>
    </row>
    <row r="167" spans="2:80"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  <c r="AO167" s="31"/>
      <c r="AP167" s="31"/>
      <c r="AQ167" s="31"/>
      <c r="AR167" s="31"/>
      <c r="AS167" s="31"/>
      <c r="AT167" s="31"/>
      <c r="AU167" s="31"/>
      <c r="AV167" s="31"/>
      <c r="AW167" s="31"/>
      <c r="AX167" s="31"/>
      <c r="AY167" s="31"/>
      <c r="AZ167" s="31"/>
      <c r="BA167" s="31"/>
      <c r="BB167" s="31"/>
      <c r="BC167" s="31"/>
      <c r="BD167" s="31"/>
      <c r="BE167" s="31"/>
      <c r="BF167" s="31"/>
      <c r="BG167" s="31"/>
      <c r="BH167" s="31"/>
      <c r="BI167" s="31"/>
      <c r="BJ167" s="31"/>
      <c r="BK167" s="31"/>
      <c r="BL167" s="31"/>
      <c r="BM167" s="31"/>
      <c r="BN167" s="31"/>
      <c r="BO167" s="31"/>
      <c r="BP167" s="31"/>
      <c r="BQ167" s="31"/>
      <c r="BR167" s="31"/>
      <c r="BS167" s="31"/>
      <c r="BT167" s="31"/>
      <c r="BU167" s="31"/>
      <c r="BV167" s="31"/>
      <c r="BW167" s="31"/>
      <c r="BX167" s="31"/>
      <c r="BY167" s="31"/>
      <c r="BZ167" s="31"/>
      <c r="CA167" s="31"/>
      <c r="CB167" s="31"/>
    </row>
    <row r="168" spans="2:80"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  <c r="AT168" s="31"/>
      <c r="AU168" s="31"/>
      <c r="AV168" s="31"/>
      <c r="AW168" s="31"/>
      <c r="AX168" s="31"/>
      <c r="AY168" s="31"/>
      <c r="AZ168" s="31"/>
      <c r="BA168" s="31"/>
      <c r="BB168" s="31"/>
      <c r="BC168" s="31"/>
      <c r="BD168" s="31"/>
      <c r="BE168" s="31"/>
      <c r="BF168" s="31"/>
      <c r="BG168" s="31"/>
      <c r="BH168" s="31"/>
      <c r="BI168" s="31"/>
      <c r="BJ168" s="31"/>
      <c r="BK168" s="31"/>
      <c r="BL168" s="31"/>
      <c r="BM168" s="31"/>
      <c r="BN168" s="31"/>
      <c r="BO168" s="31"/>
      <c r="BP168" s="31"/>
      <c r="BQ168" s="31"/>
      <c r="BR168" s="31"/>
      <c r="BS168" s="31"/>
      <c r="BT168" s="31"/>
      <c r="BU168" s="31"/>
      <c r="BV168" s="31"/>
      <c r="BW168" s="31"/>
      <c r="BX168" s="31"/>
      <c r="BY168" s="31"/>
      <c r="BZ168" s="31"/>
      <c r="CA168" s="31"/>
      <c r="CB168" s="31"/>
    </row>
    <row r="169" spans="2:80"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  <c r="AL169" s="31"/>
      <c r="AM169" s="31"/>
      <c r="AN169" s="31"/>
      <c r="AO169" s="31"/>
      <c r="AP169" s="31"/>
      <c r="AQ169" s="31"/>
      <c r="AR169" s="31"/>
      <c r="AS169" s="31"/>
      <c r="AT169" s="31"/>
      <c r="AU169" s="31"/>
      <c r="AV169" s="31"/>
      <c r="AW169" s="31"/>
      <c r="AX169" s="31"/>
      <c r="AY169" s="31"/>
      <c r="AZ169" s="31"/>
      <c r="BA169" s="31"/>
      <c r="BB169" s="31"/>
      <c r="BC169" s="31"/>
      <c r="BD169" s="31"/>
      <c r="BE169" s="31"/>
      <c r="BF169" s="31"/>
      <c r="BG169" s="31"/>
      <c r="BH169" s="31"/>
      <c r="BI169" s="31"/>
      <c r="BJ169" s="31"/>
      <c r="BK169" s="31"/>
      <c r="BL169" s="31"/>
      <c r="BM169" s="31"/>
      <c r="BN169" s="31"/>
      <c r="BO169" s="31"/>
      <c r="BP169" s="31"/>
      <c r="BQ169" s="31"/>
      <c r="BR169" s="31"/>
      <c r="BS169" s="31"/>
      <c r="BT169" s="31"/>
      <c r="BU169" s="31"/>
      <c r="BV169" s="31"/>
      <c r="BW169" s="31"/>
      <c r="BX169" s="31"/>
      <c r="BY169" s="31"/>
      <c r="BZ169" s="31"/>
      <c r="CA169" s="31"/>
      <c r="CB169" s="31"/>
    </row>
    <row r="170" spans="2:80"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  <c r="AO170" s="31"/>
      <c r="AP170" s="31"/>
      <c r="AQ170" s="31"/>
      <c r="AR170" s="31"/>
      <c r="AS170" s="31"/>
      <c r="AT170" s="31"/>
      <c r="AU170" s="31"/>
      <c r="AV170" s="31"/>
      <c r="AW170" s="31"/>
      <c r="AX170" s="31"/>
      <c r="AY170" s="31"/>
      <c r="AZ170" s="31"/>
      <c r="BA170" s="31"/>
      <c r="BB170" s="31"/>
      <c r="BC170" s="31"/>
      <c r="BD170" s="31"/>
      <c r="BE170" s="31"/>
      <c r="BF170" s="31"/>
      <c r="BG170" s="31"/>
      <c r="BH170" s="31"/>
      <c r="BI170" s="31"/>
      <c r="BJ170" s="31"/>
      <c r="BK170" s="31"/>
      <c r="BL170" s="31"/>
      <c r="BM170" s="31"/>
      <c r="BN170" s="31"/>
      <c r="BO170" s="31"/>
      <c r="BP170" s="31"/>
      <c r="BQ170" s="31"/>
      <c r="BR170" s="31"/>
      <c r="BS170" s="31"/>
      <c r="BT170" s="31"/>
      <c r="BU170" s="31"/>
      <c r="BV170" s="31"/>
      <c r="BW170" s="31"/>
      <c r="BX170" s="31"/>
      <c r="BY170" s="31"/>
      <c r="BZ170" s="31"/>
      <c r="CA170" s="31"/>
      <c r="CB170" s="31"/>
    </row>
    <row r="171" spans="2:80"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  <c r="AL171" s="31"/>
      <c r="AM171" s="31"/>
      <c r="AN171" s="31"/>
      <c r="AO171" s="31"/>
      <c r="AP171" s="31"/>
      <c r="AQ171" s="31"/>
      <c r="AR171" s="31"/>
      <c r="AS171" s="31"/>
      <c r="AT171" s="31"/>
      <c r="AU171" s="31"/>
      <c r="AV171" s="31"/>
      <c r="AW171" s="31"/>
      <c r="AX171" s="31"/>
      <c r="AY171" s="31"/>
      <c r="AZ171" s="31"/>
      <c r="BA171" s="31"/>
      <c r="BB171" s="31"/>
      <c r="BC171" s="31"/>
      <c r="BD171" s="31"/>
      <c r="BE171" s="31"/>
      <c r="BF171" s="31"/>
      <c r="BG171" s="31"/>
      <c r="BH171" s="31"/>
      <c r="BI171" s="31"/>
      <c r="BJ171" s="31"/>
      <c r="BK171" s="31"/>
      <c r="BL171" s="31"/>
      <c r="BM171" s="31"/>
      <c r="BN171" s="31"/>
      <c r="BO171" s="31"/>
      <c r="BP171" s="31"/>
      <c r="BQ171" s="31"/>
      <c r="BR171" s="31"/>
      <c r="BS171" s="31"/>
      <c r="BT171" s="31"/>
      <c r="BU171" s="31"/>
      <c r="BV171" s="31"/>
      <c r="BW171" s="31"/>
      <c r="BX171" s="31"/>
      <c r="BY171" s="31"/>
      <c r="BZ171" s="31"/>
      <c r="CA171" s="31"/>
      <c r="CB171" s="31"/>
    </row>
    <row r="172" spans="2:80"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  <c r="AO172" s="31"/>
      <c r="AP172" s="31"/>
      <c r="AQ172" s="31"/>
      <c r="AR172" s="31"/>
      <c r="AS172" s="31"/>
      <c r="AT172" s="31"/>
      <c r="AU172" s="31"/>
      <c r="AV172" s="31"/>
      <c r="AW172" s="31"/>
      <c r="AX172" s="31"/>
      <c r="AY172" s="31"/>
      <c r="AZ172" s="31"/>
      <c r="BA172" s="31"/>
      <c r="BB172" s="31"/>
      <c r="BC172" s="31"/>
      <c r="BD172" s="31"/>
      <c r="BE172" s="31"/>
      <c r="BF172" s="31"/>
      <c r="BG172" s="31"/>
      <c r="BH172" s="31"/>
      <c r="BI172" s="31"/>
      <c r="BJ172" s="31"/>
      <c r="BK172" s="31"/>
      <c r="BL172" s="31"/>
      <c r="BM172" s="31"/>
      <c r="BN172" s="31"/>
      <c r="BO172" s="31"/>
      <c r="BP172" s="31"/>
      <c r="BQ172" s="31"/>
      <c r="BR172" s="31"/>
      <c r="BS172" s="31"/>
      <c r="BT172" s="31"/>
      <c r="BU172" s="31"/>
      <c r="BV172" s="31"/>
      <c r="BW172" s="31"/>
      <c r="BX172" s="31"/>
      <c r="BY172" s="31"/>
      <c r="BZ172" s="31"/>
      <c r="CA172" s="31"/>
      <c r="CB172" s="31"/>
    </row>
    <row r="173" spans="2:80"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  <c r="AT173" s="31"/>
      <c r="AU173" s="31"/>
      <c r="AV173" s="31"/>
      <c r="AW173" s="31"/>
      <c r="AX173" s="31"/>
      <c r="AY173" s="31"/>
      <c r="AZ173" s="31"/>
      <c r="BA173" s="31"/>
      <c r="BB173" s="31"/>
      <c r="BC173" s="31"/>
      <c r="BD173" s="31"/>
      <c r="BE173" s="31"/>
      <c r="BF173" s="31"/>
      <c r="BG173" s="31"/>
      <c r="BH173" s="31"/>
      <c r="BI173" s="31"/>
      <c r="BJ173" s="31"/>
      <c r="BK173" s="31"/>
      <c r="BL173" s="31"/>
      <c r="BM173" s="31"/>
      <c r="BN173" s="31"/>
      <c r="BO173" s="31"/>
      <c r="BP173" s="31"/>
      <c r="BQ173" s="31"/>
      <c r="BR173" s="31"/>
      <c r="BS173" s="31"/>
      <c r="BT173" s="31"/>
      <c r="BU173" s="31"/>
      <c r="BV173" s="31"/>
      <c r="BW173" s="31"/>
      <c r="BX173" s="31"/>
      <c r="BY173" s="31"/>
      <c r="BZ173" s="31"/>
      <c r="CA173" s="31"/>
      <c r="CB173" s="31"/>
    </row>
    <row r="174" spans="2:80"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  <c r="AL174" s="31"/>
      <c r="AM174" s="31"/>
      <c r="AN174" s="31"/>
      <c r="AO174" s="31"/>
      <c r="AP174" s="31"/>
      <c r="AQ174" s="31"/>
      <c r="AR174" s="31"/>
      <c r="AS174" s="31"/>
      <c r="AT174" s="31"/>
      <c r="AU174" s="31"/>
      <c r="AV174" s="31"/>
      <c r="AW174" s="31"/>
      <c r="AX174" s="31"/>
      <c r="AY174" s="31"/>
      <c r="AZ174" s="31"/>
      <c r="BA174" s="31"/>
      <c r="BB174" s="31"/>
      <c r="BC174" s="31"/>
      <c r="BD174" s="31"/>
      <c r="BE174" s="31"/>
      <c r="BF174" s="31"/>
      <c r="BG174" s="31"/>
      <c r="BH174" s="31"/>
      <c r="BI174" s="31"/>
      <c r="BJ174" s="31"/>
      <c r="BK174" s="31"/>
      <c r="BL174" s="31"/>
      <c r="BM174" s="31"/>
      <c r="BN174" s="31"/>
      <c r="BO174" s="31"/>
      <c r="BP174" s="31"/>
      <c r="BQ174" s="31"/>
      <c r="BR174" s="31"/>
      <c r="BS174" s="31"/>
      <c r="BT174" s="31"/>
      <c r="BU174" s="31"/>
      <c r="BV174" s="31"/>
      <c r="BW174" s="31"/>
      <c r="BX174" s="31"/>
      <c r="BY174" s="31"/>
      <c r="BZ174" s="31"/>
      <c r="CA174" s="31"/>
      <c r="CB174" s="31"/>
    </row>
    <row r="175" spans="2:80"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  <c r="AO175" s="31"/>
      <c r="AP175" s="31"/>
      <c r="AQ175" s="31"/>
      <c r="AR175" s="31"/>
      <c r="AS175" s="31"/>
      <c r="AT175" s="31"/>
      <c r="AU175" s="31"/>
      <c r="AV175" s="31"/>
      <c r="AW175" s="31"/>
      <c r="AX175" s="31"/>
      <c r="AY175" s="31"/>
      <c r="AZ175" s="31"/>
      <c r="BA175" s="31"/>
      <c r="BB175" s="31"/>
      <c r="BC175" s="31"/>
      <c r="BD175" s="31"/>
      <c r="BE175" s="31"/>
      <c r="BF175" s="31"/>
      <c r="BG175" s="31"/>
      <c r="BH175" s="31"/>
      <c r="BI175" s="31"/>
      <c r="BJ175" s="31"/>
      <c r="BK175" s="31"/>
      <c r="BL175" s="31"/>
      <c r="BM175" s="31"/>
      <c r="BN175" s="31"/>
      <c r="BO175" s="31"/>
      <c r="BP175" s="31"/>
      <c r="BQ175" s="31"/>
      <c r="BR175" s="31"/>
      <c r="BS175" s="31"/>
      <c r="BT175" s="31"/>
      <c r="BU175" s="31"/>
      <c r="BV175" s="31"/>
      <c r="BW175" s="31"/>
      <c r="BX175" s="31"/>
      <c r="BY175" s="31"/>
      <c r="BZ175" s="31"/>
      <c r="CA175" s="31"/>
      <c r="CB175" s="31"/>
    </row>
    <row r="176" spans="2:80"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  <c r="AT176" s="31"/>
      <c r="AU176" s="31"/>
      <c r="AV176" s="31"/>
      <c r="AW176" s="31"/>
      <c r="AX176" s="31"/>
      <c r="AY176" s="31"/>
      <c r="AZ176" s="31"/>
      <c r="BA176" s="31"/>
      <c r="BB176" s="31"/>
      <c r="BC176" s="31"/>
      <c r="BD176" s="31"/>
      <c r="BE176" s="31"/>
      <c r="BF176" s="31"/>
      <c r="BG176" s="31"/>
      <c r="BH176" s="31"/>
      <c r="BI176" s="31"/>
      <c r="BJ176" s="31"/>
      <c r="BK176" s="31"/>
      <c r="BL176" s="31"/>
      <c r="BM176" s="31"/>
      <c r="BN176" s="31"/>
      <c r="BO176" s="31"/>
      <c r="BP176" s="31"/>
      <c r="BQ176" s="31"/>
      <c r="BR176" s="31"/>
      <c r="BS176" s="31"/>
      <c r="BT176" s="31"/>
      <c r="BU176" s="31"/>
      <c r="BV176" s="31"/>
      <c r="BW176" s="31"/>
      <c r="BX176" s="31"/>
      <c r="BY176" s="31"/>
      <c r="BZ176" s="31"/>
      <c r="CA176" s="31"/>
      <c r="CB176" s="31"/>
    </row>
    <row r="177" spans="2:80"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  <c r="AT177" s="31"/>
      <c r="AU177" s="31"/>
      <c r="AV177" s="31"/>
      <c r="AW177" s="31"/>
      <c r="AX177" s="31"/>
      <c r="AY177" s="31"/>
      <c r="AZ177" s="31"/>
      <c r="BA177" s="31"/>
      <c r="BB177" s="31"/>
      <c r="BC177" s="31"/>
      <c r="BD177" s="31"/>
      <c r="BE177" s="31"/>
      <c r="BF177" s="31"/>
      <c r="BG177" s="31"/>
      <c r="BH177" s="31"/>
      <c r="BI177" s="31"/>
      <c r="BJ177" s="31"/>
      <c r="BK177" s="31"/>
      <c r="BL177" s="31"/>
      <c r="BM177" s="31"/>
      <c r="BN177" s="31"/>
      <c r="BO177" s="31"/>
      <c r="BP177" s="31"/>
      <c r="BQ177" s="31"/>
      <c r="BR177" s="31"/>
      <c r="BS177" s="31"/>
      <c r="BT177" s="31"/>
      <c r="BU177" s="31"/>
      <c r="BV177" s="31"/>
      <c r="BW177" s="31"/>
      <c r="BX177" s="31"/>
      <c r="BY177" s="31"/>
      <c r="BZ177" s="31"/>
      <c r="CA177" s="31"/>
      <c r="CB177" s="31"/>
    </row>
    <row r="178" spans="2:80"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  <c r="AL178" s="31"/>
      <c r="AM178" s="31"/>
      <c r="AN178" s="31"/>
      <c r="AO178" s="31"/>
      <c r="AP178" s="31"/>
      <c r="AQ178" s="31"/>
      <c r="AR178" s="31"/>
      <c r="AS178" s="31"/>
      <c r="AT178" s="31"/>
      <c r="AU178" s="31"/>
      <c r="AV178" s="31"/>
      <c r="AW178" s="31"/>
      <c r="AX178" s="31"/>
      <c r="AY178" s="31"/>
      <c r="AZ178" s="31"/>
      <c r="BA178" s="31"/>
      <c r="BB178" s="31"/>
      <c r="BC178" s="31"/>
      <c r="BD178" s="31"/>
      <c r="BE178" s="31"/>
      <c r="BF178" s="31"/>
      <c r="BG178" s="31"/>
      <c r="BH178" s="31"/>
      <c r="BI178" s="31"/>
      <c r="BJ178" s="31"/>
      <c r="BK178" s="31"/>
      <c r="BL178" s="31"/>
      <c r="BM178" s="31"/>
      <c r="BN178" s="31"/>
      <c r="BO178" s="31"/>
      <c r="BP178" s="31"/>
      <c r="BQ178" s="31"/>
      <c r="BR178" s="31"/>
      <c r="BS178" s="31"/>
      <c r="BT178" s="31"/>
      <c r="BU178" s="31"/>
      <c r="BV178" s="31"/>
      <c r="BW178" s="31"/>
      <c r="BX178" s="31"/>
      <c r="BY178" s="31"/>
      <c r="BZ178" s="31"/>
      <c r="CA178" s="31"/>
      <c r="CB178" s="31"/>
    </row>
    <row r="179" spans="2:80"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  <c r="AT179" s="31"/>
      <c r="AU179" s="31"/>
      <c r="AV179" s="31"/>
      <c r="AW179" s="31"/>
      <c r="AX179" s="31"/>
      <c r="AY179" s="31"/>
      <c r="AZ179" s="31"/>
      <c r="BA179" s="31"/>
      <c r="BB179" s="31"/>
      <c r="BC179" s="31"/>
      <c r="BD179" s="31"/>
      <c r="BE179" s="31"/>
      <c r="BF179" s="31"/>
      <c r="BG179" s="31"/>
      <c r="BH179" s="31"/>
      <c r="BI179" s="31"/>
      <c r="BJ179" s="31"/>
      <c r="BK179" s="31"/>
      <c r="BL179" s="31"/>
      <c r="BM179" s="31"/>
      <c r="BN179" s="31"/>
      <c r="BO179" s="31"/>
      <c r="BP179" s="31"/>
      <c r="BQ179" s="31"/>
      <c r="BR179" s="31"/>
      <c r="BS179" s="31"/>
      <c r="BT179" s="31"/>
      <c r="BU179" s="31"/>
      <c r="BV179" s="31"/>
      <c r="BW179" s="31"/>
      <c r="BX179" s="31"/>
      <c r="BY179" s="31"/>
      <c r="BZ179" s="31"/>
      <c r="CA179" s="31"/>
      <c r="CB179" s="31"/>
    </row>
    <row r="180" spans="2:80"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  <c r="AT180" s="31"/>
      <c r="AU180" s="31"/>
      <c r="AV180" s="31"/>
      <c r="AW180" s="31"/>
      <c r="AX180" s="31"/>
      <c r="AY180" s="31"/>
      <c r="AZ180" s="31"/>
      <c r="BA180" s="31"/>
      <c r="BB180" s="31"/>
      <c r="BC180" s="31"/>
      <c r="BD180" s="31"/>
      <c r="BE180" s="31"/>
      <c r="BF180" s="31"/>
      <c r="BG180" s="31"/>
      <c r="BH180" s="31"/>
      <c r="BI180" s="31"/>
      <c r="BJ180" s="31"/>
      <c r="BK180" s="31"/>
      <c r="BL180" s="31"/>
      <c r="BM180" s="31"/>
      <c r="BN180" s="31"/>
      <c r="BO180" s="31"/>
      <c r="BP180" s="31"/>
      <c r="BQ180" s="31"/>
      <c r="BR180" s="31"/>
      <c r="BS180" s="31"/>
      <c r="BT180" s="31"/>
      <c r="BU180" s="31"/>
      <c r="BV180" s="31"/>
      <c r="BW180" s="31"/>
      <c r="BX180" s="31"/>
      <c r="BY180" s="31"/>
      <c r="BZ180" s="31"/>
      <c r="CA180" s="31"/>
      <c r="CB180" s="31"/>
    </row>
    <row r="181" spans="2:80"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  <c r="AT181" s="31"/>
      <c r="AU181" s="31"/>
      <c r="AV181" s="31"/>
      <c r="AW181" s="31"/>
      <c r="AX181" s="31"/>
      <c r="AY181" s="31"/>
      <c r="AZ181" s="31"/>
      <c r="BA181" s="31"/>
      <c r="BB181" s="31"/>
      <c r="BC181" s="31"/>
      <c r="BD181" s="31"/>
      <c r="BE181" s="31"/>
      <c r="BF181" s="31"/>
      <c r="BG181" s="31"/>
      <c r="BH181" s="31"/>
      <c r="BI181" s="31"/>
      <c r="BJ181" s="31"/>
      <c r="BK181" s="31"/>
      <c r="BL181" s="31"/>
      <c r="BM181" s="31"/>
      <c r="BN181" s="31"/>
      <c r="BO181" s="31"/>
      <c r="BP181" s="31"/>
      <c r="BQ181" s="31"/>
      <c r="BR181" s="31"/>
      <c r="BS181" s="31"/>
      <c r="BT181" s="31"/>
      <c r="BU181" s="31"/>
      <c r="BV181" s="31"/>
      <c r="BW181" s="31"/>
      <c r="BX181" s="31"/>
      <c r="BY181" s="31"/>
      <c r="BZ181" s="31"/>
      <c r="CA181" s="31"/>
      <c r="CB181" s="31"/>
    </row>
    <row r="182" spans="2:80"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  <c r="AL182" s="31"/>
      <c r="AM182" s="31"/>
      <c r="AN182" s="31"/>
      <c r="AO182" s="31"/>
      <c r="AP182" s="31"/>
      <c r="AQ182" s="31"/>
      <c r="AR182" s="31"/>
      <c r="AS182" s="31"/>
      <c r="AT182" s="31"/>
      <c r="AU182" s="31"/>
      <c r="AV182" s="31"/>
      <c r="AW182" s="31"/>
      <c r="AX182" s="31"/>
      <c r="AY182" s="31"/>
      <c r="AZ182" s="31"/>
      <c r="BA182" s="31"/>
      <c r="BB182" s="31"/>
      <c r="BC182" s="31"/>
      <c r="BD182" s="31"/>
      <c r="BE182" s="31"/>
      <c r="BF182" s="31"/>
      <c r="BG182" s="31"/>
      <c r="BH182" s="31"/>
      <c r="BI182" s="31"/>
      <c r="BJ182" s="31"/>
      <c r="BK182" s="31"/>
      <c r="BL182" s="31"/>
      <c r="BM182" s="31"/>
      <c r="BN182" s="31"/>
      <c r="BO182" s="31"/>
      <c r="BP182" s="31"/>
      <c r="BQ182" s="31"/>
      <c r="BR182" s="31"/>
      <c r="BS182" s="31"/>
      <c r="BT182" s="31"/>
      <c r="BU182" s="31"/>
      <c r="BV182" s="31"/>
      <c r="BW182" s="31"/>
      <c r="BX182" s="31"/>
      <c r="BY182" s="31"/>
      <c r="BZ182" s="31"/>
      <c r="CA182" s="31"/>
      <c r="CB182" s="31"/>
    </row>
    <row r="183" spans="2:80"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1"/>
      <c r="AP183" s="31"/>
      <c r="AQ183" s="31"/>
      <c r="AR183" s="31"/>
      <c r="AS183" s="31"/>
      <c r="AT183" s="31"/>
      <c r="AU183" s="31"/>
      <c r="AV183" s="31"/>
      <c r="AW183" s="31"/>
      <c r="AX183" s="31"/>
      <c r="AY183" s="31"/>
      <c r="AZ183" s="31"/>
      <c r="BA183" s="31"/>
      <c r="BB183" s="31"/>
      <c r="BC183" s="31"/>
      <c r="BD183" s="31"/>
      <c r="BE183" s="31"/>
      <c r="BF183" s="31"/>
      <c r="BG183" s="31"/>
      <c r="BH183" s="31"/>
      <c r="BI183" s="31"/>
      <c r="BJ183" s="31"/>
      <c r="BK183" s="31"/>
      <c r="BL183" s="31"/>
      <c r="BM183" s="31"/>
      <c r="BN183" s="31"/>
      <c r="BO183" s="31"/>
      <c r="BP183" s="31"/>
      <c r="BQ183" s="31"/>
      <c r="BR183" s="31"/>
      <c r="BS183" s="31"/>
      <c r="BT183" s="31"/>
      <c r="BU183" s="31"/>
      <c r="BV183" s="31"/>
      <c r="BW183" s="31"/>
      <c r="BX183" s="31"/>
      <c r="BY183" s="31"/>
      <c r="BZ183" s="31"/>
      <c r="CA183" s="31"/>
      <c r="CB183" s="31"/>
    </row>
    <row r="184" spans="2:80"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  <c r="AT184" s="31"/>
      <c r="AU184" s="31"/>
      <c r="AV184" s="31"/>
      <c r="AW184" s="31"/>
      <c r="AX184" s="31"/>
      <c r="AY184" s="31"/>
      <c r="AZ184" s="31"/>
      <c r="BA184" s="31"/>
      <c r="BB184" s="31"/>
      <c r="BC184" s="31"/>
      <c r="BD184" s="31"/>
      <c r="BE184" s="31"/>
      <c r="BF184" s="31"/>
      <c r="BG184" s="31"/>
      <c r="BH184" s="31"/>
      <c r="BI184" s="31"/>
      <c r="BJ184" s="31"/>
      <c r="BK184" s="31"/>
      <c r="BL184" s="31"/>
      <c r="BM184" s="31"/>
      <c r="BN184" s="31"/>
      <c r="BO184" s="31"/>
      <c r="BP184" s="31"/>
      <c r="BQ184" s="31"/>
      <c r="BR184" s="31"/>
      <c r="BS184" s="31"/>
      <c r="BT184" s="31"/>
      <c r="BU184" s="31"/>
      <c r="BV184" s="31"/>
      <c r="BW184" s="31"/>
      <c r="BX184" s="31"/>
      <c r="BY184" s="31"/>
      <c r="BZ184" s="31"/>
      <c r="CA184" s="31"/>
      <c r="CB184" s="31"/>
    </row>
    <row r="185" spans="2:80"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  <c r="AL185" s="31"/>
      <c r="AM185" s="31"/>
      <c r="AN185" s="31"/>
      <c r="AO185" s="31"/>
      <c r="AP185" s="31"/>
      <c r="AQ185" s="31"/>
      <c r="AR185" s="31"/>
      <c r="AS185" s="31"/>
      <c r="AT185" s="31"/>
      <c r="AU185" s="31"/>
      <c r="AV185" s="31"/>
      <c r="AW185" s="31"/>
      <c r="AX185" s="31"/>
      <c r="AY185" s="31"/>
      <c r="AZ185" s="31"/>
      <c r="BA185" s="31"/>
      <c r="BB185" s="31"/>
      <c r="BC185" s="31"/>
      <c r="BD185" s="31"/>
      <c r="BE185" s="31"/>
      <c r="BF185" s="31"/>
      <c r="BG185" s="31"/>
      <c r="BH185" s="31"/>
      <c r="BI185" s="31"/>
      <c r="BJ185" s="31"/>
      <c r="BK185" s="31"/>
      <c r="BL185" s="31"/>
      <c r="BM185" s="31"/>
      <c r="BN185" s="31"/>
      <c r="BO185" s="31"/>
      <c r="BP185" s="31"/>
      <c r="BQ185" s="31"/>
      <c r="BR185" s="31"/>
      <c r="BS185" s="31"/>
      <c r="BT185" s="31"/>
      <c r="BU185" s="31"/>
      <c r="BV185" s="31"/>
      <c r="BW185" s="31"/>
      <c r="BX185" s="31"/>
      <c r="BY185" s="31"/>
      <c r="BZ185" s="31"/>
      <c r="CA185" s="31"/>
      <c r="CB185" s="31"/>
    </row>
    <row r="186" spans="2:80"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1"/>
      <c r="AP186" s="31"/>
      <c r="AQ186" s="31"/>
      <c r="AR186" s="31"/>
      <c r="AS186" s="31"/>
      <c r="AT186" s="31"/>
      <c r="AU186" s="31"/>
      <c r="AV186" s="31"/>
      <c r="AW186" s="31"/>
      <c r="AX186" s="31"/>
      <c r="AY186" s="31"/>
      <c r="AZ186" s="31"/>
      <c r="BA186" s="31"/>
      <c r="BB186" s="31"/>
      <c r="BC186" s="31"/>
      <c r="BD186" s="31"/>
      <c r="BE186" s="31"/>
      <c r="BF186" s="31"/>
      <c r="BG186" s="31"/>
      <c r="BH186" s="31"/>
      <c r="BI186" s="31"/>
      <c r="BJ186" s="31"/>
      <c r="BK186" s="31"/>
      <c r="BL186" s="31"/>
      <c r="BM186" s="31"/>
      <c r="BN186" s="31"/>
      <c r="BO186" s="31"/>
      <c r="BP186" s="31"/>
      <c r="BQ186" s="31"/>
      <c r="BR186" s="31"/>
      <c r="BS186" s="31"/>
      <c r="BT186" s="31"/>
      <c r="BU186" s="31"/>
      <c r="BV186" s="31"/>
      <c r="BW186" s="31"/>
      <c r="BX186" s="31"/>
      <c r="BY186" s="31"/>
      <c r="BZ186" s="31"/>
      <c r="CA186" s="31"/>
      <c r="CB186" s="31"/>
    </row>
    <row r="187" spans="2:80"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  <c r="AL187" s="31"/>
      <c r="AM187" s="31"/>
      <c r="AN187" s="31"/>
      <c r="AO187" s="31"/>
      <c r="AP187" s="31"/>
      <c r="AQ187" s="31"/>
      <c r="AR187" s="31"/>
      <c r="AS187" s="31"/>
      <c r="AT187" s="31"/>
      <c r="AU187" s="31"/>
      <c r="AV187" s="31"/>
      <c r="AW187" s="31"/>
      <c r="AX187" s="31"/>
      <c r="AY187" s="31"/>
      <c r="AZ187" s="31"/>
      <c r="BA187" s="31"/>
      <c r="BB187" s="31"/>
      <c r="BC187" s="31"/>
      <c r="BD187" s="31"/>
      <c r="BE187" s="31"/>
      <c r="BF187" s="31"/>
      <c r="BG187" s="31"/>
      <c r="BH187" s="31"/>
      <c r="BI187" s="31"/>
      <c r="BJ187" s="31"/>
      <c r="BK187" s="31"/>
      <c r="BL187" s="31"/>
      <c r="BM187" s="31"/>
      <c r="BN187" s="31"/>
      <c r="BO187" s="31"/>
      <c r="BP187" s="31"/>
      <c r="BQ187" s="31"/>
      <c r="BR187" s="31"/>
      <c r="BS187" s="31"/>
      <c r="BT187" s="31"/>
      <c r="BU187" s="31"/>
      <c r="BV187" s="31"/>
      <c r="BW187" s="31"/>
      <c r="BX187" s="31"/>
      <c r="BY187" s="31"/>
      <c r="BZ187" s="31"/>
      <c r="CA187" s="31"/>
      <c r="CB187" s="31"/>
    </row>
    <row r="188" spans="2:80"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1"/>
      <c r="AP188" s="31"/>
      <c r="AQ188" s="31"/>
      <c r="AR188" s="31"/>
      <c r="AS188" s="31"/>
      <c r="AT188" s="31"/>
      <c r="AU188" s="31"/>
      <c r="AV188" s="31"/>
      <c r="AW188" s="31"/>
      <c r="AX188" s="31"/>
      <c r="AY188" s="31"/>
      <c r="AZ188" s="31"/>
      <c r="BA188" s="31"/>
      <c r="BB188" s="31"/>
      <c r="BC188" s="31"/>
      <c r="BD188" s="31"/>
      <c r="BE188" s="31"/>
      <c r="BF188" s="31"/>
      <c r="BG188" s="31"/>
      <c r="BH188" s="31"/>
      <c r="BI188" s="31"/>
      <c r="BJ188" s="31"/>
      <c r="BK188" s="31"/>
      <c r="BL188" s="31"/>
      <c r="BM188" s="31"/>
      <c r="BN188" s="31"/>
      <c r="BO188" s="31"/>
      <c r="BP188" s="31"/>
      <c r="BQ188" s="31"/>
      <c r="BR188" s="31"/>
      <c r="BS188" s="31"/>
      <c r="BT188" s="31"/>
      <c r="BU188" s="31"/>
      <c r="BV188" s="31"/>
      <c r="BW188" s="31"/>
      <c r="BX188" s="31"/>
      <c r="BY188" s="31"/>
      <c r="BZ188" s="31"/>
      <c r="CA188" s="31"/>
      <c r="CB188" s="31"/>
    </row>
    <row r="189" spans="2:80"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  <c r="AT189" s="31"/>
      <c r="AU189" s="31"/>
      <c r="AV189" s="31"/>
      <c r="AW189" s="31"/>
      <c r="AX189" s="31"/>
      <c r="AY189" s="31"/>
      <c r="AZ189" s="31"/>
      <c r="BA189" s="31"/>
      <c r="BB189" s="31"/>
      <c r="BC189" s="31"/>
      <c r="BD189" s="31"/>
      <c r="BE189" s="31"/>
      <c r="BF189" s="31"/>
      <c r="BG189" s="31"/>
      <c r="BH189" s="31"/>
      <c r="BI189" s="31"/>
      <c r="BJ189" s="31"/>
      <c r="BK189" s="31"/>
      <c r="BL189" s="31"/>
      <c r="BM189" s="31"/>
      <c r="BN189" s="31"/>
      <c r="BO189" s="31"/>
      <c r="BP189" s="31"/>
      <c r="BQ189" s="31"/>
      <c r="BR189" s="31"/>
      <c r="BS189" s="31"/>
      <c r="BT189" s="31"/>
      <c r="BU189" s="31"/>
      <c r="BV189" s="31"/>
      <c r="BW189" s="31"/>
      <c r="BX189" s="31"/>
      <c r="BY189" s="31"/>
      <c r="BZ189" s="31"/>
      <c r="CA189" s="31"/>
      <c r="CB189" s="31"/>
    </row>
    <row r="190" spans="2:80"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  <c r="AT190" s="31"/>
      <c r="AU190" s="31"/>
      <c r="AV190" s="31"/>
      <c r="AW190" s="31"/>
      <c r="AX190" s="31"/>
      <c r="AY190" s="31"/>
      <c r="AZ190" s="31"/>
      <c r="BA190" s="31"/>
      <c r="BB190" s="31"/>
      <c r="BC190" s="31"/>
      <c r="BD190" s="31"/>
      <c r="BE190" s="31"/>
      <c r="BF190" s="31"/>
      <c r="BG190" s="31"/>
      <c r="BH190" s="31"/>
      <c r="BI190" s="31"/>
      <c r="BJ190" s="31"/>
      <c r="BK190" s="31"/>
      <c r="BL190" s="31"/>
      <c r="BM190" s="31"/>
      <c r="BN190" s="31"/>
      <c r="BO190" s="31"/>
      <c r="BP190" s="31"/>
      <c r="BQ190" s="31"/>
      <c r="BR190" s="31"/>
      <c r="BS190" s="31"/>
      <c r="BT190" s="31"/>
      <c r="BU190" s="31"/>
      <c r="BV190" s="31"/>
      <c r="BW190" s="31"/>
      <c r="BX190" s="31"/>
      <c r="BY190" s="31"/>
      <c r="BZ190" s="31"/>
      <c r="CA190" s="31"/>
      <c r="CB190" s="31"/>
    </row>
    <row r="191" spans="2:80"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  <c r="AT191" s="31"/>
      <c r="AU191" s="31"/>
      <c r="AV191" s="31"/>
      <c r="AW191" s="31"/>
      <c r="AX191" s="31"/>
      <c r="AY191" s="31"/>
      <c r="AZ191" s="31"/>
      <c r="BA191" s="31"/>
      <c r="BB191" s="31"/>
      <c r="BC191" s="31"/>
      <c r="BD191" s="31"/>
      <c r="BE191" s="31"/>
      <c r="BF191" s="31"/>
      <c r="BG191" s="31"/>
      <c r="BH191" s="31"/>
      <c r="BI191" s="31"/>
      <c r="BJ191" s="31"/>
      <c r="BK191" s="31"/>
      <c r="BL191" s="31"/>
      <c r="BM191" s="31"/>
      <c r="BN191" s="31"/>
      <c r="BO191" s="31"/>
      <c r="BP191" s="31"/>
      <c r="BQ191" s="31"/>
      <c r="BR191" s="31"/>
      <c r="BS191" s="31"/>
      <c r="BT191" s="31"/>
      <c r="BU191" s="31"/>
      <c r="BV191" s="31"/>
      <c r="BW191" s="31"/>
      <c r="BX191" s="31"/>
      <c r="BY191" s="31"/>
      <c r="BZ191" s="31"/>
      <c r="CA191" s="31"/>
      <c r="CB191" s="31"/>
    </row>
    <row r="192" spans="2:80"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  <c r="AL192" s="31"/>
      <c r="AM192" s="31"/>
      <c r="AN192" s="31"/>
      <c r="AO192" s="31"/>
      <c r="AP192" s="31"/>
      <c r="AQ192" s="31"/>
      <c r="AR192" s="31"/>
      <c r="AS192" s="31"/>
      <c r="AT192" s="31"/>
      <c r="AU192" s="31"/>
      <c r="AV192" s="31"/>
      <c r="AW192" s="31"/>
      <c r="AX192" s="31"/>
      <c r="AY192" s="31"/>
      <c r="AZ192" s="31"/>
      <c r="BA192" s="31"/>
      <c r="BB192" s="31"/>
      <c r="BC192" s="31"/>
      <c r="BD192" s="31"/>
      <c r="BE192" s="31"/>
      <c r="BF192" s="31"/>
      <c r="BG192" s="31"/>
      <c r="BH192" s="31"/>
      <c r="BI192" s="31"/>
      <c r="BJ192" s="31"/>
      <c r="BK192" s="31"/>
      <c r="BL192" s="31"/>
      <c r="BM192" s="31"/>
      <c r="BN192" s="31"/>
      <c r="BO192" s="31"/>
      <c r="BP192" s="31"/>
      <c r="BQ192" s="31"/>
      <c r="BR192" s="31"/>
      <c r="BS192" s="31"/>
      <c r="BT192" s="31"/>
      <c r="BU192" s="31"/>
      <c r="BV192" s="31"/>
      <c r="BW192" s="31"/>
      <c r="BX192" s="31"/>
      <c r="BY192" s="31"/>
      <c r="BZ192" s="31"/>
      <c r="CA192" s="31"/>
      <c r="CB192" s="31"/>
    </row>
    <row r="193" spans="2:80"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1"/>
      <c r="AP193" s="31"/>
      <c r="AQ193" s="31"/>
      <c r="AR193" s="31"/>
      <c r="AS193" s="31"/>
      <c r="AT193" s="31"/>
      <c r="AU193" s="31"/>
      <c r="AV193" s="31"/>
      <c r="AW193" s="31"/>
      <c r="AX193" s="31"/>
      <c r="AY193" s="31"/>
      <c r="AZ193" s="31"/>
      <c r="BA193" s="31"/>
      <c r="BB193" s="31"/>
      <c r="BC193" s="31"/>
      <c r="BD193" s="31"/>
      <c r="BE193" s="31"/>
      <c r="BF193" s="31"/>
      <c r="BG193" s="31"/>
      <c r="BH193" s="31"/>
      <c r="BI193" s="31"/>
      <c r="BJ193" s="31"/>
      <c r="BK193" s="31"/>
      <c r="BL193" s="31"/>
      <c r="BM193" s="31"/>
      <c r="BN193" s="31"/>
      <c r="BO193" s="31"/>
      <c r="BP193" s="31"/>
      <c r="BQ193" s="31"/>
      <c r="BR193" s="31"/>
      <c r="BS193" s="31"/>
      <c r="BT193" s="31"/>
      <c r="BU193" s="31"/>
      <c r="BV193" s="31"/>
      <c r="BW193" s="31"/>
      <c r="BX193" s="31"/>
      <c r="BY193" s="31"/>
      <c r="BZ193" s="31"/>
      <c r="CA193" s="31"/>
      <c r="CB193" s="31"/>
    </row>
    <row r="194" spans="2:80"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  <c r="AT194" s="31"/>
      <c r="AU194" s="31"/>
      <c r="AV194" s="31"/>
      <c r="AW194" s="31"/>
      <c r="AX194" s="31"/>
      <c r="AY194" s="31"/>
      <c r="AZ194" s="31"/>
      <c r="BA194" s="31"/>
      <c r="BB194" s="31"/>
      <c r="BC194" s="31"/>
      <c r="BD194" s="31"/>
      <c r="BE194" s="31"/>
      <c r="BF194" s="31"/>
      <c r="BG194" s="31"/>
      <c r="BH194" s="31"/>
      <c r="BI194" s="31"/>
      <c r="BJ194" s="31"/>
      <c r="BK194" s="31"/>
      <c r="BL194" s="31"/>
      <c r="BM194" s="31"/>
      <c r="BN194" s="31"/>
      <c r="BO194" s="31"/>
      <c r="BP194" s="31"/>
      <c r="BQ194" s="31"/>
      <c r="BR194" s="31"/>
      <c r="BS194" s="31"/>
      <c r="BT194" s="31"/>
      <c r="BU194" s="31"/>
      <c r="BV194" s="31"/>
      <c r="BW194" s="31"/>
      <c r="BX194" s="31"/>
      <c r="BY194" s="31"/>
      <c r="BZ194" s="31"/>
      <c r="CA194" s="31"/>
      <c r="CB194" s="31"/>
    </row>
    <row r="195" spans="2:80"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  <c r="AT195" s="31"/>
      <c r="AU195" s="31"/>
      <c r="AV195" s="31"/>
      <c r="AW195" s="31"/>
      <c r="AX195" s="31"/>
      <c r="AY195" s="31"/>
      <c r="AZ195" s="31"/>
      <c r="BA195" s="31"/>
      <c r="BB195" s="31"/>
      <c r="BC195" s="31"/>
      <c r="BD195" s="31"/>
      <c r="BE195" s="31"/>
      <c r="BF195" s="31"/>
      <c r="BG195" s="31"/>
      <c r="BH195" s="31"/>
      <c r="BI195" s="31"/>
      <c r="BJ195" s="31"/>
      <c r="BK195" s="31"/>
      <c r="BL195" s="31"/>
      <c r="BM195" s="31"/>
      <c r="BN195" s="31"/>
      <c r="BO195" s="31"/>
      <c r="BP195" s="31"/>
      <c r="BQ195" s="31"/>
      <c r="BR195" s="31"/>
      <c r="BS195" s="31"/>
      <c r="BT195" s="31"/>
      <c r="BU195" s="31"/>
      <c r="BV195" s="31"/>
      <c r="BW195" s="31"/>
      <c r="BX195" s="31"/>
      <c r="BY195" s="31"/>
      <c r="BZ195" s="31"/>
      <c r="CA195" s="31"/>
      <c r="CB195" s="31"/>
    </row>
    <row r="196" spans="2:80"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  <c r="AP196" s="31"/>
      <c r="AQ196" s="31"/>
      <c r="AR196" s="31"/>
      <c r="AS196" s="31"/>
      <c r="AT196" s="31"/>
      <c r="AU196" s="31"/>
      <c r="AV196" s="31"/>
      <c r="AW196" s="31"/>
      <c r="AX196" s="31"/>
      <c r="AY196" s="31"/>
      <c r="AZ196" s="31"/>
      <c r="BA196" s="31"/>
      <c r="BB196" s="31"/>
      <c r="BC196" s="31"/>
      <c r="BD196" s="31"/>
      <c r="BE196" s="31"/>
      <c r="BF196" s="31"/>
      <c r="BG196" s="31"/>
      <c r="BH196" s="31"/>
      <c r="BI196" s="31"/>
      <c r="BJ196" s="31"/>
      <c r="BK196" s="31"/>
      <c r="BL196" s="31"/>
      <c r="BM196" s="31"/>
      <c r="BN196" s="31"/>
      <c r="BO196" s="31"/>
      <c r="BP196" s="31"/>
      <c r="BQ196" s="31"/>
      <c r="BR196" s="31"/>
      <c r="BS196" s="31"/>
      <c r="BT196" s="31"/>
      <c r="BU196" s="31"/>
      <c r="BV196" s="31"/>
      <c r="BW196" s="31"/>
      <c r="BX196" s="31"/>
      <c r="BY196" s="31"/>
      <c r="BZ196" s="31"/>
      <c r="CA196" s="31"/>
      <c r="CB196" s="31"/>
    </row>
    <row r="197" spans="2:80"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/>
      <c r="AL197" s="31"/>
      <c r="AM197" s="31"/>
      <c r="AN197" s="31"/>
      <c r="AO197" s="31"/>
      <c r="AP197" s="31"/>
      <c r="AQ197" s="31"/>
      <c r="AR197" s="31"/>
      <c r="AS197" s="31"/>
      <c r="AT197" s="31"/>
      <c r="AU197" s="31"/>
      <c r="AV197" s="31"/>
      <c r="AW197" s="31"/>
      <c r="AX197" s="31"/>
      <c r="AY197" s="31"/>
      <c r="AZ197" s="31"/>
      <c r="BA197" s="31"/>
      <c r="BB197" s="31"/>
      <c r="BC197" s="31"/>
      <c r="BD197" s="31"/>
      <c r="BE197" s="31"/>
      <c r="BF197" s="31"/>
      <c r="BG197" s="31"/>
      <c r="BH197" s="31"/>
      <c r="BI197" s="31"/>
      <c r="BJ197" s="31"/>
      <c r="BK197" s="31"/>
      <c r="BL197" s="31"/>
      <c r="BM197" s="31"/>
      <c r="BN197" s="31"/>
      <c r="BO197" s="31"/>
      <c r="BP197" s="31"/>
      <c r="BQ197" s="31"/>
      <c r="BR197" s="31"/>
      <c r="BS197" s="31"/>
      <c r="BT197" s="31"/>
      <c r="BU197" s="31"/>
      <c r="BV197" s="31"/>
      <c r="BW197" s="31"/>
      <c r="BX197" s="31"/>
      <c r="BY197" s="31"/>
      <c r="BZ197" s="31"/>
      <c r="CA197" s="31"/>
      <c r="CB197" s="31"/>
    </row>
    <row r="198" spans="2:80"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1"/>
      <c r="AP198" s="31"/>
      <c r="AQ198" s="31"/>
      <c r="AR198" s="31"/>
      <c r="AS198" s="31"/>
      <c r="AT198" s="31"/>
      <c r="AU198" s="31"/>
      <c r="AV198" s="31"/>
      <c r="AW198" s="31"/>
      <c r="AX198" s="31"/>
      <c r="AY198" s="31"/>
      <c r="AZ198" s="31"/>
      <c r="BA198" s="31"/>
      <c r="BB198" s="31"/>
      <c r="BC198" s="31"/>
      <c r="BD198" s="31"/>
      <c r="BE198" s="31"/>
      <c r="BF198" s="31"/>
      <c r="BG198" s="31"/>
      <c r="BH198" s="31"/>
      <c r="BI198" s="31"/>
      <c r="BJ198" s="31"/>
      <c r="BK198" s="31"/>
      <c r="BL198" s="31"/>
      <c r="BM198" s="31"/>
      <c r="BN198" s="31"/>
      <c r="BO198" s="31"/>
      <c r="BP198" s="31"/>
      <c r="BQ198" s="31"/>
      <c r="BR198" s="31"/>
      <c r="BS198" s="31"/>
      <c r="BT198" s="31"/>
      <c r="BU198" s="31"/>
      <c r="BV198" s="31"/>
      <c r="BW198" s="31"/>
      <c r="BX198" s="31"/>
      <c r="BY198" s="31"/>
      <c r="BZ198" s="31"/>
      <c r="CA198" s="31"/>
      <c r="CB198" s="31"/>
    </row>
    <row r="199" spans="2:80"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  <c r="AP199" s="31"/>
      <c r="AQ199" s="31"/>
      <c r="AR199" s="31"/>
      <c r="AS199" s="31"/>
      <c r="AT199" s="31"/>
      <c r="AU199" s="31"/>
      <c r="AV199" s="31"/>
      <c r="AW199" s="31"/>
      <c r="AX199" s="31"/>
      <c r="AY199" s="31"/>
      <c r="AZ199" s="31"/>
      <c r="BA199" s="31"/>
      <c r="BB199" s="31"/>
      <c r="BC199" s="31"/>
      <c r="BD199" s="31"/>
      <c r="BE199" s="31"/>
      <c r="BF199" s="31"/>
      <c r="BG199" s="31"/>
      <c r="BH199" s="31"/>
      <c r="BI199" s="31"/>
      <c r="BJ199" s="31"/>
      <c r="BK199" s="31"/>
      <c r="BL199" s="31"/>
      <c r="BM199" s="31"/>
      <c r="BN199" s="31"/>
      <c r="BO199" s="31"/>
      <c r="BP199" s="31"/>
      <c r="BQ199" s="31"/>
      <c r="BR199" s="31"/>
      <c r="BS199" s="31"/>
      <c r="BT199" s="31"/>
      <c r="BU199" s="31"/>
      <c r="BV199" s="31"/>
      <c r="BW199" s="31"/>
      <c r="BX199" s="31"/>
      <c r="BY199" s="31"/>
      <c r="BZ199" s="31"/>
      <c r="CA199" s="31"/>
      <c r="CB199" s="31"/>
    </row>
    <row r="200" spans="2:80"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/>
      <c r="AL200" s="31"/>
      <c r="AM200" s="31"/>
      <c r="AN200" s="31"/>
      <c r="AO200" s="31"/>
      <c r="AP200" s="31"/>
      <c r="AQ200" s="31"/>
      <c r="AR200" s="31"/>
      <c r="AS200" s="31"/>
      <c r="AT200" s="31"/>
      <c r="AU200" s="31"/>
      <c r="AV200" s="31"/>
      <c r="AW200" s="31"/>
      <c r="AX200" s="31"/>
      <c r="AY200" s="31"/>
      <c r="AZ200" s="31"/>
      <c r="BA200" s="31"/>
      <c r="BB200" s="31"/>
      <c r="BC200" s="31"/>
      <c r="BD200" s="31"/>
      <c r="BE200" s="31"/>
      <c r="BF200" s="31"/>
      <c r="BG200" s="31"/>
      <c r="BH200" s="31"/>
      <c r="BI200" s="31"/>
      <c r="BJ200" s="31"/>
      <c r="BK200" s="31"/>
      <c r="BL200" s="31"/>
      <c r="BM200" s="31"/>
      <c r="BN200" s="31"/>
      <c r="BO200" s="31"/>
      <c r="BP200" s="31"/>
      <c r="BQ200" s="31"/>
      <c r="BR200" s="31"/>
      <c r="BS200" s="31"/>
      <c r="BT200" s="31"/>
      <c r="BU200" s="31"/>
      <c r="BV200" s="31"/>
      <c r="BW200" s="31"/>
      <c r="BX200" s="31"/>
      <c r="BY200" s="31"/>
      <c r="BZ200" s="31"/>
      <c r="CA200" s="31"/>
      <c r="CB200" s="31"/>
    </row>
    <row r="201" spans="2:80"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1"/>
      <c r="AP201" s="31"/>
      <c r="AQ201" s="31"/>
      <c r="AR201" s="31"/>
      <c r="AS201" s="31"/>
      <c r="AT201" s="31"/>
      <c r="AU201" s="31"/>
      <c r="AV201" s="31"/>
      <c r="AW201" s="31"/>
      <c r="AX201" s="31"/>
      <c r="AY201" s="31"/>
      <c r="AZ201" s="31"/>
      <c r="BA201" s="31"/>
      <c r="BB201" s="31"/>
      <c r="BC201" s="31"/>
      <c r="BD201" s="31"/>
      <c r="BE201" s="31"/>
      <c r="BF201" s="31"/>
      <c r="BG201" s="31"/>
      <c r="BH201" s="31"/>
      <c r="BI201" s="31"/>
      <c r="BJ201" s="31"/>
      <c r="BK201" s="31"/>
      <c r="BL201" s="31"/>
      <c r="BM201" s="31"/>
      <c r="BN201" s="31"/>
      <c r="BO201" s="31"/>
      <c r="BP201" s="31"/>
      <c r="BQ201" s="31"/>
      <c r="BR201" s="31"/>
      <c r="BS201" s="31"/>
      <c r="BT201" s="31"/>
      <c r="BU201" s="31"/>
      <c r="BV201" s="31"/>
      <c r="BW201" s="31"/>
      <c r="BX201" s="31"/>
      <c r="BY201" s="31"/>
      <c r="BZ201" s="31"/>
      <c r="CA201" s="31"/>
      <c r="CB201" s="31"/>
    </row>
    <row r="202" spans="2:80"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  <c r="AT202" s="31"/>
      <c r="AU202" s="31"/>
      <c r="AV202" s="31"/>
      <c r="AW202" s="31"/>
      <c r="AX202" s="31"/>
      <c r="AY202" s="31"/>
      <c r="AZ202" s="31"/>
      <c r="BA202" s="31"/>
      <c r="BB202" s="31"/>
      <c r="BC202" s="31"/>
      <c r="BD202" s="31"/>
      <c r="BE202" s="31"/>
      <c r="BF202" s="31"/>
      <c r="BG202" s="31"/>
      <c r="BH202" s="31"/>
      <c r="BI202" s="31"/>
      <c r="BJ202" s="31"/>
      <c r="BK202" s="31"/>
      <c r="BL202" s="31"/>
      <c r="BM202" s="31"/>
      <c r="BN202" s="31"/>
      <c r="BO202" s="31"/>
      <c r="BP202" s="31"/>
      <c r="BQ202" s="31"/>
      <c r="BR202" s="31"/>
      <c r="BS202" s="31"/>
      <c r="BT202" s="31"/>
      <c r="BU202" s="31"/>
      <c r="BV202" s="31"/>
      <c r="BW202" s="31"/>
      <c r="BX202" s="31"/>
      <c r="BY202" s="31"/>
      <c r="BZ202" s="31"/>
      <c r="CA202" s="31"/>
      <c r="CB202" s="31"/>
    </row>
    <row r="203" spans="2:80"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  <c r="AL203" s="31"/>
      <c r="AM203" s="31"/>
      <c r="AN203" s="31"/>
      <c r="AO203" s="31"/>
      <c r="AP203" s="31"/>
      <c r="AQ203" s="31"/>
      <c r="AR203" s="31"/>
      <c r="AS203" s="31"/>
      <c r="AT203" s="31"/>
      <c r="AU203" s="31"/>
      <c r="AV203" s="31"/>
      <c r="AW203" s="31"/>
      <c r="AX203" s="31"/>
      <c r="AY203" s="31"/>
      <c r="AZ203" s="31"/>
      <c r="BA203" s="31"/>
      <c r="BB203" s="31"/>
      <c r="BC203" s="31"/>
      <c r="BD203" s="31"/>
      <c r="BE203" s="31"/>
      <c r="BF203" s="31"/>
      <c r="BG203" s="31"/>
      <c r="BH203" s="31"/>
      <c r="BI203" s="31"/>
      <c r="BJ203" s="31"/>
      <c r="BK203" s="31"/>
      <c r="BL203" s="31"/>
      <c r="BM203" s="31"/>
      <c r="BN203" s="31"/>
      <c r="BO203" s="31"/>
      <c r="BP203" s="31"/>
      <c r="BQ203" s="31"/>
      <c r="BR203" s="31"/>
      <c r="BS203" s="31"/>
      <c r="BT203" s="31"/>
      <c r="BU203" s="31"/>
      <c r="BV203" s="31"/>
      <c r="BW203" s="31"/>
      <c r="BX203" s="31"/>
      <c r="BY203" s="31"/>
      <c r="BZ203" s="31"/>
      <c r="CA203" s="31"/>
      <c r="CB203" s="31"/>
    </row>
    <row r="204" spans="2:80"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31"/>
      <c r="AK204" s="31"/>
      <c r="AL204" s="31"/>
      <c r="AM204" s="31"/>
      <c r="AN204" s="31"/>
      <c r="AO204" s="31"/>
      <c r="AP204" s="31"/>
      <c r="AQ204" s="31"/>
      <c r="AR204" s="31"/>
      <c r="AS204" s="31"/>
      <c r="AT204" s="31"/>
      <c r="AU204" s="31"/>
      <c r="AV204" s="31"/>
      <c r="AW204" s="31"/>
      <c r="AX204" s="31"/>
      <c r="AY204" s="31"/>
      <c r="AZ204" s="31"/>
      <c r="BA204" s="31"/>
      <c r="BB204" s="31"/>
      <c r="BC204" s="31"/>
      <c r="BD204" s="31"/>
      <c r="BE204" s="31"/>
      <c r="BF204" s="31"/>
      <c r="BG204" s="31"/>
      <c r="BH204" s="31"/>
      <c r="BI204" s="31"/>
      <c r="BJ204" s="31"/>
      <c r="BK204" s="31"/>
      <c r="BL204" s="31"/>
      <c r="BM204" s="31"/>
      <c r="BN204" s="31"/>
      <c r="BO204" s="31"/>
      <c r="BP204" s="31"/>
      <c r="BQ204" s="31"/>
      <c r="BR204" s="31"/>
      <c r="BS204" s="31"/>
      <c r="BT204" s="31"/>
      <c r="BU204" s="31"/>
      <c r="BV204" s="31"/>
      <c r="BW204" s="31"/>
      <c r="BX204" s="31"/>
      <c r="BY204" s="31"/>
      <c r="BZ204" s="31"/>
      <c r="CA204" s="31"/>
      <c r="CB204" s="31"/>
    </row>
    <row r="205" spans="2:80"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31"/>
      <c r="AK205" s="31"/>
      <c r="AL205" s="31"/>
      <c r="AM205" s="31"/>
      <c r="AN205" s="31"/>
      <c r="AO205" s="31"/>
      <c r="AP205" s="31"/>
      <c r="AQ205" s="31"/>
      <c r="AR205" s="31"/>
      <c r="AS205" s="31"/>
      <c r="AT205" s="31"/>
      <c r="AU205" s="31"/>
      <c r="AV205" s="31"/>
      <c r="AW205" s="31"/>
      <c r="AX205" s="31"/>
      <c r="AY205" s="31"/>
      <c r="AZ205" s="31"/>
      <c r="BA205" s="31"/>
      <c r="BB205" s="31"/>
      <c r="BC205" s="31"/>
      <c r="BD205" s="31"/>
      <c r="BE205" s="31"/>
      <c r="BF205" s="31"/>
      <c r="BG205" s="31"/>
      <c r="BH205" s="31"/>
      <c r="BI205" s="31"/>
      <c r="BJ205" s="31"/>
      <c r="BK205" s="31"/>
      <c r="BL205" s="31"/>
      <c r="BM205" s="31"/>
      <c r="BN205" s="31"/>
      <c r="BO205" s="31"/>
      <c r="BP205" s="31"/>
      <c r="BQ205" s="31"/>
      <c r="BR205" s="31"/>
      <c r="BS205" s="31"/>
      <c r="BT205" s="31"/>
      <c r="BU205" s="31"/>
      <c r="BV205" s="31"/>
      <c r="BW205" s="31"/>
      <c r="BX205" s="31"/>
      <c r="BY205" s="31"/>
      <c r="BZ205" s="31"/>
      <c r="CA205" s="31"/>
      <c r="CB205" s="31"/>
    </row>
    <row r="206" spans="2:80"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31"/>
      <c r="AN206" s="31"/>
      <c r="AO206" s="31"/>
      <c r="AP206" s="31"/>
      <c r="AQ206" s="31"/>
      <c r="AR206" s="31"/>
      <c r="AS206" s="31"/>
      <c r="AT206" s="31"/>
      <c r="AU206" s="31"/>
      <c r="AV206" s="31"/>
      <c r="AW206" s="31"/>
      <c r="AX206" s="31"/>
      <c r="AY206" s="31"/>
      <c r="AZ206" s="31"/>
      <c r="BA206" s="31"/>
      <c r="BB206" s="31"/>
      <c r="BC206" s="31"/>
      <c r="BD206" s="31"/>
      <c r="BE206" s="31"/>
      <c r="BF206" s="31"/>
      <c r="BG206" s="31"/>
      <c r="BH206" s="31"/>
      <c r="BI206" s="31"/>
      <c r="BJ206" s="31"/>
      <c r="BK206" s="31"/>
      <c r="BL206" s="31"/>
      <c r="BM206" s="31"/>
      <c r="BN206" s="31"/>
      <c r="BO206" s="31"/>
      <c r="BP206" s="31"/>
      <c r="BQ206" s="31"/>
      <c r="BR206" s="31"/>
      <c r="BS206" s="31"/>
      <c r="BT206" s="31"/>
      <c r="BU206" s="31"/>
      <c r="BV206" s="31"/>
      <c r="BW206" s="31"/>
      <c r="BX206" s="31"/>
      <c r="BY206" s="31"/>
      <c r="BZ206" s="31"/>
      <c r="CA206" s="31"/>
      <c r="CB206" s="31"/>
    </row>
    <row r="207" spans="2:80"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  <c r="AO207" s="31"/>
      <c r="AP207" s="31"/>
      <c r="AQ207" s="31"/>
      <c r="AR207" s="31"/>
      <c r="AS207" s="31"/>
      <c r="AT207" s="31"/>
      <c r="AU207" s="31"/>
      <c r="AV207" s="31"/>
      <c r="AW207" s="31"/>
      <c r="AX207" s="31"/>
      <c r="AY207" s="31"/>
      <c r="AZ207" s="31"/>
      <c r="BA207" s="31"/>
      <c r="BB207" s="31"/>
      <c r="BC207" s="31"/>
      <c r="BD207" s="31"/>
      <c r="BE207" s="31"/>
      <c r="BF207" s="31"/>
      <c r="BG207" s="31"/>
      <c r="BH207" s="31"/>
      <c r="BI207" s="31"/>
      <c r="BJ207" s="31"/>
      <c r="BK207" s="31"/>
      <c r="BL207" s="31"/>
      <c r="BM207" s="31"/>
      <c r="BN207" s="31"/>
      <c r="BO207" s="31"/>
      <c r="BP207" s="31"/>
      <c r="BQ207" s="31"/>
      <c r="BR207" s="31"/>
      <c r="BS207" s="31"/>
      <c r="BT207" s="31"/>
      <c r="BU207" s="31"/>
      <c r="BV207" s="31"/>
      <c r="BW207" s="31"/>
      <c r="BX207" s="31"/>
      <c r="BY207" s="31"/>
      <c r="BZ207" s="31"/>
      <c r="CA207" s="31"/>
      <c r="CB207" s="31"/>
    </row>
    <row r="208" spans="2:80"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  <c r="AP208" s="31"/>
      <c r="AQ208" s="31"/>
      <c r="AR208" s="31"/>
      <c r="AS208" s="31"/>
      <c r="AT208" s="31"/>
      <c r="AU208" s="31"/>
      <c r="AV208" s="31"/>
      <c r="AW208" s="31"/>
      <c r="AX208" s="31"/>
      <c r="AY208" s="31"/>
      <c r="AZ208" s="31"/>
      <c r="BA208" s="31"/>
      <c r="BB208" s="31"/>
      <c r="BC208" s="31"/>
      <c r="BD208" s="31"/>
      <c r="BE208" s="31"/>
      <c r="BF208" s="31"/>
      <c r="BG208" s="31"/>
      <c r="BH208" s="31"/>
      <c r="BI208" s="31"/>
      <c r="BJ208" s="31"/>
      <c r="BK208" s="31"/>
      <c r="BL208" s="31"/>
      <c r="BM208" s="31"/>
      <c r="BN208" s="31"/>
      <c r="BO208" s="31"/>
      <c r="BP208" s="31"/>
      <c r="BQ208" s="31"/>
      <c r="BR208" s="31"/>
      <c r="BS208" s="31"/>
      <c r="BT208" s="31"/>
      <c r="BU208" s="31"/>
      <c r="BV208" s="31"/>
      <c r="BW208" s="31"/>
      <c r="BX208" s="31"/>
      <c r="BY208" s="31"/>
      <c r="BZ208" s="31"/>
      <c r="CA208" s="31"/>
      <c r="CB208" s="31"/>
    </row>
    <row r="209" spans="2:80"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  <c r="AT209" s="31"/>
      <c r="AU209" s="31"/>
      <c r="AV209" s="31"/>
      <c r="AW209" s="31"/>
      <c r="AX209" s="31"/>
      <c r="AY209" s="31"/>
      <c r="AZ209" s="31"/>
      <c r="BA209" s="31"/>
      <c r="BB209" s="31"/>
      <c r="BC209" s="31"/>
      <c r="BD209" s="31"/>
      <c r="BE209" s="31"/>
      <c r="BF209" s="31"/>
      <c r="BG209" s="31"/>
      <c r="BH209" s="31"/>
      <c r="BI209" s="31"/>
      <c r="BJ209" s="31"/>
      <c r="BK209" s="31"/>
      <c r="BL209" s="31"/>
      <c r="BM209" s="31"/>
      <c r="BN209" s="31"/>
      <c r="BO209" s="31"/>
      <c r="BP209" s="31"/>
      <c r="BQ209" s="31"/>
      <c r="BR209" s="31"/>
      <c r="BS209" s="31"/>
      <c r="BT209" s="31"/>
      <c r="BU209" s="31"/>
      <c r="BV209" s="31"/>
      <c r="BW209" s="31"/>
      <c r="BX209" s="31"/>
      <c r="BY209" s="31"/>
      <c r="BZ209" s="31"/>
      <c r="CA209" s="31"/>
      <c r="CB209" s="31"/>
    </row>
    <row r="210" spans="2:80"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31"/>
      <c r="AN210" s="31"/>
      <c r="AO210" s="31"/>
      <c r="AP210" s="31"/>
      <c r="AQ210" s="31"/>
      <c r="AR210" s="31"/>
      <c r="AS210" s="31"/>
      <c r="AT210" s="31"/>
      <c r="AU210" s="31"/>
      <c r="AV210" s="31"/>
      <c r="AW210" s="31"/>
      <c r="AX210" s="31"/>
      <c r="AY210" s="31"/>
      <c r="AZ210" s="31"/>
      <c r="BA210" s="31"/>
      <c r="BB210" s="31"/>
      <c r="BC210" s="31"/>
      <c r="BD210" s="31"/>
      <c r="BE210" s="31"/>
      <c r="BF210" s="31"/>
      <c r="BG210" s="31"/>
      <c r="BH210" s="31"/>
      <c r="BI210" s="31"/>
      <c r="BJ210" s="31"/>
      <c r="BK210" s="31"/>
      <c r="BL210" s="31"/>
      <c r="BM210" s="31"/>
      <c r="BN210" s="31"/>
      <c r="BO210" s="31"/>
      <c r="BP210" s="31"/>
      <c r="BQ210" s="31"/>
      <c r="BR210" s="31"/>
      <c r="BS210" s="31"/>
      <c r="BT210" s="31"/>
      <c r="BU210" s="31"/>
      <c r="BV210" s="31"/>
      <c r="BW210" s="31"/>
      <c r="BX210" s="31"/>
      <c r="BY210" s="31"/>
      <c r="BZ210" s="31"/>
      <c r="CA210" s="31"/>
      <c r="CB210" s="31"/>
    </row>
    <row r="211" spans="2:80"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1"/>
      <c r="AP211" s="31"/>
      <c r="AQ211" s="31"/>
      <c r="AR211" s="31"/>
      <c r="AS211" s="31"/>
      <c r="AT211" s="31"/>
      <c r="AU211" s="31"/>
      <c r="AV211" s="31"/>
      <c r="AW211" s="31"/>
      <c r="AX211" s="31"/>
      <c r="AY211" s="31"/>
      <c r="AZ211" s="31"/>
      <c r="BA211" s="31"/>
      <c r="BB211" s="31"/>
      <c r="BC211" s="31"/>
      <c r="BD211" s="31"/>
      <c r="BE211" s="31"/>
      <c r="BF211" s="31"/>
      <c r="BG211" s="31"/>
      <c r="BH211" s="31"/>
      <c r="BI211" s="31"/>
      <c r="BJ211" s="31"/>
      <c r="BK211" s="31"/>
      <c r="BL211" s="31"/>
      <c r="BM211" s="31"/>
      <c r="BN211" s="31"/>
      <c r="BO211" s="31"/>
      <c r="BP211" s="31"/>
      <c r="BQ211" s="31"/>
      <c r="BR211" s="31"/>
      <c r="BS211" s="31"/>
      <c r="BT211" s="31"/>
      <c r="BU211" s="31"/>
      <c r="BV211" s="31"/>
      <c r="BW211" s="31"/>
      <c r="BX211" s="31"/>
      <c r="BY211" s="31"/>
      <c r="BZ211" s="31"/>
      <c r="CA211" s="31"/>
      <c r="CB211" s="31"/>
    </row>
    <row r="212" spans="2:80"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  <c r="AP212" s="31"/>
      <c r="AQ212" s="31"/>
      <c r="AR212" s="31"/>
      <c r="AS212" s="31"/>
      <c r="AT212" s="31"/>
      <c r="AU212" s="31"/>
      <c r="AV212" s="31"/>
      <c r="AW212" s="31"/>
      <c r="AX212" s="31"/>
      <c r="AY212" s="31"/>
      <c r="AZ212" s="31"/>
      <c r="BA212" s="31"/>
      <c r="BB212" s="31"/>
      <c r="BC212" s="31"/>
      <c r="BD212" s="31"/>
      <c r="BE212" s="31"/>
      <c r="BF212" s="31"/>
      <c r="BG212" s="31"/>
      <c r="BH212" s="31"/>
      <c r="BI212" s="31"/>
      <c r="BJ212" s="31"/>
      <c r="BK212" s="31"/>
      <c r="BL212" s="31"/>
      <c r="BM212" s="31"/>
      <c r="BN212" s="31"/>
      <c r="BO212" s="31"/>
      <c r="BP212" s="31"/>
      <c r="BQ212" s="31"/>
      <c r="BR212" s="31"/>
      <c r="BS212" s="31"/>
      <c r="BT212" s="31"/>
      <c r="BU212" s="31"/>
      <c r="BV212" s="31"/>
      <c r="BW212" s="31"/>
      <c r="BX212" s="31"/>
      <c r="BY212" s="31"/>
      <c r="BZ212" s="31"/>
      <c r="CA212" s="31"/>
      <c r="CB212" s="31"/>
    </row>
    <row r="213" spans="2:80"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31"/>
      <c r="AK213" s="31"/>
      <c r="AL213" s="31"/>
      <c r="AM213" s="31"/>
      <c r="AN213" s="31"/>
      <c r="AO213" s="31"/>
      <c r="AP213" s="31"/>
      <c r="AQ213" s="31"/>
      <c r="AR213" s="31"/>
      <c r="AS213" s="31"/>
      <c r="AT213" s="31"/>
      <c r="AU213" s="31"/>
      <c r="AV213" s="31"/>
      <c r="AW213" s="31"/>
      <c r="AX213" s="31"/>
      <c r="AY213" s="31"/>
      <c r="AZ213" s="31"/>
      <c r="BA213" s="31"/>
      <c r="BB213" s="31"/>
      <c r="BC213" s="31"/>
      <c r="BD213" s="31"/>
      <c r="BE213" s="31"/>
      <c r="BF213" s="31"/>
      <c r="BG213" s="31"/>
      <c r="BH213" s="31"/>
      <c r="BI213" s="31"/>
      <c r="BJ213" s="31"/>
      <c r="BK213" s="31"/>
      <c r="BL213" s="31"/>
      <c r="BM213" s="31"/>
      <c r="BN213" s="31"/>
      <c r="BO213" s="31"/>
      <c r="BP213" s="31"/>
      <c r="BQ213" s="31"/>
      <c r="BR213" s="31"/>
      <c r="BS213" s="31"/>
      <c r="BT213" s="31"/>
      <c r="BU213" s="31"/>
      <c r="BV213" s="31"/>
      <c r="BW213" s="31"/>
      <c r="BX213" s="31"/>
      <c r="BY213" s="31"/>
      <c r="BZ213" s="31"/>
      <c r="CA213" s="31"/>
      <c r="CB213" s="31"/>
    </row>
    <row r="214" spans="2:80"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1"/>
      <c r="AP214" s="31"/>
      <c r="AQ214" s="31"/>
      <c r="AR214" s="31"/>
      <c r="AS214" s="31"/>
      <c r="AT214" s="31"/>
      <c r="AU214" s="31"/>
      <c r="AV214" s="31"/>
      <c r="AW214" s="31"/>
      <c r="AX214" s="31"/>
      <c r="AY214" s="31"/>
      <c r="AZ214" s="31"/>
      <c r="BA214" s="31"/>
      <c r="BB214" s="31"/>
      <c r="BC214" s="31"/>
      <c r="BD214" s="31"/>
      <c r="BE214" s="31"/>
      <c r="BF214" s="31"/>
      <c r="BG214" s="31"/>
      <c r="BH214" s="31"/>
      <c r="BI214" s="31"/>
      <c r="BJ214" s="31"/>
      <c r="BK214" s="31"/>
      <c r="BL214" s="31"/>
      <c r="BM214" s="31"/>
      <c r="BN214" s="31"/>
      <c r="BO214" s="31"/>
      <c r="BP214" s="31"/>
      <c r="BQ214" s="31"/>
      <c r="BR214" s="31"/>
      <c r="BS214" s="31"/>
      <c r="BT214" s="31"/>
      <c r="BU214" s="31"/>
      <c r="BV214" s="31"/>
      <c r="BW214" s="31"/>
      <c r="BX214" s="31"/>
      <c r="BY214" s="31"/>
      <c r="BZ214" s="31"/>
      <c r="CA214" s="31"/>
      <c r="CB214" s="31"/>
    </row>
    <row r="215" spans="2:80"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  <c r="AT215" s="31"/>
      <c r="AU215" s="31"/>
      <c r="AV215" s="31"/>
      <c r="AW215" s="31"/>
      <c r="AX215" s="31"/>
      <c r="AY215" s="31"/>
      <c r="AZ215" s="31"/>
      <c r="BA215" s="31"/>
      <c r="BB215" s="31"/>
      <c r="BC215" s="31"/>
      <c r="BD215" s="31"/>
      <c r="BE215" s="31"/>
      <c r="BF215" s="31"/>
      <c r="BG215" s="31"/>
      <c r="BH215" s="31"/>
      <c r="BI215" s="31"/>
      <c r="BJ215" s="31"/>
      <c r="BK215" s="31"/>
      <c r="BL215" s="31"/>
      <c r="BM215" s="31"/>
      <c r="BN215" s="31"/>
      <c r="BO215" s="31"/>
      <c r="BP215" s="31"/>
      <c r="BQ215" s="31"/>
      <c r="BR215" s="31"/>
      <c r="BS215" s="31"/>
      <c r="BT215" s="31"/>
      <c r="BU215" s="31"/>
      <c r="BV215" s="31"/>
      <c r="BW215" s="31"/>
      <c r="BX215" s="31"/>
      <c r="BY215" s="31"/>
      <c r="BZ215" s="31"/>
      <c r="CA215" s="31"/>
      <c r="CB215" s="31"/>
    </row>
    <row r="216" spans="2:80"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31"/>
      <c r="AK216" s="31"/>
      <c r="AL216" s="31"/>
      <c r="AM216" s="31"/>
      <c r="AN216" s="31"/>
      <c r="AO216" s="31"/>
      <c r="AP216" s="31"/>
      <c r="AQ216" s="31"/>
      <c r="AR216" s="31"/>
      <c r="AS216" s="31"/>
      <c r="AT216" s="31"/>
      <c r="AU216" s="31"/>
      <c r="AV216" s="31"/>
      <c r="AW216" s="31"/>
      <c r="AX216" s="31"/>
      <c r="AY216" s="31"/>
      <c r="AZ216" s="31"/>
      <c r="BA216" s="31"/>
      <c r="BB216" s="31"/>
      <c r="BC216" s="31"/>
      <c r="BD216" s="31"/>
      <c r="BE216" s="31"/>
      <c r="BF216" s="31"/>
      <c r="BG216" s="31"/>
      <c r="BH216" s="31"/>
      <c r="BI216" s="31"/>
      <c r="BJ216" s="31"/>
      <c r="BK216" s="31"/>
      <c r="BL216" s="31"/>
      <c r="BM216" s="31"/>
      <c r="BN216" s="31"/>
      <c r="BO216" s="31"/>
      <c r="BP216" s="31"/>
      <c r="BQ216" s="31"/>
      <c r="BR216" s="31"/>
      <c r="BS216" s="31"/>
      <c r="BT216" s="31"/>
      <c r="BU216" s="31"/>
      <c r="BV216" s="31"/>
      <c r="BW216" s="31"/>
      <c r="BX216" s="31"/>
      <c r="BY216" s="31"/>
      <c r="BZ216" s="31"/>
      <c r="CA216" s="31"/>
      <c r="CB216" s="31"/>
    </row>
    <row r="217" spans="2:80"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1"/>
      <c r="AP217" s="31"/>
      <c r="AQ217" s="31"/>
      <c r="AR217" s="31"/>
      <c r="AS217" s="31"/>
      <c r="AT217" s="31"/>
      <c r="AU217" s="31"/>
      <c r="AV217" s="31"/>
      <c r="AW217" s="31"/>
      <c r="AX217" s="31"/>
      <c r="AY217" s="31"/>
      <c r="AZ217" s="31"/>
      <c r="BA217" s="31"/>
      <c r="BB217" s="31"/>
      <c r="BC217" s="31"/>
      <c r="BD217" s="31"/>
      <c r="BE217" s="31"/>
      <c r="BF217" s="31"/>
      <c r="BG217" s="31"/>
      <c r="BH217" s="31"/>
      <c r="BI217" s="31"/>
      <c r="BJ217" s="31"/>
      <c r="BK217" s="31"/>
      <c r="BL217" s="31"/>
      <c r="BM217" s="31"/>
      <c r="BN217" s="31"/>
      <c r="BO217" s="31"/>
      <c r="BP217" s="31"/>
      <c r="BQ217" s="31"/>
      <c r="BR217" s="31"/>
      <c r="BS217" s="31"/>
      <c r="BT217" s="31"/>
      <c r="BU217" s="31"/>
      <c r="BV217" s="31"/>
      <c r="BW217" s="31"/>
      <c r="BX217" s="31"/>
      <c r="BY217" s="31"/>
      <c r="BZ217" s="31"/>
      <c r="CA217" s="31"/>
      <c r="CB217" s="31"/>
    </row>
    <row r="218" spans="2:80"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  <c r="AT218" s="31"/>
      <c r="AU218" s="31"/>
      <c r="AV218" s="31"/>
      <c r="AW218" s="31"/>
      <c r="AX218" s="31"/>
      <c r="AY218" s="31"/>
      <c r="AZ218" s="31"/>
      <c r="BA218" s="31"/>
      <c r="BB218" s="31"/>
      <c r="BC218" s="31"/>
      <c r="BD218" s="31"/>
      <c r="BE218" s="31"/>
      <c r="BF218" s="31"/>
      <c r="BG218" s="31"/>
      <c r="BH218" s="31"/>
      <c r="BI218" s="31"/>
      <c r="BJ218" s="31"/>
      <c r="BK218" s="31"/>
      <c r="BL218" s="31"/>
      <c r="BM218" s="31"/>
      <c r="BN218" s="31"/>
      <c r="BO218" s="31"/>
      <c r="BP218" s="31"/>
      <c r="BQ218" s="31"/>
      <c r="BR218" s="31"/>
      <c r="BS218" s="31"/>
      <c r="BT218" s="31"/>
      <c r="BU218" s="31"/>
      <c r="BV218" s="31"/>
      <c r="BW218" s="31"/>
      <c r="BX218" s="31"/>
      <c r="BY218" s="31"/>
      <c r="BZ218" s="31"/>
      <c r="CA218" s="31"/>
      <c r="CB218" s="31"/>
    </row>
    <row r="219" spans="2:80"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31"/>
      <c r="AK219" s="31"/>
      <c r="AL219" s="31"/>
      <c r="AM219" s="31"/>
      <c r="AN219" s="31"/>
      <c r="AO219" s="31"/>
      <c r="AP219" s="31"/>
      <c r="AQ219" s="31"/>
      <c r="AR219" s="31"/>
      <c r="AS219" s="31"/>
      <c r="AT219" s="31"/>
      <c r="AU219" s="31"/>
      <c r="AV219" s="31"/>
      <c r="AW219" s="31"/>
      <c r="AX219" s="31"/>
      <c r="AY219" s="31"/>
      <c r="AZ219" s="31"/>
      <c r="BA219" s="31"/>
      <c r="BB219" s="31"/>
      <c r="BC219" s="31"/>
      <c r="BD219" s="31"/>
      <c r="BE219" s="31"/>
      <c r="BF219" s="31"/>
      <c r="BG219" s="31"/>
      <c r="BH219" s="31"/>
      <c r="BI219" s="31"/>
      <c r="BJ219" s="31"/>
      <c r="BK219" s="31"/>
      <c r="BL219" s="31"/>
      <c r="BM219" s="31"/>
      <c r="BN219" s="31"/>
      <c r="BO219" s="31"/>
      <c r="BP219" s="31"/>
      <c r="BQ219" s="31"/>
      <c r="BR219" s="31"/>
      <c r="BS219" s="31"/>
      <c r="BT219" s="31"/>
      <c r="BU219" s="31"/>
      <c r="BV219" s="31"/>
      <c r="BW219" s="31"/>
      <c r="BX219" s="31"/>
      <c r="BY219" s="31"/>
      <c r="BZ219" s="31"/>
      <c r="CA219" s="31"/>
      <c r="CB219" s="31"/>
    </row>
    <row r="220" spans="2:80"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1"/>
      <c r="AP220" s="31"/>
      <c r="AQ220" s="31"/>
      <c r="AR220" s="31"/>
      <c r="AS220" s="31"/>
      <c r="AT220" s="31"/>
      <c r="AU220" s="31"/>
      <c r="AV220" s="31"/>
      <c r="AW220" s="31"/>
      <c r="AX220" s="31"/>
      <c r="AY220" s="31"/>
      <c r="AZ220" s="31"/>
      <c r="BA220" s="31"/>
      <c r="BB220" s="31"/>
      <c r="BC220" s="31"/>
      <c r="BD220" s="31"/>
      <c r="BE220" s="31"/>
      <c r="BF220" s="31"/>
      <c r="BG220" s="31"/>
      <c r="BH220" s="31"/>
      <c r="BI220" s="31"/>
      <c r="BJ220" s="31"/>
      <c r="BK220" s="31"/>
      <c r="BL220" s="31"/>
      <c r="BM220" s="31"/>
      <c r="BN220" s="31"/>
      <c r="BO220" s="31"/>
      <c r="BP220" s="31"/>
      <c r="BQ220" s="31"/>
      <c r="BR220" s="31"/>
      <c r="BS220" s="31"/>
      <c r="BT220" s="31"/>
      <c r="BU220" s="31"/>
      <c r="BV220" s="31"/>
      <c r="BW220" s="31"/>
      <c r="BX220" s="31"/>
      <c r="BY220" s="31"/>
      <c r="BZ220" s="31"/>
      <c r="CA220" s="31"/>
      <c r="CB220" s="31"/>
    </row>
    <row r="221" spans="2:80"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/>
      <c r="AQ221" s="31"/>
      <c r="AR221" s="31"/>
      <c r="AS221" s="31"/>
      <c r="AT221" s="31"/>
      <c r="AU221" s="31"/>
      <c r="AV221" s="31"/>
      <c r="AW221" s="31"/>
      <c r="AX221" s="31"/>
      <c r="AY221" s="31"/>
      <c r="AZ221" s="31"/>
      <c r="BA221" s="31"/>
      <c r="BB221" s="31"/>
      <c r="BC221" s="31"/>
      <c r="BD221" s="31"/>
      <c r="BE221" s="31"/>
      <c r="BF221" s="31"/>
      <c r="BG221" s="31"/>
      <c r="BH221" s="31"/>
      <c r="BI221" s="31"/>
      <c r="BJ221" s="31"/>
      <c r="BK221" s="31"/>
      <c r="BL221" s="31"/>
      <c r="BM221" s="31"/>
      <c r="BN221" s="31"/>
      <c r="BO221" s="31"/>
      <c r="BP221" s="31"/>
      <c r="BQ221" s="31"/>
      <c r="BR221" s="31"/>
      <c r="BS221" s="31"/>
      <c r="BT221" s="31"/>
      <c r="BU221" s="31"/>
      <c r="BV221" s="31"/>
      <c r="BW221" s="31"/>
      <c r="BX221" s="31"/>
      <c r="BY221" s="31"/>
      <c r="BZ221" s="31"/>
      <c r="CA221" s="31"/>
      <c r="CB221" s="31"/>
    </row>
    <row r="222" spans="2:80"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  <c r="AT222" s="31"/>
      <c r="AU222" s="31"/>
      <c r="AV222" s="31"/>
      <c r="AW222" s="31"/>
      <c r="AX222" s="31"/>
      <c r="AY222" s="31"/>
      <c r="AZ222" s="31"/>
      <c r="BA222" s="31"/>
      <c r="BB222" s="31"/>
      <c r="BC222" s="31"/>
      <c r="BD222" s="31"/>
      <c r="BE222" s="31"/>
      <c r="BF222" s="31"/>
      <c r="BG222" s="31"/>
      <c r="BH222" s="31"/>
      <c r="BI222" s="31"/>
      <c r="BJ222" s="31"/>
      <c r="BK222" s="31"/>
      <c r="BL222" s="31"/>
      <c r="BM222" s="31"/>
      <c r="BN222" s="31"/>
      <c r="BO222" s="31"/>
      <c r="BP222" s="31"/>
      <c r="BQ222" s="31"/>
      <c r="BR222" s="31"/>
      <c r="BS222" s="31"/>
      <c r="BT222" s="31"/>
      <c r="BU222" s="31"/>
      <c r="BV222" s="31"/>
      <c r="BW222" s="31"/>
      <c r="BX222" s="31"/>
      <c r="BY222" s="31"/>
      <c r="BZ222" s="31"/>
      <c r="CA222" s="31"/>
      <c r="CB222" s="31"/>
    </row>
    <row r="223" spans="2:80"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  <c r="AP223" s="31"/>
      <c r="AQ223" s="31"/>
      <c r="AR223" s="31"/>
      <c r="AS223" s="31"/>
      <c r="AT223" s="31"/>
      <c r="AU223" s="31"/>
      <c r="AV223" s="31"/>
      <c r="AW223" s="31"/>
      <c r="AX223" s="31"/>
      <c r="AY223" s="31"/>
      <c r="AZ223" s="31"/>
      <c r="BA223" s="31"/>
      <c r="BB223" s="31"/>
      <c r="BC223" s="31"/>
      <c r="BD223" s="31"/>
      <c r="BE223" s="31"/>
      <c r="BF223" s="31"/>
      <c r="BG223" s="31"/>
      <c r="BH223" s="31"/>
      <c r="BI223" s="31"/>
      <c r="BJ223" s="31"/>
      <c r="BK223" s="31"/>
      <c r="BL223" s="31"/>
      <c r="BM223" s="31"/>
      <c r="BN223" s="31"/>
      <c r="BO223" s="31"/>
      <c r="BP223" s="31"/>
      <c r="BQ223" s="31"/>
      <c r="BR223" s="31"/>
      <c r="BS223" s="31"/>
      <c r="BT223" s="31"/>
      <c r="BU223" s="31"/>
      <c r="BV223" s="31"/>
      <c r="BW223" s="31"/>
      <c r="BX223" s="31"/>
      <c r="BY223" s="31"/>
      <c r="BZ223" s="31"/>
      <c r="CA223" s="31"/>
      <c r="CB223" s="31"/>
    </row>
    <row r="224" spans="2:80"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  <c r="AT224" s="31"/>
      <c r="AU224" s="31"/>
      <c r="AV224" s="31"/>
      <c r="AW224" s="31"/>
      <c r="AX224" s="31"/>
      <c r="AY224" s="31"/>
      <c r="AZ224" s="31"/>
      <c r="BA224" s="31"/>
      <c r="BB224" s="31"/>
      <c r="BC224" s="31"/>
      <c r="BD224" s="31"/>
      <c r="BE224" s="31"/>
      <c r="BF224" s="31"/>
      <c r="BG224" s="31"/>
      <c r="BH224" s="31"/>
      <c r="BI224" s="31"/>
      <c r="BJ224" s="31"/>
      <c r="BK224" s="31"/>
      <c r="BL224" s="31"/>
      <c r="BM224" s="31"/>
      <c r="BN224" s="31"/>
      <c r="BO224" s="31"/>
      <c r="BP224" s="31"/>
      <c r="BQ224" s="31"/>
      <c r="BR224" s="31"/>
      <c r="BS224" s="31"/>
      <c r="BT224" s="31"/>
      <c r="BU224" s="31"/>
      <c r="BV224" s="31"/>
      <c r="BW224" s="31"/>
      <c r="BX224" s="31"/>
      <c r="BY224" s="31"/>
      <c r="BZ224" s="31"/>
      <c r="CA224" s="31"/>
      <c r="CB224" s="31"/>
    </row>
    <row r="225" spans="2:80"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31"/>
      <c r="AK225" s="31"/>
      <c r="AL225" s="31"/>
      <c r="AM225" s="31"/>
      <c r="AN225" s="31"/>
      <c r="AO225" s="31"/>
      <c r="AP225" s="31"/>
      <c r="AQ225" s="31"/>
      <c r="AR225" s="31"/>
      <c r="AS225" s="31"/>
      <c r="AT225" s="31"/>
      <c r="AU225" s="31"/>
      <c r="AV225" s="31"/>
      <c r="AW225" s="31"/>
      <c r="AX225" s="31"/>
      <c r="AY225" s="31"/>
      <c r="AZ225" s="31"/>
      <c r="BA225" s="31"/>
      <c r="BB225" s="31"/>
      <c r="BC225" s="31"/>
      <c r="BD225" s="31"/>
      <c r="BE225" s="31"/>
      <c r="BF225" s="31"/>
      <c r="BG225" s="31"/>
      <c r="BH225" s="31"/>
      <c r="BI225" s="31"/>
      <c r="BJ225" s="31"/>
      <c r="BK225" s="31"/>
      <c r="BL225" s="31"/>
      <c r="BM225" s="31"/>
      <c r="BN225" s="31"/>
      <c r="BO225" s="31"/>
      <c r="BP225" s="31"/>
      <c r="BQ225" s="31"/>
      <c r="BR225" s="31"/>
      <c r="BS225" s="31"/>
      <c r="BT225" s="31"/>
      <c r="BU225" s="31"/>
      <c r="BV225" s="31"/>
      <c r="BW225" s="31"/>
      <c r="BX225" s="31"/>
      <c r="BY225" s="31"/>
      <c r="BZ225" s="31"/>
      <c r="CA225" s="31"/>
      <c r="CB225" s="31"/>
    </row>
    <row r="226" spans="2:80"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1"/>
      <c r="AP226" s="31"/>
      <c r="AQ226" s="31"/>
      <c r="AR226" s="31"/>
      <c r="AS226" s="31"/>
      <c r="AT226" s="31"/>
      <c r="AU226" s="31"/>
      <c r="AV226" s="31"/>
      <c r="AW226" s="31"/>
      <c r="AX226" s="31"/>
      <c r="AY226" s="31"/>
      <c r="AZ226" s="31"/>
      <c r="BA226" s="31"/>
      <c r="BB226" s="31"/>
      <c r="BC226" s="31"/>
      <c r="BD226" s="31"/>
      <c r="BE226" s="31"/>
      <c r="BF226" s="31"/>
      <c r="BG226" s="31"/>
      <c r="BH226" s="31"/>
      <c r="BI226" s="31"/>
      <c r="BJ226" s="31"/>
      <c r="BK226" s="31"/>
      <c r="BL226" s="31"/>
      <c r="BM226" s="31"/>
      <c r="BN226" s="31"/>
      <c r="BO226" s="31"/>
      <c r="BP226" s="31"/>
      <c r="BQ226" s="31"/>
      <c r="BR226" s="31"/>
      <c r="BS226" s="31"/>
      <c r="BT226" s="31"/>
      <c r="BU226" s="31"/>
      <c r="BV226" s="31"/>
      <c r="BW226" s="31"/>
      <c r="BX226" s="31"/>
      <c r="BY226" s="31"/>
      <c r="BZ226" s="31"/>
      <c r="CA226" s="31"/>
      <c r="CB226" s="31"/>
    </row>
    <row r="227" spans="2:80"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  <c r="AT227" s="31"/>
      <c r="AU227" s="31"/>
      <c r="AV227" s="31"/>
      <c r="AW227" s="31"/>
      <c r="AX227" s="31"/>
      <c r="AY227" s="31"/>
      <c r="AZ227" s="31"/>
      <c r="BA227" s="31"/>
      <c r="BB227" s="31"/>
      <c r="BC227" s="31"/>
      <c r="BD227" s="31"/>
      <c r="BE227" s="31"/>
      <c r="BF227" s="31"/>
      <c r="BG227" s="31"/>
      <c r="BH227" s="31"/>
      <c r="BI227" s="31"/>
      <c r="BJ227" s="31"/>
      <c r="BK227" s="31"/>
      <c r="BL227" s="31"/>
      <c r="BM227" s="31"/>
      <c r="BN227" s="31"/>
      <c r="BO227" s="31"/>
      <c r="BP227" s="31"/>
      <c r="BQ227" s="31"/>
      <c r="BR227" s="31"/>
      <c r="BS227" s="31"/>
      <c r="BT227" s="31"/>
      <c r="BU227" s="31"/>
      <c r="BV227" s="31"/>
      <c r="BW227" s="31"/>
      <c r="BX227" s="31"/>
      <c r="BY227" s="31"/>
      <c r="BZ227" s="31"/>
      <c r="CA227" s="31"/>
      <c r="CB227" s="31"/>
    </row>
    <row r="228" spans="2:80"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  <c r="AT228" s="31"/>
      <c r="AU228" s="31"/>
      <c r="AV228" s="31"/>
      <c r="AW228" s="31"/>
      <c r="AX228" s="31"/>
      <c r="AY228" s="31"/>
      <c r="AZ228" s="31"/>
      <c r="BA228" s="31"/>
      <c r="BB228" s="31"/>
      <c r="BC228" s="31"/>
      <c r="BD228" s="31"/>
      <c r="BE228" s="31"/>
      <c r="BF228" s="31"/>
      <c r="BG228" s="31"/>
      <c r="BH228" s="31"/>
      <c r="BI228" s="31"/>
      <c r="BJ228" s="31"/>
      <c r="BK228" s="31"/>
      <c r="BL228" s="31"/>
      <c r="BM228" s="31"/>
      <c r="BN228" s="31"/>
      <c r="BO228" s="31"/>
      <c r="BP228" s="31"/>
      <c r="BQ228" s="31"/>
      <c r="BR228" s="31"/>
      <c r="BS228" s="31"/>
      <c r="BT228" s="31"/>
      <c r="BU228" s="31"/>
      <c r="BV228" s="31"/>
      <c r="BW228" s="31"/>
      <c r="BX228" s="31"/>
      <c r="BY228" s="31"/>
      <c r="BZ228" s="31"/>
      <c r="CA228" s="31"/>
      <c r="CB228" s="31"/>
    </row>
    <row r="229" spans="2:80"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31"/>
      <c r="AK229" s="31"/>
      <c r="AL229" s="31"/>
      <c r="AM229" s="31"/>
      <c r="AN229" s="31"/>
      <c r="AO229" s="31"/>
      <c r="AP229" s="31"/>
      <c r="AQ229" s="31"/>
      <c r="AR229" s="31"/>
      <c r="AS229" s="31"/>
      <c r="AT229" s="31"/>
      <c r="AU229" s="31"/>
      <c r="AV229" s="31"/>
      <c r="AW229" s="31"/>
      <c r="AX229" s="31"/>
      <c r="AY229" s="31"/>
      <c r="AZ229" s="31"/>
      <c r="BA229" s="31"/>
      <c r="BB229" s="31"/>
      <c r="BC229" s="31"/>
      <c r="BD229" s="31"/>
      <c r="BE229" s="31"/>
      <c r="BF229" s="31"/>
      <c r="BG229" s="31"/>
      <c r="BH229" s="31"/>
      <c r="BI229" s="31"/>
      <c r="BJ229" s="31"/>
      <c r="BK229" s="31"/>
      <c r="BL229" s="31"/>
      <c r="BM229" s="31"/>
      <c r="BN229" s="31"/>
      <c r="BO229" s="31"/>
      <c r="BP229" s="31"/>
      <c r="BQ229" s="31"/>
      <c r="BR229" s="31"/>
      <c r="BS229" s="31"/>
      <c r="BT229" s="31"/>
      <c r="BU229" s="31"/>
      <c r="BV229" s="31"/>
      <c r="BW229" s="31"/>
      <c r="BX229" s="31"/>
      <c r="BY229" s="31"/>
      <c r="BZ229" s="31"/>
      <c r="CA229" s="31"/>
      <c r="CB229" s="31"/>
    </row>
    <row r="230" spans="2:80"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  <c r="AO230" s="31"/>
      <c r="AP230" s="31"/>
      <c r="AQ230" s="31"/>
      <c r="AR230" s="31"/>
      <c r="AS230" s="31"/>
      <c r="AT230" s="31"/>
      <c r="AU230" s="31"/>
      <c r="AV230" s="31"/>
      <c r="AW230" s="31"/>
      <c r="AX230" s="31"/>
      <c r="AY230" s="31"/>
      <c r="AZ230" s="31"/>
      <c r="BA230" s="31"/>
      <c r="BB230" s="31"/>
      <c r="BC230" s="31"/>
      <c r="BD230" s="31"/>
      <c r="BE230" s="31"/>
      <c r="BF230" s="31"/>
      <c r="BG230" s="31"/>
      <c r="BH230" s="31"/>
      <c r="BI230" s="31"/>
      <c r="BJ230" s="31"/>
      <c r="BK230" s="31"/>
      <c r="BL230" s="31"/>
      <c r="BM230" s="31"/>
      <c r="BN230" s="31"/>
      <c r="BO230" s="31"/>
      <c r="BP230" s="31"/>
      <c r="BQ230" s="31"/>
      <c r="BR230" s="31"/>
      <c r="BS230" s="31"/>
      <c r="BT230" s="31"/>
      <c r="BU230" s="31"/>
      <c r="BV230" s="31"/>
      <c r="BW230" s="31"/>
      <c r="BX230" s="31"/>
      <c r="BY230" s="31"/>
      <c r="BZ230" s="31"/>
      <c r="CA230" s="31"/>
      <c r="CB230" s="31"/>
    </row>
    <row r="231" spans="2:80"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  <c r="AT231" s="31"/>
      <c r="AU231" s="31"/>
      <c r="AV231" s="31"/>
      <c r="AW231" s="31"/>
      <c r="AX231" s="31"/>
      <c r="AY231" s="31"/>
      <c r="AZ231" s="31"/>
      <c r="BA231" s="31"/>
      <c r="BB231" s="31"/>
      <c r="BC231" s="31"/>
      <c r="BD231" s="31"/>
      <c r="BE231" s="31"/>
      <c r="BF231" s="31"/>
      <c r="BG231" s="31"/>
      <c r="BH231" s="31"/>
      <c r="BI231" s="31"/>
      <c r="BJ231" s="31"/>
      <c r="BK231" s="31"/>
      <c r="BL231" s="31"/>
      <c r="BM231" s="31"/>
      <c r="BN231" s="31"/>
      <c r="BO231" s="31"/>
      <c r="BP231" s="31"/>
      <c r="BQ231" s="31"/>
      <c r="BR231" s="31"/>
      <c r="BS231" s="31"/>
      <c r="BT231" s="31"/>
      <c r="BU231" s="31"/>
      <c r="BV231" s="31"/>
      <c r="BW231" s="31"/>
      <c r="BX231" s="31"/>
      <c r="BY231" s="31"/>
      <c r="BZ231" s="31"/>
      <c r="CA231" s="31"/>
      <c r="CB231" s="31"/>
    </row>
    <row r="232" spans="2:80"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31"/>
      <c r="AN232" s="31"/>
      <c r="AO232" s="31"/>
      <c r="AP232" s="31"/>
      <c r="AQ232" s="31"/>
      <c r="AR232" s="31"/>
      <c r="AS232" s="31"/>
      <c r="AT232" s="31"/>
      <c r="AU232" s="31"/>
      <c r="AV232" s="31"/>
      <c r="AW232" s="31"/>
      <c r="AX232" s="31"/>
      <c r="AY232" s="31"/>
      <c r="AZ232" s="31"/>
      <c r="BA232" s="31"/>
      <c r="BB232" s="31"/>
      <c r="BC232" s="31"/>
      <c r="BD232" s="31"/>
      <c r="BE232" s="31"/>
      <c r="BF232" s="31"/>
      <c r="BG232" s="31"/>
      <c r="BH232" s="31"/>
      <c r="BI232" s="31"/>
      <c r="BJ232" s="31"/>
      <c r="BK232" s="31"/>
      <c r="BL232" s="31"/>
      <c r="BM232" s="31"/>
      <c r="BN232" s="31"/>
      <c r="BO232" s="31"/>
      <c r="BP232" s="31"/>
      <c r="BQ232" s="31"/>
      <c r="BR232" s="31"/>
      <c r="BS232" s="31"/>
      <c r="BT232" s="31"/>
      <c r="BU232" s="31"/>
      <c r="BV232" s="31"/>
      <c r="BW232" s="31"/>
      <c r="BX232" s="31"/>
      <c r="BY232" s="31"/>
      <c r="BZ232" s="31"/>
      <c r="CA232" s="31"/>
      <c r="CB232" s="31"/>
    </row>
    <row r="233" spans="2:80"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  <c r="AO233" s="31"/>
      <c r="AP233" s="31"/>
      <c r="AQ233" s="31"/>
      <c r="AR233" s="31"/>
      <c r="AS233" s="31"/>
      <c r="AT233" s="31"/>
      <c r="AU233" s="31"/>
      <c r="AV233" s="31"/>
      <c r="AW233" s="31"/>
      <c r="AX233" s="31"/>
      <c r="AY233" s="31"/>
      <c r="AZ233" s="31"/>
      <c r="BA233" s="31"/>
      <c r="BB233" s="31"/>
      <c r="BC233" s="31"/>
      <c r="BD233" s="31"/>
      <c r="BE233" s="31"/>
      <c r="BF233" s="31"/>
      <c r="BG233" s="31"/>
      <c r="BH233" s="31"/>
      <c r="BI233" s="31"/>
      <c r="BJ233" s="31"/>
      <c r="BK233" s="31"/>
      <c r="BL233" s="31"/>
      <c r="BM233" s="31"/>
      <c r="BN233" s="31"/>
      <c r="BO233" s="31"/>
      <c r="BP233" s="31"/>
      <c r="BQ233" s="31"/>
      <c r="BR233" s="31"/>
      <c r="BS233" s="31"/>
      <c r="BT233" s="31"/>
      <c r="BU233" s="31"/>
      <c r="BV233" s="31"/>
      <c r="BW233" s="31"/>
      <c r="BX233" s="31"/>
      <c r="BY233" s="31"/>
      <c r="BZ233" s="31"/>
      <c r="CA233" s="31"/>
      <c r="CB233" s="31"/>
    </row>
    <row r="234" spans="2:80"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  <c r="AT234" s="31"/>
      <c r="AU234" s="31"/>
      <c r="AV234" s="31"/>
      <c r="AW234" s="31"/>
      <c r="AX234" s="31"/>
      <c r="AY234" s="31"/>
      <c r="AZ234" s="31"/>
      <c r="BA234" s="31"/>
      <c r="BB234" s="31"/>
      <c r="BC234" s="31"/>
      <c r="BD234" s="31"/>
      <c r="BE234" s="31"/>
      <c r="BF234" s="31"/>
      <c r="BG234" s="31"/>
      <c r="BH234" s="31"/>
      <c r="BI234" s="31"/>
      <c r="BJ234" s="31"/>
      <c r="BK234" s="31"/>
      <c r="BL234" s="31"/>
      <c r="BM234" s="31"/>
      <c r="BN234" s="31"/>
      <c r="BO234" s="31"/>
      <c r="BP234" s="31"/>
      <c r="BQ234" s="31"/>
      <c r="BR234" s="31"/>
      <c r="BS234" s="31"/>
      <c r="BT234" s="31"/>
      <c r="BU234" s="31"/>
      <c r="BV234" s="31"/>
      <c r="BW234" s="31"/>
      <c r="BX234" s="31"/>
      <c r="BY234" s="31"/>
      <c r="BZ234" s="31"/>
      <c r="CA234" s="31"/>
      <c r="CB234" s="31"/>
    </row>
    <row r="235" spans="2:80"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  <c r="AT235" s="31"/>
      <c r="AU235" s="31"/>
      <c r="AV235" s="31"/>
      <c r="AW235" s="31"/>
      <c r="AX235" s="31"/>
      <c r="AY235" s="31"/>
      <c r="AZ235" s="31"/>
      <c r="BA235" s="31"/>
      <c r="BB235" s="31"/>
      <c r="BC235" s="31"/>
      <c r="BD235" s="31"/>
      <c r="BE235" s="31"/>
      <c r="BF235" s="31"/>
      <c r="BG235" s="31"/>
      <c r="BH235" s="31"/>
      <c r="BI235" s="31"/>
      <c r="BJ235" s="31"/>
      <c r="BK235" s="31"/>
      <c r="BL235" s="31"/>
      <c r="BM235" s="31"/>
      <c r="BN235" s="31"/>
      <c r="BO235" s="31"/>
      <c r="BP235" s="31"/>
      <c r="BQ235" s="31"/>
      <c r="BR235" s="31"/>
      <c r="BS235" s="31"/>
      <c r="BT235" s="31"/>
      <c r="BU235" s="31"/>
      <c r="BV235" s="31"/>
      <c r="BW235" s="31"/>
      <c r="BX235" s="31"/>
      <c r="BY235" s="31"/>
      <c r="BZ235" s="31"/>
      <c r="CA235" s="31"/>
      <c r="CB235" s="31"/>
    </row>
    <row r="236" spans="2:80"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  <c r="AP236" s="31"/>
      <c r="AQ236" s="31"/>
      <c r="AR236" s="31"/>
      <c r="AS236" s="31"/>
      <c r="AT236" s="31"/>
      <c r="AU236" s="31"/>
      <c r="AV236" s="31"/>
      <c r="AW236" s="31"/>
      <c r="AX236" s="31"/>
      <c r="AY236" s="31"/>
      <c r="AZ236" s="31"/>
      <c r="BA236" s="31"/>
      <c r="BB236" s="31"/>
      <c r="BC236" s="31"/>
      <c r="BD236" s="31"/>
      <c r="BE236" s="31"/>
      <c r="BF236" s="31"/>
      <c r="BG236" s="31"/>
      <c r="BH236" s="31"/>
      <c r="BI236" s="31"/>
      <c r="BJ236" s="31"/>
      <c r="BK236" s="31"/>
      <c r="BL236" s="31"/>
      <c r="BM236" s="31"/>
      <c r="BN236" s="31"/>
      <c r="BO236" s="31"/>
      <c r="BP236" s="31"/>
      <c r="BQ236" s="31"/>
      <c r="BR236" s="31"/>
      <c r="BS236" s="31"/>
      <c r="BT236" s="31"/>
      <c r="BU236" s="31"/>
      <c r="BV236" s="31"/>
      <c r="BW236" s="31"/>
      <c r="BX236" s="31"/>
      <c r="BY236" s="31"/>
      <c r="BZ236" s="31"/>
      <c r="CA236" s="31"/>
      <c r="CB236" s="31"/>
    </row>
    <row r="237" spans="2:80"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31"/>
      <c r="AN237" s="31"/>
      <c r="AO237" s="31"/>
      <c r="AP237" s="31"/>
      <c r="AQ237" s="31"/>
      <c r="AR237" s="31"/>
      <c r="AS237" s="31"/>
      <c r="AT237" s="31"/>
      <c r="AU237" s="31"/>
      <c r="AV237" s="31"/>
      <c r="AW237" s="31"/>
      <c r="AX237" s="31"/>
      <c r="AY237" s="31"/>
      <c r="AZ237" s="31"/>
      <c r="BA237" s="31"/>
      <c r="BB237" s="31"/>
      <c r="BC237" s="31"/>
      <c r="BD237" s="31"/>
      <c r="BE237" s="31"/>
      <c r="BF237" s="31"/>
      <c r="BG237" s="31"/>
      <c r="BH237" s="31"/>
      <c r="BI237" s="31"/>
      <c r="BJ237" s="31"/>
      <c r="BK237" s="31"/>
      <c r="BL237" s="31"/>
      <c r="BM237" s="31"/>
      <c r="BN237" s="31"/>
      <c r="BO237" s="31"/>
      <c r="BP237" s="31"/>
      <c r="BQ237" s="31"/>
      <c r="BR237" s="31"/>
      <c r="BS237" s="31"/>
      <c r="BT237" s="31"/>
      <c r="BU237" s="31"/>
      <c r="BV237" s="31"/>
      <c r="BW237" s="31"/>
      <c r="BX237" s="31"/>
      <c r="BY237" s="31"/>
      <c r="BZ237" s="31"/>
      <c r="CA237" s="31"/>
      <c r="CB237" s="31"/>
    </row>
    <row r="238" spans="2:80"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  <c r="AO238" s="31"/>
      <c r="AP238" s="31"/>
      <c r="AQ238" s="31"/>
      <c r="AR238" s="31"/>
      <c r="AS238" s="31"/>
      <c r="AT238" s="31"/>
      <c r="AU238" s="31"/>
      <c r="AV238" s="31"/>
      <c r="AW238" s="31"/>
      <c r="AX238" s="31"/>
      <c r="AY238" s="31"/>
      <c r="AZ238" s="31"/>
      <c r="BA238" s="31"/>
      <c r="BB238" s="31"/>
      <c r="BC238" s="31"/>
      <c r="BD238" s="31"/>
      <c r="BE238" s="31"/>
      <c r="BF238" s="31"/>
      <c r="BG238" s="31"/>
      <c r="BH238" s="31"/>
      <c r="BI238" s="31"/>
      <c r="BJ238" s="31"/>
      <c r="BK238" s="31"/>
      <c r="BL238" s="31"/>
      <c r="BM238" s="31"/>
      <c r="BN238" s="31"/>
      <c r="BO238" s="31"/>
      <c r="BP238" s="31"/>
      <c r="BQ238" s="31"/>
      <c r="BR238" s="31"/>
      <c r="BS238" s="31"/>
      <c r="BT238" s="31"/>
      <c r="BU238" s="31"/>
      <c r="BV238" s="31"/>
      <c r="BW238" s="31"/>
      <c r="BX238" s="31"/>
      <c r="BY238" s="31"/>
      <c r="BZ238" s="31"/>
      <c r="CA238" s="31"/>
      <c r="CB238" s="31"/>
    </row>
    <row r="239" spans="2:80"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  <c r="AP239" s="31"/>
      <c r="AQ239" s="31"/>
      <c r="AR239" s="31"/>
      <c r="AS239" s="31"/>
      <c r="AT239" s="31"/>
      <c r="AU239" s="31"/>
      <c r="AV239" s="31"/>
      <c r="AW239" s="31"/>
      <c r="AX239" s="31"/>
      <c r="AY239" s="31"/>
      <c r="AZ239" s="31"/>
      <c r="BA239" s="31"/>
      <c r="BB239" s="31"/>
      <c r="BC239" s="31"/>
      <c r="BD239" s="31"/>
      <c r="BE239" s="31"/>
      <c r="BF239" s="31"/>
      <c r="BG239" s="31"/>
      <c r="BH239" s="31"/>
      <c r="BI239" s="31"/>
      <c r="BJ239" s="31"/>
      <c r="BK239" s="31"/>
      <c r="BL239" s="31"/>
      <c r="BM239" s="31"/>
      <c r="BN239" s="31"/>
      <c r="BO239" s="31"/>
      <c r="BP239" s="31"/>
      <c r="BQ239" s="31"/>
      <c r="BR239" s="31"/>
      <c r="BS239" s="31"/>
      <c r="BT239" s="31"/>
      <c r="BU239" s="31"/>
      <c r="BV239" s="31"/>
      <c r="BW239" s="31"/>
      <c r="BX239" s="31"/>
      <c r="BY239" s="31"/>
      <c r="BZ239" s="31"/>
      <c r="CA239" s="31"/>
      <c r="CB239" s="31"/>
    </row>
    <row r="240" spans="2:80"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31"/>
      <c r="AK240" s="31"/>
      <c r="AL240" s="31"/>
      <c r="AM240" s="31"/>
      <c r="AN240" s="31"/>
      <c r="AO240" s="31"/>
      <c r="AP240" s="31"/>
      <c r="AQ240" s="31"/>
      <c r="AR240" s="31"/>
      <c r="AS240" s="31"/>
      <c r="AT240" s="31"/>
      <c r="AU240" s="31"/>
      <c r="AV240" s="31"/>
      <c r="AW240" s="31"/>
      <c r="AX240" s="31"/>
      <c r="AY240" s="31"/>
      <c r="AZ240" s="31"/>
      <c r="BA240" s="31"/>
      <c r="BB240" s="31"/>
      <c r="BC240" s="31"/>
      <c r="BD240" s="31"/>
      <c r="BE240" s="31"/>
      <c r="BF240" s="31"/>
      <c r="BG240" s="31"/>
      <c r="BH240" s="31"/>
      <c r="BI240" s="31"/>
      <c r="BJ240" s="31"/>
      <c r="BK240" s="31"/>
      <c r="BL240" s="31"/>
      <c r="BM240" s="31"/>
      <c r="BN240" s="31"/>
      <c r="BO240" s="31"/>
      <c r="BP240" s="31"/>
      <c r="BQ240" s="31"/>
      <c r="BR240" s="31"/>
      <c r="BS240" s="31"/>
      <c r="BT240" s="31"/>
      <c r="BU240" s="31"/>
      <c r="BV240" s="31"/>
      <c r="BW240" s="31"/>
      <c r="BX240" s="31"/>
      <c r="BY240" s="31"/>
      <c r="BZ240" s="31"/>
      <c r="CA240" s="31"/>
      <c r="CB240" s="31"/>
    </row>
    <row r="241" spans="2:80"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  <c r="AO241" s="31"/>
      <c r="AP241" s="31"/>
      <c r="AQ241" s="31"/>
      <c r="AR241" s="31"/>
      <c r="AS241" s="31"/>
      <c r="AT241" s="31"/>
      <c r="AU241" s="31"/>
      <c r="AV241" s="31"/>
      <c r="AW241" s="31"/>
      <c r="AX241" s="31"/>
      <c r="AY241" s="31"/>
      <c r="AZ241" s="31"/>
      <c r="BA241" s="31"/>
      <c r="BB241" s="31"/>
      <c r="BC241" s="31"/>
      <c r="BD241" s="31"/>
      <c r="BE241" s="31"/>
      <c r="BF241" s="31"/>
      <c r="BG241" s="31"/>
      <c r="BH241" s="31"/>
      <c r="BI241" s="31"/>
      <c r="BJ241" s="31"/>
      <c r="BK241" s="31"/>
      <c r="BL241" s="31"/>
      <c r="BM241" s="31"/>
      <c r="BN241" s="31"/>
      <c r="BO241" s="31"/>
      <c r="BP241" s="31"/>
      <c r="BQ241" s="31"/>
      <c r="BR241" s="31"/>
      <c r="BS241" s="31"/>
      <c r="BT241" s="31"/>
      <c r="BU241" s="31"/>
      <c r="BV241" s="31"/>
      <c r="BW241" s="31"/>
      <c r="BX241" s="31"/>
      <c r="BY241" s="31"/>
      <c r="BZ241" s="31"/>
      <c r="CA241" s="31"/>
      <c r="CB241" s="31"/>
    </row>
    <row r="242" spans="2:80"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1"/>
      <c r="AP242" s="31"/>
      <c r="AQ242" s="31"/>
      <c r="AR242" s="31"/>
      <c r="AS242" s="31"/>
      <c r="AT242" s="31"/>
      <c r="AU242" s="31"/>
      <c r="AV242" s="31"/>
      <c r="AW242" s="31"/>
      <c r="AX242" s="31"/>
      <c r="AY242" s="31"/>
      <c r="AZ242" s="31"/>
      <c r="BA242" s="31"/>
      <c r="BB242" s="31"/>
      <c r="BC242" s="31"/>
      <c r="BD242" s="31"/>
      <c r="BE242" s="31"/>
      <c r="BF242" s="31"/>
      <c r="BG242" s="31"/>
      <c r="BH242" s="31"/>
      <c r="BI242" s="31"/>
      <c r="BJ242" s="31"/>
      <c r="BK242" s="31"/>
      <c r="BL242" s="31"/>
      <c r="BM242" s="31"/>
      <c r="BN242" s="31"/>
      <c r="BO242" s="31"/>
      <c r="BP242" s="31"/>
      <c r="BQ242" s="31"/>
      <c r="BR242" s="31"/>
      <c r="BS242" s="31"/>
      <c r="BT242" s="31"/>
      <c r="BU242" s="31"/>
      <c r="BV242" s="31"/>
      <c r="BW242" s="31"/>
      <c r="BX242" s="31"/>
      <c r="BY242" s="31"/>
      <c r="BZ242" s="31"/>
      <c r="CA242" s="31"/>
      <c r="CB242" s="31"/>
    </row>
    <row r="243" spans="2:80"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  <c r="AP243" s="31"/>
      <c r="AQ243" s="31"/>
      <c r="AR243" s="31"/>
      <c r="AS243" s="31"/>
      <c r="AT243" s="31"/>
      <c r="AU243" s="31"/>
      <c r="AV243" s="31"/>
      <c r="AW243" s="31"/>
      <c r="AX243" s="31"/>
      <c r="AY243" s="31"/>
      <c r="AZ243" s="31"/>
      <c r="BA243" s="31"/>
      <c r="BB243" s="31"/>
      <c r="BC243" s="31"/>
      <c r="BD243" s="31"/>
      <c r="BE243" s="31"/>
      <c r="BF243" s="31"/>
      <c r="BG243" s="31"/>
      <c r="BH243" s="31"/>
      <c r="BI243" s="31"/>
      <c r="BJ243" s="31"/>
      <c r="BK243" s="31"/>
      <c r="BL243" s="31"/>
      <c r="BM243" s="31"/>
      <c r="BN243" s="31"/>
      <c r="BO243" s="31"/>
      <c r="BP243" s="31"/>
      <c r="BQ243" s="31"/>
      <c r="BR243" s="31"/>
      <c r="BS243" s="31"/>
      <c r="BT243" s="31"/>
      <c r="BU243" s="31"/>
      <c r="BV243" s="31"/>
      <c r="BW243" s="31"/>
      <c r="BX243" s="31"/>
      <c r="BY243" s="31"/>
      <c r="BZ243" s="31"/>
      <c r="CA243" s="31"/>
      <c r="CB243" s="31"/>
    </row>
    <row r="244" spans="2:80"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31"/>
      <c r="AN244" s="31"/>
      <c r="AO244" s="31"/>
      <c r="AP244" s="31"/>
      <c r="AQ244" s="31"/>
      <c r="AR244" s="31"/>
      <c r="AS244" s="31"/>
      <c r="AT244" s="31"/>
      <c r="AU244" s="31"/>
      <c r="AV244" s="31"/>
      <c r="AW244" s="31"/>
      <c r="AX244" s="31"/>
      <c r="AY244" s="31"/>
      <c r="AZ244" s="31"/>
      <c r="BA244" s="31"/>
      <c r="BB244" s="31"/>
      <c r="BC244" s="31"/>
      <c r="BD244" s="31"/>
      <c r="BE244" s="31"/>
      <c r="BF244" s="31"/>
      <c r="BG244" s="31"/>
      <c r="BH244" s="31"/>
      <c r="BI244" s="31"/>
      <c r="BJ244" s="31"/>
      <c r="BK244" s="31"/>
      <c r="BL244" s="31"/>
      <c r="BM244" s="31"/>
      <c r="BN244" s="31"/>
      <c r="BO244" s="31"/>
      <c r="BP244" s="31"/>
      <c r="BQ244" s="31"/>
      <c r="BR244" s="31"/>
      <c r="BS244" s="31"/>
      <c r="BT244" s="31"/>
      <c r="BU244" s="31"/>
      <c r="BV244" s="31"/>
      <c r="BW244" s="31"/>
      <c r="BX244" s="31"/>
      <c r="BY244" s="31"/>
      <c r="BZ244" s="31"/>
      <c r="CA244" s="31"/>
      <c r="CB244" s="31"/>
    </row>
    <row r="245" spans="2:80"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  <c r="AO245" s="31"/>
      <c r="AP245" s="31"/>
      <c r="AQ245" s="31"/>
      <c r="AR245" s="31"/>
      <c r="AS245" s="31"/>
      <c r="AT245" s="31"/>
      <c r="AU245" s="31"/>
      <c r="AV245" s="31"/>
      <c r="AW245" s="31"/>
      <c r="AX245" s="31"/>
      <c r="AY245" s="31"/>
      <c r="AZ245" s="31"/>
      <c r="BA245" s="31"/>
      <c r="BB245" s="31"/>
      <c r="BC245" s="31"/>
      <c r="BD245" s="31"/>
      <c r="BE245" s="31"/>
      <c r="BF245" s="31"/>
      <c r="BG245" s="31"/>
      <c r="BH245" s="31"/>
      <c r="BI245" s="31"/>
      <c r="BJ245" s="31"/>
      <c r="BK245" s="31"/>
      <c r="BL245" s="31"/>
      <c r="BM245" s="31"/>
      <c r="BN245" s="31"/>
      <c r="BO245" s="31"/>
      <c r="BP245" s="31"/>
      <c r="BQ245" s="31"/>
      <c r="BR245" s="31"/>
      <c r="BS245" s="31"/>
      <c r="BT245" s="31"/>
      <c r="BU245" s="31"/>
      <c r="BV245" s="31"/>
      <c r="BW245" s="31"/>
      <c r="BX245" s="31"/>
      <c r="BY245" s="31"/>
      <c r="BZ245" s="31"/>
      <c r="CA245" s="31"/>
      <c r="CB245" s="31"/>
    </row>
    <row r="246" spans="2:80"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1"/>
      <c r="AT246" s="31"/>
      <c r="AU246" s="31"/>
      <c r="AV246" s="31"/>
      <c r="AW246" s="31"/>
      <c r="AX246" s="31"/>
      <c r="AY246" s="31"/>
      <c r="AZ246" s="31"/>
      <c r="BA246" s="31"/>
      <c r="BB246" s="31"/>
      <c r="BC246" s="31"/>
      <c r="BD246" s="31"/>
      <c r="BE246" s="31"/>
      <c r="BF246" s="31"/>
      <c r="BG246" s="31"/>
      <c r="BH246" s="31"/>
      <c r="BI246" s="31"/>
      <c r="BJ246" s="31"/>
      <c r="BK246" s="31"/>
      <c r="BL246" s="31"/>
      <c r="BM246" s="31"/>
      <c r="BN246" s="31"/>
      <c r="BO246" s="31"/>
      <c r="BP246" s="31"/>
      <c r="BQ246" s="31"/>
      <c r="BR246" s="31"/>
      <c r="BS246" s="31"/>
      <c r="BT246" s="31"/>
      <c r="BU246" s="31"/>
      <c r="BV246" s="31"/>
      <c r="BW246" s="31"/>
      <c r="BX246" s="31"/>
      <c r="BY246" s="31"/>
      <c r="BZ246" s="31"/>
      <c r="CA246" s="31"/>
      <c r="CB246" s="31"/>
    </row>
    <row r="247" spans="2:80"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  <c r="AK247" s="31"/>
      <c r="AL247" s="31"/>
      <c r="AM247" s="31"/>
      <c r="AN247" s="31"/>
      <c r="AO247" s="31"/>
      <c r="AP247" s="31"/>
      <c r="AQ247" s="31"/>
      <c r="AR247" s="31"/>
      <c r="AS247" s="31"/>
      <c r="AT247" s="31"/>
      <c r="AU247" s="31"/>
      <c r="AV247" s="31"/>
      <c r="AW247" s="31"/>
      <c r="AX247" s="31"/>
      <c r="AY247" s="31"/>
      <c r="AZ247" s="31"/>
      <c r="BA247" s="31"/>
      <c r="BB247" s="31"/>
      <c r="BC247" s="31"/>
      <c r="BD247" s="31"/>
      <c r="BE247" s="31"/>
      <c r="BF247" s="31"/>
      <c r="BG247" s="31"/>
      <c r="BH247" s="31"/>
      <c r="BI247" s="31"/>
      <c r="BJ247" s="31"/>
      <c r="BK247" s="31"/>
      <c r="BL247" s="31"/>
      <c r="BM247" s="31"/>
      <c r="BN247" s="31"/>
      <c r="BO247" s="31"/>
      <c r="BP247" s="31"/>
      <c r="BQ247" s="31"/>
      <c r="BR247" s="31"/>
      <c r="BS247" s="31"/>
      <c r="BT247" s="31"/>
      <c r="BU247" s="31"/>
      <c r="BV247" s="31"/>
      <c r="BW247" s="31"/>
      <c r="BX247" s="31"/>
      <c r="BY247" s="31"/>
      <c r="BZ247" s="31"/>
      <c r="CA247" s="31"/>
      <c r="CB247" s="31"/>
    </row>
    <row r="248" spans="2:80"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  <c r="AO248" s="31"/>
      <c r="AP248" s="31"/>
      <c r="AQ248" s="31"/>
      <c r="AR248" s="31"/>
      <c r="AS248" s="31"/>
      <c r="AT248" s="31"/>
      <c r="AU248" s="31"/>
      <c r="AV248" s="31"/>
      <c r="AW248" s="31"/>
      <c r="AX248" s="31"/>
      <c r="AY248" s="31"/>
      <c r="AZ248" s="31"/>
      <c r="BA248" s="31"/>
      <c r="BB248" s="31"/>
      <c r="BC248" s="31"/>
      <c r="BD248" s="31"/>
      <c r="BE248" s="31"/>
      <c r="BF248" s="31"/>
      <c r="BG248" s="31"/>
      <c r="BH248" s="31"/>
      <c r="BI248" s="31"/>
      <c r="BJ248" s="31"/>
      <c r="BK248" s="31"/>
      <c r="BL248" s="31"/>
      <c r="BM248" s="31"/>
      <c r="BN248" s="31"/>
      <c r="BO248" s="31"/>
      <c r="BP248" s="31"/>
      <c r="BQ248" s="31"/>
      <c r="BR248" s="31"/>
      <c r="BS248" s="31"/>
      <c r="BT248" s="31"/>
      <c r="BU248" s="31"/>
      <c r="BV248" s="31"/>
      <c r="BW248" s="31"/>
      <c r="BX248" s="31"/>
      <c r="BY248" s="31"/>
      <c r="BZ248" s="31"/>
      <c r="CA248" s="31"/>
      <c r="CB248" s="31"/>
    </row>
    <row r="249" spans="2:80"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  <c r="AP249" s="31"/>
      <c r="AQ249" s="31"/>
      <c r="AR249" s="31"/>
      <c r="AS249" s="31"/>
      <c r="AT249" s="31"/>
      <c r="AU249" s="31"/>
      <c r="AV249" s="31"/>
      <c r="AW249" s="31"/>
      <c r="AX249" s="31"/>
      <c r="AY249" s="31"/>
      <c r="AZ249" s="31"/>
      <c r="BA249" s="31"/>
      <c r="BB249" s="31"/>
      <c r="BC249" s="31"/>
      <c r="BD249" s="31"/>
      <c r="BE249" s="31"/>
      <c r="BF249" s="31"/>
      <c r="BG249" s="31"/>
      <c r="BH249" s="31"/>
      <c r="BI249" s="31"/>
      <c r="BJ249" s="31"/>
      <c r="BK249" s="31"/>
      <c r="BL249" s="31"/>
      <c r="BM249" s="31"/>
      <c r="BN249" s="31"/>
      <c r="BO249" s="31"/>
      <c r="BP249" s="31"/>
      <c r="BQ249" s="31"/>
      <c r="BR249" s="31"/>
      <c r="BS249" s="31"/>
      <c r="BT249" s="31"/>
      <c r="BU249" s="31"/>
      <c r="BV249" s="31"/>
      <c r="BW249" s="31"/>
      <c r="BX249" s="31"/>
      <c r="BY249" s="31"/>
      <c r="BZ249" s="31"/>
      <c r="CA249" s="31"/>
      <c r="CB249" s="31"/>
    </row>
    <row r="250" spans="2:80"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  <c r="AK250" s="31"/>
      <c r="AL250" s="31"/>
      <c r="AM250" s="31"/>
      <c r="AN250" s="31"/>
      <c r="AO250" s="31"/>
      <c r="AP250" s="31"/>
      <c r="AQ250" s="31"/>
      <c r="AR250" s="31"/>
      <c r="AS250" s="31"/>
      <c r="AT250" s="31"/>
      <c r="AU250" s="31"/>
      <c r="AV250" s="31"/>
      <c r="AW250" s="31"/>
      <c r="AX250" s="31"/>
      <c r="AY250" s="31"/>
      <c r="AZ250" s="31"/>
      <c r="BA250" s="31"/>
      <c r="BB250" s="31"/>
      <c r="BC250" s="31"/>
      <c r="BD250" s="31"/>
      <c r="BE250" s="31"/>
      <c r="BF250" s="31"/>
      <c r="BG250" s="31"/>
      <c r="BH250" s="31"/>
      <c r="BI250" s="31"/>
      <c r="BJ250" s="31"/>
      <c r="BK250" s="31"/>
      <c r="BL250" s="31"/>
      <c r="BM250" s="31"/>
      <c r="BN250" s="31"/>
      <c r="BO250" s="31"/>
      <c r="BP250" s="31"/>
      <c r="BQ250" s="31"/>
      <c r="BR250" s="31"/>
      <c r="BS250" s="31"/>
      <c r="BT250" s="31"/>
      <c r="BU250" s="31"/>
      <c r="BV250" s="31"/>
      <c r="BW250" s="31"/>
      <c r="BX250" s="31"/>
      <c r="BY250" s="31"/>
      <c r="BZ250" s="31"/>
      <c r="CA250" s="31"/>
      <c r="CB250" s="31"/>
    </row>
    <row r="251" spans="2:80"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  <c r="AO251" s="31"/>
      <c r="AP251" s="31"/>
      <c r="AQ251" s="31"/>
      <c r="AR251" s="31"/>
      <c r="AS251" s="31"/>
      <c r="AT251" s="31"/>
      <c r="AU251" s="31"/>
      <c r="AV251" s="31"/>
      <c r="AW251" s="31"/>
      <c r="AX251" s="31"/>
      <c r="AY251" s="31"/>
      <c r="AZ251" s="31"/>
      <c r="BA251" s="31"/>
      <c r="BB251" s="31"/>
      <c r="BC251" s="31"/>
      <c r="BD251" s="31"/>
      <c r="BE251" s="31"/>
      <c r="BF251" s="31"/>
      <c r="BG251" s="31"/>
      <c r="BH251" s="31"/>
      <c r="BI251" s="31"/>
      <c r="BJ251" s="31"/>
      <c r="BK251" s="31"/>
      <c r="BL251" s="31"/>
      <c r="BM251" s="31"/>
      <c r="BN251" s="31"/>
      <c r="BO251" s="31"/>
      <c r="BP251" s="31"/>
      <c r="BQ251" s="31"/>
      <c r="BR251" s="31"/>
      <c r="BS251" s="31"/>
      <c r="BT251" s="31"/>
      <c r="BU251" s="31"/>
      <c r="BV251" s="31"/>
      <c r="BW251" s="31"/>
      <c r="BX251" s="31"/>
      <c r="BY251" s="31"/>
      <c r="BZ251" s="31"/>
      <c r="CA251" s="31"/>
      <c r="CB251" s="31"/>
    </row>
    <row r="252" spans="2:80"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1"/>
      <c r="AP252" s="31"/>
      <c r="AQ252" s="31"/>
      <c r="AR252" s="31"/>
      <c r="AS252" s="31"/>
      <c r="AT252" s="31"/>
      <c r="AU252" s="31"/>
      <c r="AV252" s="31"/>
      <c r="AW252" s="31"/>
      <c r="AX252" s="31"/>
      <c r="AY252" s="31"/>
      <c r="AZ252" s="31"/>
      <c r="BA252" s="31"/>
      <c r="BB252" s="31"/>
      <c r="BC252" s="31"/>
      <c r="BD252" s="31"/>
      <c r="BE252" s="31"/>
      <c r="BF252" s="31"/>
      <c r="BG252" s="31"/>
      <c r="BH252" s="31"/>
      <c r="BI252" s="31"/>
      <c r="BJ252" s="31"/>
      <c r="BK252" s="31"/>
      <c r="BL252" s="31"/>
      <c r="BM252" s="31"/>
      <c r="BN252" s="31"/>
      <c r="BO252" s="31"/>
      <c r="BP252" s="31"/>
      <c r="BQ252" s="31"/>
      <c r="BR252" s="31"/>
      <c r="BS252" s="31"/>
      <c r="BT252" s="31"/>
      <c r="BU252" s="31"/>
      <c r="BV252" s="31"/>
      <c r="BW252" s="31"/>
      <c r="BX252" s="31"/>
      <c r="BY252" s="31"/>
      <c r="BZ252" s="31"/>
      <c r="CA252" s="31"/>
      <c r="CB252" s="31"/>
    </row>
    <row r="253" spans="2:80"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  <c r="AK253" s="31"/>
      <c r="AL253" s="31"/>
      <c r="AM253" s="31"/>
      <c r="AN253" s="31"/>
      <c r="AO253" s="31"/>
      <c r="AP253" s="31"/>
      <c r="AQ253" s="31"/>
      <c r="AR253" s="31"/>
      <c r="AS253" s="31"/>
      <c r="AT253" s="31"/>
      <c r="AU253" s="31"/>
      <c r="AV253" s="31"/>
      <c r="AW253" s="31"/>
      <c r="AX253" s="31"/>
      <c r="AY253" s="31"/>
      <c r="AZ253" s="31"/>
      <c r="BA253" s="31"/>
      <c r="BB253" s="31"/>
      <c r="BC253" s="31"/>
      <c r="BD253" s="31"/>
      <c r="BE253" s="31"/>
      <c r="BF253" s="31"/>
      <c r="BG253" s="31"/>
      <c r="BH253" s="31"/>
      <c r="BI253" s="31"/>
      <c r="BJ253" s="31"/>
      <c r="BK253" s="31"/>
      <c r="BL253" s="31"/>
      <c r="BM253" s="31"/>
      <c r="BN253" s="31"/>
      <c r="BO253" s="31"/>
      <c r="BP253" s="31"/>
      <c r="BQ253" s="31"/>
      <c r="BR253" s="31"/>
      <c r="BS253" s="31"/>
      <c r="BT253" s="31"/>
      <c r="BU253" s="31"/>
      <c r="BV253" s="31"/>
      <c r="BW253" s="31"/>
      <c r="BX253" s="31"/>
      <c r="BY253" s="31"/>
      <c r="BZ253" s="31"/>
      <c r="CA253" s="31"/>
      <c r="CB253" s="31"/>
    </row>
    <row r="254" spans="2:80"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  <c r="AO254" s="31"/>
      <c r="AP254" s="31"/>
      <c r="AQ254" s="31"/>
      <c r="AR254" s="31"/>
      <c r="AS254" s="31"/>
      <c r="AT254" s="31"/>
      <c r="AU254" s="31"/>
      <c r="AV254" s="31"/>
      <c r="AW254" s="31"/>
      <c r="AX254" s="31"/>
      <c r="AY254" s="31"/>
      <c r="AZ254" s="31"/>
      <c r="BA254" s="31"/>
      <c r="BB254" s="31"/>
      <c r="BC254" s="31"/>
      <c r="BD254" s="31"/>
      <c r="BE254" s="31"/>
      <c r="BF254" s="31"/>
      <c r="BG254" s="31"/>
      <c r="BH254" s="31"/>
      <c r="BI254" s="31"/>
      <c r="BJ254" s="31"/>
      <c r="BK254" s="31"/>
      <c r="BL254" s="31"/>
      <c r="BM254" s="31"/>
      <c r="BN254" s="31"/>
      <c r="BO254" s="31"/>
      <c r="BP254" s="31"/>
      <c r="BQ254" s="31"/>
      <c r="BR254" s="31"/>
      <c r="BS254" s="31"/>
      <c r="BT254" s="31"/>
      <c r="BU254" s="31"/>
      <c r="BV254" s="31"/>
      <c r="BW254" s="31"/>
      <c r="BX254" s="31"/>
      <c r="BY254" s="31"/>
      <c r="BZ254" s="31"/>
      <c r="CA254" s="31"/>
      <c r="CB254" s="31"/>
    </row>
    <row r="255" spans="2:80"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1"/>
      <c r="AP255" s="31"/>
      <c r="AQ255" s="31"/>
      <c r="AR255" s="31"/>
      <c r="AS255" s="31"/>
      <c r="AT255" s="31"/>
      <c r="AU255" s="31"/>
      <c r="AV255" s="31"/>
      <c r="AW255" s="31"/>
      <c r="AX255" s="31"/>
      <c r="AY255" s="31"/>
      <c r="AZ255" s="31"/>
      <c r="BA255" s="31"/>
      <c r="BB255" s="31"/>
      <c r="BC255" s="31"/>
      <c r="BD255" s="31"/>
      <c r="BE255" s="31"/>
      <c r="BF255" s="31"/>
      <c r="BG255" s="31"/>
      <c r="BH255" s="31"/>
      <c r="BI255" s="31"/>
      <c r="BJ255" s="31"/>
      <c r="BK255" s="31"/>
      <c r="BL255" s="31"/>
      <c r="BM255" s="31"/>
      <c r="BN255" s="31"/>
      <c r="BO255" s="31"/>
      <c r="BP255" s="31"/>
      <c r="BQ255" s="31"/>
      <c r="BR255" s="31"/>
      <c r="BS255" s="31"/>
      <c r="BT255" s="31"/>
      <c r="BU255" s="31"/>
      <c r="BV255" s="31"/>
      <c r="BW255" s="31"/>
      <c r="BX255" s="31"/>
      <c r="BY255" s="31"/>
      <c r="BZ255" s="31"/>
      <c r="CA255" s="31"/>
      <c r="CB255" s="31"/>
    </row>
    <row r="256" spans="2:80"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1"/>
      <c r="AT256" s="31"/>
      <c r="AU256" s="31"/>
      <c r="AV256" s="31"/>
      <c r="AW256" s="31"/>
      <c r="AX256" s="31"/>
      <c r="AY256" s="31"/>
      <c r="AZ256" s="31"/>
      <c r="BA256" s="31"/>
      <c r="BB256" s="31"/>
      <c r="BC256" s="31"/>
      <c r="BD256" s="31"/>
      <c r="BE256" s="31"/>
      <c r="BF256" s="31"/>
      <c r="BG256" s="31"/>
      <c r="BH256" s="31"/>
      <c r="BI256" s="31"/>
      <c r="BJ256" s="31"/>
      <c r="BK256" s="31"/>
      <c r="BL256" s="31"/>
      <c r="BM256" s="31"/>
      <c r="BN256" s="31"/>
      <c r="BO256" s="31"/>
      <c r="BP256" s="31"/>
      <c r="BQ256" s="31"/>
      <c r="BR256" s="31"/>
      <c r="BS256" s="31"/>
      <c r="BT256" s="31"/>
      <c r="BU256" s="31"/>
      <c r="BV256" s="31"/>
      <c r="BW256" s="31"/>
      <c r="BX256" s="31"/>
      <c r="BY256" s="31"/>
      <c r="BZ256" s="31"/>
      <c r="CA256" s="31"/>
      <c r="CB256" s="31"/>
    </row>
    <row r="257" spans="2:80"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  <c r="AP257" s="31"/>
      <c r="AQ257" s="31"/>
      <c r="AR257" s="31"/>
      <c r="AS257" s="31"/>
      <c r="AT257" s="31"/>
      <c r="AU257" s="31"/>
      <c r="AV257" s="31"/>
      <c r="AW257" s="31"/>
      <c r="AX257" s="31"/>
      <c r="AY257" s="31"/>
      <c r="AZ257" s="31"/>
      <c r="BA257" s="31"/>
      <c r="BB257" s="31"/>
      <c r="BC257" s="31"/>
      <c r="BD257" s="31"/>
      <c r="BE257" s="31"/>
      <c r="BF257" s="31"/>
      <c r="BG257" s="31"/>
      <c r="BH257" s="31"/>
      <c r="BI257" s="31"/>
      <c r="BJ257" s="31"/>
      <c r="BK257" s="31"/>
      <c r="BL257" s="31"/>
      <c r="BM257" s="31"/>
      <c r="BN257" s="31"/>
      <c r="BO257" s="31"/>
      <c r="BP257" s="31"/>
      <c r="BQ257" s="31"/>
      <c r="BR257" s="31"/>
      <c r="BS257" s="31"/>
      <c r="BT257" s="31"/>
      <c r="BU257" s="31"/>
      <c r="BV257" s="31"/>
      <c r="BW257" s="31"/>
      <c r="BX257" s="31"/>
      <c r="BY257" s="31"/>
      <c r="BZ257" s="31"/>
      <c r="CA257" s="31"/>
      <c r="CB257" s="31"/>
    </row>
    <row r="258" spans="2:80"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1"/>
      <c r="AT258" s="31"/>
      <c r="AU258" s="31"/>
      <c r="AV258" s="31"/>
      <c r="AW258" s="31"/>
      <c r="AX258" s="31"/>
      <c r="AY258" s="31"/>
      <c r="AZ258" s="31"/>
      <c r="BA258" s="31"/>
      <c r="BB258" s="31"/>
      <c r="BC258" s="31"/>
      <c r="BD258" s="31"/>
      <c r="BE258" s="31"/>
      <c r="BF258" s="31"/>
      <c r="BG258" s="31"/>
      <c r="BH258" s="31"/>
      <c r="BI258" s="31"/>
      <c r="BJ258" s="31"/>
      <c r="BK258" s="31"/>
      <c r="BL258" s="31"/>
      <c r="BM258" s="31"/>
      <c r="BN258" s="31"/>
      <c r="BO258" s="31"/>
      <c r="BP258" s="31"/>
      <c r="BQ258" s="31"/>
      <c r="BR258" s="31"/>
      <c r="BS258" s="31"/>
      <c r="BT258" s="31"/>
      <c r="BU258" s="31"/>
      <c r="BV258" s="31"/>
      <c r="BW258" s="31"/>
      <c r="BX258" s="31"/>
      <c r="BY258" s="31"/>
      <c r="BZ258" s="31"/>
      <c r="CA258" s="31"/>
      <c r="CB258" s="31"/>
    </row>
    <row r="259" spans="2:80"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  <c r="AL259" s="31"/>
      <c r="AM259" s="31"/>
      <c r="AN259" s="31"/>
      <c r="AO259" s="31"/>
      <c r="AP259" s="31"/>
      <c r="AQ259" s="31"/>
      <c r="AR259" s="31"/>
      <c r="AS259" s="31"/>
      <c r="AT259" s="31"/>
      <c r="AU259" s="31"/>
      <c r="AV259" s="31"/>
      <c r="AW259" s="31"/>
      <c r="AX259" s="31"/>
      <c r="AY259" s="31"/>
      <c r="AZ259" s="31"/>
      <c r="BA259" s="31"/>
      <c r="BB259" s="31"/>
      <c r="BC259" s="31"/>
      <c r="BD259" s="31"/>
      <c r="BE259" s="31"/>
      <c r="BF259" s="31"/>
      <c r="BG259" s="31"/>
      <c r="BH259" s="31"/>
      <c r="BI259" s="31"/>
      <c r="BJ259" s="31"/>
      <c r="BK259" s="31"/>
      <c r="BL259" s="31"/>
      <c r="BM259" s="31"/>
      <c r="BN259" s="31"/>
      <c r="BO259" s="31"/>
      <c r="BP259" s="31"/>
      <c r="BQ259" s="31"/>
      <c r="BR259" s="31"/>
      <c r="BS259" s="31"/>
      <c r="BT259" s="31"/>
      <c r="BU259" s="31"/>
      <c r="BV259" s="31"/>
      <c r="BW259" s="31"/>
      <c r="BX259" s="31"/>
      <c r="BY259" s="31"/>
      <c r="BZ259" s="31"/>
      <c r="CA259" s="31"/>
      <c r="CB259" s="31"/>
    </row>
    <row r="260" spans="2:80"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  <c r="AO260" s="31"/>
      <c r="AP260" s="31"/>
      <c r="AQ260" s="31"/>
      <c r="AR260" s="31"/>
      <c r="AS260" s="31"/>
      <c r="AT260" s="31"/>
      <c r="AU260" s="31"/>
      <c r="AV260" s="31"/>
      <c r="AW260" s="31"/>
      <c r="AX260" s="31"/>
      <c r="AY260" s="31"/>
      <c r="AZ260" s="31"/>
      <c r="BA260" s="31"/>
      <c r="BB260" s="31"/>
      <c r="BC260" s="31"/>
      <c r="BD260" s="31"/>
      <c r="BE260" s="31"/>
      <c r="BF260" s="31"/>
      <c r="BG260" s="31"/>
      <c r="BH260" s="31"/>
      <c r="BI260" s="31"/>
      <c r="BJ260" s="31"/>
      <c r="BK260" s="31"/>
      <c r="BL260" s="31"/>
      <c r="BM260" s="31"/>
      <c r="BN260" s="31"/>
      <c r="BO260" s="31"/>
      <c r="BP260" s="31"/>
      <c r="BQ260" s="31"/>
      <c r="BR260" s="31"/>
      <c r="BS260" s="31"/>
      <c r="BT260" s="31"/>
      <c r="BU260" s="31"/>
      <c r="BV260" s="31"/>
      <c r="BW260" s="31"/>
      <c r="BX260" s="31"/>
      <c r="BY260" s="31"/>
      <c r="BZ260" s="31"/>
      <c r="CA260" s="31"/>
      <c r="CB260" s="31"/>
    </row>
    <row r="261" spans="2:80"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  <c r="AT261" s="31"/>
      <c r="AU261" s="31"/>
      <c r="AV261" s="31"/>
      <c r="AW261" s="31"/>
      <c r="AX261" s="31"/>
      <c r="AY261" s="31"/>
      <c r="AZ261" s="31"/>
      <c r="BA261" s="31"/>
      <c r="BB261" s="31"/>
      <c r="BC261" s="31"/>
      <c r="BD261" s="31"/>
      <c r="BE261" s="31"/>
      <c r="BF261" s="31"/>
      <c r="BG261" s="31"/>
      <c r="BH261" s="31"/>
      <c r="BI261" s="31"/>
      <c r="BJ261" s="31"/>
      <c r="BK261" s="31"/>
      <c r="BL261" s="31"/>
      <c r="BM261" s="31"/>
      <c r="BN261" s="31"/>
      <c r="BO261" s="31"/>
      <c r="BP261" s="31"/>
      <c r="BQ261" s="31"/>
      <c r="BR261" s="31"/>
      <c r="BS261" s="31"/>
      <c r="BT261" s="31"/>
      <c r="BU261" s="31"/>
      <c r="BV261" s="31"/>
      <c r="BW261" s="31"/>
      <c r="BX261" s="31"/>
      <c r="BY261" s="31"/>
      <c r="BZ261" s="31"/>
      <c r="CA261" s="31"/>
      <c r="CB261" s="31"/>
    </row>
    <row r="262" spans="2:80"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  <c r="AL262" s="31"/>
      <c r="AM262" s="31"/>
      <c r="AN262" s="31"/>
      <c r="AO262" s="31"/>
      <c r="AP262" s="31"/>
      <c r="AQ262" s="31"/>
      <c r="AR262" s="31"/>
      <c r="AS262" s="31"/>
      <c r="AT262" s="31"/>
      <c r="AU262" s="31"/>
      <c r="AV262" s="31"/>
      <c r="AW262" s="31"/>
      <c r="AX262" s="31"/>
      <c r="AY262" s="31"/>
      <c r="AZ262" s="31"/>
      <c r="BA262" s="31"/>
      <c r="BB262" s="31"/>
      <c r="BC262" s="31"/>
      <c r="BD262" s="31"/>
      <c r="BE262" s="31"/>
      <c r="BF262" s="31"/>
      <c r="BG262" s="31"/>
      <c r="BH262" s="31"/>
      <c r="BI262" s="31"/>
      <c r="BJ262" s="31"/>
      <c r="BK262" s="31"/>
      <c r="BL262" s="31"/>
      <c r="BM262" s="31"/>
      <c r="BN262" s="31"/>
      <c r="BO262" s="31"/>
      <c r="BP262" s="31"/>
      <c r="BQ262" s="31"/>
      <c r="BR262" s="31"/>
      <c r="BS262" s="31"/>
      <c r="BT262" s="31"/>
      <c r="BU262" s="31"/>
      <c r="BV262" s="31"/>
      <c r="BW262" s="31"/>
      <c r="BX262" s="31"/>
      <c r="BY262" s="31"/>
      <c r="BZ262" s="31"/>
      <c r="CA262" s="31"/>
      <c r="CB262" s="31"/>
    </row>
    <row r="263" spans="2:80"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  <c r="AO263" s="31"/>
      <c r="AP263" s="31"/>
      <c r="AQ263" s="31"/>
      <c r="AR263" s="31"/>
      <c r="AS263" s="31"/>
      <c r="AT263" s="31"/>
      <c r="AU263" s="31"/>
      <c r="AV263" s="31"/>
      <c r="AW263" s="31"/>
      <c r="AX263" s="31"/>
      <c r="AY263" s="31"/>
      <c r="AZ263" s="31"/>
      <c r="BA263" s="31"/>
      <c r="BB263" s="31"/>
      <c r="BC263" s="31"/>
      <c r="BD263" s="31"/>
      <c r="BE263" s="31"/>
      <c r="BF263" s="31"/>
      <c r="BG263" s="31"/>
      <c r="BH263" s="31"/>
      <c r="BI263" s="31"/>
      <c r="BJ263" s="31"/>
      <c r="BK263" s="31"/>
      <c r="BL263" s="31"/>
      <c r="BM263" s="31"/>
      <c r="BN263" s="31"/>
      <c r="BO263" s="31"/>
      <c r="BP263" s="31"/>
      <c r="BQ263" s="31"/>
      <c r="BR263" s="31"/>
      <c r="BS263" s="31"/>
      <c r="BT263" s="31"/>
      <c r="BU263" s="31"/>
      <c r="BV263" s="31"/>
      <c r="BW263" s="31"/>
      <c r="BX263" s="31"/>
      <c r="BY263" s="31"/>
      <c r="BZ263" s="31"/>
      <c r="CA263" s="31"/>
      <c r="CB263" s="31"/>
    </row>
    <row r="264" spans="2:80"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  <c r="AT264" s="31"/>
      <c r="AU264" s="31"/>
      <c r="AV264" s="31"/>
      <c r="AW264" s="31"/>
      <c r="AX264" s="31"/>
      <c r="AY264" s="31"/>
      <c r="AZ264" s="31"/>
      <c r="BA264" s="31"/>
      <c r="BB264" s="31"/>
      <c r="BC264" s="31"/>
      <c r="BD264" s="31"/>
      <c r="BE264" s="31"/>
      <c r="BF264" s="31"/>
      <c r="BG264" s="31"/>
      <c r="BH264" s="31"/>
      <c r="BI264" s="31"/>
      <c r="BJ264" s="31"/>
      <c r="BK264" s="31"/>
      <c r="BL264" s="31"/>
      <c r="BM264" s="31"/>
      <c r="BN264" s="31"/>
      <c r="BO264" s="31"/>
      <c r="BP264" s="31"/>
      <c r="BQ264" s="31"/>
      <c r="BR264" s="31"/>
      <c r="BS264" s="31"/>
      <c r="BT264" s="31"/>
      <c r="BU264" s="31"/>
      <c r="BV264" s="31"/>
      <c r="BW264" s="31"/>
      <c r="BX264" s="31"/>
      <c r="BY264" s="31"/>
      <c r="BZ264" s="31"/>
      <c r="CA264" s="31"/>
      <c r="CB264" s="31"/>
    </row>
    <row r="265" spans="2:80"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  <c r="AT265" s="31"/>
      <c r="AU265" s="31"/>
      <c r="AV265" s="31"/>
      <c r="AW265" s="31"/>
      <c r="AX265" s="31"/>
      <c r="AY265" s="31"/>
      <c r="AZ265" s="31"/>
      <c r="BA265" s="31"/>
      <c r="BB265" s="31"/>
      <c r="BC265" s="31"/>
      <c r="BD265" s="31"/>
      <c r="BE265" s="31"/>
      <c r="BF265" s="31"/>
      <c r="BG265" s="31"/>
      <c r="BH265" s="31"/>
      <c r="BI265" s="31"/>
      <c r="BJ265" s="31"/>
      <c r="BK265" s="31"/>
      <c r="BL265" s="31"/>
      <c r="BM265" s="31"/>
      <c r="BN265" s="31"/>
      <c r="BO265" s="31"/>
      <c r="BP265" s="31"/>
      <c r="BQ265" s="31"/>
      <c r="BR265" s="31"/>
      <c r="BS265" s="31"/>
      <c r="BT265" s="31"/>
      <c r="BU265" s="31"/>
      <c r="BV265" s="31"/>
      <c r="BW265" s="31"/>
      <c r="BX265" s="31"/>
      <c r="BY265" s="31"/>
      <c r="BZ265" s="31"/>
      <c r="CA265" s="31"/>
      <c r="CB265" s="31"/>
    </row>
    <row r="266" spans="2:80"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  <c r="AT266" s="31"/>
      <c r="AU266" s="31"/>
      <c r="AV266" s="31"/>
      <c r="AW266" s="31"/>
      <c r="AX266" s="31"/>
      <c r="AY266" s="31"/>
      <c r="AZ266" s="31"/>
      <c r="BA266" s="31"/>
      <c r="BB266" s="31"/>
      <c r="BC266" s="31"/>
      <c r="BD266" s="31"/>
      <c r="BE266" s="31"/>
      <c r="BF266" s="31"/>
      <c r="BG266" s="31"/>
      <c r="BH266" s="31"/>
      <c r="BI266" s="31"/>
      <c r="BJ266" s="31"/>
      <c r="BK266" s="31"/>
      <c r="BL266" s="31"/>
      <c r="BM266" s="31"/>
      <c r="BN266" s="31"/>
      <c r="BO266" s="31"/>
      <c r="BP266" s="31"/>
      <c r="BQ266" s="31"/>
      <c r="BR266" s="31"/>
      <c r="BS266" s="31"/>
      <c r="BT266" s="31"/>
      <c r="BU266" s="31"/>
      <c r="BV266" s="31"/>
      <c r="BW266" s="31"/>
      <c r="BX266" s="31"/>
      <c r="BY266" s="31"/>
      <c r="BZ266" s="31"/>
      <c r="CA266" s="31"/>
      <c r="CB266" s="31"/>
    </row>
    <row r="267" spans="2:80"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  <c r="AT267" s="31"/>
      <c r="AU267" s="31"/>
      <c r="AV267" s="31"/>
      <c r="AW267" s="31"/>
      <c r="AX267" s="31"/>
      <c r="AY267" s="31"/>
      <c r="AZ267" s="31"/>
      <c r="BA267" s="31"/>
      <c r="BB267" s="31"/>
      <c r="BC267" s="31"/>
      <c r="BD267" s="31"/>
      <c r="BE267" s="31"/>
      <c r="BF267" s="31"/>
      <c r="BG267" s="31"/>
      <c r="BH267" s="31"/>
      <c r="BI267" s="31"/>
      <c r="BJ267" s="31"/>
      <c r="BK267" s="31"/>
      <c r="BL267" s="31"/>
      <c r="BM267" s="31"/>
      <c r="BN267" s="31"/>
      <c r="BO267" s="31"/>
      <c r="BP267" s="31"/>
      <c r="BQ267" s="31"/>
      <c r="BR267" s="31"/>
      <c r="BS267" s="31"/>
      <c r="BT267" s="31"/>
      <c r="BU267" s="31"/>
      <c r="BV267" s="31"/>
      <c r="BW267" s="31"/>
      <c r="BX267" s="31"/>
      <c r="BY267" s="31"/>
      <c r="BZ267" s="31"/>
      <c r="CA267" s="31"/>
      <c r="CB267" s="31"/>
    </row>
    <row r="268" spans="2:80"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31"/>
      <c r="AN268" s="31"/>
      <c r="AO268" s="31"/>
      <c r="AP268" s="31"/>
      <c r="AQ268" s="31"/>
      <c r="AR268" s="31"/>
      <c r="AS268" s="31"/>
      <c r="AT268" s="31"/>
      <c r="AU268" s="31"/>
      <c r="AV268" s="31"/>
      <c r="AW268" s="31"/>
      <c r="AX268" s="31"/>
      <c r="AY268" s="31"/>
      <c r="AZ268" s="31"/>
      <c r="BA268" s="31"/>
      <c r="BB268" s="31"/>
      <c r="BC268" s="31"/>
      <c r="BD268" s="31"/>
      <c r="BE268" s="31"/>
      <c r="BF268" s="31"/>
      <c r="BG268" s="31"/>
      <c r="BH268" s="31"/>
      <c r="BI268" s="31"/>
      <c r="BJ268" s="31"/>
      <c r="BK268" s="31"/>
      <c r="BL268" s="31"/>
      <c r="BM268" s="31"/>
      <c r="BN268" s="31"/>
      <c r="BO268" s="31"/>
      <c r="BP268" s="31"/>
      <c r="BQ268" s="31"/>
      <c r="BR268" s="31"/>
      <c r="BS268" s="31"/>
      <c r="BT268" s="31"/>
      <c r="BU268" s="31"/>
      <c r="BV268" s="31"/>
      <c r="BW268" s="31"/>
      <c r="BX268" s="31"/>
      <c r="BY268" s="31"/>
      <c r="BZ268" s="31"/>
      <c r="CA268" s="31"/>
      <c r="CB268" s="31"/>
    </row>
    <row r="269" spans="2:80"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1"/>
      <c r="AP269" s="31"/>
      <c r="AQ269" s="31"/>
      <c r="AR269" s="31"/>
      <c r="AS269" s="31"/>
      <c r="AT269" s="31"/>
      <c r="AU269" s="31"/>
      <c r="AV269" s="31"/>
      <c r="AW269" s="31"/>
      <c r="AX269" s="31"/>
      <c r="AY269" s="31"/>
      <c r="AZ269" s="31"/>
      <c r="BA269" s="31"/>
      <c r="BB269" s="31"/>
      <c r="BC269" s="31"/>
      <c r="BD269" s="31"/>
      <c r="BE269" s="31"/>
      <c r="BF269" s="31"/>
      <c r="BG269" s="31"/>
      <c r="BH269" s="31"/>
      <c r="BI269" s="31"/>
      <c r="BJ269" s="31"/>
      <c r="BK269" s="31"/>
      <c r="BL269" s="31"/>
      <c r="BM269" s="31"/>
      <c r="BN269" s="31"/>
      <c r="BO269" s="31"/>
      <c r="BP269" s="31"/>
      <c r="BQ269" s="31"/>
      <c r="BR269" s="31"/>
      <c r="BS269" s="31"/>
      <c r="BT269" s="31"/>
      <c r="BU269" s="31"/>
      <c r="BV269" s="31"/>
      <c r="BW269" s="31"/>
      <c r="BX269" s="31"/>
      <c r="BY269" s="31"/>
      <c r="BZ269" s="31"/>
      <c r="CA269" s="31"/>
      <c r="CB269" s="31"/>
    </row>
    <row r="270" spans="2:80"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  <c r="AT270" s="31"/>
      <c r="AU270" s="31"/>
      <c r="AV270" s="31"/>
      <c r="AW270" s="31"/>
      <c r="AX270" s="31"/>
      <c r="AY270" s="31"/>
      <c r="AZ270" s="31"/>
      <c r="BA270" s="31"/>
      <c r="BB270" s="31"/>
      <c r="BC270" s="31"/>
      <c r="BD270" s="31"/>
      <c r="BE270" s="31"/>
      <c r="BF270" s="31"/>
      <c r="BG270" s="31"/>
      <c r="BH270" s="31"/>
      <c r="BI270" s="31"/>
      <c r="BJ270" s="31"/>
      <c r="BK270" s="31"/>
      <c r="BL270" s="31"/>
      <c r="BM270" s="31"/>
      <c r="BN270" s="31"/>
      <c r="BO270" s="31"/>
      <c r="BP270" s="31"/>
      <c r="BQ270" s="31"/>
      <c r="BR270" s="31"/>
      <c r="BS270" s="31"/>
      <c r="BT270" s="31"/>
      <c r="BU270" s="31"/>
      <c r="BV270" s="31"/>
      <c r="BW270" s="31"/>
      <c r="BX270" s="31"/>
      <c r="BY270" s="31"/>
      <c r="BZ270" s="31"/>
      <c r="CA270" s="31"/>
      <c r="CB270" s="31"/>
    </row>
    <row r="271" spans="2:80"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  <c r="AL271" s="31"/>
      <c r="AM271" s="31"/>
      <c r="AN271" s="31"/>
      <c r="AO271" s="31"/>
      <c r="AP271" s="31"/>
      <c r="AQ271" s="31"/>
      <c r="AR271" s="31"/>
      <c r="AS271" s="31"/>
      <c r="AT271" s="31"/>
      <c r="AU271" s="31"/>
      <c r="AV271" s="31"/>
      <c r="AW271" s="31"/>
      <c r="AX271" s="31"/>
      <c r="AY271" s="31"/>
      <c r="AZ271" s="31"/>
      <c r="BA271" s="31"/>
      <c r="BB271" s="31"/>
      <c r="BC271" s="31"/>
      <c r="BD271" s="31"/>
      <c r="BE271" s="31"/>
      <c r="BF271" s="31"/>
      <c r="BG271" s="31"/>
      <c r="BH271" s="31"/>
      <c r="BI271" s="31"/>
      <c r="BJ271" s="31"/>
      <c r="BK271" s="31"/>
      <c r="BL271" s="31"/>
      <c r="BM271" s="31"/>
      <c r="BN271" s="31"/>
      <c r="BO271" s="31"/>
      <c r="BP271" s="31"/>
      <c r="BQ271" s="31"/>
      <c r="BR271" s="31"/>
      <c r="BS271" s="31"/>
      <c r="BT271" s="31"/>
      <c r="BU271" s="31"/>
      <c r="BV271" s="31"/>
      <c r="BW271" s="31"/>
      <c r="BX271" s="31"/>
      <c r="BY271" s="31"/>
      <c r="BZ271" s="31"/>
      <c r="CA271" s="31"/>
      <c r="CB271" s="31"/>
    </row>
    <row r="272" spans="2:80"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1"/>
      <c r="AP272" s="31"/>
      <c r="AQ272" s="31"/>
      <c r="AR272" s="31"/>
      <c r="AS272" s="31"/>
      <c r="AT272" s="31"/>
      <c r="AU272" s="31"/>
      <c r="AV272" s="31"/>
      <c r="AW272" s="31"/>
      <c r="AX272" s="31"/>
      <c r="AY272" s="31"/>
      <c r="AZ272" s="31"/>
      <c r="BA272" s="31"/>
      <c r="BB272" s="31"/>
      <c r="BC272" s="31"/>
      <c r="BD272" s="31"/>
      <c r="BE272" s="31"/>
      <c r="BF272" s="31"/>
      <c r="BG272" s="31"/>
      <c r="BH272" s="31"/>
      <c r="BI272" s="31"/>
      <c r="BJ272" s="31"/>
      <c r="BK272" s="31"/>
      <c r="BL272" s="31"/>
      <c r="BM272" s="31"/>
      <c r="BN272" s="31"/>
      <c r="BO272" s="31"/>
      <c r="BP272" s="31"/>
      <c r="BQ272" s="31"/>
      <c r="BR272" s="31"/>
      <c r="BS272" s="31"/>
      <c r="BT272" s="31"/>
      <c r="BU272" s="31"/>
      <c r="BV272" s="31"/>
      <c r="BW272" s="31"/>
      <c r="BX272" s="31"/>
      <c r="BY272" s="31"/>
      <c r="BZ272" s="31"/>
      <c r="CA272" s="31"/>
      <c r="CB272" s="31"/>
    </row>
    <row r="273" spans="2:80"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  <c r="AT273" s="31"/>
      <c r="AU273" s="31"/>
      <c r="AV273" s="31"/>
      <c r="AW273" s="31"/>
      <c r="AX273" s="31"/>
      <c r="AY273" s="31"/>
      <c r="AZ273" s="31"/>
      <c r="BA273" s="31"/>
      <c r="BB273" s="31"/>
      <c r="BC273" s="31"/>
      <c r="BD273" s="31"/>
      <c r="BE273" s="31"/>
      <c r="BF273" s="31"/>
      <c r="BG273" s="31"/>
      <c r="BH273" s="31"/>
      <c r="BI273" s="31"/>
      <c r="BJ273" s="31"/>
      <c r="BK273" s="31"/>
      <c r="BL273" s="31"/>
      <c r="BM273" s="31"/>
      <c r="BN273" s="31"/>
      <c r="BO273" s="31"/>
      <c r="BP273" s="31"/>
      <c r="BQ273" s="31"/>
      <c r="BR273" s="31"/>
      <c r="BS273" s="31"/>
      <c r="BT273" s="31"/>
      <c r="BU273" s="31"/>
      <c r="BV273" s="31"/>
      <c r="BW273" s="31"/>
      <c r="BX273" s="31"/>
      <c r="BY273" s="31"/>
      <c r="BZ273" s="31"/>
      <c r="CA273" s="31"/>
      <c r="CB273" s="31"/>
    </row>
    <row r="274" spans="2:80"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  <c r="AT274" s="31"/>
      <c r="AU274" s="31"/>
      <c r="AV274" s="31"/>
      <c r="AW274" s="31"/>
      <c r="AX274" s="31"/>
      <c r="AY274" s="31"/>
      <c r="AZ274" s="31"/>
      <c r="BA274" s="31"/>
      <c r="BB274" s="31"/>
      <c r="BC274" s="31"/>
      <c r="BD274" s="31"/>
      <c r="BE274" s="31"/>
      <c r="BF274" s="31"/>
      <c r="BG274" s="31"/>
      <c r="BH274" s="31"/>
      <c r="BI274" s="31"/>
      <c r="BJ274" s="31"/>
      <c r="BK274" s="31"/>
      <c r="BL274" s="31"/>
      <c r="BM274" s="31"/>
      <c r="BN274" s="31"/>
      <c r="BO274" s="31"/>
      <c r="BP274" s="31"/>
      <c r="BQ274" s="31"/>
      <c r="BR274" s="31"/>
      <c r="BS274" s="31"/>
      <c r="BT274" s="31"/>
      <c r="BU274" s="31"/>
      <c r="BV274" s="31"/>
      <c r="BW274" s="31"/>
      <c r="BX274" s="31"/>
      <c r="BY274" s="31"/>
      <c r="BZ274" s="31"/>
      <c r="CA274" s="31"/>
      <c r="CB274" s="31"/>
    </row>
    <row r="275" spans="2:80"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  <c r="AL275" s="31"/>
      <c r="AM275" s="31"/>
      <c r="AN275" s="31"/>
      <c r="AO275" s="31"/>
      <c r="AP275" s="31"/>
      <c r="AQ275" s="31"/>
      <c r="AR275" s="31"/>
      <c r="AS275" s="31"/>
      <c r="AT275" s="31"/>
      <c r="AU275" s="31"/>
      <c r="AV275" s="31"/>
      <c r="AW275" s="31"/>
      <c r="AX275" s="31"/>
      <c r="AY275" s="31"/>
      <c r="AZ275" s="31"/>
      <c r="BA275" s="31"/>
      <c r="BB275" s="31"/>
      <c r="BC275" s="31"/>
      <c r="BD275" s="31"/>
      <c r="BE275" s="31"/>
      <c r="BF275" s="31"/>
      <c r="BG275" s="31"/>
      <c r="BH275" s="31"/>
      <c r="BI275" s="31"/>
      <c r="BJ275" s="31"/>
      <c r="BK275" s="31"/>
      <c r="BL275" s="31"/>
      <c r="BM275" s="31"/>
      <c r="BN275" s="31"/>
      <c r="BO275" s="31"/>
      <c r="BP275" s="31"/>
      <c r="BQ275" s="31"/>
      <c r="BR275" s="31"/>
      <c r="BS275" s="31"/>
      <c r="BT275" s="31"/>
      <c r="BU275" s="31"/>
      <c r="BV275" s="31"/>
      <c r="BW275" s="31"/>
      <c r="BX275" s="31"/>
      <c r="BY275" s="31"/>
      <c r="BZ275" s="31"/>
      <c r="CA275" s="31"/>
      <c r="CB275" s="31"/>
    </row>
    <row r="276" spans="2:80"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1"/>
      <c r="AP276" s="31"/>
      <c r="AQ276" s="31"/>
      <c r="AR276" s="31"/>
      <c r="AS276" s="31"/>
      <c r="AT276" s="31"/>
      <c r="AU276" s="31"/>
      <c r="AV276" s="31"/>
      <c r="AW276" s="31"/>
      <c r="AX276" s="31"/>
      <c r="AY276" s="31"/>
      <c r="AZ276" s="31"/>
      <c r="BA276" s="31"/>
      <c r="BB276" s="31"/>
      <c r="BC276" s="31"/>
      <c r="BD276" s="31"/>
      <c r="BE276" s="31"/>
      <c r="BF276" s="31"/>
      <c r="BG276" s="31"/>
      <c r="BH276" s="31"/>
      <c r="BI276" s="31"/>
      <c r="BJ276" s="31"/>
      <c r="BK276" s="31"/>
      <c r="BL276" s="31"/>
      <c r="BM276" s="31"/>
      <c r="BN276" s="31"/>
      <c r="BO276" s="31"/>
      <c r="BP276" s="31"/>
      <c r="BQ276" s="31"/>
      <c r="BR276" s="31"/>
      <c r="BS276" s="31"/>
      <c r="BT276" s="31"/>
      <c r="BU276" s="31"/>
      <c r="BV276" s="31"/>
      <c r="BW276" s="31"/>
      <c r="BX276" s="31"/>
      <c r="BY276" s="31"/>
      <c r="BZ276" s="31"/>
      <c r="CA276" s="31"/>
      <c r="CB276" s="31"/>
    </row>
    <row r="277" spans="2:80"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  <c r="AT277" s="31"/>
      <c r="AU277" s="31"/>
      <c r="AV277" s="31"/>
      <c r="AW277" s="31"/>
      <c r="AX277" s="31"/>
      <c r="AY277" s="31"/>
      <c r="AZ277" s="31"/>
      <c r="BA277" s="31"/>
      <c r="BB277" s="31"/>
      <c r="BC277" s="31"/>
      <c r="BD277" s="31"/>
      <c r="BE277" s="31"/>
      <c r="BF277" s="31"/>
      <c r="BG277" s="31"/>
      <c r="BH277" s="31"/>
      <c r="BI277" s="31"/>
      <c r="BJ277" s="31"/>
      <c r="BK277" s="31"/>
      <c r="BL277" s="31"/>
      <c r="BM277" s="31"/>
      <c r="BN277" s="31"/>
      <c r="BO277" s="31"/>
      <c r="BP277" s="31"/>
      <c r="BQ277" s="31"/>
      <c r="BR277" s="31"/>
      <c r="BS277" s="31"/>
      <c r="BT277" s="31"/>
      <c r="BU277" s="31"/>
      <c r="BV277" s="31"/>
      <c r="BW277" s="31"/>
      <c r="BX277" s="31"/>
      <c r="BY277" s="31"/>
      <c r="BZ277" s="31"/>
      <c r="CA277" s="31"/>
      <c r="CB277" s="31"/>
    </row>
    <row r="278" spans="2:80"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  <c r="AT278" s="31"/>
      <c r="AU278" s="31"/>
      <c r="AV278" s="31"/>
      <c r="AW278" s="31"/>
      <c r="AX278" s="31"/>
      <c r="AY278" s="31"/>
      <c r="AZ278" s="31"/>
      <c r="BA278" s="31"/>
      <c r="BB278" s="31"/>
      <c r="BC278" s="31"/>
      <c r="BD278" s="31"/>
      <c r="BE278" s="31"/>
      <c r="BF278" s="31"/>
      <c r="BG278" s="31"/>
      <c r="BH278" s="31"/>
      <c r="BI278" s="31"/>
      <c r="BJ278" s="31"/>
      <c r="BK278" s="31"/>
      <c r="BL278" s="31"/>
      <c r="BM278" s="31"/>
      <c r="BN278" s="31"/>
      <c r="BO278" s="31"/>
      <c r="BP278" s="31"/>
      <c r="BQ278" s="31"/>
      <c r="BR278" s="31"/>
      <c r="BS278" s="31"/>
      <c r="BT278" s="31"/>
      <c r="BU278" s="31"/>
      <c r="BV278" s="31"/>
      <c r="BW278" s="31"/>
      <c r="BX278" s="31"/>
      <c r="BY278" s="31"/>
      <c r="BZ278" s="31"/>
      <c r="CA278" s="31"/>
      <c r="CB278" s="31"/>
    </row>
    <row r="279" spans="2:80"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  <c r="AL279" s="31"/>
      <c r="AM279" s="31"/>
      <c r="AN279" s="31"/>
      <c r="AO279" s="31"/>
      <c r="AP279" s="31"/>
      <c r="AQ279" s="31"/>
      <c r="AR279" s="31"/>
      <c r="AS279" s="31"/>
      <c r="AT279" s="31"/>
      <c r="AU279" s="31"/>
      <c r="AV279" s="31"/>
      <c r="AW279" s="31"/>
      <c r="AX279" s="31"/>
      <c r="AY279" s="31"/>
      <c r="AZ279" s="31"/>
      <c r="BA279" s="31"/>
      <c r="BB279" s="31"/>
      <c r="BC279" s="31"/>
      <c r="BD279" s="31"/>
      <c r="BE279" s="31"/>
      <c r="BF279" s="31"/>
      <c r="BG279" s="31"/>
      <c r="BH279" s="31"/>
      <c r="BI279" s="31"/>
      <c r="BJ279" s="31"/>
      <c r="BK279" s="31"/>
      <c r="BL279" s="31"/>
      <c r="BM279" s="31"/>
      <c r="BN279" s="31"/>
      <c r="BO279" s="31"/>
      <c r="BP279" s="31"/>
      <c r="BQ279" s="31"/>
      <c r="BR279" s="31"/>
      <c r="BS279" s="31"/>
      <c r="BT279" s="31"/>
      <c r="BU279" s="31"/>
      <c r="BV279" s="31"/>
      <c r="BW279" s="31"/>
      <c r="BX279" s="31"/>
      <c r="BY279" s="31"/>
      <c r="BZ279" s="31"/>
      <c r="CA279" s="31"/>
      <c r="CB279" s="31"/>
    </row>
    <row r="280" spans="2:80"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  <c r="AO280" s="31"/>
      <c r="AP280" s="31"/>
      <c r="AQ280" s="31"/>
      <c r="AR280" s="31"/>
      <c r="AS280" s="31"/>
      <c r="AT280" s="31"/>
      <c r="AU280" s="31"/>
      <c r="AV280" s="31"/>
      <c r="AW280" s="31"/>
      <c r="AX280" s="31"/>
      <c r="AY280" s="31"/>
      <c r="AZ280" s="31"/>
      <c r="BA280" s="31"/>
      <c r="BB280" s="31"/>
      <c r="BC280" s="31"/>
      <c r="BD280" s="31"/>
      <c r="BE280" s="31"/>
      <c r="BF280" s="31"/>
      <c r="BG280" s="31"/>
      <c r="BH280" s="31"/>
      <c r="BI280" s="31"/>
      <c r="BJ280" s="31"/>
      <c r="BK280" s="31"/>
      <c r="BL280" s="31"/>
      <c r="BM280" s="31"/>
      <c r="BN280" s="31"/>
      <c r="BO280" s="31"/>
      <c r="BP280" s="31"/>
      <c r="BQ280" s="31"/>
      <c r="BR280" s="31"/>
      <c r="BS280" s="31"/>
      <c r="BT280" s="31"/>
      <c r="BU280" s="31"/>
      <c r="BV280" s="31"/>
      <c r="BW280" s="31"/>
      <c r="BX280" s="31"/>
      <c r="BY280" s="31"/>
      <c r="BZ280" s="31"/>
      <c r="CA280" s="31"/>
      <c r="CB280" s="31"/>
    </row>
    <row r="281" spans="2:80"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1"/>
      <c r="AT281" s="31"/>
      <c r="AU281" s="31"/>
      <c r="AV281" s="31"/>
      <c r="AW281" s="31"/>
      <c r="AX281" s="31"/>
      <c r="AY281" s="31"/>
      <c r="AZ281" s="31"/>
      <c r="BA281" s="31"/>
      <c r="BB281" s="31"/>
      <c r="BC281" s="31"/>
      <c r="BD281" s="31"/>
      <c r="BE281" s="31"/>
      <c r="BF281" s="31"/>
      <c r="BG281" s="31"/>
      <c r="BH281" s="31"/>
      <c r="BI281" s="31"/>
      <c r="BJ281" s="31"/>
      <c r="BK281" s="31"/>
      <c r="BL281" s="31"/>
      <c r="BM281" s="31"/>
      <c r="BN281" s="31"/>
      <c r="BO281" s="31"/>
      <c r="BP281" s="31"/>
      <c r="BQ281" s="31"/>
      <c r="BR281" s="31"/>
      <c r="BS281" s="31"/>
      <c r="BT281" s="31"/>
      <c r="BU281" s="31"/>
      <c r="BV281" s="31"/>
      <c r="BW281" s="31"/>
      <c r="BX281" s="31"/>
      <c r="BY281" s="31"/>
      <c r="BZ281" s="31"/>
      <c r="CA281" s="31"/>
      <c r="CB281" s="31"/>
    </row>
    <row r="282" spans="2:80"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1"/>
      <c r="AT282" s="31"/>
      <c r="AU282" s="31"/>
      <c r="AV282" s="31"/>
      <c r="AW282" s="31"/>
      <c r="AX282" s="31"/>
      <c r="AY282" s="31"/>
      <c r="AZ282" s="31"/>
      <c r="BA282" s="31"/>
      <c r="BB282" s="31"/>
      <c r="BC282" s="31"/>
      <c r="BD282" s="31"/>
      <c r="BE282" s="31"/>
      <c r="BF282" s="31"/>
      <c r="BG282" s="31"/>
      <c r="BH282" s="31"/>
      <c r="BI282" s="31"/>
      <c r="BJ282" s="31"/>
      <c r="BK282" s="31"/>
      <c r="BL282" s="31"/>
      <c r="BM282" s="31"/>
      <c r="BN282" s="31"/>
      <c r="BO282" s="31"/>
      <c r="BP282" s="31"/>
      <c r="BQ282" s="31"/>
      <c r="BR282" s="31"/>
      <c r="BS282" s="31"/>
      <c r="BT282" s="31"/>
      <c r="BU282" s="31"/>
      <c r="BV282" s="31"/>
      <c r="BW282" s="31"/>
      <c r="BX282" s="31"/>
      <c r="BY282" s="31"/>
      <c r="BZ282" s="31"/>
      <c r="CA282" s="31"/>
      <c r="CB282" s="31"/>
    </row>
    <row r="283" spans="2:80"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  <c r="AL283" s="31"/>
      <c r="AM283" s="31"/>
      <c r="AN283" s="31"/>
      <c r="AO283" s="31"/>
      <c r="AP283" s="31"/>
      <c r="AQ283" s="31"/>
      <c r="AR283" s="31"/>
      <c r="AS283" s="31"/>
      <c r="AT283" s="31"/>
      <c r="AU283" s="31"/>
      <c r="AV283" s="31"/>
      <c r="AW283" s="31"/>
      <c r="AX283" s="31"/>
      <c r="AY283" s="31"/>
      <c r="AZ283" s="31"/>
      <c r="BA283" s="31"/>
      <c r="BB283" s="31"/>
      <c r="BC283" s="31"/>
      <c r="BD283" s="31"/>
      <c r="BE283" s="31"/>
      <c r="BF283" s="31"/>
      <c r="BG283" s="31"/>
      <c r="BH283" s="31"/>
      <c r="BI283" s="31"/>
      <c r="BJ283" s="31"/>
      <c r="BK283" s="31"/>
      <c r="BL283" s="31"/>
      <c r="BM283" s="31"/>
      <c r="BN283" s="31"/>
      <c r="BO283" s="31"/>
      <c r="BP283" s="31"/>
      <c r="BQ283" s="31"/>
      <c r="BR283" s="31"/>
      <c r="BS283" s="31"/>
      <c r="BT283" s="31"/>
      <c r="BU283" s="31"/>
      <c r="BV283" s="31"/>
      <c r="BW283" s="31"/>
      <c r="BX283" s="31"/>
      <c r="BY283" s="31"/>
      <c r="BZ283" s="31"/>
      <c r="CA283" s="31"/>
      <c r="CB283" s="31"/>
    </row>
    <row r="284" spans="2:80"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  <c r="AO284" s="31"/>
      <c r="AP284" s="31"/>
      <c r="AQ284" s="31"/>
      <c r="AR284" s="31"/>
      <c r="AS284" s="31"/>
      <c r="AT284" s="31"/>
      <c r="AU284" s="31"/>
      <c r="AV284" s="31"/>
      <c r="AW284" s="31"/>
      <c r="AX284" s="31"/>
      <c r="AY284" s="31"/>
      <c r="AZ284" s="31"/>
      <c r="BA284" s="31"/>
      <c r="BB284" s="31"/>
      <c r="BC284" s="31"/>
      <c r="BD284" s="31"/>
      <c r="BE284" s="31"/>
      <c r="BF284" s="31"/>
      <c r="BG284" s="31"/>
      <c r="BH284" s="31"/>
      <c r="BI284" s="31"/>
      <c r="BJ284" s="31"/>
      <c r="BK284" s="31"/>
      <c r="BL284" s="31"/>
      <c r="BM284" s="31"/>
      <c r="BN284" s="31"/>
      <c r="BO284" s="31"/>
      <c r="BP284" s="31"/>
      <c r="BQ284" s="31"/>
      <c r="BR284" s="31"/>
      <c r="BS284" s="31"/>
      <c r="BT284" s="31"/>
      <c r="BU284" s="31"/>
      <c r="BV284" s="31"/>
      <c r="BW284" s="31"/>
      <c r="BX284" s="31"/>
      <c r="BY284" s="31"/>
      <c r="BZ284" s="31"/>
      <c r="CA284" s="31"/>
      <c r="CB284" s="31"/>
    </row>
    <row r="285" spans="2:80"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1"/>
      <c r="AT285" s="31"/>
      <c r="AU285" s="31"/>
      <c r="AV285" s="31"/>
      <c r="AW285" s="31"/>
      <c r="AX285" s="31"/>
      <c r="AY285" s="31"/>
      <c r="AZ285" s="31"/>
      <c r="BA285" s="31"/>
      <c r="BB285" s="31"/>
      <c r="BC285" s="31"/>
      <c r="BD285" s="31"/>
      <c r="BE285" s="31"/>
      <c r="BF285" s="31"/>
      <c r="BG285" s="31"/>
      <c r="BH285" s="31"/>
      <c r="BI285" s="31"/>
      <c r="BJ285" s="31"/>
      <c r="BK285" s="31"/>
      <c r="BL285" s="31"/>
      <c r="BM285" s="31"/>
      <c r="BN285" s="31"/>
      <c r="BO285" s="31"/>
      <c r="BP285" s="31"/>
      <c r="BQ285" s="31"/>
      <c r="BR285" s="31"/>
      <c r="BS285" s="31"/>
      <c r="BT285" s="31"/>
      <c r="BU285" s="31"/>
      <c r="BV285" s="31"/>
      <c r="BW285" s="31"/>
      <c r="BX285" s="31"/>
      <c r="BY285" s="31"/>
      <c r="BZ285" s="31"/>
      <c r="CA285" s="31"/>
      <c r="CB285" s="31"/>
    </row>
    <row r="286" spans="2:80"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1"/>
      <c r="AT286" s="31"/>
      <c r="AU286" s="31"/>
      <c r="AV286" s="31"/>
      <c r="AW286" s="31"/>
      <c r="AX286" s="31"/>
      <c r="AY286" s="31"/>
      <c r="AZ286" s="31"/>
      <c r="BA286" s="31"/>
      <c r="BB286" s="31"/>
      <c r="BC286" s="31"/>
      <c r="BD286" s="31"/>
      <c r="BE286" s="31"/>
      <c r="BF286" s="31"/>
      <c r="BG286" s="31"/>
      <c r="BH286" s="31"/>
      <c r="BI286" s="31"/>
      <c r="BJ286" s="31"/>
      <c r="BK286" s="31"/>
      <c r="BL286" s="31"/>
      <c r="BM286" s="31"/>
      <c r="BN286" s="31"/>
      <c r="BO286" s="31"/>
      <c r="BP286" s="31"/>
      <c r="BQ286" s="31"/>
      <c r="BR286" s="31"/>
      <c r="BS286" s="31"/>
      <c r="BT286" s="31"/>
      <c r="BU286" s="31"/>
      <c r="BV286" s="31"/>
      <c r="BW286" s="31"/>
      <c r="BX286" s="31"/>
      <c r="BY286" s="31"/>
      <c r="BZ286" s="31"/>
      <c r="CA286" s="31"/>
      <c r="CB286" s="31"/>
    </row>
    <row r="287" spans="2:80"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1"/>
      <c r="AT287" s="31"/>
      <c r="AU287" s="31"/>
      <c r="AV287" s="31"/>
      <c r="AW287" s="31"/>
      <c r="AX287" s="31"/>
      <c r="AY287" s="31"/>
      <c r="AZ287" s="31"/>
      <c r="BA287" s="31"/>
      <c r="BB287" s="31"/>
      <c r="BC287" s="31"/>
      <c r="BD287" s="31"/>
      <c r="BE287" s="31"/>
      <c r="BF287" s="31"/>
      <c r="BG287" s="31"/>
      <c r="BH287" s="31"/>
      <c r="BI287" s="31"/>
      <c r="BJ287" s="31"/>
      <c r="BK287" s="31"/>
      <c r="BL287" s="31"/>
      <c r="BM287" s="31"/>
      <c r="BN287" s="31"/>
      <c r="BO287" s="31"/>
      <c r="BP287" s="31"/>
      <c r="BQ287" s="31"/>
      <c r="BR287" s="31"/>
      <c r="BS287" s="31"/>
      <c r="BT287" s="31"/>
      <c r="BU287" s="31"/>
      <c r="BV287" s="31"/>
      <c r="BW287" s="31"/>
      <c r="BX287" s="31"/>
      <c r="BY287" s="31"/>
      <c r="BZ287" s="31"/>
      <c r="CA287" s="31"/>
      <c r="CB287" s="31"/>
    </row>
    <row r="288" spans="2:80"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  <c r="AP288" s="31"/>
      <c r="AQ288" s="31"/>
      <c r="AR288" s="31"/>
      <c r="AS288" s="31"/>
      <c r="AT288" s="31"/>
      <c r="AU288" s="31"/>
      <c r="AV288" s="31"/>
      <c r="AW288" s="31"/>
      <c r="AX288" s="31"/>
      <c r="AY288" s="31"/>
      <c r="AZ288" s="31"/>
      <c r="BA288" s="31"/>
      <c r="BB288" s="31"/>
      <c r="BC288" s="31"/>
      <c r="BD288" s="31"/>
      <c r="BE288" s="31"/>
      <c r="BF288" s="31"/>
      <c r="BG288" s="31"/>
      <c r="BH288" s="31"/>
      <c r="BI288" s="31"/>
      <c r="BJ288" s="31"/>
      <c r="BK288" s="31"/>
      <c r="BL288" s="31"/>
      <c r="BM288" s="31"/>
      <c r="BN288" s="31"/>
      <c r="BO288" s="31"/>
      <c r="BP288" s="31"/>
      <c r="BQ288" s="31"/>
      <c r="BR288" s="31"/>
      <c r="BS288" s="31"/>
      <c r="BT288" s="31"/>
      <c r="BU288" s="31"/>
      <c r="BV288" s="31"/>
      <c r="BW288" s="31"/>
      <c r="BX288" s="31"/>
      <c r="BY288" s="31"/>
      <c r="BZ288" s="31"/>
      <c r="CA288" s="31"/>
      <c r="CB288" s="31"/>
    </row>
    <row r="289" spans="2:80"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  <c r="AO289" s="31"/>
      <c r="AP289" s="31"/>
      <c r="AQ289" s="31"/>
      <c r="AR289" s="31"/>
      <c r="AS289" s="31"/>
      <c r="AT289" s="31"/>
      <c r="AU289" s="31"/>
      <c r="AV289" s="31"/>
      <c r="AW289" s="31"/>
      <c r="AX289" s="31"/>
      <c r="AY289" s="31"/>
      <c r="AZ289" s="31"/>
      <c r="BA289" s="31"/>
      <c r="BB289" s="31"/>
      <c r="BC289" s="31"/>
      <c r="BD289" s="31"/>
      <c r="BE289" s="31"/>
      <c r="BF289" s="31"/>
      <c r="BG289" s="31"/>
      <c r="BH289" s="31"/>
      <c r="BI289" s="31"/>
      <c r="BJ289" s="31"/>
      <c r="BK289" s="31"/>
      <c r="BL289" s="31"/>
      <c r="BM289" s="31"/>
      <c r="BN289" s="31"/>
      <c r="BO289" s="31"/>
      <c r="BP289" s="31"/>
      <c r="BQ289" s="31"/>
      <c r="BR289" s="31"/>
      <c r="BS289" s="31"/>
      <c r="BT289" s="31"/>
      <c r="BU289" s="31"/>
      <c r="BV289" s="31"/>
      <c r="BW289" s="31"/>
      <c r="BX289" s="31"/>
      <c r="BY289" s="31"/>
      <c r="BZ289" s="31"/>
      <c r="CA289" s="31"/>
      <c r="CB289" s="31"/>
    </row>
    <row r="290" spans="2:80"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  <c r="AO290" s="31"/>
      <c r="AP290" s="31"/>
      <c r="AQ290" s="31"/>
      <c r="AR290" s="31"/>
      <c r="AS290" s="31"/>
      <c r="AT290" s="31"/>
      <c r="AU290" s="31"/>
      <c r="AV290" s="31"/>
      <c r="AW290" s="31"/>
      <c r="AX290" s="31"/>
      <c r="AY290" s="31"/>
      <c r="AZ290" s="31"/>
      <c r="BA290" s="31"/>
      <c r="BB290" s="31"/>
      <c r="BC290" s="31"/>
      <c r="BD290" s="31"/>
      <c r="BE290" s="31"/>
      <c r="BF290" s="31"/>
      <c r="BG290" s="31"/>
      <c r="BH290" s="31"/>
      <c r="BI290" s="31"/>
      <c r="BJ290" s="31"/>
      <c r="BK290" s="31"/>
      <c r="BL290" s="31"/>
      <c r="BM290" s="31"/>
      <c r="BN290" s="31"/>
      <c r="BO290" s="31"/>
      <c r="BP290" s="31"/>
      <c r="BQ290" s="31"/>
      <c r="BR290" s="31"/>
      <c r="BS290" s="31"/>
      <c r="BT290" s="31"/>
      <c r="BU290" s="31"/>
      <c r="BV290" s="31"/>
      <c r="BW290" s="31"/>
      <c r="BX290" s="31"/>
      <c r="BY290" s="31"/>
      <c r="BZ290" s="31"/>
      <c r="CA290" s="31"/>
      <c r="CB290" s="31"/>
    </row>
    <row r="291" spans="2:80"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  <c r="AP291" s="31"/>
      <c r="AQ291" s="31"/>
      <c r="AR291" s="31"/>
      <c r="AS291" s="31"/>
      <c r="AT291" s="31"/>
      <c r="AU291" s="31"/>
      <c r="AV291" s="31"/>
      <c r="AW291" s="31"/>
      <c r="AX291" s="31"/>
      <c r="AY291" s="31"/>
      <c r="AZ291" s="31"/>
      <c r="BA291" s="31"/>
      <c r="BB291" s="31"/>
      <c r="BC291" s="31"/>
      <c r="BD291" s="31"/>
      <c r="BE291" s="31"/>
      <c r="BF291" s="31"/>
      <c r="BG291" s="31"/>
      <c r="BH291" s="31"/>
      <c r="BI291" s="31"/>
      <c r="BJ291" s="31"/>
      <c r="BK291" s="31"/>
      <c r="BL291" s="31"/>
      <c r="BM291" s="31"/>
      <c r="BN291" s="31"/>
      <c r="BO291" s="31"/>
      <c r="BP291" s="31"/>
      <c r="BQ291" s="31"/>
      <c r="BR291" s="31"/>
      <c r="BS291" s="31"/>
      <c r="BT291" s="31"/>
      <c r="BU291" s="31"/>
      <c r="BV291" s="31"/>
      <c r="BW291" s="31"/>
      <c r="BX291" s="31"/>
      <c r="BY291" s="31"/>
      <c r="BZ291" s="31"/>
      <c r="CA291" s="31"/>
      <c r="CB291" s="31"/>
    </row>
    <row r="292" spans="2:80"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  <c r="AP292" s="31"/>
      <c r="AQ292" s="31"/>
      <c r="AR292" s="31"/>
      <c r="AS292" s="31"/>
      <c r="AT292" s="31"/>
      <c r="AU292" s="31"/>
      <c r="AV292" s="31"/>
      <c r="AW292" s="31"/>
      <c r="AX292" s="31"/>
      <c r="AY292" s="31"/>
      <c r="AZ292" s="31"/>
      <c r="BA292" s="31"/>
      <c r="BB292" s="31"/>
      <c r="BC292" s="31"/>
      <c r="BD292" s="31"/>
      <c r="BE292" s="31"/>
      <c r="BF292" s="31"/>
      <c r="BG292" s="31"/>
      <c r="BH292" s="31"/>
      <c r="BI292" s="31"/>
      <c r="BJ292" s="31"/>
      <c r="BK292" s="31"/>
      <c r="BL292" s="31"/>
      <c r="BM292" s="31"/>
      <c r="BN292" s="31"/>
      <c r="BO292" s="31"/>
      <c r="BP292" s="31"/>
      <c r="BQ292" s="31"/>
      <c r="BR292" s="31"/>
      <c r="BS292" s="31"/>
      <c r="BT292" s="31"/>
      <c r="BU292" s="31"/>
      <c r="BV292" s="31"/>
      <c r="BW292" s="31"/>
      <c r="BX292" s="31"/>
      <c r="BY292" s="31"/>
      <c r="BZ292" s="31"/>
      <c r="CA292" s="31"/>
      <c r="CB292" s="31"/>
    </row>
    <row r="293" spans="2:80"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  <c r="AL293" s="31"/>
      <c r="AM293" s="31"/>
      <c r="AN293" s="31"/>
      <c r="AO293" s="31"/>
      <c r="AP293" s="31"/>
      <c r="AQ293" s="31"/>
      <c r="AR293" s="31"/>
      <c r="AS293" s="31"/>
      <c r="AT293" s="31"/>
      <c r="AU293" s="31"/>
      <c r="AV293" s="31"/>
      <c r="AW293" s="31"/>
      <c r="AX293" s="31"/>
      <c r="AY293" s="31"/>
      <c r="AZ293" s="31"/>
      <c r="BA293" s="31"/>
      <c r="BB293" s="31"/>
      <c r="BC293" s="31"/>
      <c r="BD293" s="31"/>
      <c r="BE293" s="31"/>
      <c r="BF293" s="31"/>
      <c r="BG293" s="31"/>
      <c r="BH293" s="31"/>
      <c r="BI293" s="31"/>
      <c r="BJ293" s="31"/>
      <c r="BK293" s="31"/>
      <c r="BL293" s="31"/>
      <c r="BM293" s="31"/>
      <c r="BN293" s="31"/>
      <c r="BO293" s="31"/>
      <c r="BP293" s="31"/>
      <c r="BQ293" s="31"/>
      <c r="BR293" s="31"/>
      <c r="BS293" s="31"/>
      <c r="BT293" s="31"/>
      <c r="BU293" s="31"/>
      <c r="BV293" s="31"/>
      <c r="BW293" s="31"/>
      <c r="BX293" s="31"/>
      <c r="BY293" s="31"/>
      <c r="BZ293" s="31"/>
      <c r="CA293" s="31"/>
      <c r="CB293" s="31"/>
    </row>
    <row r="294" spans="2:80"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  <c r="AO294" s="31"/>
      <c r="AP294" s="31"/>
      <c r="AQ294" s="31"/>
      <c r="AR294" s="31"/>
      <c r="AS294" s="31"/>
      <c r="AT294" s="31"/>
      <c r="AU294" s="31"/>
      <c r="AV294" s="31"/>
      <c r="AW294" s="31"/>
      <c r="AX294" s="31"/>
      <c r="AY294" s="31"/>
      <c r="AZ294" s="31"/>
      <c r="BA294" s="31"/>
      <c r="BB294" s="31"/>
      <c r="BC294" s="31"/>
      <c r="BD294" s="31"/>
      <c r="BE294" s="31"/>
      <c r="BF294" s="31"/>
      <c r="BG294" s="31"/>
      <c r="BH294" s="31"/>
      <c r="BI294" s="31"/>
      <c r="BJ294" s="31"/>
      <c r="BK294" s="31"/>
      <c r="BL294" s="31"/>
      <c r="BM294" s="31"/>
      <c r="BN294" s="31"/>
      <c r="BO294" s="31"/>
      <c r="BP294" s="31"/>
      <c r="BQ294" s="31"/>
      <c r="BR294" s="31"/>
      <c r="BS294" s="31"/>
      <c r="BT294" s="31"/>
      <c r="BU294" s="31"/>
      <c r="BV294" s="31"/>
      <c r="BW294" s="31"/>
      <c r="BX294" s="31"/>
      <c r="BY294" s="31"/>
      <c r="BZ294" s="31"/>
      <c r="CA294" s="31"/>
      <c r="CB294" s="31"/>
    </row>
    <row r="295" spans="2:80"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  <c r="AP295" s="31"/>
      <c r="AQ295" s="31"/>
      <c r="AR295" s="31"/>
      <c r="AS295" s="31"/>
      <c r="AT295" s="31"/>
      <c r="AU295" s="31"/>
      <c r="AV295" s="31"/>
      <c r="AW295" s="31"/>
      <c r="AX295" s="31"/>
      <c r="AY295" s="31"/>
      <c r="AZ295" s="31"/>
      <c r="BA295" s="31"/>
      <c r="BB295" s="31"/>
      <c r="BC295" s="31"/>
      <c r="BD295" s="31"/>
      <c r="BE295" s="31"/>
      <c r="BF295" s="31"/>
      <c r="BG295" s="31"/>
      <c r="BH295" s="31"/>
      <c r="BI295" s="31"/>
      <c r="BJ295" s="31"/>
      <c r="BK295" s="31"/>
      <c r="BL295" s="31"/>
      <c r="BM295" s="31"/>
      <c r="BN295" s="31"/>
      <c r="BO295" s="31"/>
      <c r="BP295" s="31"/>
      <c r="BQ295" s="31"/>
      <c r="BR295" s="31"/>
      <c r="BS295" s="31"/>
      <c r="BT295" s="31"/>
      <c r="BU295" s="31"/>
      <c r="BV295" s="31"/>
      <c r="BW295" s="31"/>
      <c r="BX295" s="31"/>
      <c r="BY295" s="31"/>
      <c r="BZ295" s="31"/>
      <c r="CA295" s="31"/>
      <c r="CB295" s="31"/>
    </row>
    <row r="296" spans="2:80"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  <c r="AP296" s="31"/>
      <c r="AQ296" s="31"/>
      <c r="AR296" s="31"/>
      <c r="AS296" s="31"/>
      <c r="AT296" s="31"/>
      <c r="AU296" s="31"/>
      <c r="AV296" s="31"/>
      <c r="AW296" s="31"/>
      <c r="AX296" s="31"/>
      <c r="AY296" s="31"/>
      <c r="AZ296" s="31"/>
      <c r="BA296" s="31"/>
      <c r="BB296" s="31"/>
      <c r="BC296" s="31"/>
      <c r="BD296" s="31"/>
      <c r="BE296" s="31"/>
      <c r="BF296" s="31"/>
      <c r="BG296" s="31"/>
      <c r="BH296" s="31"/>
      <c r="BI296" s="31"/>
      <c r="BJ296" s="31"/>
      <c r="BK296" s="31"/>
      <c r="BL296" s="31"/>
      <c r="BM296" s="31"/>
      <c r="BN296" s="31"/>
      <c r="BO296" s="31"/>
      <c r="BP296" s="31"/>
      <c r="BQ296" s="31"/>
      <c r="BR296" s="31"/>
      <c r="BS296" s="31"/>
      <c r="BT296" s="31"/>
      <c r="BU296" s="31"/>
      <c r="BV296" s="31"/>
      <c r="BW296" s="31"/>
      <c r="BX296" s="31"/>
      <c r="BY296" s="31"/>
      <c r="BZ296" s="31"/>
      <c r="CA296" s="31"/>
      <c r="CB296" s="31"/>
    </row>
    <row r="297" spans="2:80"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  <c r="AP297" s="31"/>
      <c r="AQ297" s="31"/>
      <c r="AR297" s="31"/>
      <c r="AS297" s="31"/>
      <c r="AT297" s="31"/>
      <c r="AU297" s="31"/>
      <c r="AV297" s="31"/>
      <c r="AW297" s="31"/>
      <c r="AX297" s="31"/>
      <c r="AY297" s="31"/>
      <c r="AZ297" s="31"/>
      <c r="BA297" s="31"/>
      <c r="BB297" s="31"/>
      <c r="BC297" s="31"/>
      <c r="BD297" s="31"/>
      <c r="BE297" s="31"/>
      <c r="BF297" s="31"/>
      <c r="BG297" s="31"/>
      <c r="BH297" s="31"/>
      <c r="BI297" s="31"/>
      <c r="BJ297" s="31"/>
      <c r="BK297" s="31"/>
      <c r="BL297" s="31"/>
      <c r="BM297" s="31"/>
      <c r="BN297" s="31"/>
      <c r="BO297" s="31"/>
      <c r="BP297" s="31"/>
      <c r="BQ297" s="31"/>
      <c r="BR297" s="31"/>
      <c r="BS297" s="31"/>
      <c r="BT297" s="31"/>
      <c r="BU297" s="31"/>
      <c r="BV297" s="31"/>
      <c r="BW297" s="31"/>
      <c r="BX297" s="31"/>
      <c r="BY297" s="31"/>
      <c r="BZ297" s="31"/>
      <c r="CA297" s="31"/>
      <c r="CB297" s="31"/>
    </row>
    <row r="298" spans="2:80"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  <c r="AP298" s="31"/>
      <c r="AQ298" s="31"/>
      <c r="AR298" s="31"/>
      <c r="AS298" s="31"/>
      <c r="AT298" s="31"/>
      <c r="AU298" s="31"/>
      <c r="AV298" s="31"/>
      <c r="AW298" s="31"/>
      <c r="AX298" s="31"/>
      <c r="AY298" s="31"/>
      <c r="AZ298" s="31"/>
      <c r="BA298" s="31"/>
      <c r="BB298" s="31"/>
      <c r="BC298" s="31"/>
      <c r="BD298" s="31"/>
      <c r="BE298" s="31"/>
      <c r="BF298" s="31"/>
      <c r="BG298" s="31"/>
      <c r="BH298" s="31"/>
      <c r="BI298" s="31"/>
      <c r="BJ298" s="31"/>
      <c r="BK298" s="31"/>
      <c r="BL298" s="31"/>
      <c r="BM298" s="31"/>
      <c r="BN298" s="31"/>
      <c r="BO298" s="31"/>
      <c r="BP298" s="31"/>
      <c r="BQ298" s="31"/>
      <c r="BR298" s="31"/>
      <c r="BS298" s="31"/>
      <c r="BT298" s="31"/>
      <c r="BU298" s="31"/>
      <c r="BV298" s="31"/>
      <c r="BW298" s="31"/>
      <c r="BX298" s="31"/>
      <c r="BY298" s="31"/>
      <c r="BZ298" s="31"/>
      <c r="CA298" s="31"/>
      <c r="CB298" s="31"/>
    </row>
    <row r="299" spans="2:80"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  <c r="AL299" s="31"/>
      <c r="AM299" s="31"/>
      <c r="AN299" s="31"/>
      <c r="AO299" s="31"/>
      <c r="AP299" s="31"/>
      <c r="AQ299" s="31"/>
      <c r="AR299" s="31"/>
      <c r="AS299" s="31"/>
      <c r="AT299" s="31"/>
      <c r="AU299" s="31"/>
      <c r="AV299" s="31"/>
      <c r="AW299" s="31"/>
      <c r="AX299" s="31"/>
      <c r="AY299" s="31"/>
      <c r="AZ299" s="31"/>
      <c r="BA299" s="31"/>
      <c r="BB299" s="31"/>
      <c r="BC299" s="31"/>
      <c r="BD299" s="31"/>
      <c r="BE299" s="31"/>
      <c r="BF299" s="31"/>
      <c r="BG299" s="31"/>
      <c r="BH299" s="31"/>
      <c r="BI299" s="31"/>
      <c r="BJ299" s="31"/>
      <c r="BK299" s="31"/>
      <c r="BL299" s="31"/>
      <c r="BM299" s="31"/>
      <c r="BN299" s="31"/>
      <c r="BO299" s="31"/>
      <c r="BP299" s="31"/>
      <c r="BQ299" s="31"/>
      <c r="BR299" s="31"/>
      <c r="BS299" s="31"/>
      <c r="BT299" s="31"/>
      <c r="BU299" s="31"/>
      <c r="BV299" s="31"/>
      <c r="BW299" s="31"/>
      <c r="BX299" s="31"/>
      <c r="BY299" s="31"/>
      <c r="BZ299" s="31"/>
      <c r="CA299" s="31"/>
      <c r="CB299" s="31"/>
    </row>
    <row r="300" spans="2:80"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  <c r="AO300" s="31"/>
      <c r="AP300" s="31"/>
      <c r="AQ300" s="31"/>
      <c r="AR300" s="31"/>
      <c r="AS300" s="31"/>
      <c r="AT300" s="31"/>
      <c r="AU300" s="31"/>
      <c r="AV300" s="31"/>
      <c r="AW300" s="31"/>
      <c r="AX300" s="31"/>
      <c r="AY300" s="31"/>
      <c r="AZ300" s="31"/>
      <c r="BA300" s="31"/>
      <c r="BB300" s="31"/>
      <c r="BC300" s="31"/>
      <c r="BD300" s="31"/>
      <c r="BE300" s="31"/>
      <c r="BF300" s="31"/>
      <c r="BG300" s="31"/>
      <c r="BH300" s="31"/>
      <c r="BI300" s="31"/>
      <c r="BJ300" s="31"/>
      <c r="BK300" s="31"/>
      <c r="BL300" s="31"/>
      <c r="BM300" s="31"/>
      <c r="BN300" s="31"/>
      <c r="BO300" s="31"/>
      <c r="BP300" s="31"/>
      <c r="BQ300" s="31"/>
      <c r="BR300" s="31"/>
      <c r="BS300" s="31"/>
      <c r="BT300" s="31"/>
      <c r="BU300" s="31"/>
      <c r="BV300" s="31"/>
      <c r="BW300" s="31"/>
      <c r="BX300" s="31"/>
      <c r="BY300" s="31"/>
      <c r="BZ300" s="31"/>
      <c r="CA300" s="31"/>
      <c r="CB300" s="31"/>
    </row>
    <row r="301" spans="2:80"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1"/>
      <c r="AP301" s="31"/>
      <c r="AQ301" s="31"/>
      <c r="AR301" s="31"/>
      <c r="AS301" s="31"/>
      <c r="AT301" s="31"/>
      <c r="AU301" s="31"/>
      <c r="AV301" s="31"/>
      <c r="AW301" s="31"/>
      <c r="AX301" s="31"/>
      <c r="AY301" s="31"/>
      <c r="AZ301" s="31"/>
      <c r="BA301" s="31"/>
      <c r="BB301" s="31"/>
      <c r="BC301" s="31"/>
      <c r="BD301" s="31"/>
      <c r="BE301" s="31"/>
      <c r="BF301" s="31"/>
      <c r="BG301" s="31"/>
      <c r="BH301" s="31"/>
      <c r="BI301" s="31"/>
      <c r="BJ301" s="31"/>
      <c r="BK301" s="31"/>
      <c r="BL301" s="31"/>
      <c r="BM301" s="31"/>
      <c r="BN301" s="31"/>
      <c r="BO301" s="31"/>
      <c r="BP301" s="31"/>
      <c r="BQ301" s="31"/>
      <c r="BR301" s="31"/>
      <c r="BS301" s="31"/>
      <c r="BT301" s="31"/>
      <c r="BU301" s="31"/>
      <c r="BV301" s="31"/>
      <c r="BW301" s="31"/>
      <c r="BX301" s="31"/>
      <c r="BY301" s="31"/>
      <c r="BZ301" s="31"/>
      <c r="CA301" s="31"/>
      <c r="CB301" s="31"/>
    </row>
    <row r="302" spans="2:80"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1"/>
      <c r="AP302" s="31"/>
      <c r="AQ302" s="31"/>
      <c r="AR302" s="31"/>
      <c r="AS302" s="31"/>
      <c r="AT302" s="31"/>
      <c r="AU302" s="31"/>
      <c r="AV302" s="31"/>
      <c r="AW302" s="31"/>
      <c r="AX302" s="31"/>
      <c r="AY302" s="31"/>
      <c r="AZ302" s="31"/>
      <c r="BA302" s="31"/>
      <c r="BB302" s="31"/>
      <c r="BC302" s="31"/>
      <c r="BD302" s="31"/>
      <c r="BE302" s="31"/>
      <c r="BF302" s="31"/>
      <c r="BG302" s="31"/>
      <c r="BH302" s="31"/>
      <c r="BI302" s="31"/>
      <c r="BJ302" s="31"/>
      <c r="BK302" s="31"/>
      <c r="BL302" s="31"/>
      <c r="BM302" s="31"/>
      <c r="BN302" s="31"/>
      <c r="BO302" s="31"/>
      <c r="BP302" s="31"/>
      <c r="BQ302" s="31"/>
      <c r="BR302" s="31"/>
      <c r="BS302" s="31"/>
      <c r="BT302" s="31"/>
      <c r="BU302" s="31"/>
      <c r="BV302" s="31"/>
      <c r="BW302" s="31"/>
      <c r="BX302" s="31"/>
      <c r="BY302" s="31"/>
      <c r="BZ302" s="31"/>
      <c r="CA302" s="31"/>
      <c r="CB302" s="31"/>
    </row>
    <row r="303" spans="2:80"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1"/>
      <c r="AP303" s="31"/>
      <c r="AQ303" s="31"/>
      <c r="AR303" s="31"/>
      <c r="AS303" s="31"/>
      <c r="AT303" s="31"/>
      <c r="AU303" s="31"/>
      <c r="AV303" s="31"/>
      <c r="AW303" s="31"/>
      <c r="AX303" s="31"/>
      <c r="AY303" s="31"/>
      <c r="AZ303" s="31"/>
      <c r="BA303" s="31"/>
      <c r="BB303" s="31"/>
      <c r="BC303" s="31"/>
      <c r="BD303" s="31"/>
      <c r="BE303" s="31"/>
      <c r="BF303" s="31"/>
      <c r="BG303" s="31"/>
      <c r="BH303" s="31"/>
      <c r="BI303" s="31"/>
      <c r="BJ303" s="31"/>
      <c r="BK303" s="31"/>
      <c r="BL303" s="31"/>
      <c r="BM303" s="31"/>
      <c r="BN303" s="31"/>
      <c r="BO303" s="31"/>
      <c r="BP303" s="31"/>
      <c r="BQ303" s="31"/>
      <c r="BR303" s="31"/>
      <c r="BS303" s="31"/>
      <c r="BT303" s="31"/>
      <c r="BU303" s="31"/>
      <c r="BV303" s="31"/>
      <c r="BW303" s="31"/>
      <c r="BX303" s="31"/>
      <c r="BY303" s="31"/>
      <c r="BZ303" s="31"/>
      <c r="CA303" s="31"/>
      <c r="CB303" s="31"/>
    </row>
    <row r="304" spans="2:80"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1"/>
      <c r="AP304" s="31"/>
      <c r="AQ304" s="31"/>
      <c r="AR304" s="31"/>
      <c r="AS304" s="31"/>
      <c r="AT304" s="31"/>
      <c r="AU304" s="31"/>
      <c r="AV304" s="31"/>
      <c r="AW304" s="31"/>
      <c r="AX304" s="31"/>
      <c r="AY304" s="31"/>
      <c r="AZ304" s="31"/>
      <c r="BA304" s="31"/>
      <c r="BB304" s="31"/>
      <c r="BC304" s="31"/>
      <c r="BD304" s="31"/>
      <c r="BE304" s="31"/>
      <c r="BF304" s="31"/>
      <c r="BG304" s="31"/>
      <c r="BH304" s="31"/>
      <c r="BI304" s="31"/>
      <c r="BJ304" s="31"/>
      <c r="BK304" s="31"/>
      <c r="BL304" s="31"/>
      <c r="BM304" s="31"/>
      <c r="BN304" s="31"/>
      <c r="BO304" s="31"/>
      <c r="BP304" s="31"/>
      <c r="BQ304" s="31"/>
      <c r="BR304" s="31"/>
      <c r="BS304" s="31"/>
      <c r="BT304" s="31"/>
      <c r="BU304" s="31"/>
      <c r="BV304" s="31"/>
      <c r="BW304" s="31"/>
      <c r="BX304" s="31"/>
      <c r="BY304" s="31"/>
      <c r="BZ304" s="31"/>
      <c r="CA304" s="31"/>
      <c r="CB304" s="31"/>
    </row>
    <row r="305" spans="2:80"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  <c r="AK305" s="31"/>
      <c r="AL305" s="31"/>
      <c r="AM305" s="31"/>
      <c r="AN305" s="31"/>
      <c r="AO305" s="31"/>
      <c r="AP305" s="31"/>
      <c r="AQ305" s="31"/>
      <c r="AR305" s="31"/>
      <c r="AS305" s="31"/>
      <c r="AT305" s="31"/>
      <c r="AU305" s="31"/>
      <c r="AV305" s="31"/>
      <c r="AW305" s="31"/>
      <c r="AX305" s="31"/>
      <c r="AY305" s="31"/>
      <c r="AZ305" s="31"/>
      <c r="BA305" s="31"/>
      <c r="BB305" s="31"/>
      <c r="BC305" s="31"/>
      <c r="BD305" s="31"/>
      <c r="BE305" s="31"/>
      <c r="BF305" s="31"/>
      <c r="BG305" s="31"/>
      <c r="BH305" s="31"/>
      <c r="BI305" s="31"/>
      <c r="BJ305" s="31"/>
      <c r="BK305" s="31"/>
      <c r="BL305" s="31"/>
      <c r="BM305" s="31"/>
      <c r="BN305" s="31"/>
      <c r="BO305" s="31"/>
      <c r="BP305" s="31"/>
      <c r="BQ305" s="31"/>
      <c r="BR305" s="31"/>
      <c r="BS305" s="31"/>
      <c r="BT305" s="31"/>
      <c r="BU305" s="31"/>
      <c r="BV305" s="31"/>
      <c r="BW305" s="31"/>
      <c r="BX305" s="31"/>
      <c r="BY305" s="31"/>
      <c r="BZ305" s="31"/>
      <c r="CA305" s="31"/>
      <c r="CB305" s="31"/>
    </row>
    <row r="306" spans="2:80"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  <c r="AO306" s="31"/>
      <c r="AP306" s="31"/>
      <c r="AQ306" s="31"/>
      <c r="AR306" s="31"/>
      <c r="AS306" s="31"/>
      <c r="AT306" s="31"/>
      <c r="AU306" s="31"/>
      <c r="AV306" s="31"/>
      <c r="AW306" s="31"/>
      <c r="AX306" s="31"/>
      <c r="AY306" s="31"/>
      <c r="AZ306" s="31"/>
      <c r="BA306" s="31"/>
      <c r="BB306" s="31"/>
      <c r="BC306" s="31"/>
      <c r="BD306" s="31"/>
      <c r="BE306" s="31"/>
      <c r="BF306" s="31"/>
      <c r="BG306" s="31"/>
      <c r="BH306" s="31"/>
      <c r="BI306" s="31"/>
      <c r="BJ306" s="31"/>
      <c r="BK306" s="31"/>
      <c r="BL306" s="31"/>
      <c r="BM306" s="31"/>
      <c r="BN306" s="31"/>
      <c r="BO306" s="31"/>
      <c r="BP306" s="31"/>
      <c r="BQ306" s="31"/>
      <c r="BR306" s="31"/>
      <c r="BS306" s="31"/>
      <c r="BT306" s="31"/>
      <c r="BU306" s="31"/>
      <c r="BV306" s="31"/>
      <c r="BW306" s="31"/>
      <c r="BX306" s="31"/>
      <c r="BY306" s="31"/>
      <c r="BZ306" s="31"/>
      <c r="CA306" s="31"/>
      <c r="CB306" s="31"/>
    </row>
    <row r="307" spans="2:80"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1"/>
      <c r="AT307" s="31"/>
      <c r="AU307" s="31"/>
      <c r="AV307" s="31"/>
      <c r="AW307" s="31"/>
      <c r="AX307" s="31"/>
      <c r="AY307" s="31"/>
      <c r="AZ307" s="31"/>
      <c r="BA307" s="31"/>
      <c r="BB307" s="31"/>
      <c r="BC307" s="31"/>
      <c r="BD307" s="31"/>
      <c r="BE307" s="31"/>
      <c r="BF307" s="31"/>
      <c r="BG307" s="31"/>
      <c r="BH307" s="31"/>
      <c r="BI307" s="31"/>
      <c r="BJ307" s="31"/>
      <c r="BK307" s="31"/>
      <c r="BL307" s="31"/>
      <c r="BM307" s="31"/>
      <c r="BN307" s="31"/>
      <c r="BO307" s="31"/>
      <c r="BP307" s="31"/>
      <c r="BQ307" s="31"/>
      <c r="BR307" s="31"/>
      <c r="BS307" s="31"/>
      <c r="BT307" s="31"/>
      <c r="BU307" s="31"/>
      <c r="BV307" s="31"/>
      <c r="BW307" s="31"/>
      <c r="BX307" s="31"/>
      <c r="BY307" s="31"/>
      <c r="BZ307" s="31"/>
      <c r="CA307" s="31"/>
      <c r="CB307" s="31"/>
    </row>
    <row r="308" spans="2:80"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  <c r="AK308" s="31"/>
      <c r="AL308" s="31"/>
      <c r="AM308" s="31"/>
      <c r="AN308" s="31"/>
      <c r="AO308" s="31"/>
      <c r="AP308" s="31"/>
      <c r="AQ308" s="31"/>
      <c r="AR308" s="31"/>
      <c r="AS308" s="31"/>
      <c r="AT308" s="31"/>
      <c r="AU308" s="31"/>
      <c r="AV308" s="31"/>
      <c r="AW308" s="31"/>
      <c r="AX308" s="31"/>
      <c r="AY308" s="31"/>
      <c r="AZ308" s="31"/>
      <c r="BA308" s="31"/>
      <c r="BB308" s="31"/>
      <c r="BC308" s="31"/>
      <c r="BD308" s="31"/>
      <c r="BE308" s="31"/>
      <c r="BF308" s="31"/>
      <c r="BG308" s="31"/>
      <c r="BH308" s="31"/>
      <c r="BI308" s="31"/>
      <c r="BJ308" s="31"/>
      <c r="BK308" s="31"/>
      <c r="BL308" s="31"/>
      <c r="BM308" s="31"/>
      <c r="BN308" s="31"/>
      <c r="BO308" s="31"/>
      <c r="BP308" s="31"/>
      <c r="BQ308" s="31"/>
      <c r="BR308" s="31"/>
      <c r="BS308" s="31"/>
      <c r="BT308" s="31"/>
      <c r="BU308" s="31"/>
      <c r="BV308" s="31"/>
      <c r="BW308" s="31"/>
      <c r="BX308" s="31"/>
      <c r="BY308" s="31"/>
      <c r="BZ308" s="31"/>
      <c r="CA308" s="31"/>
      <c r="CB308" s="31"/>
    </row>
    <row r="309" spans="2:80"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  <c r="AO309" s="31"/>
      <c r="AP309" s="31"/>
      <c r="AQ309" s="31"/>
      <c r="AR309" s="31"/>
      <c r="AS309" s="31"/>
      <c r="AT309" s="31"/>
      <c r="AU309" s="31"/>
      <c r="AV309" s="31"/>
      <c r="AW309" s="31"/>
      <c r="AX309" s="31"/>
      <c r="AY309" s="31"/>
      <c r="AZ309" s="31"/>
      <c r="BA309" s="31"/>
      <c r="BB309" s="31"/>
      <c r="BC309" s="31"/>
      <c r="BD309" s="31"/>
      <c r="BE309" s="31"/>
      <c r="BF309" s="31"/>
      <c r="BG309" s="31"/>
      <c r="BH309" s="31"/>
      <c r="BI309" s="31"/>
      <c r="BJ309" s="31"/>
      <c r="BK309" s="31"/>
      <c r="BL309" s="31"/>
      <c r="BM309" s="31"/>
      <c r="BN309" s="31"/>
      <c r="BO309" s="31"/>
      <c r="BP309" s="31"/>
      <c r="BQ309" s="31"/>
      <c r="BR309" s="31"/>
      <c r="BS309" s="31"/>
      <c r="BT309" s="31"/>
      <c r="BU309" s="31"/>
      <c r="BV309" s="31"/>
      <c r="BW309" s="31"/>
      <c r="BX309" s="31"/>
      <c r="BY309" s="31"/>
      <c r="BZ309" s="31"/>
      <c r="CA309" s="31"/>
      <c r="CB309" s="31"/>
    </row>
    <row r="310" spans="2:80"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1"/>
      <c r="AT310" s="31"/>
      <c r="AU310" s="31"/>
      <c r="AV310" s="31"/>
      <c r="AW310" s="31"/>
      <c r="AX310" s="31"/>
      <c r="AY310" s="31"/>
      <c r="AZ310" s="31"/>
      <c r="BA310" s="31"/>
      <c r="BB310" s="31"/>
      <c r="BC310" s="31"/>
      <c r="BD310" s="31"/>
      <c r="BE310" s="31"/>
      <c r="BF310" s="31"/>
      <c r="BG310" s="31"/>
      <c r="BH310" s="31"/>
      <c r="BI310" s="31"/>
      <c r="BJ310" s="31"/>
      <c r="BK310" s="31"/>
      <c r="BL310" s="31"/>
      <c r="BM310" s="31"/>
      <c r="BN310" s="31"/>
      <c r="BO310" s="31"/>
      <c r="BP310" s="31"/>
      <c r="BQ310" s="31"/>
      <c r="BR310" s="31"/>
      <c r="BS310" s="31"/>
      <c r="BT310" s="31"/>
      <c r="BU310" s="31"/>
      <c r="BV310" s="31"/>
      <c r="BW310" s="31"/>
      <c r="BX310" s="31"/>
      <c r="BY310" s="31"/>
      <c r="BZ310" s="31"/>
      <c r="CA310" s="31"/>
      <c r="CB310" s="31"/>
    </row>
    <row r="311" spans="2:80"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  <c r="AK311" s="31"/>
      <c r="AL311" s="31"/>
      <c r="AM311" s="31"/>
      <c r="AN311" s="31"/>
      <c r="AO311" s="31"/>
      <c r="AP311" s="31"/>
      <c r="AQ311" s="31"/>
      <c r="AR311" s="31"/>
      <c r="AS311" s="31"/>
      <c r="AT311" s="31"/>
      <c r="AU311" s="31"/>
      <c r="AV311" s="31"/>
      <c r="AW311" s="31"/>
      <c r="AX311" s="31"/>
      <c r="AY311" s="31"/>
      <c r="AZ311" s="31"/>
      <c r="BA311" s="31"/>
      <c r="BB311" s="31"/>
      <c r="BC311" s="31"/>
      <c r="BD311" s="31"/>
      <c r="BE311" s="31"/>
      <c r="BF311" s="31"/>
      <c r="BG311" s="31"/>
      <c r="BH311" s="31"/>
      <c r="BI311" s="31"/>
      <c r="BJ311" s="31"/>
      <c r="BK311" s="31"/>
      <c r="BL311" s="31"/>
      <c r="BM311" s="31"/>
      <c r="BN311" s="31"/>
      <c r="BO311" s="31"/>
      <c r="BP311" s="31"/>
      <c r="BQ311" s="31"/>
      <c r="BR311" s="31"/>
      <c r="BS311" s="31"/>
      <c r="BT311" s="31"/>
      <c r="BU311" s="31"/>
      <c r="BV311" s="31"/>
      <c r="BW311" s="31"/>
      <c r="BX311" s="31"/>
      <c r="BY311" s="31"/>
      <c r="BZ311" s="31"/>
      <c r="CA311" s="31"/>
      <c r="CB311" s="31"/>
    </row>
    <row r="312" spans="2:80"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  <c r="AO312" s="31"/>
      <c r="AP312" s="31"/>
      <c r="AQ312" s="31"/>
      <c r="AR312" s="31"/>
      <c r="AS312" s="31"/>
      <c r="AT312" s="31"/>
      <c r="AU312" s="31"/>
      <c r="AV312" s="31"/>
      <c r="AW312" s="31"/>
      <c r="AX312" s="31"/>
      <c r="AY312" s="31"/>
      <c r="AZ312" s="31"/>
      <c r="BA312" s="31"/>
      <c r="BB312" s="31"/>
      <c r="BC312" s="31"/>
      <c r="BD312" s="31"/>
      <c r="BE312" s="31"/>
      <c r="BF312" s="31"/>
      <c r="BG312" s="31"/>
      <c r="BH312" s="31"/>
      <c r="BI312" s="31"/>
      <c r="BJ312" s="31"/>
      <c r="BK312" s="31"/>
      <c r="BL312" s="31"/>
      <c r="BM312" s="31"/>
      <c r="BN312" s="31"/>
      <c r="BO312" s="31"/>
      <c r="BP312" s="31"/>
      <c r="BQ312" s="31"/>
      <c r="BR312" s="31"/>
      <c r="BS312" s="31"/>
      <c r="BT312" s="31"/>
      <c r="BU312" s="31"/>
      <c r="BV312" s="31"/>
      <c r="BW312" s="31"/>
      <c r="BX312" s="31"/>
      <c r="BY312" s="31"/>
      <c r="BZ312" s="31"/>
      <c r="CA312" s="31"/>
      <c r="CB312" s="31"/>
    </row>
    <row r="313" spans="2:80"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1"/>
      <c r="AT313" s="31"/>
      <c r="AU313" s="31"/>
      <c r="AV313" s="31"/>
      <c r="AW313" s="31"/>
      <c r="AX313" s="31"/>
      <c r="AY313" s="31"/>
      <c r="AZ313" s="31"/>
      <c r="BA313" s="31"/>
      <c r="BB313" s="31"/>
      <c r="BC313" s="31"/>
      <c r="BD313" s="31"/>
      <c r="BE313" s="31"/>
      <c r="BF313" s="31"/>
      <c r="BG313" s="31"/>
      <c r="BH313" s="31"/>
      <c r="BI313" s="31"/>
      <c r="BJ313" s="31"/>
      <c r="BK313" s="31"/>
      <c r="BL313" s="31"/>
      <c r="BM313" s="31"/>
      <c r="BN313" s="31"/>
      <c r="BO313" s="31"/>
      <c r="BP313" s="31"/>
      <c r="BQ313" s="31"/>
      <c r="BR313" s="31"/>
      <c r="BS313" s="31"/>
      <c r="BT313" s="31"/>
      <c r="BU313" s="31"/>
      <c r="BV313" s="31"/>
      <c r="BW313" s="31"/>
      <c r="BX313" s="31"/>
      <c r="BY313" s="31"/>
      <c r="BZ313" s="31"/>
      <c r="CA313" s="31"/>
      <c r="CB313" s="31"/>
    </row>
    <row r="314" spans="2:80"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  <c r="AK314" s="31"/>
      <c r="AL314" s="31"/>
      <c r="AM314" s="31"/>
      <c r="AN314" s="31"/>
      <c r="AO314" s="31"/>
      <c r="AP314" s="31"/>
      <c r="AQ314" s="31"/>
      <c r="AR314" s="31"/>
      <c r="AS314" s="31"/>
      <c r="AT314" s="31"/>
      <c r="AU314" s="31"/>
      <c r="AV314" s="31"/>
      <c r="AW314" s="31"/>
      <c r="AX314" s="31"/>
      <c r="AY314" s="31"/>
      <c r="AZ314" s="31"/>
      <c r="BA314" s="31"/>
      <c r="BB314" s="31"/>
      <c r="BC314" s="31"/>
      <c r="BD314" s="31"/>
      <c r="BE314" s="31"/>
      <c r="BF314" s="31"/>
      <c r="BG314" s="31"/>
      <c r="BH314" s="31"/>
      <c r="BI314" s="31"/>
      <c r="BJ314" s="31"/>
      <c r="BK314" s="31"/>
      <c r="BL314" s="31"/>
      <c r="BM314" s="31"/>
      <c r="BN314" s="31"/>
      <c r="BO314" s="31"/>
      <c r="BP314" s="31"/>
      <c r="BQ314" s="31"/>
      <c r="BR314" s="31"/>
      <c r="BS314" s="31"/>
      <c r="BT314" s="31"/>
      <c r="BU314" s="31"/>
      <c r="BV314" s="31"/>
      <c r="BW314" s="31"/>
      <c r="BX314" s="31"/>
      <c r="BY314" s="31"/>
      <c r="BZ314" s="31"/>
      <c r="CA314" s="31"/>
      <c r="CB314" s="31"/>
    </row>
    <row r="315" spans="2:80"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  <c r="AO315" s="31"/>
      <c r="AP315" s="31"/>
      <c r="AQ315" s="31"/>
      <c r="AR315" s="31"/>
      <c r="AS315" s="31"/>
      <c r="AT315" s="31"/>
      <c r="AU315" s="31"/>
      <c r="AV315" s="31"/>
      <c r="AW315" s="31"/>
      <c r="AX315" s="31"/>
      <c r="AY315" s="31"/>
      <c r="AZ315" s="31"/>
      <c r="BA315" s="31"/>
      <c r="BB315" s="31"/>
      <c r="BC315" s="31"/>
      <c r="BD315" s="31"/>
      <c r="BE315" s="31"/>
      <c r="BF315" s="31"/>
      <c r="BG315" s="31"/>
      <c r="BH315" s="31"/>
      <c r="BI315" s="31"/>
      <c r="BJ315" s="31"/>
      <c r="BK315" s="31"/>
      <c r="BL315" s="31"/>
      <c r="BM315" s="31"/>
      <c r="BN315" s="31"/>
      <c r="BO315" s="31"/>
      <c r="BP315" s="31"/>
      <c r="BQ315" s="31"/>
      <c r="BR315" s="31"/>
      <c r="BS315" s="31"/>
      <c r="BT315" s="31"/>
      <c r="BU315" s="31"/>
      <c r="BV315" s="31"/>
      <c r="BW315" s="31"/>
      <c r="BX315" s="31"/>
      <c r="BY315" s="31"/>
      <c r="BZ315" s="31"/>
      <c r="CA315" s="31"/>
      <c r="CB315" s="31"/>
    </row>
    <row r="316" spans="2:80"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1"/>
      <c r="AP316" s="31"/>
      <c r="AQ316" s="31"/>
      <c r="AR316" s="31"/>
      <c r="AS316" s="31"/>
      <c r="AT316" s="31"/>
      <c r="AU316" s="31"/>
      <c r="AV316" s="31"/>
      <c r="AW316" s="31"/>
      <c r="AX316" s="31"/>
      <c r="AY316" s="31"/>
      <c r="AZ316" s="31"/>
      <c r="BA316" s="31"/>
      <c r="BB316" s="31"/>
      <c r="BC316" s="31"/>
      <c r="BD316" s="31"/>
      <c r="BE316" s="31"/>
      <c r="BF316" s="31"/>
      <c r="BG316" s="31"/>
      <c r="BH316" s="31"/>
      <c r="BI316" s="31"/>
      <c r="BJ316" s="31"/>
      <c r="BK316" s="31"/>
      <c r="BL316" s="31"/>
      <c r="BM316" s="31"/>
      <c r="BN316" s="31"/>
      <c r="BO316" s="31"/>
      <c r="BP316" s="31"/>
      <c r="BQ316" s="31"/>
      <c r="BR316" s="31"/>
      <c r="BS316" s="31"/>
      <c r="BT316" s="31"/>
      <c r="BU316" s="31"/>
      <c r="BV316" s="31"/>
      <c r="BW316" s="31"/>
      <c r="BX316" s="31"/>
      <c r="BY316" s="31"/>
      <c r="BZ316" s="31"/>
      <c r="CA316" s="31"/>
      <c r="CB316" s="31"/>
    </row>
    <row r="317" spans="2:80"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1"/>
      <c r="AP317" s="31"/>
      <c r="AQ317" s="31"/>
      <c r="AR317" s="31"/>
      <c r="AS317" s="31"/>
      <c r="AT317" s="31"/>
      <c r="AU317" s="31"/>
      <c r="AV317" s="31"/>
      <c r="AW317" s="31"/>
      <c r="AX317" s="31"/>
      <c r="AY317" s="31"/>
      <c r="AZ317" s="31"/>
      <c r="BA317" s="31"/>
      <c r="BB317" s="31"/>
      <c r="BC317" s="31"/>
      <c r="BD317" s="31"/>
      <c r="BE317" s="31"/>
      <c r="BF317" s="31"/>
      <c r="BG317" s="31"/>
      <c r="BH317" s="31"/>
      <c r="BI317" s="31"/>
      <c r="BJ317" s="31"/>
      <c r="BK317" s="31"/>
      <c r="BL317" s="31"/>
      <c r="BM317" s="31"/>
      <c r="BN317" s="31"/>
      <c r="BO317" s="31"/>
      <c r="BP317" s="31"/>
      <c r="BQ317" s="31"/>
      <c r="BR317" s="31"/>
      <c r="BS317" s="31"/>
      <c r="BT317" s="31"/>
      <c r="BU317" s="31"/>
      <c r="BV317" s="31"/>
      <c r="BW317" s="31"/>
      <c r="BX317" s="31"/>
      <c r="BY317" s="31"/>
      <c r="BZ317" s="31"/>
      <c r="CA317" s="31"/>
      <c r="CB317" s="31"/>
    </row>
    <row r="318" spans="2:80"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  <c r="AE318" s="31"/>
      <c r="AF318" s="31"/>
      <c r="AG318" s="31"/>
      <c r="AH318" s="31"/>
      <c r="AI318" s="31"/>
      <c r="AJ318" s="31"/>
      <c r="AK318" s="31"/>
      <c r="AL318" s="31"/>
      <c r="AM318" s="31"/>
      <c r="AN318" s="31"/>
      <c r="AO318" s="31"/>
      <c r="AP318" s="31"/>
      <c r="AQ318" s="31"/>
      <c r="AR318" s="31"/>
      <c r="AS318" s="31"/>
      <c r="AT318" s="31"/>
      <c r="AU318" s="31"/>
      <c r="AV318" s="31"/>
      <c r="AW318" s="31"/>
      <c r="AX318" s="31"/>
      <c r="AY318" s="31"/>
      <c r="AZ318" s="31"/>
      <c r="BA318" s="31"/>
      <c r="BB318" s="31"/>
      <c r="BC318" s="31"/>
      <c r="BD318" s="31"/>
      <c r="BE318" s="31"/>
      <c r="BF318" s="31"/>
      <c r="BG318" s="31"/>
      <c r="BH318" s="31"/>
      <c r="BI318" s="31"/>
      <c r="BJ318" s="31"/>
      <c r="BK318" s="31"/>
      <c r="BL318" s="31"/>
      <c r="BM318" s="31"/>
      <c r="BN318" s="31"/>
      <c r="BO318" s="31"/>
      <c r="BP318" s="31"/>
      <c r="BQ318" s="31"/>
      <c r="BR318" s="31"/>
      <c r="BS318" s="31"/>
      <c r="BT318" s="31"/>
      <c r="BU318" s="31"/>
      <c r="BV318" s="31"/>
      <c r="BW318" s="31"/>
      <c r="BX318" s="31"/>
      <c r="BY318" s="31"/>
      <c r="BZ318" s="31"/>
      <c r="CA318" s="31"/>
      <c r="CB318" s="31"/>
    </row>
    <row r="319" spans="2:80"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  <c r="AO319" s="31"/>
      <c r="AP319" s="31"/>
      <c r="AQ319" s="31"/>
      <c r="AR319" s="31"/>
      <c r="AS319" s="31"/>
      <c r="AT319" s="31"/>
      <c r="AU319" s="31"/>
      <c r="AV319" s="31"/>
      <c r="AW319" s="31"/>
      <c r="AX319" s="31"/>
      <c r="AY319" s="31"/>
      <c r="AZ319" s="31"/>
      <c r="BA319" s="31"/>
      <c r="BB319" s="31"/>
      <c r="BC319" s="31"/>
      <c r="BD319" s="31"/>
      <c r="BE319" s="31"/>
      <c r="BF319" s="31"/>
      <c r="BG319" s="31"/>
      <c r="BH319" s="31"/>
      <c r="BI319" s="31"/>
      <c r="BJ319" s="31"/>
      <c r="BK319" s="31"/>
      <c r="BL319" s="31"/>
      <c r="BM319" s="31"/>
      <c r="BN319" s="31"/>
      <c r="BO319" s="31"/>
      <c r="BP319" s="31"/>
      <c r="BQ319" s="31"/>
      <c r="BR319" s="31"/>
      <c r="BS319" s="31"/>
      <c r="BT319" s="31"/>
      <c r="BU319" s="31"/>
      <c r="BV319" s="31"/>
      <c r="BW319" s="31"/>
      <c r="BX319" s="31"/>
      <c r="BY319" s="31"/>
      <c r="BZ319" s="31"/>
      <c r="CA319" s="31"/>
      <c r="CB319" s="31"/>
    </row>
    <row r="320" spans="2:80"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1"/>
      <c r="AP320" s="31"/>
      <c r="AQ320" s="31"/>
      <c r="AR320" s="31"/>
      <c r="AS320" s="31"/>
      <c r="AT320" s="31"/>
      <c r="AU320" s="31"/>
      <c r="AV320" s="31"/>
      <c r="AW320" s="31"/>
      <c r="AX320" s="31"/>
      <c r="AY320" s="31"/>
      <c r="AZ320" s="31"/>
      <c r="BA320" s="31"/>
      <c r="BB320" s="31"/>
      <c r="BC320" s="31"/>
      <c r="BD320" s="31"/>
      <c r="BE320" s="31"/>
      <c r="BF320" s="31"/>
      <c r="BG320" s="31"/>
      <c r="BH320" s="31"/>
      <c r="BI320" s="31"/>
      <c r="BJ320" s="31"/>
      <c r="BK320" s="31"/>
      <c r="BL320" s="31"/>
      <c r="BM320" s="31"/>
      <c r="BN320" s="31"/>
      <c r="BO320" s="31"/>
      <c r="BP320" s="31"/>
      <c r="BQ320" s="31"/>
      <c r="BR320" s="31"/>
      <c r="BS320" s="31"/>
      <c r="BT320" s="31"/>
      <c r="BU320" s="31"/>
      <c r="BV320" s="31"/>
      <c r="BW320" s="31"/>
      <c r="BX320" s="31"/>
      <c r="BY320" s="31"/>
      <c r="BZ320" s="31"/>
      <c r="CA320" s="31"/>
      <c r="CB320" s="31"/>
    </row>
    <row r="321" spans="2:80"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1"/>
      <c r="AP321" s="31"/>
      <c r="AQ321" s="31"/>
      <c r="AR321" s="31"/>
      <c r="AS321" s="31"/>
      <c r="AT321" s="31"/>
      <c r="AU321" s="31"/>
      <c r="AV321" s="31"/>
      <c r="AW321" s="31"/>
      <c r="AX321" s="31"/>
      <c r="AY321" s="31"/>
      <c r="AZ321" s="31"/>
      <c r="BA321" s="31"/>
      <c r="BB321" s="31"/>
      <c r="BC321" s="31"/>
      <c r="BD321" s="31"/>
      <c r="BE321" s="31"/>
      <c r="BF321" s="31"/>
      <c r="BG321" s="31"/>
      <c r="BH321" s="31"/>
      <c r="BI321" s="31"/>
      <c r="BJ321" s="31"/>
      <c r="BK321" s="31"/>
      <c r="BL321" s="31"/>
      <c r="BM321" s="31"/>
      <c r="BN321" s="31"/>
      <c r="BO321" s="31"/>
      <c r="BP321" s="31"/>
      <c r="BQ321" s="31"/>
      <c r="BR321" s="31"/>
      <c r="BS321" s="31"/>
      <c r="BT321" s="31"/>
      <c r="BU321" s="31"/>
      <c r="BV321" s="31"/>
      <c r="BW321" s="31"/>
      <c r="BX321" s="31"/>
      <c r="BY321" s="31"/>
      <c r="BZ321" s="31"/>
      <c r="CA321" s="31"/>
      <c r="CB321" s="31"/>
    </row>
    <row r="322" spans="2:80"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  <c r="AE322" s="31"/>
      <c r="AF322" s="31"/>
      <c r="AG322" s="31"/>
      <c r="AH322" s="31"/>
      <c r="AI322" s="31"/>
      <c r="AJ322" s="31"/>
      <c r="AK322" s="31"/>
      <c r="AL322" s="31"/>
      <c r="AM322" s="31"/>
      <c r="AN322" s="31"/>
      <c r="AO322" s="31"/>
      <c r="AP322" s="31"/>
      <c r="AQ322" s="31"/>
      <c r="AR322" s="31"/>
      <c r="AS322" s="31"/>
      <c r="AT322" s="31"/>
      <c r="AU322" s="31"/>
      <c r="AV322" s="31"/>
      <c r="AW322" s="31"/>
      <c r="AX322" s="31"/>
      <c r="AY322" s="31"/>
      <c r="AZ322" s="31"/>
      <c r="BA322" s="31"/>
      <c r="BB322" s="31"/>
      <c r="BC322" s="31"/>
      <c r="BD322" s="31"/>
      <c r="BE322" s="31"/>
      <c r="BF322" s="31"/>
      <c r="BG322" s="31"/>
      <c r="BH322" s="31"/>
      <c r="BI322" s="31"/>
      <c r="BJ322" s="31"/>
      <c r="BK322" s="31"/>
      <c r="BL322" s="31"/>
      <c r="BM322" s="31"/>
      <c r="BN322" s="31"/>
      <c r="BO322" s="31"/>
      <c r="BP322" s="31"/>
      <c r="BQ322" s="31"/>
      <c r="BR322" s="31"/>
      <c r="BS322" s="31"/>
      <c r="BT322" s="31"/>
      <c r="BU322" s="31"/>
      <c r="BV322" s="31"/>
      <c r="BW322" s="31"/>
      <c r="BX322" s="31"/>
      <c r="BY322" s="31"/>
      <c r="BZ322" s="31"/>
      <c r="CA322" s="31"/>
      <c r="CB322" s="31"/>
    </row>
    <row r="323" spans="2:80"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  <c r="AO323" s="31"/>
      <c r="AP323" s="31"/>
      <c r="AQ323" s="31"/>
      <c r="AR323" s="31"/>
      <c r="AS323" s="31"/>
      <c r="AT323" s="31"/>
      <c r="AU323" s="31"/>
      <c r="AV323" s="31"/>
      <c r="AW323" s="31"/>
      <c r="AX323" s="31"/>
      <c r="AY323" s="31"/>
      <c r="AZ323" s="31"/>
      <c r="BA323" s="31"/>
      <c r="BB323" s="31"/>
      <c r="BC323" s="31"/>
      <c r="BD323" s="31"/>
      <c r="BE323" s="31"/>
      <c r="BF323" s="31"/>
      <c r="BG323" s="31"/>
      <c r="BH323" s="31"/>
      <c r="BI323" s="31"/>
      <c r="BJ323" s="31"/>
      <c r="BK323" s="31"/>
      <c r="BL323" s="31"/>
      <c r="BM323" s="31"/>
      <c r="BN323" s="31"/>
      <c r="BO323" s="31"/>
      <c r="BP323" s="31"/>
      <c r="BQ323" s="31"/>
      <c r="BR323" s="31"/>
      <c r="BS323" s="31"/>
      <c r="BT323" s="31"/>
      <c r="BU323" s="31"/>
      <c r="BV323" s="31"/>
      <c r="BW323" s="31"/>
      <c r="BX323" s="31"/>
      <c r="BY323" s="31"/>
      <c r="BZ323" s="31"/>
      <c r="CA323" s="31"/>
      <c r="CB323" s="31"/>
    </row>
    <row r="324" spans="2:80"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1"/>
      <c r="AP324" s="31"/>
      <c r="AQ324" s="31"/>
      <c r="AR324" s="31"/>
      <c r="AS324" s="31"/>
      <c r="AT324" s="31"/>
      <c r="AU324" s="31"/>
      <c r="AV324" s="31"/>
      <c r="AW324" s="31"/>
      <c r="AX324" s="31"/>
      <c r="AY324" s="31"/>
      <c r="AZ324" s="31"/>
      <c r="BA324" s="31"/>
      <c r="BB324" s="31"/>
      <c r="BC324" s="31"/>
      <c r="BD324" s="31"/>
      <c r="BE324" s="31"/>
      <c r="BF324" s="31"/>
      <c r="BG324" s="31"/>
      <c r="BH324" s="31"/>
      <c r="BI324" s="31"/>
      <c r="BJ324" s="31"/>
      <c r="BK324" s="31"/>
      <c r="BL324" s="31"/>
      <c r="BM324" s="31"/>
      <c r="BN324" s="31"/>
      <c r="BO324" s="31"/>
      <c r="BP324" s="31"/>
      <c r="BQ324" s="31"/>
      <c r="BR324" s="31"/>
      <c r="BS324" s="31"/>
      <c r="BT324" s="31"/>
      <c r="BU324" s="31"/>
      <c r="BV324" s="31"/>
      <c r="BW324" s="31"/>
      <c r="BX324" s="31"/>
      <c r="BY324" s="31"/>
      <c r="BZ324" s="31"/>
      <c r="CA324" s="31"/>
      <c r="CB324" s="31"/>
    </row>
    <row r="325" spans="2:80"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  <c r="AE325" s="31"/>
      <c r="AF325" s="31"/>
      <c r="AG325" s="31"/>
      <c r="AH325" s="31"/>
      <c r="AI325" s="31"/>
      <c r="AJ325" s="31"/>
      <c r="AK325" s="31"/>
      <c r="AL325" s="31"/>
      <c r="AM325" s="31"/>
      <c r="AN325" s="31"/>
      <c r="AO325" s="31"/>
      <c r="AP325" s="31"/>
      <c r="AQ325" s="31"/>
      <c r="AR325" s="31"/>
      <c r="AS325" s="31"/>
      <c r="AT325" s="31"/>
      <c r="AU325" s="31"/>
      <c r="AV325" s="31"/>
      <c r="AW325" s="31"/>
      <c r="AX325" s="31"/>
      <c r="AY325" s="31"/>
      <c r="AZ325" s="31"/>
      <c r="BA325" s="31"/>
      <c r="BB325" s="31"/>
      <c r="BC325" s="31"/>
      <c r="BD325" s="31"/>
      <c r="BE325" s="31"/>
      <c r="BF325" s="31"/>
      <c r="BG325" s="31"/>
      <c r="BH325" s="31"/>
      <c r="BI325" s="31"/>
      <c r="BJ325" s="31"/>
      <c r="BK325" s="31"/>
      <c r="BL325" s="31"/>
      <c r="BM325" s="31"/>
      <c r="BN325" s="31"/>
      <c r="BO325" s="31"/>
      <c r="BP325" s="31"/>
      <c r="BQ325" s="31"/>
      <c r="BR325" s="31"/>
      <c r="BS325" s="31"/>
      <c r="BT325" s="31"/>
      <c r="BU325" s="31"/>
      <c r="BV325" s="31"/>
      <c r="BW325" s="31"/>
      <c r="BX325" s="31"/>
      <c r="BY325" s="31"/>
      <c r="BZ325" s="31"/>
      <c r="CA325" s="31"/>
      <c r="CB325" s="31"/>
    </row>
    <row r="326" spans="2:80"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  <c r="AO326" s="31"/>
      <c r="AP326" s="31"/>
      <c r="AQ326" s="31"/>
      <c r="AR326" s="31"/>
      <c r="AS326" s="31"/>
      <c r="AT326" s="31"/>
      <c r="AU326" s="31"/>
      <c r="AV326" s="31"/>
      <c r="AW326" s="31"/>
      <c r="AX326" s="31"/>
      <c r="AY326" s="31"/>
      <c r="AZ326" s="31"/>
      <c r="BA326" s="31"/>
      <c r="BB326" s="31"/>
      <c r="BC326" s="31"/>
      <c r="BD326" s="31"/>
      <c r="BE326" s="31"/>
      <c r="BF326" s="31"/>
      <c r="BG326" s="31"/>
      <c r="BH326" s="31"/>
      <c r="BI326" s="31"/>
      <c r="BJ326" s="31"/>
      <c r="BK326" s="31"/>
      <c r="BL326" s="31"/>
      <c r="BM326" s="31"/>
      <c r="BN326" s="31"/>
      <c r="BO326" s="31"/>
      <c r="BP326" s="31"/>
      <c r="BQ326" s="31"/>
      <c r="BR326" s="31"/>
      <c r="BS326" s="31"/>
      <c r="BT326" s="31"/>
      <c r="BU326" s="31"/>
      <c r="BV326" s="31"/>
      <c r="BW326" s="31"/>
      <c r="BX326" s="31"/>
      <c r="BY326" s="31"/>
      <c r="BZ326" s="31"/>
      <c r="CA326" s="31"/>
      <c r="CB326" s="31"/>
    </row>
    <row r="327" spans="2:80"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1"/>
      <c r="AP327" s="31"/>
      <c r="AQ327" s="31"/>
      <c r="AR327" s="31"/>
      <c r="AS327" s="31"/>
      <c r="AT327" s="31"/>
      <c r="AU327" s="31"/>
      <c r="AV327" s="31"/>
      <c r="AW327" s="31"/>
      <c r="AX327" s="31"/>
      <c r="AY327" s="31"/>
      <c r="AZ327" s="31"/>
      <c r="BA327" s="31"/>
      <c r="BB327" s="31"/>
      <c r="BC327" s="31"/>
      <c r="BD327" s="31"/>
      <c r="BE327" s="31"/>
      <c r="BF327" s="31"/>
      <c r="BG327" s="31"/>
      <c r="BH327" s="31"/>
      <c r="BI327" s="31"/>
      <c r="BJ327" s="31"/>
      <c r="BK327" s="31"/>
      <c r="BL327" s="31"/>
      <c r="BM327" s="31"/>
      <c r="BN327" s="31"/>
      <c r="BO327" s="31"/>
      <c r="BP327" s="31"/>
      <c r="BQ327" s="31"/>
      <c r="BR327" s="31"/>
      <c r="BS327" s="31"/>
      <c r="BT327" s="31"/>
      <c r="BU327" s="31"/>
      <c r="BV327" s="31"/>
      <c r="BW327" s="31"/>
      <c r="BX327" s="31"/>
      <c r="BY327" s="31"/>
      <c r="BZ327" s="31"/>
      <c r="CA327" s="31"/>
      <c r="CB327" s="31"/>
    </row>
    <row r="328" spans="2:80"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  <c r="AK328" s="31"/>
      <c r="AL328" s="31"/>
      <c r="AM328" s="31"/>
      <c r="AN328" s="31"/>
      <c r="AO328" s="31"/>
      <c r="AP328" s="31"/>
      <c r="AQ328" s="31"/>
      <c r="AR328" s="31"/>
      <c r="AS328" s="31"/>
      <c r="AT328" s="31"/>
      <c r="AU328" s="31"/>
      <c r="AV328" s="31"/>
      <c r="AW328" s="31"/>
      <c r="AX328" s="31"/>
      <c r="AY328" s="31"/>
      <c r="AZ328" s="31"/>
      <c r="BA328" s="31"/>
      <c r="BB328" s="31"/>
      <c r="BC328" s="31"/>
      <c r="BD328" s="31"/>
      <c r="BE328" s="31"/>
      <c r="BF328" s="31"/>
      <c r="BG328" s="31"/>
      <c r="BH328" s="31"/>
      <c r="BI328" s="31"/>
      <c r="BJ328" s="31"/>
      <c r="BK328" s="31"/>
      <c r="BL328" s="31"/>
      <c r="BM328" s="31"/>
      <c r="BN328" s="31"/>
      <c r="BO328" s="31"/>
      <c r="BP328" s="31"/>
      <c r="BQ328" s="31"/>
      <c r="BR328" s="31"/>
      <c r="BS328" s="31"/>
      <c r="BT328" s="31"/>
      <c r="BU328" s="31"/>
      <c r="BV328" s="31"/>
      <c r="BW328" s="31"/>
      <c r="BX328" s="31"/>
      <c r="BY328" s="31"/>
      <c r="BZ328" s="31"/>
      <c r="CA328" s="31"/>
      <c r="CB328" s="31"/>
    </row>
    <row r="329" spans="2:80"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  <c r="AO329" s="31"/>
      <c r="AP329" s="31"/>
      <c r="AQ329" s="31"/>
      <c r="AR329" s="31"/>
      <c r="AS329" s="31"/>
      <c r="AT329" s="31"/>
      <c r="AU329" s="31"/>
      <c r="AV329" s="31"/>
      <c r="AW329" s="31"/>
      <c r="AX329" s="31"/>
      <c r="AY329" s="31"/>
      <c r="AZ329" s="31"/>
      <c r="BA329" s="31"/>
      <c r="BB329" s="31"/>
      <c r="BC329" s="31"/>
      <c r="BD329" s="31"/>
      <c r="BE329" s="31"/>
      <c r="BF329" s="31"/>
      <c r="BG329" s="31"/>
      <c r="BH329" s="31"/>
      <c r="BI329" s="31"/>
      <c r="BJ329" s="31"/>
      <c r="BK329" s="31"/>
      <c r="BL329" s="31"/>
      <c r="BM329" s="31"/>
      <c r="BN329" s="31"/>
      <c r="BO329" s="31"/>
      <c r="BP329" s="31"/>
      <c r="BQ329" s="31"/>
      <c r="BR329" s="31"/>
      <c r="BS329" s="31"/>
      <c r="BT329" s="31"/>
      <c r="BU329" s="31"/>
      <c r="BV329" s="31"/>
      <c r="BW329" s="31"/>
      <c r="BX329" s="31"/>
      <c r="BY329" s="31"/>
      <c r="BZ329" s="31"/>
      <c r="CA329" s="31"/>
      <c r="CB329" s="31"/>
    </row>
    <row r="330" spans="2:80"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1"/>
      <c r="AP330" s="31"/>
      <c r="AQ330" s="31"/>
      <c r="AR330" s="31"/>
      <c r="AS330" s="31"/>
      <c r="AT330" s="31"/>
      <c r="AU330" s="31"/>
      <c r="AV330" s="31"/>
      <c r="AW330" s="31"/>
      <c r="AX330" s="31"/>
      <c r="AY330" s="31"/>
      <c r="AZ330" s="31"/>
      <c r="BA330" s="31"/>
      <c r="BB330" s="31"/>
      <c r="BC330" s="31"/>
      <c r="BD330" s="31"/>
      <c r="BE330" s="31"/>
      <c r="BF330" s="31"/>
      <c r="BG330" s="31"/>
      <c r="BH330" s="31"/>
      <c r="BI330" s="31"/>
      <c r="BJ330" s="31"/>
      <c r="BK330" s="31"/>
      <c r="BL330" s="31"/>
      <c r="BM330" s="31"/>
      <c r="BN330" s="31"/>
      <c r="BO330" s="31"/>
      <c r="BP330" s="31"/>
      <c r="BQ330" s="31"/>
      <c r="BR330" s="31"/>
      <c r="BS330" s="31"/>
      <c r="BT330" s="31"/>
      <c r="BU330" s="31"/>
      <c r="BV330" s="31"/>
      <c r="BW330" s="31"/>
      <c r="BX330" s="31"/>
      <c r="BY330" s="31"/>
      <c r="BZ330" s="31"/>
      <c r="CA330" s="31"/>
      <c r="CB330" s="31"/>
    </row>
    <row r="331" spans="2:80"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  <c r="AE331" s="31"/>
      <c r="AF331" s="31"/>
      <c r="AG331" s="31"/>
      <c r="AH331" s="31"/>
      <c r="AI331" s="31"/>
      <c r="AJ331" s="31"/>
      <c r="AK331" s="31"/>
      <c r="AL331" s="31"/>
      <c r="AM331" s="31"/>
      <c r="AN331" s="31"/>
      <c r="AO331" s="31"/>
      <c r="AP331" s="31"/>
      <c r="AQ331" s="31"/>
      <c r="AR331" s="31"/>
      <c r="AS331" s="31"/>
      <c r="AT331" s="31"/>
      <c r="AU331" s="31"/>
      <c r="AV331" s="31"/>
      <c r="AW331" s="31"/>
      <c r="AX331" s="31"/>
      <c r="AY331" s="31"/>
      <c r="AZ331" s="31"/>
      <c r="BA331" s="31"/>
      <c r="BB331" s="31"/>
      <c r="BC331" s="31"/>
      <c r="BD331" s="31"/>
      <c r="BE331" s="31"/>
      <c r="BF331" s="31"/>
      <c r="BG331" s="31"/>
      <c r="BH331" s="31"/>
      <c r="BI331" s="31"/>
      <c r="BJ331" s="31"/>
      <c r="BK331" s="31"/>
      <c r="BL331" s="31"/>
      <c r="BM331" s="31"/>
      <c r="BN331" s="31"/>
      <c r="BO331" s="31"/>
      <c r="BP331" s="31"/>
      <c r="BQ331" s="31"/>
      <c r="BR331" s="31"/>
      <c r="BS331" s="31"/>
      <c r="BT331" s="31"/>
      <c r="BU331" s="31"/>
      <c r="BV331" s="31"/>
      <c r="BW331" s="31"/>
      <c r="BX331" s="31"/>
      <c r="BY331" s="31"/>
      <c r="BZ331" s="31"/>
      <c r="CA331" s="31"/>
      <c r="CB331" s="31"/>
    </row>
    <row r="332" spans="2:80"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  <c r="AO332" s="31"/>
      <c r="AP332" s="31"/>
      <c r="AQ332" s="31"/>
      <c r="AR332" s="31"/>
      <c r="AS332" s="31"/>
      <c r="AT332" s="31"/>
      <c r="AU332" s="31"/>
      <c r="AV332" s="31"/>
      <c r="AW332" s="31"/>
      <c r="AX332" s="31"/>
      <c r="AY332" s="31"/>
      <c r="AZ332" s="31"/>
      <c r="BA332" s="31"/>
      <c r="BB332" s="31"/>
      <c r="BC332" s="31"/>
      <c r="BD332" s="31"/>
      <c r="BE332" s="31"/>
      <c r="BF332" s="31"/>
      <c r="BG332" s="31"/>
      <c r="BH332" s="31"/>
      <c r="BI332" s="31"/>
      <c r="BJ332" s="31"/>
      <c r="BK332" s="31"/>
      <c r="BL332" s="31"/>
      <c r="BM332" s="31"/>
      <c r="BN332" s="31"/>
      <c r="BO332" s="31"/>
      <c r="BP332" s="31"/>
      <c r="BQ332" s="31"/>
      <c r="BR332" s="31"/>
      <c r="BS332" s="31"/>
      <c r="BT332" s="31"/>
      <c r="BU332" s="31"/>
      <c r="BV332" s="31"/>
      <c r="BW332" s="31"/>
      <c r="BX332" s="31"/>
      <c r="BY332" s="31"/>
      <c r="BZ332" s="31"/>
      <c r="CA332" s="31"/>
      <c r="CB332" s="31"/>
    </row>
    <row r="333" spans="2:80"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1"/>
      <c r="AP333" s="31"/>
      <c r="AQ333" s="31"/>
      <c r="AR333" s="31"/>
      <c r="AS333" s="31"/>
      <c r="AT333" s="31"/>
      <c r="AU333" s="31"/>
      <c r="AV333" s="31"/>
      <c r="AW333" s="31"/>
      <c r="AX333" s="31"/>
      <c r="AY333" s="31"/>
      <c r="AZ333" s="31"/>
      <c r="BA333" s="31"/>
      <c r="BB333" s="31"/>
      <c r="BC333" s="31"/>
      <c r="BD333" s="31"/>
      <c r="BE333" s="31"/>
      <c r="BF333" s="31"/>
      <c r="BG333" s="31"/>
      <c r="BH333" s="31"/>
      <c r="BI333" s="31"/>
      <c r="BJ333" s="31"/>
      <c r="BK333" s="31"/>
      <c r="BL333" s="31"/>
      <c r="BM333" s="31"/>
      <c r="BN333" s="31"/>
      <c r="BO333" s="31"/>
      <c r="BP333" s="31"/>
      <c r="BQ333" s="31"/>
      <c r="BR333" s="31"/>
      <c r="BS333" s="31"/>
      <c r="BT333" s="31"/>
      <c r="BU333" s="31"/>
      <c r="BV333" s="31"/>
      <c r="BW333" s="31"/>
      <c r="BX333" s="31"/>
      <c r="BY333" s="31"/>
      <c r="BZ333" s="31"/>
      <c r="CA333" s="31"/>
      <c r="CB333" s="31"/>
    </row>
    <row r="334" spans="2:80"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  <c r="AK334" s="31"/>
      <c r="AL334" s="31"/>
      <c r="AM334" s="31"/>
      <c r="AN334" s="31"/>
      <c r="AO334" s="31"/>
      <c r="AP334" s="31"/>
      <c r="AQ334" s="31"/>
      <c r="AR334" s="31"/>
      <c r="AS334" s="31"/>
      <c r="AT334" s="31"/>
      <c r="AU334" s="31"/>
      <c r="AV334" s="31"/>
      <c r="AW334" s="31"/>
      <c r="AX334" s="31"/>
      <c r="AY334" s="31"/>
      <c r="AZ334" s="31"/>
      <c r="BA334" s="31"/>
      <c r="BB334" s="31"/>
      <c r="BC334" s="31"/>
      <c r="BD334" s="31"/>
      <c r="BE334" s="31"/>
      <c r="BF334" s="31"/>
      <c r="BG334" s="31"/>
      <c r="BH334" s="31"/>
      <c r="BI334" s="31"/>
      <c r="BJ334" s="31"/>
      <c r="BK334" s="31"/>
      <c r="BL334" s="31"/>
      <c r="BM334" s="31"/>
      <c r="BN334" s="31"/>
      <c r="BO334" s="31"/>
      <c r="BP334" s="31"/>
      <c r="BQ334" s="31"/>
      <c r="BR334" s="31"/>
      <c r="BS334" s="31"/>
      <c r="BT334" s="31"/>
      <c r="BU334" s="31"/>
      <c r="BV334" s="31"/>
      <c r="BW334" s="31"/>
      <c r="BX334" s="31"/>
      <c r="BY334" s="31"/>
      <c r="BZ334" s="31"/>
      <c r="CA334" s="31"/>
      <c r="CB334" s="31"/>
    </row>
  </sheetData>
  <hyperlinks>
    <hyperlink ref="A1" location="Main!A1" display="Main" xr:uid="{13B3A9A0-1460-4562-AC2B-DA633B46C06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Portfolio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2025-08-19T16:02:03Z</dcterms:created>
  <dcterms:modified xsi:type="dcterms:W3CDTF">2026-08-05T15:57:45Z</dcterms:modified>
</cp:coreProperties>
</file>