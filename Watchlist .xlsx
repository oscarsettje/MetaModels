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externalLinks/externalLink7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46A326EA-C509-43AB-A6D9-C12921C7616A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  <externalReference r:id="rId8"/>
    <externalReference r:id="rId9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1" i="1" l="1"/>
  <c r="F11" i="1"/>
  <c r="H11" i="1" s="1"/>
  <c r="E11" i="1"/>
  <c r="M11" i="1" s="1"/>
  <c r="G10" i="1" l="1"/>
  <c r="F10" i="1"/>
  <c r="E10" i="1"/>
  <c r="M10" i="1" s="1"/>
  <c r="H10" i="1" l="1"/>
  <c r="G9" i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<sst xmlns="http://schemas.openxmlformats.org/spreadsheetml/2006/main" count="67" uniqueCount="55">
  <si>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</si>
  <si>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</si>
  <si>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</si>
  <si>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</si>
  <si>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</si>
  <si>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</si>
  <si>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</si>
  <si>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</si>
  <si>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</si>
  <si>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</si>
  <si>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</si>
  <si>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</si>
  <si>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</si>
  <si>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</si>
  <si>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</si>
  <si>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</si>
  <si>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</si>
  <si>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</si>
  <si>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</si>
  <si>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</si>
  <si>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</si>
  <si>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</si>
  <si>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</si>
  <si>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</si>
  <si>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</si>
  <si>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</si>
  <si>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</si>
  <si>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</si>
  <si>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</si>
  <si>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</si>
  <si>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</si>
  <si>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</si>
  <si>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</si>
  <si>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</si>
  <si>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</si>
  <si>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</si>
  <si>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</si>
  <si>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</si>
  <si>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</si>
  <si>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</si>
  <si>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</si>
  <si>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</si>
  <si>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</si>
  <si>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</si>
  <si>
    <t>Brunello Cuchinelli</t>
  </si>
  <si>
    <t>ITA</t>
  </si>
  <si>
    <t>BC.MI</t>
  </si>
  <si>
    <t>Luxury Apperal</t>
  </si>
  <si>
    <t>20% drop after Short Report</t>
  </si>
  <si>
    <t>Pop Mart</t>
  </si>
  <si>
    <t>9992.HK</t>
  </si>
  <si>
    <t>CHI</t>
  </si>
  <si>
    <t>Toys</t>
  </si>
  <si>
    <t>longs</t>
  </si>
  <si>
    <t>Labubu Hype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</si>
</sst>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8" fillId="0" borderId="0" applyFill="0" applyBorder="0" applyAlignment="0" applyProtection="0"/>
    <xf numFmtId="9" fontId="9" fillId="0" borderId="0" applyFont="0" applyFill="0" applyBorder="0" applyAlignment="0" applyProtection="0"/>
  </cellStyleXfs>
  <cellXfs count="23">
    <xf numFmtId="0" fontId="0" fillId="0" borderId="0" xfId="0"/>
    <xf numFmtId="0" fontId="6" fillId="0" borderId="0" xfId="0" applyFont="1"/>
    <xf numFmtId="0" fontId="7" fillId="0" borderId="0" xfId="0" applyFont="1"/>
    <xf numFmtId="0" fontId="5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/>
    <xf numFmtId="0" fontId="4" fillId="0" borderId="0" xfId="0" applyFont="1" applyAlignment="1">
      <alignment horizontal="right"/>
    </xf>
    <xf numFmtId="0" fontId="4" fillId="0" borderId="0" xfId="0" applyFont="1"/>
    <xf numFmtId="0" fontId="4" fillId="0" borderId="0" xfId="0" applyFont="1" applyAlignment="1">
      <alignment horizontal="left"/>
    </xf>
    <xf numFmtId="0" fontId="4" fillId="0" borderId="0" xfId="0" applyFont="1" applyAlignment="1">
      <alignment horizontal="center"/>
    </xf>
    <xf numFmtId="164" fontId="4" fillId="0" borderId="0" xfId="0" applyNumberFormat="1" applyFont="1"/>
    <xf numFmtId="16" fontId="4" fillId="0" borderId="0" xfId="0" applyNumberFormat="1" applyFont="1"/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0" xfId="0" applyFont="1" applyAlignment="1">
      <alignment horizontal="left"/>
    </xf>
    <xf numFmtId="0" fontId="2" fillId="0" borderId="0" xfId="0" applyFont="1" applyAlignment="1">
      <alignment horizontal="right"/>
    </xf>
    <xf numFmtId="9" fontId="4" fillId="0" borderId="0" xfId="2" applyFont="1"/>
    <xf numFmtId="9" fontId="4" fillId="0" borderId="0" xfId="0" applyNumberFormat="1" applyFont="1"/>
    <xf numFmtId="0" fontId="1" fillId="0" borderId="0" xfId="0" applyFont="1"/>
    <xf numFmtId="0" fontId="1" fillId="0" borderId="0" xfId="0" applyFont="1" applyAlignment="1">
      <alignment horizontal="left"/>
    </xf>
    <xf numFmtId="0" fontId="1" fillId="0" borderId="0" xfId="0" applyFont="1" applyAlignment="1">
      <alignment horizontal="right"/>
    </xf>
  </cellXfs>
  <cellStyles count="3">
    <cellStyle name="Hyperlink" xfId="1" builtinId="8" customBuiltin="1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6.xml"/><Relationship Id="rId13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styles" Target="styles.xml"/><Relationship Id="rId5" Type="http://schemas.openxmlformats.org/officeDocument/2006/relationships/externalLink" Target="externalLinks/externalLink3.xml"/><Relationship Id="rId10" Type="http://schemas.openxmlformats.org/officeDocument/2006/relationships/theme" Target="theme/theme1.xml"/><Relationship Id="rId4" Type="http://schemas.openxmlformats.org/officeDocument/2006/relationships/externalLink" Target="externalLinks/externalLink2.xml"/><Relationship Id="rId9" Type="http://schemas.openxmlformats.org/officeDocument/2006/relationships/externalLink" Target="externalLinks/externalLink7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_rels/externalLink6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C.MI.xlsx" TargetMode="External"/><Relationship Id="rId1" Type="http://schemas.openxmlformats.org/officeDocument/2006/relationships/externalLinkPath" Target="/1.Finance/Anaylsen/Models/BC.MI.xlsx" TargetMode="External"/></Relationships>
</file>

<file path=xl/externalLinks/_rels/externalLink7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9992.HK.xlsx" TargetMode="External"/><Relationship Id="rId1" Type="http://schemas.openxmlformats.org/officeDocument/2006/relationships/externalLinkPath" Target="/1.Finance/Anaylsen/Models/9992.HK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78.3</v>
          </cell>
        </row>
        <row r="4">
          <cell r="J4">
            <v>1574.7186267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8.16</v>
          </cell>
        </row>
        <row r="4">
          <cell r="I4">
            <v>13789.033738560001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35.450000000000003</v>
          </cell>
        </row>
        <row r="4">
          <cell r="H4">
            <v>5419.0373789000005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 refreshError="1"/>
      <sheetData sheetId="2" refreshError="1"/>
      <sheetData sheetId="3" refreshError="1"/>
      <sheetData sheetId="4" refreshError="1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172</v>
          </cell>
        </row>
        <row r="5">
          <cell r="J5">
            <v>3002397.5999999996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85.3</v>
          </cell>
        </row>
        <row r="4">
          <cell r="J4">
            <v>5799.8605627999996</v>
          </cell>
        </row>
        <row r="5">
          <cell r="J5">
            <v>243.84100000000001</v>
          </cell>
        </row>
        <row r="6">
          <cell r="J6">
            <v>7.04</v>
          </cell>
        </row>
      </sheetData>
      <sheetData sheetId="1"/>
    </sheetDataSet>
  </externalBook>
</externalLink>
</file>

<file path=xl/externalLinks/externalLink7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256.39999999999998</v>
          </cell>
        </row>
        <row r="4">
          <cell r="I4">
            <v>340780.2144</v>
          </cell>
        </row>
        <row r="5">
          <cell r="I5">
            <v>13765.710999999999</v>
          </cell>
        </row>
        <row r="6">
          <cell r="I6">
            <v>0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7" Type="http://schemas.openxmlformats.org/officeDocument/2006/relationships/hyperlink" Target="..\Models\9992.HK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6" Type="http://schemas.openxmlformats.org/officeDocument/2006/relationships/hyperlink" Target="..\Models\BC.MI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B8" sqref="B8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-7.864442176608788E-2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78.3</v>
      </c>
      <c r="F5" s="12">
        <f>+[1]Main!$J$4*FX!C2</f>
        <v>1842.4207932389997</v>
      </c>
      <c r="G5" s="12">
        <f>(+[1]Main!$J$6-[1]Main!$J$5)*FX!C2</f>
        <v>156.81744000000003</v>
      </c>
      <c r="H5" s="12">
        <f t="shared" ref="H5:H11" si="0">+F5+G5</f>
        <v>1999.2382332389998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-0.21068548387096775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8.16</v>
      </c>
      <c r="F6" s="12">
        <f>+[2]Main!$I$4</f>
        <v>13789.033738560001</v>
      </c>
      <c r="G6" s="12">
        <f>+[2]Main!$I$6-[2]Main!$I$5</f>
        <v>682.92700000000013</v>
      </c>
      <c r="H6" s="12">
        <f t="shared" si="0"/>
        <v>14471.960738560001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11" si="1">+E6/L6-1</f>
        <v>9.6774193548387011E-2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2">+A6+1</f>
        <v>3</v>
      </c>
      <c r="B7" s="7" t="s">
        <v>27</v>
      </c>
      <c r="C7" s="9" t="s">
        <v>28</v>
      </c>
      <c r="D7" s="9" t="s">
        <v>29</v>
      </c>
      <c r="E7" s="9">
        <f>+[3]Main!$I$2</f>
        <v>177.4</v>
      </c>
      <c r="F7" s="12">
        <f>+[3]Main!$I$4</f>
        <v>20129.237746800001</v>
      </c>
      <c r="G7" s="12">
        <f>+[3]Main!$I$6-[3]Main!$I$5</f>
        <v>-1155.7940000000001</v>
      </c>
      <c r="H7" s="12">
        <f t="shared" si="0"/>
        <v>18973.4437468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1"/>
        <v>-0.10571154912537173</v>
      </c>
      <c r="O7" s="10" t="s">
        <v>35</v>
      </c>
      <c r="P7" s="9" t="s">
        <v>21</v>
      </c>
    </row>
    <row r="8" spans="1:17" x14ac:dyDescent="0.2">
      <c r="A8" s="11">
        <f t="shared" si="2"/>
        <v>4</v>
      </c>
      <c r="B8" s="7" t="s">
        <v>31</v>
      </c>
      <c r="C8" s="9" t="s">
        <v>30</v>
      </c>
      <c r="D8" s="9" t="s">
        <v>24</v>
      </c>
      <c r="E8" s="9">
        <f>+[4]Main!$H$2</f>
        <v>35.450000000000003</v>
      </c>
      <c r="F8" s="12">
        <f>+[4]Main!$H$4</f>
        <v>5419.0373789000005</v>
      </c>
      <c r="G8" s="12">
        <f>+[4]Main!$H$6-[4]Main!$H$5</f>
        <v>1242.8240000000001</v>
      </c>
      <c r="H8" s="12">
        <f t="shared" si="0"/>
        <v>6661.861378900001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1"/>
        <v>-0.14164648910411615</v>
      </c>
      <c r="O8" s="10" t="s">
        <v>34</v>
      </c>
      <c r="P8" s="9" t="s">
        <v>21</v>
      </c>
    </row>
    <row r="9" spans="1:17" x14ac:dyDescent="0.2">
      <c r="A9" s="11">
        <f t="shared" si="2"/>
        <v>5</v>
      </c>
      <c r="B9" s="7" t="s">
        <v>37</v>
      </c>
      <c r="C9" s="14" t="s">
        <v>38</v>
      </c>
      <c r="D9" s="14" t="s">
        <v>39</v>
      </c>
      <c r="E9" s="9">
        <f>+[5]Main!$J$2</f>
        <v>172</v>
      </c>
      <c r="F9" s="12">
        <f>+[5]Main!$J$5*FX!C3</f>
        <v>420335.66399999999</v>
      </c>
      <c r="G9" s="12">
        <f>+([5]Main!$J$7-[5]Main!$J$6)*FX!C3</f>
        <v>-41909.560000000005</v>
      </c>
      <c r="H9" s="12">
        <f t="shared" si="0"/>
        <v>378426.10399999999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1"/>
        <v>0.28262490678598073</v>
      </c>
      <c r="O9" s="16" t="s">
        <v>41</v>
      </c>
      <c r="P9" s="14" t="s">
        <v>21</v>
      </c>
    </row>
    <row r="10" spans="1:17" x14ac:dyDescent="0.2">
      <c r="A10" s="11">
        <f t="shared" si="2"/>
        <v>6</v>
      </c>
      <c r="B10" s="7" t="s">
        <v>44</v>
      </c>
      <c r="C10" s="20" t="s">
        <v>46</v>
      </c>
      <c r="D10" s="20" t="s">
        <v>45</v>
      </c>
      <c r="E10" s="9">
        <f>+[6]Main!$J$2</f>
        <v>85.3</v>
      </c>
      <c r="F10" s="12">
        <f>+([6]Main!$J$4)*FX!C2</f>
        <v>6785.8368584759992</v>
      </c>
      <c r="G10" s="12">
        <f>+([6]Main!$J$6-[6]Main!$J$5)*FX!C2</f>
        <v>-277.05716999999999</v>
      </c>
      <c r="H10" s="12">
        <f t="shared" si="0"/>
        <v>6508.7796884759991</v>
      </c>
      <c r="I10" s="22" t="s">
        <v>18</v>
      </c>
      <c r="J10" s="13">
        <v>45946</v>
      </c>
      <c r="K10" s="13">
        <v>45926</v>
      </c>
      <c r="L10" s="9">
        <v>85.3</v>
      </c>
      <c r="M10" s="18">
        <f t="shared" si="1"/>
        <v>0</v>
      </c>
      <c r="O10" s="21" t="s">
        <v>47</v>
      </c>
      <c r="P10" s="14" t="s">
        <v>21</v>
      </c>
      <c r="Q10" s="20" t="s">
        <v>48</v>
      </c>
    </row>
    <row r="11" spans="1:17" x14ac:dyDescent="0.2">
      <c r="A11" s="11">
        <f t="shared" si="2"/>
        <v>7</v>
      </c>
      <c r="B11" s="7" t="s">
        <v>49</v>
      </c>
      <c r="C11" s="20" t="s">
        <v>50</v>
      </c>
      <c r="D11" s="20" t="s">
        <v>51</v>
      </c>
      <c r="E11" s="9">
        <f>+[7]Main!$I$2</f>
        <v>256.39999999999998</v>
      </c>
      <c r="F11" s="12">
        <f>+[7]Main!$I$4*FX!C3</f>
        <v>47709.230016000001</v>
      </c>
      <c r="G11" s="12">
        <f>+([7]Main!$I$6-[7]Main!$I$5)*FX!C3</f>
        <v>-1927.1995400000001</v>
      </c>
      <c r="H11" s="12">
        <f t="shared" si="0"/>
        <v>45782.030476</v>
      </c>
      <c r="I11" s="22" t="s">
        <v>18</v>
      </c>
      <c r="K11" s="13">
        <v>45926</v>
      </c>
      <c r="L11" s="9">
        <v>256.39999999999998</v>
      </c>
      <c r="M11" s="18">
        <f t="shared" si="1"/>
        <v>0</v>
      </c>
      <c r="O11" s="21" t="s">
        <v>52</v>
      </c>
      <c r="P11" s="20" t="s">
        <v>53</v>
      </c>
      <c r="Q11" s="20" t="s">
        <v>54</v>
      </c>
    </row>
    <row r="12" spans="1:17" x14ac:dyDescent="0.2">
      <c r="A12" s="11">
        <f t="shared" si="2"/>
        <v>8</v>
      </c>
      <c r="B12" s="7"/>
      <c r="F12" s="12"/>
      <c r="G12" s="12"/>
      <c r="H12" s="12"/>
      <c r="I12" s="8"/>
    </row>
    <row r="13" spans="1:17" x14ac:dyDescent="0.2">
      <c r="A13" s="11">
        <f t="shared" si="2"/>
        <v>9</v>
      </c>
      <c r="B13" s="7"/>
      <c r="F13" s="12"/>
      <c r="G13" s="12"/>
      <c r="H13" s="12"/>
      <c r="I13" s="8"/>
    </row>
    <row r="14" spans="1:17" x14ac:dyDescent="0.2">
      <c r="A14" s="11">
        <f t="shared" si="2"/>
        <v>10</v>
      </c>
      <c r="B14" s="7"/>
      <c r="F14" s="12"/>
      <c r="G14" s="12"/>
      <c r="H14" s="12"/>
      <c r="I14" s="8"/>
    </row>
    <row r="15" spans="1:17" x14ac:dyDescent="0.2">
      <c r="A15" s="11">
        <f t="shared" si="2"/>
        <v>11</v>
      </c>
      <c r="B15" s="7"/>
      <c r="F15" s="12"/>
      <c r="G15" s="12"/>
      <c r="H15" s="12"/>
      <c r="I15" s="8"/>
    </row>
    <row r="16" spans="1:17" x14ac:dyDescent="0.2">
      <c r="A16" s="11">
        <f t="shared" si="2"/>
        <v>12</v>
      </c>
      <c r="F16" s="12"/>
      <c r="G16" s="12"/>
      <c r="H16" s="12"/>
      <c r="I16" s="8"/>
    </row>
    <row r="17" spans="1:9" x14ac:dyDescent="0.2">
      <c r="A17" s="11">
        <f t="shared" si="2"/>
        <v>13</v>
      </c>
      <c r="F17" s="12"/>
      <c r="G17" s="12"/>
      <c r="H17" s="12"/>
      <c r="I17" s="8"/>
    </row>
    <row r="18" spans="1:9" x14ac:dyDescent="0.2">
      <c r="A18" s="11">
        <f t="shared" si="2"/>
        <v>14</v>
      </c>
      <c r="F18" s="12"/>
      <c r="G18" s="12"/>
      <c r="H18" s="12"/>
      <c r="I18" s="8"/>
    </row>
    <row r="19" spans="1:9" x14ac:dyDescent="0.2">
      <c r="A19" s="11">
        <f t="shared" si="2"/>
        <v>15</v>
      </c>
      <c r="F19" s="12"/>
      <c r="G19" s="12"/>
      <c r="H19" s="12"/>
      <c r="I19" s="8"/>
    </row>
    <row r="20" spans="1:9" x14ac:dyDescent="0.2">
      <c r="A20" s="11">
        <f t="shared" si="2"/>
        <v>16</v>
      </c>
      <c r="F20" s="12"/>
      <c r="G20" s="12"/>
      <c r="H20" s="12"/>
      <c r="I20" s="8"/>
    </row>
    <row r="21" spans="1:9" x14ac:dyDescent="0.2">
      <c r="A21" s="11">
        <f t="shared" si="2"/>
        <v>17</v>
      </c>
      <c r="F21" s="12"/>
      <c r="G21" s="12"/>
      <c r="H21" s="12"/>
      <c r="I21" s="8"/>
    </row>
    <row r="22" spans="1:9" x14ac:dyDescent="0.2">
      <c r="A22" s="11">
        <f t="shared" si="2"/>
        <v>18</v>
      </c>
      <c r="F22" s="12"/>
      <c r="G22" s="12"/>
      <c r="H22" s="12"/>
      <c r="I22" s="8"/>
    </row>
    <row r="23" spans="1:9" x14ac:dyDescent="0.2">
      <c r="A23" s="11">
        <f t="shared" si="2"/>
        <v>19</v>
      </c>
      <c r="F23" s="12"/>
      <c r="G23" s="12"/>
      <c r="H23" s="12"/>
      <c r="I23" s="8"/>
    </row>
    <row r="24" spans="1:9" x14ac:dyDescent="0.2">
      <c r="A24" s="11">
        <f t="shared" si="2"/>
        <v>20</v>
      </c>
      <c r="F24" s="12"/>
      <c r="G24" s="12"/>
      <c r="H24" s="12"/>
      <c r="I24" s="8"/>
    </row>
    <row r="25" spans="1:9" x14ac:dyDescent="0.2">
      <c r="A25" s="11">
        <f t="shared" si="2"/>
        <v>21</v>
      </c>
      <c r="F25" s="12"/>
      <c r="G25" s="12"/>
      <c r="H25" s="12"/>
      <c r="I25" s="8"/>
    </row>
    <row r="26" spans="1:9" x14ac:dyDescent="0.2">
      <c r="A26" s="11">
        <f t="shared" si="2"/>
        <v>22</v>
      </c>
      <c r="F26" s="12"/>
      <c r="G26" s="12"/>
      <c r="H26" s="12"/>
      <c r="I26" s="8"/>
    </row>
    <row r="27" spans="1:9" x14ac:dyDescent="0.2">
      <c r="A27" s="11">
        <f t="shared" si="2"/>
        <v>23</v>
      </c>
      <c r="F27" s="12"/>
      <c r="G27" s="12"/>
      <c r="H27" s="12"/>
      <c r="I27" s="8"/>
    </row>
    <row r="28" spans="1:9" x14ac:dyDescent="0.2">
      <c r="A28" s="11">
        <f t="shared" si="2"/>
        <v>24</v>
      </c>
      <c r="F28" s="12"/>
      <c r="G28" s="12"/>
      <c r="H28" s="12"/>
      <c r="I28" s="8"/>
    </row>
    <row r="29" spans="1:9" x14ac:dyDescent="0.2">
      <c r="A29" s="11">
        <f t="shared" si="2"/>
        <v>25</v>
      </c>
      <c r="F29" s="12"/>
      <c r="G29" s="12"/>
      <c r="H29" s="12"/>
      <c r="I29" s="8"/>
    </row>
    <row r="30" spans="1:9" x14ac:dyDescent="0.2">
      <c r="A30" s="11">
        <f t="shared" si="2"/>
        <v>26</v>
      </c>
      <c r="F30" s="12"/>
      <c r="G30" s="12"/>
      <c r="H30" s="12"/>
      <c r="I30" s="8"/>
    </row>
    <row r="31" spans="1:9" x14ac:dyDescent="0.2">
      <c r="A31" s="11">
        <f t="shared" si="2"/>
        <v>27</v>
      </c>
      <c r="F31" s="12"/>
      <c r="G31" s="12"/>
      <c r="H31" s="12"/>
      <c r="I31" s="8"/>
    </row>
    <row r="32" spans="1:9" x14ac:dyDescent="0.2">
      <c r="A32" s="11">
        <f t="shared" si="2"/>
        <v>28</v>
      </c>
      <c r="F32" s="12"/>
      <c r="G32" s="12"/>
      <c r="H32" s="12"/>
      <c r="I32" s="8"/>
    </row>
    <row r="33" spans="1:9" x14ac:dyDescent="0.2">
      <c r="A33" s="11">
        <f t="shared" si="2"/>
        <v>29</v>
      </c>
      <c r="F33" s="12"/>
      <c r="G33" s="12"/>
      <c r="H33" s="12"/>
      <c r="I33" s="8"/>
    </row>
    <row r="34" spans="1:9" x14ac:dyDescent="0.2">
      <c r="A34" s="11">
        <f t="shared" si="2"/>
        <v>30</v>
      </c>
      <c r="F34" s="12"/>
      <c r="G34" s="12"/>
      <c r="H34" s="12"/>
      <c r="I34" s="8"/>
    </row>
    <row r="35" spans="1:9" x14ac:dyDescent="0.2">
      <c r="A35" s="11">
        <f t="shared" si="2"/>
        <v>31</v>
      </c>
      <c r="F35" s="12"/>
      <c r="G35" s="12"/>
      <c r="H35" s="12"/>
      <c r="I35" s="8"/>
    </row>
    <row r="36" spans="1:9" x14ac:dyDescent="0.2">
      <c r="A36" s="11">
        <f t="shared" si="2"/>
        <v>32</v>
      </c>
      <c r="F36" s="12"/>
      <c r="G36" s="12"/>
      <c r="H36" s="12"/>
      <c r="I36" s="8"/>
    </row>
    <row r="37" spans="1:9" x14ac:dyDescent="0.2">
      <c r="A37" s="11">
        <f t="shared" si="2"/>
        <v>33</v>
      </c>
      <c r="F37" s="12"/>
      <c r="G37" s="12"/>
      <c r="H37" s="12"/>
      <c r="I37" s="8"/>
    </row>
    <row r="38" spans="1:9" x14ac:dyDescent="0.2">
      <c r="A38" s="11">
        <f t="shared" si="2"/>
        <v>34</v>
      </c>
      <c r="F38" s="12"/>
      <c r="G38" s="12"/>
      <c r="H38" s="12"/>
      <c r="I38" s="8"/>
    </row>
    <row r="39" spans="1:9" x14ac:dyDescent="0.2">
      <c r="A39" s="11">
        <f t="shared" si="2"/>
        <v>35</v>
      </c>
      <c r="F39" s="12"/>
      <c r="G39" s="12"/>
      <c r="H39" s="12"/>
      <c r="I39" s="8"/>
    </row>
    <row r="40" spans="1:9" x14ac:dyDescent="0.2">
      <c r="A40" s="11">
        <f t="shared" si="2"/>
        <v>36</v>
      </c>
      <c r="F40" s="12"/>
      <c r="G40" s="12"/>
      <c r="H40" s="12"/>
      <c r="I40" s="8"/>
    </row>
    <row r="41" spans="1:9" x14ac:dyDescent="0.2">
      <c r="A41" s="11">
        <f t="shared" si="2"/>
        <v>37</v>
      </c>
      <c r="F41" s="12"/>
      <c r="G41" s="12"/>
      <c r="H41" s="12"/>
      <c r="I41" s="8"/>
    </row>
    <row r="42" spans="1:9" x14ac:dyDescent="0.2">
      <c r="A42" s="11">
        <f t="shared" si="2"/>
        <v>38</v>
      </c>
      <c r="F42" s="12"/>
      <c r="G42" s="12"/>
      <c r="H42" s="12"/>
      <c r="I42" s="8"/>
    </row>
    <row r="43" spans="1:9" x14ac:dyDescent="0.2">
      <c r="A43" s="11">
        <f t="shared" si="2"/>
        <v>39</v>
      </c>
      <c r="F43" s="12"/>
      <c r="G43" s="12"/>
      <c r="H43" s="12"/>
      <c r="I43" s="8"/>
    </row>
    <row r="44" spans="1:9" x14ac:dyDescent="0.2">
      <c r="A44" s="11">
        <f t="shared" si="2"/>
        <v>40</v>
      </c>
      <c r="F44" s="12"/>
      <c r="G44" s="12"/>
      <c r="H44" s="12"/>
      <c r="I44" s="8"/>
    </row>
    <row r="45" spans="1:9" x14ac:dyDescent="0.2">
      <c r="A45" s="11">
        <f t="shared" si="2"/>
        <v>41</v>
      </c>
      <c r="F45" s="12"/>
      <c r="G45" s="12"/>
      <c r="H45" s="12"/>
      <c r="I45" s="8"/>
    </row>
    <row r="46" spans="1:9" x14ac:dyDescent="0.2">
      <c r="A46" s="11">
        <f t="shared" si="2"/>
        <v>42</v>
      </c>
      <c r="F46" s="12"/>
      <c r="G46" s="12"/>
      <c r="H46" s="12"/>
      <c r="I46" s="8"/>
    </row>
    <row r="47" spans="1:9" x14ac:dyDescent="0.2">
      <c r="A47" s="11">
        <f t="shared" si="2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  <hyperlink ref="B10" r:id="rId6" xr:uid="{2F35C231-9D4B-4712-94E5-6754F841B088}"/>
    <hyperlink ref="B11" r:id="rId7" xr:uid="{AED81220-75B7-4217-BDBB-E6654FE0922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2025-09-30T08:32:39Z</dcterms:modified>
</cp:coreProperties>
</file>