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CF1A41BE-BE24-48BC-9310-69AB7D3AABDC}" xr6:coauthVersionLast="47" xr6:coauthVersionMax="47" xr10:uidLastSave="{00000000-0000-0000-0000-000000000000}"/>
  <bookViews>
    <workbookView xWindow="225" yWindow="1950" windowWidth="38175" windowHeight="15240" activeTab="1" xr2:uid="{17ABFCAF-F8B8-4F77-A601-F3F3D02F1763}"/>
  </bookViews>
  <sheets>
    <sheet name="Main" sheetId="1" r:id="rId1"/>
    <sheet name="Portfolio" sheetId="3" r:id="rId2"/>
    <sheet name="FX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3" l="1"/>
  <c r="A8" i="3" s="1"/>
  <c r="A9" i="3" s="1"/>
  <c r="A10" i="3" s="1"/>
  <c r="A11" i="3" s="1"/>
  <c r="A12" i="3" s="1"/>
  <c r="A13" i="3" s="1"/>
  <c r="A14" i="3" s="1"/>
  <c r="A6" i="3"/>
  <c r="A14" i="1"/>
  <c r="G13" i="1" l="1"/>
  <c r="F13" i="1"/>
  <c r="E13" i="1"/>
  <c r="M13" i="1" s="1"/>
  <c r="H13" i="1" l="1"/>
  <c r="G12" i="1"/>
  <c r="F12" i="1"/>
  <c r="E12" i="1"/>
  <c r="M12" i="1" s="1"/>
  <c r="H12" i="1" l="1"/>
  <c r="G11" i="1"/>
  <c r="F11" i="1"/>
  <c r="E11" i="1"/>
  <c r="M11" i="1" s="1"/>
  <c r="H11" i="1" l="1"/>
  <c r="G10" i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A6" i="1" l="1"/>
  <c r="A7" i="1" s="1"/>
  <c r="A8" i="1" s="1"/>
  <c r="A9" i="1" s="1"/>
  <c r="A10" i="1" s="1"/>
  <c r="A11" i="1" s="1"/>
  <c r="A12" i="1" s="1"/>
  <c r="A13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</calcChain>
</file>

<file path=xl/sharedStrings.xml><?xml version="1.0" encoding="utf-8"?>
<sst xmlns="http://schemas.openxmlformats.org/spreadsheetml/2006/main" count="106" uniqueCount="69">
  <si>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</si>
  <si>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</si>
  <si>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</si>
  <si>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</si>
  <si>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</si>
  <si>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</si>
  <si>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</si>
  <si>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</si>
  <si>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</si>
  <si>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</si>
  <si>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</si>
  <si>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</si>
  <si>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</si>
  <si>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</si>
  <si>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</si>
  <si>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</si>
  <si>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</si>
  <si>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</si>
  <si>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</si>
  <si>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</si>
  <si>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</si>
  <si>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</si>
  <si>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</si>
  <si>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</si>
  <si>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</si>
  <si>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</si>
  <si>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</si>
  <si>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</si>
  <si>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</si>
  <si>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</si>
  <si>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</si>
  <si>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</si>
  <si>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</si>
  <si>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</si>
  <si>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</si>
  <si>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</si>
  <si>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</si>
  <si>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</si>
  <si>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</si>
  <si>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</si>
  <si>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</si>
  <si>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</si>
  <si>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</si>
  <si>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</si>
  <si>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</si>
  <si>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</si>
  <si>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</si>
  <si>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</si>
  <si>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</si>
  <si>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</si>
  <si>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</si>
  <si>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</si>
  <si>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</si>
  <si>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Labubu Hype</t>
  </si>
  <si>
    <t>EBAY</t>
  </si>
  <si>
    <t>Marketplace</t>
  </si>
  <si>
    <t>Fiserv</t>
  </si>
  <si>
    <t xml:space="preserve">Crash </t>
  </si>
  <si>
    <t>FI</t>
  </si>
  <si>
    <t>DKK/USD</t>
  </si>
  <si>
    <t>Q323</t>
  </si>
  <si>
    <t>FinTech</t>
  </si>
  <si>
    <t>Buy-In</t>
  </si>
  <si>
    <t>BAT</t>
  </si>
  <si>
    <t>Crocs</t>
  </si>
  <si>
    <t>PayPal</t>
  </si>
  <si>
    <t>Scandinavian Tobacco</t>
  </si>
  <si>
    <t>Porsche SE</t>
  </si>
  <si>
    <t>Frosta 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</si>
</sst>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2" fillId="0" borderId="0" applyFill="0" applyBorder="0" applyAlignment="0" applyProtection="0"/>
    <xf numFmtId="9" fontId="13" fillId="0" borderId="0" applyFont="0" applyFill="0" applyBorder="0" applyAlignment="0" applyProtection="0"/>
  </cellStyleXfs>
  <cellXfs count="31">
    <xf numFmtId="0" fontId="0" fillId="0" borderId="0" xfId="0"/>
    <xf numFmtId="0" fontId="10" fillId="0" borderId="0" xfId="0" applyFont="1"/>
    <xf numFmtId="0" fontId="11" fillId="0" borderId="0" xfId="0" applyFont="1"/>
    <xf numFmtId="0" fontId="9" fillId="0" borderId="0" xfId="0" applyFont="1"/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0" fontId="12" fillId="0" borderId="0" xfId="1"/>
    <xf numFmtId="0" fontId="8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0" applyNumberFormat="1" applyFont="1"/>
    <xf numFmtId="16" fontId="8" fillId="0" borderId="0" xfId="0" applyNumberFormat="1" applyFont="1"/>
    <xf numFmtId="0" fontId="7" fillId="0" borderId="0" xfId="0" applyFont="1"/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9" fontId="8" fillId="0" borderId="0" xfId="2" applyFont="1"/>
    <xf numFmtId="9" fontId="8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right"/>
    </xf>
    <xf numFmtId="16" fontId="4" fillId="0" borderId="0" xfId="0" applyNumberFormat="1" applyFont="1"/>
    <xf numFmtId="0" fontId="4" fillId="0" borderId="0" xfId="0" applyFont="1" applyAlignment="1">
      <alignment horizontal="left"/>
    </xf>
    <xf numFmtId="16" fontId="3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externalLink" Target="externalLinks/externalLink9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sharedStrings" Target="sharedStrings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C.F.xlsx" TargetMode="External"/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92.HK.xlsx" TargetMode="External"/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</sheetNames>
    <sheetDataSet>
      <sheetData sheetId="0">
        <row r="2">
          <cell r="J2">
            <v>43.24</v>
          </cell>
        </row>
        <row r="4">
          <cell r="J4">
            <v>869.61473076000004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5.75</v>
          </cell>
        </row>
        <row r="4">
          <cell r="I4">
            <v>9886.3120132500007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127.35</v>
          </cell>
        </row>
        <row r="4">
          <cell r="I4">
            <v>14069.968151849998</v>
          </cell>
        </row>
        <row r="5">
          <cell r="I5">
            <v>1807.202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51.9</v>
          </cell>
        </row>
        <row r="4">
          <cell r="H4">
            <v>7933.6541597999994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124.3</v>
          </cell>
        </row>
        <row r="5">
          <cell r="J5">
            <v>2169755.94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154.19999999999999</v>
          </cell>
        </row>
        <row r="4">
          <cell r="I4">
            <v>204946.60319999998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115.31</v>
          </cell>
        </row>
        <row r="4">
          <cell r="H4">
            <v>51658.880000000005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55.6</v>
          </cell>
        </row>
        <row r="4">
          <cell r="I4">
            <v>29904.564917200001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..\Models\EBAY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Relationship Id="rId9" Type="http://schemas.openxmlformats.org/officeDocument/2006/relationships/hyperlink" Target="..\Models\FI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0"/>
  <sheetViews>
    <sheetView zoomScale="200" zoomScaleNormal="200" workbookViewId="0">
      <pane ySplit="4" topLeftCell="A5" activePane="bottomLeft" state="frozen"/>
      <selection pane="bottomLeft" sqref="A1:XFD14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/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43.24</v>
      </c>
      <c r="F5" s="12">
        <f>+[1]Main!$J$4*FX!C2</f>
        <v>1017.4492349892</v>
      </c>
      <c r="G5" s="12">
        <f>(+[1]Main!$J$6-[1]Main!$J$5)*FX!C2</f>
        <v>156.81744000000003</v>
      </c>
      <c r="H5" s="12">
        <f t="shared" ref="H5:H13" si="0">+F5+G5</f>
        <v>1174.2666749892001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-0.56411290322580643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5.75</v>
      </c>
      <c r="F6" s="12">
        <f>+[2]Main!$I$4</f>
        <v>9886.3120132500007</v>
      </c>
      <c r="G6" s="12">
        <f>+[2]Main!$I$6-[2]Main!$I$5</f>
        <v>544.51200000000017</v>
      </c>
      <c r="H6" s="12">
        <f t="shared" si="0"/>
        <v>10430.824013250001</v>
      </c>
      <c r="I6" s="8" t="s">
        <v>18</v>
      </c>
      <c r="J6" s="27">
        <v>45958</v>
      </c>
      <c r="K6" s="13">
        <v>45889</v>
      </c>
      <c r="L6" s="9">
        <v>7.44</v>
      </c>
      <c r="M6" s="18">
        <f t="shared" ref="M6:M10" si="1">+E6/L6-1</f>
        <v>-0.22715053763440862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6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127.35</v>
      </c>
      <c r="F7" s="12">
        <f>+[3]Main!$I$4</f>
        <v>14069.968151849998</v>
      </c>
      <c r="G7" s="12">
        <f>+[3]Main!$I$6-[3]Main!$I$5</f>
        <v>-1807.202</v>
      </c>
      <c r="H7" s="12">
        <f t="shared" si="0"/>
        <v>12262.766151849999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-0.35801784544033877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51.9</v>
      </c>
      <c r="F8" s="12">
        <f>+[4]Main!$H$4</f>
        <v>7933.6541597999994</v>
      </c>
      <c r="G8" s="12">
        <f>+[4]Main!$H$6-[4]Main!$H$5</f>
        <v>1242.8240000000001</v>
      </c>
      <c r="H8" s="12">
        <f t="shared" si="0"/>
        <v>9176.478159799999</v>
      </c>
      <c r="I8" s="8" t="s">
        <v>18</v>
      </c>
      <c r="J8" s="13">
        <v>45953</v>
      </c>
      <c r="K8" s="13">
        <v>45902</v>
      </c>
      <c r="L8" s="9">
        <v>41.3</v>
      </c>
      <c r="M8" s="18">
        <f t="shared" si="1"/>
        <v>0.2566585956416465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124.3</v>
      </c>
      <c r="F9" s="12">
        <f>+[5]Main!$J$5*FX!C3</f>
        <v>303765.83160000003</v>
      </c>
      <c r="G9" s="12">
        <f>+([5]Main!$J$7-[5]Main!$J$6)*FX!C3</f>
        <v>-41909.560000000005</v>
      </c>
      <c r="H9" s="12">
        <f t="shared" si="0"/>
        <v>261856.27160000004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-7.30797912005966E-2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86.1</v>
      </c>
      <c r="F10" s="12">
        <f>+([6]Main!$J$4)*FX!C2</f>
        <v>6849.4789392119992</v>
      </c>
      <c r="G10" s="12">
        <f>+([6]Main!$J$6-[6]Main!$J$5)*FX!C2</f>
        <v>225.55494000000004</v>
      </c>
      <c r="H10" s="12">
        <f t="shared" si="0"/>
        <v>7075.0338792119992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9.3786635404453644E-3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154.19999999999999</v>
      </c>
      <c r="F11" s="12">
        <f>+[7]Main!$I$4*FX!C3</f>
        <v>28692.524448</v>
      </c>
      <c r="G11" s="12">
        <f>+([7]Main!$I$6-[7]Main!$I$5)*FX!C3</f>
        <v>-1927.1995400000001</v>
      </c>
      <c r="H11" s="12">
        <f t="shared" si="0"/>
        <v>26765.324907999999</v>
      </c>
      <c r="I11" s="22" t="s">
        <v>18</v>
      </c>
      <c r="J11" s="13">
        <v>46078</v>
      </c>
      <c r="K11" s="13">
        <v>45926</v>
      </c>
      <c r="L11" s="9">
        <v>256.39999999999998</v>
      </c>
      <c r="M11" s="18">
        <f>+E11/L11-1</f>
        <v>-0.39859594383775354</v>
      </c>
      <c r="O11" s="21" t="s">
        <v>52</v>
      </c>
      <c r="P11" s="14" t="s">
        <v>21</v>
      </c>
      <c r="Q11" s="20" t="s">
        <v>53</v>
      </c>
    </row>
    <row r="12" spans="1:17" x14ac:dyDescent="0.2">
      <c r="A12" s="11">
        <f t="shared" si="2"/>
        <v>8</v>
      </c>
      <c r="B12" s="7" t="s">
        <v>54</v>
      </c>
      <c r="C12" s="23" t="s">
        <v>54</v>
      </c>
      <c r="D12" s="23" t="s">
        <v>24</v>
      </c>
      <c r="E12" s="9">
        <f>+[8]Main!$H$2</f>
        <v>115.31</v>
      </c>
      <c r="F12" s="12">
        <f>+[8]Main!$H$4</f>
        <v>51658.880000000005</v>
      </c>
      <c r="G12" s="12">
        <f>+([8]Main!$H$6-[8]Main!$H$5)</f>
        <v>3827</v>
      </c>
      <c r="H12" s="12">
        <f t="shared" si="0"/>
        <v>55485.880000000005</v>
      </c>
      <c r="I12" s="24" t="s">
        <v>18</v>
      </c>
      <c r="J12" s="25">
        <v>45959</v>
      </c>
      <c r="K12" s="13">
        <v>45934</v>
      </c>
      <c r="L12" s="9">
        <v>92.17</v>
      </c>
      <c r="M12" s="18">
        <f>+E12/L12-1</f>
        <v>0.25105782792665732</v>
      </c>
      <c r="O12" s="26" t="s">
        <v>55</v>
      </c>
      <c r="P12" s="14" t="s">
        <v>21</v>
      </c>
    </row>
    <row r="13" spans="1:17" x14ac:dyDescent="0.2">
      <c r="A13" s="11">
        <f t="shared" si="2"/>
        <v>9</v>
      </c>
      <c r="B13" s="7" t="s">
        <v>56</v>
      </c>
      <c r="C13" s="28" t="s">
        <v>58</v>
      </c>
      <c r="D13" s="28" t="s">
        <v>24</v>
      </c>
      <c r="E13" s="9">
        <f>+[9]Main!$I$2</f>
        <v>55.6</v>
      </c>
      <c r="F13" s="12">
        <f>+[9]Main!$I$4</f>
        <v>29904.564917200001</v>
      </c>
      <c r="G13" s="12">
        <f>+[9]Main!$I$6-[9]Main!$I$5</f>
        <v>29131</v>
      </c>
      <c r="H13" s="12">
        <f t="shared" si="0"/>
        <v>59035.564917199998</v>
      </c>
      <c r="I13" s="29" t="s">
        <v>60</v>
      </c>
      <c r="K13" s="13">
        <v>45967</v>
      </c>
      <c r="L13" s="9">
        <v>62.5</v>
      </c>
      <c r="M13" s="18">
        <f>+E13/L13-1</f>
        <v>-0.11039999999999994</v>
      </c>
      <c r="O13" s="30" t="s">
        <v>61</v>
      </c>
      <c r="P13" s="14" t="s">
        <v>21</v>
      </c>
      <c r="Q13" s="28" t="s">
        <v>57</v>
      </c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  <c r="P14" s="14"/>
    </row>
    <row r="15" spans="1:17" x14ac:dyDescent="0.2">
      <c r="A15" s="11">
        <f t="shared" si="2"/>
        <v>11</v>
      </c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/>
      <c r="F47" s="12"/>
      <c r="G47" s="12"/>
      <c r="H47" s="12"/>
      <c r="I47" s="8"/>
    </row>
    <row r="48" spans="1:9" x14ac:dyDescent="0.2">
      <c r="A48" s="11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  <hyperlink ref="B12" r:id="rId8" xr:uid="{B5E94AC4-BA08-461E-866C-8E618213DE8F}"/>
    <hyperlink ref="B13" r:id="rId9" xr:uid="{393CB23F-6784-4298-AFD5-19F3BDBBFE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D887-56C2-45D2-86E7-3AD60D640181}">
  <dimension ref="A1:Q14"/>
  <sheetViews>
    <sheetView tabSelected="1" zoomScale="200" zoomScaleNormal="200" workbookViewId="0">
      <pane ySplit="4" topLeftCell="A5" activePane="bottomLeft" state="frozen"/>
      <selection pane="bottomLeft" activeCell="D10" sqref="D10"/>
    </sheetView>
  </sheetViews>
  <sheetFormatPr defaultRowHeight="15" x14ac:dyDescent="0.25"/>
  <cols>
    <col min="1" max="1" width="5" bestFit="1" customWidth="1"/>
    <col min="2" max="2" width="20.5703125" bestFit="1" customWidth="1"/>
  </cols>
  <sheetData>
    <row r="1" spans="1:17" s="9" customFormat="1" ht="12.75" x14ac:dyDescent="0.2">
      <c r="A1" s="7" t="s">
        <v>3</v>
      </c>
      <c r="O1" s="10"/>
    </row>
    <row r="2" spans="1:17" s="9" customFormat="1" ht="12.75" x14ac:dyDescent="0.2">
      <c r="A2" s="9" t="s">
        <v>1</v>
      </c>
      <c r="M2" s="19"/>
      <c r="O2" s="10"/>
    </row>
    <row r="3" spans="1:17" s="9" customFormat="1" ht="12.75" x14ac:dyDescent="0.2">
      <c r="O3" s="10"/>
    </row>
    <row r="4" spans="1:17" s="9" customFormat="1" ht="12.75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62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s="9" customFormat="1" ht="12.75" x14ac:dyDescent="0.2">
      <c r="A5" s="11">
        <v>1</v>
      </c>
      <c r="B5" s="7" t="s">
        <v>63</v>
      </c>
      <c r="F5" s="12"/>
      <c r="G5" s="12"/>
      <c r="H5" s="12"/>
      <c r="I5" s="8"/>
      <c r="J5" s="13"/>
      <c r="K5" s="13"/>
      <c r="M5" s="18"/>
      <c r="O5" s="10"/>
    </row>
    <row r="6" spans="1:17" s="9" customFormat="1" ht="12.75" x14ac:dyDescent="0.2">
      <c r="A6" s="11">
        <f>+A5+1</f>
        <v>2</v>
      </c>
      <c r="B6" s="7" t="s">
        <v>64</v>
      </c>
      <c r="F6" s="12"/>
      <c r="G6" s="12"/>
      <c r="H6" s="12"/>
      <c r="I6" s="8"/>
      <c r="J6" s="27"/>
      <c r="K6" s="13"/>
      <c r="M6" s="18"/>
      <c r="O6" s="10"/>
    </row>
    <row r="7" spans="1:17" s="9" customFormat="1" ht="12.75" x14ac:dyDescent="0.2">
      <c r="A7" s="11">
        <f t="shared" ref="A7:A14" si="0">+A6+1</f>
        <v>3</v>
      </c>
      <c r="B7" s="7" t="s">
        <v>65</v>
      </c>
      <c r="F7" s="12"/>
      <c r="G7" s="12"/>
      <c r="H7" s="12"/>
      <c r="I7" s="17"/>
      <c r="J7" s="13"/>
      <c r="K7" s="13"/>
      <c r="M7" s="18"/>
      <c r="O7" s="10"/>
    </row>
    <row r="8" spans="1:17" s="9" customFormat="1" ht="12.75" x14ac:dyDescent="0.2">
      <c r="A8" s="11">
        <f t="shared" si="0"/>
        <v>4</v>
      </c>
      <c r="B8" s="7" t="s">
        <v>66</v>
      </c>
      <c r="F8" s="12"/>
      <c r="G8" s="12"/>
      <c r="H8" s="12"/>
      <c r="I8" s="8"/>
      <c r="J8" s="13"/>
      <c r="K8" s="13"/>
      <c r="M8" s="18"/>
      <c r="O8" s="10"/>
    </row>
    <row r="9" spans="1:17" s="9" customFormat="1" ht="12.75" x14ac:dyDescent="0.2">
      <c r="A9" s="11">
        <f t="shared" si="0"/>
        <v>5</v>
      </c>
      <c r="B9" s="7" t="s">
        <v>67</v>
      </c>
      <c r="C9" s="14"/>
      <c r="D9" s="14"/>
      <c r="F9" s="12"/>
      <c r="G9" s="12"/>
      <c r="H9" s="12"/>
      <c r="I9" s="15"/>
      <c r="J9" s="13"/>
      <c r="K9" s="13"/>
      <c r="M9" s="18"/>
      <c r="O9" s="16"/>
      <c r="P9" s="14"/>
    </row>
    <row r="10" spans="1:17" s="9" customFormat="1" ht="12.75" x14ac:dyDescent="0.2">
      <c r="A10" s="11">
        <f t="shared" si="0"/>
        <v>6</v>
      </c>
      <c r="B10" s="7" t="s">
        <v>68</v>
      </c>
      <c r="C10" s="20"/>
      <c r="D10" s="20"/>
      <c r="F10" s="12"/>
      <c r="G10" s="12"/>
      <c r="H10" s="12"/>
      <c r="I10" s="22"/>
      <c r="J10" s="13"/>
      <c r="K10" s="13"/>
      <c r="M10" s="18"/>
      <c r="O10" s="21"/>
      <c r="P10" s="14"/>
      <c r="Q10" s="20"/>
    </row>
    <row r="11" spans="1:17" s="9" customFormat="1" ht="12.75" x14ac:dyDescent="0.2">
      <c r="A11" s="11">
        <f t="shared" si="0"/>
        <v>7</v>
      </c>
      <c r="B11" s="7"/>
      <c r="C11" s="20"/>
      <c r="D11" s="20"/>
      <c r="F11" s="12"/>
      <c r="G11" s="12"/>
      <c r="H11" s="12"/>
      <c r="I11" s="22"/>
      <c r="J11" s="13"/>
      <c r="K11" s="13"/>
      <c r="M11" s="18"/>
      <c r="O11" s="21"/>
      <c r="P11" s="14"/>
      <c r="Q11" s="20"/>
    </row>
    <row r="12" spans="1:17" s="9" customFormat="1" ht="12.75" x14ac:dyDescent="0.2">
      <c r="A12" s="11">
        <f t="shared" si="0"/>
        <v>8</v>
      </c>
      <c r="B12" s="7"/>
      <c r="C12" s="23"/>
      <c r="D12" s="23"/>
      <c r="F12" s="12"/>
      <c r="G12" s="12"/>
      <c r="H12" s="12"/>
      <c r="I12" s="24"/>
      <c r="J12" s="25"/>
      <c r="K12" s="13"/>
      <c r="M12" s="18"/>
      <c r="O12" s="26"/>
      <c r="P12" s="14"/>
    </row>
    <row r="13" spans="1:17" s="9" customFormat="1" ht="12.75" x14ac:dyDescent="0.2">
      <c r="A13" s="11">
        <f t="shared" si="0"/>
        <v>9</v>
      </c>
      <c r="B13" s="7"/>
      <c r="C13" s="28"/>
      <c r="D13" s="28"/>
      <c r="F13" s="12"/>
      <c r="G13" s="12"/>
      <c r="H13" s="12"/>
      <c r="I13" s="29"/>
      <c r="K13" s="13"/>
      <c r="M13" s="18"/>
      <c r="O13" s="30"/>
      <c r="P13" s="14"/>
      <c r="Q13" s="28"/>
    </row>
    <row r="14" spans="1:17" s="9" customFormat="1" ht="12.75" x14ac:dyDescent="0.2">
      <c r="A14" s="11">
        <f t="shared" si="0"/>
        <v>10</v>
      </c>
      <c r="B14" s="7"/>
      <c r="F14" s="12"/>
      <c r="G14" s="12"/>
      <c r="H14" s="12"/>
      <c r="I14" s="8"/>
      <c r="O14" s="10"/>
      <c r="P14" s="14"/>
    </row>
  </sheetData>
  <hyperlinks>
    <hyperlink ref="A1" location="Main!A1" display="Main" xr:uid="{1794CFC6-2AEA-4E11-A9BA-3889D0D75F9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C5" sqref="C5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28" t="s">
        <v>59</v>
      </c>
      <c r="C4" s="3">
        <v>0.16</v>
      </c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Portfolio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2026-05-31T13:26:54Z</dcterms:modified>
</cp:coreProperties>
</file>