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05BC26B5-8649-4328-BF15-C53CDC931DA5}" xr6:coauthVersionLast="47" xr6:coauthVersionMax="47" xr10:uidLastSave="{00000000-0000-0000-0000-000000000000}"/>
  <bookViews>
    <workbookView xWindow="225" yWindow="3510" windowWidth="38175" windowHeight="15240" xr2:uid="{17ABFCAF-F8B8-4F77-A601-F3F3D02F1763}"/>
  </bookViews>
  <sheets>
    <sheet name="Main" sheetId="1" r:id="rId1"/>
    <sheet name="FX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1" l="1"/>
  <c r="M13" i="1"/>
  <c r="G14" i="1" l="1"/>
  <c r="F14" i="1"/>
  <c r="H14" i="1" s="1"/>
  <c r="E14" i="1"/>
  <c r="G13" i="1"/>
  <c r="F13" i="1"/>
  <c r="E13" i="1"/>
  <c r="H13" i="1" l="1"/>
  <c r="G12" i="1"/>
  <c r="F12" i="1"/>
  <c r="E12" i="1"/>
  <c r="M12" i="1" s="1"/>
  <c r="H12" i="1" l="1"/>
  <c r="G11" i="1"/>
  <c r="F11" i="1"/>
  <c r="E11" i="1"/>
  <c r="M11" i="1" s="1"/>
  <c r="H11" i="1" l="1"/>
  <c r="G10" i="1"/>
  <c r="F10" i="1"/>
  <c r="E10" i="1"/>
  <c r="M10" i="1" s="1"/>
  <c r="H10" i="1" l="1"/>
  <c r="G9" i="1"/>
  <c r="E9" i="1"/>
  <c r="M9" i="1" s="1"/>
  <c r="F9" i="1"/>
  <c r="H9" i="1" l="1"/>
  <c r="G8" i="1" l="1"/>
  <c r="F8" i="1"/>
  <c r="E8" i="1"/>
  <c r="M8" i="1" s="1"/>
  <c r="H8" i="1" l="1"/>
  <c r="G7" i="1"/>
  <c r="F7" i="1"/>
  <c r="E7" i="1"/>
  <c r="M7" i="1" s="1"/>
  <c r="H7" i="1" l="1"/>
  <c r="G6" i="1"/>
  <c r="F6" i="1"/>
  <c r="G5" i="1"/>
  <c r="F5" i="1"/>
  <c r="E6" i="1"/>
  <c r="M6" i="1" s="1"/>
  <c r="H6" i="1" l="1"/>
  <c r="H5" i="1"/>
  <c r="E5" i="1"/>
  <c r="M5" i="1" s="1"/>
  <c r="M2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</calcChain>
</file>

<file path=xl/sharedStrings.xml><?xml version="1.0" encoding="utf-8"?>
<sst xmlns="http://schemas.openxmlformats.org/spreadsheetml/2006/main" count="87" uniqueCount="66">
  <si>
    <t>Watchlist</t>
  </si>
  <si>
    <t>numbers in mio USD</t>
  </si>
  <si>
    <t>EUR/USD</t>
  </si>
  <si>
    <t>Main</t>
  </si>
  <si>
    <t>Name</t>
  </si>
  <si>
    <t>#</t>
  </si>
  <si>
    <t>Ticker</t>
  </si>
  <si>
    <t>Country</t>
  </si>
  <si>
    <t>Price</t>
  </si>
  <si>
    <t>MC</t>
  </si>
  <si>
    <t>Net Debt</t>
  </si>
  <si>
    <t>EV</t>
  </si>
  <si>
    <t>Updated</t>
  </si>
  <si>
    <t>Nxt Rslts</t>
  </si>
  <si>
    <t>Date</t>
  </si>
  <si>
    <t>Redcare Pharmacy</t>
  </si>
  <si>
    <t>GER</t>
  </si>
  <si>
    <t>RDC.F</t>
  </si>
  <si>
    <t>Q225</t>
  </si>
  <si>
    <t>Target</t>
  </si>
  <si>
    <t>Direction</t>
  </si>
  <si>
    <t>long</t>
  </si>
  <si>
    <t>Snap Inc</t>
  </si>
  <si>
    <t>Snap</t>
  </si>
  <si>
    <t>USA</t>
  </si>
  <si>
    <t>Notes</t>
  </si>
  <si>
    <t xml:space="preserve">Possible acquisition target </t>
  </si>
  <si>
    <t xml:space="preserve">Lululemon </t>
  </si>
  <si>
    <t>LULU</t>
  </si>
  <si>
    <t>CAN</t>
  </si>
  <si>
    <t>VIRT</t>
  </si>
  <si>
    <t xml:space="preserve">Virtu Financial </t>
  </si>
  <si>
    <t>Sector</t>
  </si>
  <si>
    <t>Pharmacy</t>
  </si>
  <si>
    <t>Financial Services</t>
  </si>
  <si>
    <t xml:space="preserve">(Sports)-Apperal </t>
  </si>
  <si>
    <t>Technology</t>
  </si>
  <si>
    <t>Alibaba</t>
  </si>
  <si>
    <t>BABA</t>
  </si>
  <si>
    <t>CH</t>
  </si>
  <si>
    <t>Q126</t>
  </si>
  <si>
    <t>E-Commerce</t>
  </si>
  <si>
    <t>RMB/USD</t>
  </si>
  <si>
    <t>Change</t>
  </si>
  <si>
    <t>Brunello Cuchinelli</t>
  </si>
  <si>
    <t>ITA</t>
  </si>
  <si>
    <t>BC.MI</t>
  </si>
  <si>
    <t>Luxury Apperal</t>
  </si>
  <si>
    <t>20% drop after Short Report</t>
  </si>
  <si>
    <t>Pop Mart</t>
  </si>
  <si>
    <t>9992.HK</t>
  </si>
  <si>
    <t>CHI</t>
  </si>
  <si>
    <t>Toys</t>
  </si>
  <si>
    <t>Labubu Hype</t>
  </si>
  <si>
    <t>EBAY</t>
  </si>
  <si>
    <t>Marketplace</t>
  </si>
  <si>
    <t>Fiserv</t>
  </si>
  <si>
    <t>Scandivian Tobacco</t>
  </si>
  <si>
    <t>STG.CO</t>
  </si>
  <si>
    <t>DEN</t>
  </si>
  <si>
    <t xml:space="preserve">Crash </t>
  </si>
  <si>
    <t>FI</t>
  </si>
  <si>
    <t>DKK/USD</t>
  </si>
  <si>
    <t>Q323</t>
  </si>
  <si>
    <t>FinTech</t>
  </si>
  <si>
    <t>Tobacco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</si>
</sst>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2" fillId="0" borderId="0" applyFill="0" applyBorder="0" applyAlignment="0" applyProtection="0"/>
    <xf numFmtId="9" fontId="13" fillId="0" borderId="0" applyFont="0" applyFill="0" applyBorder="0" applyAlignment="0" applyProtection="0"/>
  </cellStyleXfs>
  <cellXfs count="32">
    <xf numFmtId="0" fontId="0" fillId="0" borderId="0" xfId="0"/>
    <xf numFmtId="0" fontId="10" fillId="0" borderId="0" xfId="0" applyFont="1"/>
    <xf numFmtId="0" fontId="11" fillId="0" borderId="0" xfId="0" applyFont="1"/>
    <xf numFmtId="0" fontId="9" fillId="0" borderId="0" xfId="0" applyFont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1" fillId="0" borderId="0" xfId="0" applyFont="1" applyAlignment="1">
      <alignment horizontal="left"/>
    </xf>
    <xf numFmtId="0" fontId="12" fillId="0" borderId="0" xfId="1"/>
    <xf numFmtId="0" fontId="8" fillId="0" borderId="0" xfId="0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0" applyNumberFormat="1" applyFont="1"/>
    <xf numFmtId="16" fontId="8" fillId="0" borderId="0" xfId="0" applyNumberFormat="1" applyFont="1"/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9" fontId="8" fillId="0" borderId="0" xfId="2" applyFont="1"/>
    <xf numFmtId="9" fontId="8" fillId="0" borderId="0" xfId="0" applyNumberFormat="1" applyFont="1"/>
    <xf numFmtId="0" fontId="5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16" fontId="4" fillId="0" borderId="0" xfId="0" applyNumberFormat="1" applyFont="1"/>
    <xf numFmtId="0" fontId="4" fillId="0" borderId="0" xfId="0" applyFont="1" applyAlignment="1">
      <alignment horizontal="left"/>
    </xf>
    <xf numFmtId="16" fontId="3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</cellXfs>
  <cellStyles count="3">
    <cellStyle name="Hyperlink" xfId="1" builtinId="8" customBuiltin="1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C.F.xlsx" TargetMode="External"/><Relationship Id="rId1" Type="http://schemas.openxmlformats.org/officeDocument/2006/relationships/externalLinkPath" Target="/1.Finance/Anaylsen/Models/RDC.F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</sheetNames>
    <sheetDataSet>
      <sheetData sheetId="0">
        <row r="2">
          <cell r="J2">
            <v>87.86</v>
          </cell>
        </row>
        <row r="4">
          <cell r="J4">
            <v>1766.9831231400001</v>
          </cell>
        </row>
        <row r="5">
          <cell r="J5">
            <v>315.70799999999997</v>
          </cell>
        </row>
        <row r="6">
          <cell r="J6">
            <v>449.74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8.59</v>
          </cell>
        </row>
        <row r="4">
          <cell r="I4">
            <v>14515.661741940001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174.02</v>
          </cell>
        </row>
        <row r="4">
          <cell r="I4">
            <v>19745.715629639999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93</v>
          </cell>
        </row>
        <row r="4">
          <cell r="J4">
            <v>6323.4118679999992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266.8</v>
          </cell>
        </row>
        <row r="4">
          <cell r="I4">
            <v>354602.81280000001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92.17</v>
          </cell>
        </row>
        <row r="4">
          <cell r="H4">
            <v>42121.69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33615.742937499999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86.5</v>
          </cell>
        </row>
        <row r="4">
          <cell r="J4">
            <v>6820.9575000000004</v>
          </cell>
        </row>
        <row r="5">
          <cell r="J5">
            <v>67.900000000000006</v>
          </cell>
        </row>
        <row r="6">
          <cell r="J6">
            <v>5226.3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Models\EBAY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9992.HK.xlsx" TargetMode="External"/><Relationship Id="rId2" Type="http://schemas.openxmlformats.org/officeDocument/2006/relationships/hyperlink" Target="..\Models\SNAP.xlsx" TargetMode="External"/><Relationship Id="rId1" Type="http://schemas.openxmlformats.org/officeDocument/2006/relationships/hyperlink" Target="../Models/RDC.F.xlsx" TargetMode="External"/><Relationship Id="rId6" Type="http://schemas.openxmlformats.org/officeDocument/2006/relationships/hyperlink" Target="..\Models\BC.MI.xlsx" TargetMode="External"/><Relationship Id="rId5" Type="http://schemas.openxmlformats.org/officeDocument/2006/relationships/hyperlink" Target="..\Models\BABA.xlsx" TargetMode="External"/><Relationship Id="rId4" Type="http://schemas.openxmlformats.org/officeDocument/2006/relationships/hyperlink" Target="..\Models\VIRT.xlsx" TargetMode="External"/><Relationship Id="rId9" Type="http://schemas.openxmlformats.org/officeDocument/2006/relationships/hyperlink" Target="..\Models\FI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4A331-3821-4718-A769-006CA9DC39E7}">
  <dimension ref="A1:Q131"/>
  <sheetViews>
    <sheetView tabSelected="1" zoomScale="200" zoomScaleNormal="200" workbookViewId="0">
      <pane ySplit="4" topLeftCell="A5" activePane="bottomLeft" state="frozen"/>
      <selection pane="bottomLeft" activeCell="O15" sqref="O15"/>
    </sheetView>
  </sheetViews>
  <sheetFormatPr defaultRowHeight="12.75" x14ac:dyDescent="0.2"/>
  <cols>
    <col min="1" max="1" width="3.5703125" style="9" customWidth="1"/>
    <col min="2" max="2" width="20" style="9" customWidth="1"/>
    <col min="3" max="14" width="9.140625" style="9"/>
    <col min="15" max="15" width="16.7109375" style="10" bestFit="1" customWidth="1"/>
    <col min="16" max="16384" width="9.140625" style="9"/>
  </cols>
  <sheetData>
    <row r="1" spans="1:17" x14ac:dyDescent="0.2">
      <c r="A1" s="2" t="s">
        <v>0</v>
      </c>
    </row>
    <row r="2" spans="1:17" x14ac:dyDescent="0.2">
      <c r="A2" s="9" t="s">
        <v>1</v>
      </c>
      <c r="M2" s="19">
        <f>+SUM(M5:M9)</f>
        <v>7.3008695334956575E-2</v>
      </c>
    </row>
    <row r="4" spans="1:17" x14ac:dyDescent="0.2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8</v>
      </c>
      <c r="M4" s="5" t="s">
        <v>43</v>
      </c>
      <c r="N4" s="5" t="s">
        <v>19</v>
      </c>
      <c r="O4" s="6" t="s">
        <v>32</v>
      </c>
      <c r="P4" s="6" t="s">
        <v>20</v>
      </c>
      <c r="Q4" s="5" t="s">
        <v>25</v>
      </c>
    </row>
    <row r="5" spans="1:17" x14ac:dyDescent="0.2">
      <c r="A5" s="11">
        <v>1</v>
      </c>
      <c r="B5" s="7" t="s">
        <v>15</v>
      </c>
      <c r="C5" s="9" t="s">
        <v>17</v>
      </c>
      <c r="D5" s="9" t="s">
        <v>16</v>
      </c>
      <c r="E5" s="9">
        <f>+[1]Main!$J$2</f>
        <v>87.86</v>
      </c>
      <c r="F5" s="12">
        <f>+[1]Main!$J$4*FX!C2</f>
        <v>2067.3702540738</v>
      </c>
      <c r="G5" s="12">
        <f>(+[1]Main!$J$6-[1]Main!$J$5)*FX!C2</f>
        <v>156.81744000000003</v>
      </c>
      <c r="H5" s="12">
        <f t="shared" ref="H5:H14" si="0">+F5+G5</f>
        <v>2224.1876940738002</v>
      </c>
      <c r="I5" s="8" t="s">
        <v>18</v>
      </c>
      <c r="J5" s="13">
        <v>45965</v>
      </c>
      <c r="K5" s="13">
        <v>45888</v>
      </c>
      <c r="L5" s="9">
        <v>99.2</v>
      </c>
      <c r="M5" s="18">
        <f>+E5/L5-1</f>
        <v>-0.11431451612903232</v>
      </c>
      <c r="O5" s="10" t="s">
        <v>33</v>
      </c>
      <c r="P5" s="9" t="s">
        <v>21</v>
      </c>
    </row>
    <row r="6" spans="1:17" x14ac:dyDescent="0.2">
      <c r="A6" s="11">
        <f>+A5+1</f>
        <v>2</v>
      </c>
      <c r="B6" s="7" t="s">
        <v>22</v>
      </c>
      <c r="C6" s="9" t="s">
        <v>23</v>
      </c>
      <c r="D6" s="9" t="s">
        <v>24</v>
      </c>
      <c r="E6" s="9">
        <f>+[2]Main!$I$2</f>
        <v>8.59</v>
      </c>
      <c r="F6" s="12">
        <f>+[2]Main!$I$4</f>
        <v>14515.661741940001</v>
      </c>
      <c r="G6" s="12">
        <f>+[2]Main!$I$6-[2]Main!$I$5</f>
        <v>682.92700000000013</v>
      </c>
      <c r="H6" s="12">
        <f t="shared" si="0"/>
        <v>15198.588741940001</v>
      </c>
      <c r="I6" s="8" t="s">
        <v>18</v>
      </c>
      <c r="J6" s="27">
        <v>45958</v>
      </c>
      <c r="K6" s="13">
        <v>45889</v>
      </c>
      <c r="L6" s="9">
        <v>7.44</v>
      </c>
      <c r="M6" s="18">
        <f t="shared" ref="M6:M10" si="1">+E6/L6-1</f>
        <v>0.15456989247311825</v>
      </c>
      <c r="O6" s="10" t="s">
        <v>36</v>
      </c>
      <c r="P6" s="9" t="s">
        <v>21</v>
      </c>
      <c r="Q6" s="9" t="s">
        <v>26</v>
      </c>
    </row>
    <row r="7" spans="1:17" x14ac:dyDescent="0.2">
      <c r="A7" s="11">
        <f t="shared" ref="A7:A47" si="2">+A6+1</f>
        <v>3</v>
      </c>
      <c r="B7" s="7" t="s">
        <v>27</v>
      </c>
      <c r="C7" s="9" t="s">
        <v>28</v>
      </c>
      <c r="D7" s="9" t="s">
        <v>29</v>
      </c>
      <c r="E7" s="9">
        <f>+[3]Main!$I$2</f>
        <v>174.02</v>
      </c>
      <c r="F7" s="12">
        <f>+[3]Main!$I$4</f>
        <v>19745.715629639999</v>
      </c>
      <c r="G7" s="12">
        <f>+[3]Main!$I$6-[3]Main!$I$5</f>
        <v>-1155.7940000000001</v>
      </c>
      <c r="H7" s="12">
        <f t="shared" si="0"/>
        <v>18589.921629639997</v>
      </c>
      <c r="I7" s="17" t="s">
        <v>18</v>
      </c>
      <c r="J7" s="13">
        <v>45995</v>
      </c>
      <c r="K7" s="13">
        <v>45891</v>
      </c>
      <c r="L7" s="9">
        <v>198.37</v>
      </c>
      <c r="M7" s="18">
        <f t="shared" si="1"/>
        <v>-0.12275041588949942</v>
      </c>
      <c r="O7" s="10" t="s">
        <v>35</v>
      </c>
      <c r="P7" s="9" t="s">
        <v>21</v>
      </c>
    </row>
    <row r="8" spans="1:17" x14ac:dyDescent="0.2">
      <c r="A8" s="11">
        <f t="shared" si="2"/>
        <v>4</v>
      </c>
      <c r="B8" s="7" t="s">
        <v>31</v>
      </c>
      <c r="C8" s="9" t="s">
        <v>30</v>
      </c>
      <c r="D8" s="9" t="s">
        <v>24</v>
      </c>
      <c r="E8" s="9">
        <f>+[4]Main!$H$2</f>
        <v>34.51</v>
      </c>
      <c r="F8" s="12">
        <f>+[4]Main!$H$4</f>
        <v>5275.3449914199991</v>
      </c>
      <c r="G8" s="12">
        <f>+[4]Main!$H$6-[4]Main!$H$5</f>
        <v>1242.8240000000001</v>
      </c>
      <c r="H8" s="12">
        <f t="shared" si="0"/>
        <v>6518.1689914199997</v>
      </c>
      <c r="I8" s="8" t="s">
        <v>18</v>
      </c>
      <c r="J8" s="13">
        <v>45953</v>
      </c>
      <c r="K8" s="13">
        <v>45902</v>
      </c>
      <c r="L8" s="9">
        <v>41.3</v>
      </c>
      <c r="M8" s="18">
        <f t="shared" si="1"/>
        <v>-0.16440677966101691</v>
      </c>
      <c r="O8" s="10" t="s">
        <v>34</v>
      </c>
      <c r="P8" s="9" t="s">
        <v>21</v>
      </c>
    </row>
    <row r="9" spans="1:17" x14ac:dyDescent="0.2">
      <c r="A9" s="11">
        <f t="shared" si="2"/>
        <v>5</v>
      </c>
      <c r="B9" s="7" t="s">
        <v>37</v>
      </c>
      <c r="C9" s="14" t="s">
        <v>38</v>
      </c>
      <c r="D9" s="14" t="s">
        <v>39</v>
      </c>
      <c r="E9" s="9">
        <f>+[5]Main!$J$2</f>
        <v>177</v>
      </c>
      <c r="F9" s="12">
        <f>+[5]Main!$J$5*FX!C3</f>
        <v>432554.72400000005</v>
      </c>
      <c r="G9" s="12">
        <f>+([5]Main!$J$7-[5]Main!$J$6)*FX!C3</f>
        <v>-41909.560000000005</v>
      </c>
      <c r="H9" s="12">
        <f t="shared" si="0"/>
        <v>390645.16400000005</v>
      </c>
      <c r="I9" s="15" t="s">
        <v>40</v>
      </c>
      <c r="J9" s="13">
        <v>45981</v>
      </c>
      <c r="K9" s="13">
        <v>45902</v>
      </c>
      <c r="L9" s="9">
        <v>134.1</v>
      </c>
      <c r="M9" s="18">
        <f t="shared" si="1"/>
        <v>0.31991051454138697</v>
      </c>
      <c r="O9" s="16" t="s">
        <v>41</v>
      </c>
      <c r="P9" s="14" t="s">
        <v>21</v>
      </c>
    </row>
    <row r="10" spans="1:17" x14ac:dyDescent="0.2">
      <c r="A10" s="11">
        <f t="shared" si="2"/>
        <v>6</v>
      </c>
      <c r="B10" s="7" t="s">
        <v>44</v>
      </c>
      <c r="C10" s="20" t="s">
        <v>46</v>
      </c>
      <c r="D10" s="20" t="s">
        <v>45</v>
      </c>
      <c r="E10" s="9">
        <f>+[6]Main!$J$2</f>
        <v>93</v>
      </c>
      <c r="F10" s="12">
        <f>+([6]Main!$J$4)*FX!C2</f>
        <v>7398.3918855599986</v>
      </c>
      <c r="G10" s="12">
        <f>+([6]Main!$J$6-[6]Main!$J$5)*FX!C2</f>
        <v>-277.05716999999999</v>
      </c>
      <c r="H10" s="12">
        <f t="shared" si="0"/>
        <v>7121.3347155599986</v>
      </c>
      <c r="I10" s="22" t="s">
        <v>18</v>
      </c>
      <c r="J10" s="13">
        <v>45946</v>
      </c>
      <c r="K10" s="13">
        <v>45926</v>
      </c>
      <c r="L10" s="9">
        <v>85.3</v>
      </c>
      <c r="M10" s="18">
        <f t="shared" si="1"/>
        <v>9.0269636576787882E-2</v>
      </c>
      <c r="O10" s="21" t="s">
        <v>47</v>
      </c>
      <c r="P10" s="14" t="s">
        <v>21</v>
      </c>
      <c r="Q10" s="20" t="s">
        <v>48</v>
      </c>
    </row>
    <row r="11" spans="1:17" x14ac:dyDescent="0.2">
      <c r="A11" s="11">
        <f t="shared" si="2"/>
        <v>7</v>
      </c>
      <c r="B11" s="7" t="s">
        <v>49</v>
      </c>
      <c r="C11" s="20" t="s">
        <v>50</v>
      </c>
      <c r="D11" s="20" t="s">
        <v>51</v>
      </c>
      <c r="E11" s="9">
        <f>+[7]Main!$I$2</f>
        <v>266.8</v>
      </c>
      <c r="F11" s="12">
        <f>+[7]Main!$I$4*FX!C3</f>
        <v>49644.39379200001</v>
      </c>
      <c r="G11" s="12">
        <f>+([7]Main!$I$6-[7]Main!$I$5)*FX!C3</f>
        <v>-1927.1995400000001</v>
      </c>
      <c r="H11" s="12">
        <f t="shared" si="0"/>
        <v>47717.194252000008</v>
      </c>
      <c r="I11" s="22" t="s">
        <v>18</v>
      </c>
      <c r="J11" s="13">
        <v>46078</v>
      </c>
      <c r="K11" s="13">
        <v>45926</v>
      </c>
      <c r="L11" s="9">
        <v>256.39999999999998</v>
      </c>
      <c r="M11" s="18">
        <f>+E11/L11-1</f>
        <v>4.0561622464898806E-2</v>
      </c>
      <c r="O11" s="21" t="s">
        <v>52</v>
      </c>
      <c r="P11" s="14" t="s">
        <v>21</v>
      </c>
      <c r="Q11" s="20" t="s">
        <v>53</v>
      </c>
    </row>
    <row r="12" spans="1:17" x14ac:dyDescent="0.2">
      <c r="A12" s="11">
        <f t="shared" si="2"/>
        <v>8</v>
      </c>
      <c r="B12" s="7" t="s">
        <v>54</v>
      </c>
      <c r="C12" s="23" t="s">
        <v>54</v>
      </c>
      <c r="D12" s="23" t="s">
        <v>24</v>
      </c>
      <c r="E12" s="9">
        <f>+[8]Main!$H$2</f>
        <v>92.17</v>
      </c>
      <c r="F12" s="12">
        <f>+[8]Main!$H$4</f>
        <v>42121.69</v>
      </c>
      <c r="G12" s="12">
        <f>+([8]Main!$H$6-[8]Main!$H$5)</f>
        <v>2998</v>
      </c>
      <c r="H12" s="12">
        <f t="shared" si="0"/>
        <v>45119.69</v>
      </c>
      <c r="I12" s="24" t="s">
        <v>18</v>
      </c>
      <c r="J12" s="25">
        <v>45959</v>
      </c>
      <c r="K12" s="13">
        <v>45934</v>
      </c>
      <c r="L12" s="9">
        <v>92.17</v>
      </c>
      <c r="M12" s="18">
        <f>+E12/L12-1</f>
        <v>0</v>
      </c>
      <c r="O12" s="26" t="s">
        <v>55</v>
      </c>
      <c r="P12" s="14" t="s">
        <v>21</v>
      </c>
    </row>
    <row r="13" spans="1:17" x14ac:dyDescent="0.2">
      <c r="A13" s="11">
        <f t="shared" si="2"/>
        <v>9</v>
      </c>
      <c r="B13" s="7" t="s">
        <v>56</v>
      </c>
      <c r="C13" s="28" t="s">
        <v>61</v>
      </c>
      <c r="D13" s="28" t="s">
        <v>24</v>
      </c>
      <c r="E13" s="9">
        <f>+[9]Main!$I$2</f>
        <v>62.5</v>
      </c>
      <c r="F13" s="12">
        <f>+[9]Main!$I$4</f>
        <v>33615.742937499999</v>
      </c>
      <c r="G13" s="12">
        <f>+[9]Main!$I$6-[9]Main!$I$5</f>
        <v>29131</v>
      </c>
      <c r="H13" s="12">
        <f t="shared" si="0"/>
        <v>62746.742937499999</v>
      </c>
      <c r="I13" s="30" t="s">
        <v>63</v>
      </c>
      <c r="K13" s="13">
        <v>45967</v>
      </c>
      <c r="L13" s="9">
        <v>62.5</v>
      </c>
      <c r="M13" s="18">
        <f>+E13/L13-1</f>
        <v>0</v>
      </c>
      <c r="O13" s="31" t="s">
        <v>64</v>
      </c>
      <c r="P13" s="14" t="s">
        <v>21</v>
      </c>
      <c r="Q13" s="28" t="s">
        <v>60</v>
      </c>
    </row>
    <row r="14" spans="1:17" x14ac:dyDescent="0.2">
      <c r="A14" s="11">
        <f t="shared" si="2"/>
        <v>10</v>
      </c>
      <c r="B14" s="7" t="s">
        <v>57</v>
      </c>
      <c r="C14" s="9" t="s">
        <v>58</v>
      </c>
      <c r="D14" s="28" t="s">
        <v>59</v>
      </c>
      <c r="E14" s="9">
        <f>+[10]Main!$J$2</f>
        <v>86.5</v>
      </c>
      <c r="F14" s="12">
        <f>+[10]Main!$J$4*FX!C4</f>
        <v>1091.3532</v>
      </c>
      <c r="G14" s="12">
        <f>+([10]Main!$J$6-[10]Main!$J$5)*FX!C4</f>
        <v>825.34400000000005</v>
      </c>
      <c r="H14" s="12">
        <f t="shared" si="0"/>
        <v>1916.6972000000001</v>
      </c>
      <c r="I14" s="29" t="s">
        <v>18</v>
      </c>
      <c r="K14" s="13">
        <v>45967</v>
      </c>
      <c r="L14" s="9">
        <v>86.5</v>
      </c>
      <c r="M14" s="18">
        <f>+E14/L14-1</f>
        <v>0</v>
      </c>
      <c r="O14" s="31" t="s">
        <v>65</v>
      </c>
      <c r="P14" s="14" t="s">
        <v>21</v>
      </c>
    </row>
    <row r="15" spans="1:17" x14ac:dyDescent="0.2">
      <c r="A15" s="11">
        <f t="shared" si="2"/>
        <v>11</v>
      </c>
      <c r="B15" s="7"/>
      <c r="F15" s="12"/>
      <c r="G15" s="12"/>
      <c r="H15" s="12"/>
      <c r="I15" s="8"/>
      <c r="P15" s="14"/>
    </row>
    <row r="16" spans="1:17" x14ac:dyDescent="0.2">
      <c r="A16" s="11">
        <f t="shared" si="2"/>
        <v>12</v>
      </c>
      <c r="F16" s="12"/>
      <c r="G16" s="12"/>
      <c r="H16" s="12"/>
      <c r="I16" s="8"/>
    </row>
    <row r="17" spans="1:9" x14ac:dyDescent="0.2">
      <c r="A17" s="11">
        <f t="shared" si="2"/>
        <v>13</v>
      </c>
      <c r="F17" s="12"/>
      <c r="G17" s="12"/>
      <c r="H17" s="12"/>
      <c r="I17" s="8"/>
    </row>
    <row r="18" spans="1:9" x14ac:dyDescent="0.2">
      <c r="A18" s="11">
        <f t="shared" si="2"/>
        <v>14</v>
      </c>
      <c r="F18" s="12"/>
      <c r="G18" s="12"/>
      <c r="H18" s="12"/>
      <c r="I18" s="8"/>
    </row>
    <row r="19" spans="1:9" x14ac:dyDescent="0.2">
      <c r="A19" s="11">
        <f t="shared" si="2"/>
        <v>15</v>
      </c>
      <c r="F19" s="12"/>
      <c r="G19" s="12"/>
      <c r="H19" s="12"/>
      <c r="I19" s="8"/>
    </row>
    <row r="20" spans="1:9" x14ac:dyDescent="0.2">
      <c r="A20" s="11">
        <f t="shared" si="2"/>
        <v>16</v>
      </c>
      <c r="F20" s="12"/>
      <c r="G20" s="12"/>
      <c r="H20" s="12"/>
      <c r="I20" s="8"/>
    </row>
    <row r="21" spans="1:9" x14ac:dyDescent="0.2">
      <c r="A21" s="11">
        <f t="shared" si="2"/>
        <v>17</v>
      </c>
      <c r="F21" s="12"/>
      <c r="G21" s="12"/>
      <c r="H21" s="12"/>
      <c r="I21" s="8"/>
    </row>
    <row r="22" spans="1:9" x14ac:dyDescent="0.2">
      <c r="A22" s="11">
        <f t="shared" si="2"/>
        <v>18</v>
      </c>
      <c r="F22" s="12"/>
      <c r="G22" s="12"/>
      <c r="H22" s="12"/>
      <c r="I22" s="8"/>
    </row>
    <row r="23" spans="1:9" x14ac:dyDescent="0.2">
      <c r="A23" s="11">
        <f t="shared" si="2"/>
        <v>19</v>
      </c>
      <c r="F23" s="12"/>
      <c r="G23" s="12"/>
      <c r="H23" s="12"/>
      <c r="I23" s="8"/>
    </row>
    <row r="24" spans="1:9" x14ac:dyDescent="0.2">
      <c r="A24" s="11">
        <f t="shared" si="2"/>
        <v>20</v>
      </c>
      <c r="F24" s="12"/>
      <c r="G24" s="12"/>
      <c r="H24" s="12"/>
      <c r="I24" s="8"/>
    </row>
    <row r="25" spans="1:9" x14ac:dyDescent="0.2">
      <c r="A25" s="11">
        <f t="shared" si="2"/>
        <v>21</v>
      </c>
      <c r="F25" s="12"/>
      <c r="G25" s="12"/>
      <c r="H25" s="12"/>
      <c r="I25" s="8"/>
    </row>
    <row r="26" spans="1:9" x14ac:dyDescent="0.2">
      <c r="A26" s="11">
        <f t="shared" si="2"/>
        <v>22</v>
      </c>
      <c r="F26" s="12"/>
      <c r="G26" s="12"/>
      <c r="H26" s="12"/>
      <c r="I26" s="8"/>
    </row>
    <row r="27" spans="1:9" x14ac:dyDescent="0.2">
      <c r="A27" s="11">
        <f t="shared" si="2"/>
        <v>23</v>
      </c>
      <c r="F27" s="12"/>
      <c r="G27" s="12"/>
      <c r="H27" s="12"/>
      <c r="I27" s="8"/>
    </row>
    <row r="28" spans="1:9" x14ac:dyDescent="0.2">
      <c r="A28" s="11">
        <f t="shared" si="2"/>
        <v>24</v>
      </c>
      <c r="F28" s="12"/>
      <c r="G28" s="12"/>
      <c r="H28" s="12"/>
      <c r="I28" s="8"/>
    </row>
    <row r="29" spans="1:9" x14ac:dyDescent="0.2">
      <c r="A29" s="11">
        <f t="shared" si="2"/>
        <v>25</v>
      </c>
      <c r="F29" s="12"/>
      <c r="G29" s="12"/>
      <c r="H29" s="12"/>
      <c r="I29" s="8"/>
    </row>
    <row r="30" spans="1:9" x14ac:dyDescent="0.2">
      <c r="A30" s="11">
        <f t="shared" si="2"/>
        <v>26</v>
      </c>
      <c r="F30" s="12"/>
      <c r="G30" s="12"/>
      <c r="H30" s="12"/>
      <c r="I30" s="8"/>
    </row>
    <row r="31" spans="1:9" x14ac:dyDescent="0.2">
      <c r="A31" s="11">
        <f t="shared" si="2"/>
        <v>27</v>
      </c>
      <c r="F31" s="12"/>
      <c r="G31" s="12"/>
      <c r="H31" s="12"/>
      <c r="I31" s="8"/>
    </row>
    <row r="32" spans="1:9" x14ac:dyDescent="0.2">
      <c r="A32" s="11">
        <f t="shared" si="2"/>
        <v>28</v>
      </c>
      <c r="F32" s="12"/>
      <c r="G32" s="12"/>
      <c r="H32" s="12"/>
      <c r="I32" s="8"/>
    </row>
    <row r="33" spans="1:9" x14ac:dyDescent="0.2">
      <c r="A33" s="11">
        <f t="shared" si="2"/>
        <v>29</v>
      </c>
      <c r="F33" s="12"/>
      <c r="G33" s="12"/>
      <c r="H33" s="12"/>
      <c r="I33" s="8"/>
    </row>
    <row r="34" spans="1:9" x14ac:dyDescent="0.2">
      <c r="A34" s="11">
        <f t="shared" si="2"/>
        <v>30</v>
      </c>
      <c r="F34" s="12"/>
      <c r="G34" s="12"/>
      <c r="H34" s="12"/>
      <c r="I34" s="8"/>
    </row>
    <row r="35" spans="1:9" x14ac:dyDescent="0.2">
      <c r="A35" s="11">
        <f t="shared" si="2"/>
        <v>31</v>
      </c>
      <c r="F35" s="12"/>
      <c r="G35" s="12"/>
      <c r="H35" s="12"/>
      <c r="I35" s="8"/>
    </row>
    <row r="36" spans="1:9" x14ac:dyDescent="0.2">
      <c r="A36" s="11">
        <f t="shared" si="2"/>
        <v>32</v>
      </c>
      <c r="F36" s="12"/>
      <c r="G36" s="12"/>
      <c r="H36" s="12"/>
      <c r="I36" s="8"/>
    </row>
    <row r="37" spans="1:9" x14ac:dyDescent="0.2">
      <c r="A37" s="11">
        <f t="shared" si="2"/>
        <v>33</v>
      </c>
      <c r="F37" s="12"/>
      <c r="G37" s="12"/>
      <c r="H37" s="12"/>
      <c r="I37" s="8"/>
    </row>
    <row r="38" spans="1:9" x14ac:dyDescent="0.2">
      <c r="A38" s="11">
        <f t="shared" si="2"/>
        <v>34</v>
      </c>
      <c r="F38" s="12"/>
      <c r="G38" s="12"/>
      <c r="H38" s="12"/>
      <c r="I38" s="8"/>
    </row>
    <row r="39" spans="1:9" x14ac:dyDescent="0.2">
      <c r="A39" s="11">
        <f t="shared" si="2"/>
        <v>35</v>
      </c>
      <c r="F39" s="12"/>
      <c r="G39" s="12"/>
      <c r="H39" s="12"/>
      <c r="I39" s="8"/>
    </row>
    <row r="40" spans="1:9" x14ac:dyDescent="0.2">
      <c r="A40" s="11">
        <f t="shared" si="2"/>
        <v>36</v>
      </c>
      <c r="F40" s="12"/>
      <c r="G40" s="12"/>
      <c r="H40" s="12"/>
      <c r="I40" s="8"/>
    </row>
    <row r="41" spans="1:9" x14ac:dyDescent="0.2">
      <c r="A41" s="11">
        <f t="shared" si="2"/>
        <v>37</v>
      </c>
      <c r="F41" s="12"/>
      <c r="G41" s="12"/>
      <c r="H41" s="12"/>
      <c r="I41" s="8"/>
    </row>
    <row r="42" spans="1:9" x14ac:dyDescent="0.2">
      <c r="A42" s="11">
        <f t="shared" si="2"/>
        <v>38</v>
      </c>
      <c r="F42" s="12"/>
      <c r="G42" s="12"/>
      <c r="H42" s="12"/>
      <c r="I42" s="8"/>
    </row>
    <row r="43" spans="1:9" x14ac:dyDescent="0.2">
      <c r="A43" s="11">
        <f t="shared" si="2"/>
        <v>39</v>
      </c>
      <c r="F43" s="12"/>
      <c r="G43" s="12"/>
      <c r="H43" s="12"/>
      <c r="I43" s="8"/>
    </row>
    <row r="44" spans="1:9" x14ac:dyDescent="0.2">
      <c r="A44" s="11">
        <f t="shared" si="2"/>
        <v>40</v>
      </c>
      <c r="F44" s="12"/>
      <c r="G44" s="12"/>
      <c r="H44" s="12"/>
      <c r="I44" s="8"/>
    </row>
    <row r="45" spans="1:9" x14ac:dyDescent="0.2">
      <c r="A45" s="11">
        <f t="shared" si="2"/>
        <v>41</v>
      </c>
      <c r="F45" s="12"/>
      <c r="G45" s="12"/>
      <c r="H45" s="12"/>
      <c r="I45" s="8"/>
    </row>
    <row r="46" spans="1:9" x14ac:dyDescent="0.2">
      <c r="A46" s="11">
        <f t="shared" si="2"/>
        <v>42</v>
      </c>
      <c r="F46" s="12"/>
      <c r="G46" s="12"/>
      <c r="H46" s="12"/>
      <c r="I46" s="8"/>
    </row>
    <row r="47" spans="1:9" x14ac:dyDescent="0.2">
      <c r="A47" s="11">
        <f t="shared" si="2"/>
        <v>43</v>
      </c>
      <c r="F47" s="12"/>
      <c r="G47" s="12"/>
      <c r="H47" s="12"/>
      <c r="I47" s="8"/>
    </row>
    <row r="48" spans="1:9" x14ac:dyDescent="0.2">
      <c r="A48" s="11"/>
      <c r="F48" s="12"/>
      <c r="G48" s="12"/>
      <c r="H48" s="12"/>
      <c r="I48" s="8"/>
    </row>
    <row r="49" spans="1:9" x14ac:dyDescent="0.2">
      <c r="A49" s="11"/>
      <c r="I49" s="8"/>
    </row>
    <row r="50" spans="1:9" x14ac:dyDescent="0.2">
      <c r="A50" s="11"/>
      <c r="I50" s="8"/>
    </row>
    <row r="51" spans="1:9" x14ac:dyDescent="0.2">
      <c r="A51" s="11"/>
      <c r="I51" s="8"/>
    </row>
    <row r="52" spans="1:9" x14ac:dyDescent="0.2">
      <c r="A52" s="11"/>
      <c r="I52" s="8"/>
    </row>
    <row r="53" spans="1:9" x14ac:dyDescent="0.2">
      <c r="A53" s="11"/>
      <c r="I53" s="8"/>
    </row>
    <row r="54" spans="1:9" x14ac:dyDescent="0.2">
      <c r="A54" s="11"/>
      <c r="I54" s="8"/>
    </row>
    <row r="55" spans="1:9" x14ac:dyDescent="0.2">
      <c r="A55" s="11"/>
      <c r="I55" s="8"/>
    </row>
    <row r="56" spans="1:9" x14ac:dyDescent="0.2">
      <c r="A56" s="11"/>
      <c r="I56" s="8"/>
    </row>
    <row r="57" spans="1:9" x14ac:dyDescent="0.2">
      <c r="A57" s="11"/>
      <c r="I57" s="8"/>
    </row>
    <row r="58" spans="1:9" x14ac:dyDescent="0.2">
      <c r="A58" s="11"/>
      <c r="I58" s="8"/>
    </row>
    <row r="59" spans="1:9" x14ac:dyDescent="0.2">
      <c r="A59" s="11"/>
      <c r="I59" s="8"/>
    </row>
    <row r="60" spans="1:9" x14ac:dyDescent="0.2">
      <c r="A60" s="11"/>
    </row>
    <row r="61" spans="1:9" x14ac:dyDescent="0.2">
      <c r="A61" s="11"/>
    </row>
    <row r="62" spans="1:9" x14ac:dyDescent="0.2">
      <c r="A62" s="11"/>
    </row>
    <row r="63" spans="1:9" x14ac:dyDescent="0.2">
      <c r="A63" s="11"/>
    </row>
    <row r="64" spans="1:9" x14ac:dyDescent="0.2">
      <c r="A64" s="11"/>
    </row>
    <row r="65" spans="1:1" x14ac:dyDescent="0.2">
      <c r="A65" s="11"/>
    </row>
    <row r="66" spans="1:1" x14ac:dyDescent="0.2">
      <c r="A66" s="11"/>
    </row>
    <row r="67" spans="1:1" x14ac:dyDescent="0.2">
      <c r="A67" s="11"/>
    </row>
    <row r="68" spans="1:1" x14ac:dyDescent="0.2">
      <c r="A68" s="11"/>
    </row>
    <row r="69" spans="1:1" x14ac:dyDescent="0.2">
      <c r="A69" s="11"/>
    </row>
    <row r="70" spans="1:1" x14ac:dyDescent="0.2">
      <c r="A70" s="11"/>
    </row>
    <row r="71" spans="1:1" x14ac:dyDescent="0.2">
      <c r="A71" s="11"/>
    </row>
    <row r="72" spans="1:1" x14ac:dyDescent="0.2">
      <c r="A72" s="11"/>
    </row>
    <row r="73" spans="1:1" x14ac:dyDescent="0.2">
      <c r="A73" s="11"/>
    </row>
    <row r="74" spans="1:1" x14ac:dyDescent="0.2">
      <c r="A74" s="11"/>
    </row>
    <row r="75" spans="1:1" x14ac:dyDescent="0.2">
      <c r="A75" s="11"/>
    </row>
    <row r="76" spans="1:1" x14ac:dyDescent="0.2">
      <c r="A76" s="11"/>
    </row>
    <row r="77" spans="1:1" x14ac:dyDescent="0.2">
      <c r="A77" s="11"/>
    </row>
    <row r="78" spans="1:1" x14ac:dyDescent="0.2">
      <c r="A78" s="11"/>
    </row>
    <row r="79" spans="1:1" x14ac:dyDescent="0.2">
      <c r="A79" s="11"/>
    </row>
    <row r="80" spans="1:1" x14ac:dyDescent="0.2">
      <c r="A80" s="11"/>
    </row>
    <row r="81" spans="1:1" x14ac:dyDescent="0.2">
      <c r="A81" s="11"/>
    </row>
    <row r="82" spans="1:1" x14ac:dyDescent="0.2">
      <c r="A82" s="11"/>
    </row>
    <row r="83" spans="1:1" x14ac:dyDescent="0.2">
      <c r="A83" s="11"/>
    </row>
    <row r="84" spans="1:1" x14ac:dyDescent="0.2">
      <c r="A84" s="11"/>
    </row>
    <row r="85" spans="1:1" x14ac:dyDescent="0.2">
      <c r="A85" s="11"/>
    </row>
    <row r="86" spans="1:1" x14ac:dyDescent="0.2">
      <c r="A86" s="11"/>
    </row>
    <row r="87" spans="1:1" x14ac:dyDescent="0.2">
      <c r="A87" s="11"/>
    </row>
    <row r="88" spans="1:1" x14ac:dyDescent="0.2">
      <c r="A88" s="11"/>
    </row>
    <row r="89" spans="1:1" x14ac:dyDescent="0.2">
      <c r="A89" s="11"/>
    </row>
    <row r="90" spans="1:1" x14ac:dyDescent="0.2">
      <c r="A90" s="11"/>
    </row>
    <row r="91" spans="1:1" x14ac:dyDescent="0.2">
      <c r="A91" s="11"/>
    </row>
    <row r="92" spans="1:1" x14ac:dyDescent="0.2">
      <c r="A92" s="11"/>
    </row>
    <row r="93" spans="1:1" x14ac:dyDescent="0.2">
      <c r="A93" s="11"/>
    </row>
    <row r="94" spans="1:1" x14ac:dyDescent="0.2">
      <c r="A94" s="11"/>
    </row>
    <row r="95" spans="1:1" x14ac:dyDescent="0.2">
      <c r="A95" s="11"/>
    </row>
    <row r="96" spans="1:1" x14ac:dyDescent="0.2">
      <c r="A96" s="11"/>
    </row>
    <row r="97" spans="1:1" x14ac:dyDescent="0.2">
      <c r="A97" s="11"/>
    </row>
    <row r="98" spans="1:1" x14ac:dyDescent="0.2">
      <c r="A98" s="11"/>
    </row>
    <row r="99" spans="1:1" x14ac:dyDescent="0.2">
      <c r="A99" s="11"/>
    </row>
    <row r="100" spans="1:1" x14ac:dyDescent="0.2">
      <c r="A100" s="11"/>
    </row>
    <row r="101" spans="1:1" x14ac:dyDescent="0.2">
      <c r="A101" s="11"/>
    </row>
    <row r="102" spans="1:1" x14ac:dyDescent="0.2">
      <c r="A102" s="11"/>
    </row>
    <row r="103" spans="1:1" x14ac:dyDescent="0.2">
      <c r="A103" s="11"/>
    </row>
    <row r="104" spans="1:1" x14ac:dyDescent="0.2">
      <c r="A104" s="11"/>
    </row>
    <row r="105" spans="1:1" x14ac:dyDescent="0.2">
      <c r="A105" s="11"/>
    </row>
    <row r="106" spans="1:1" x14ac:dyDescent="0.2">
      <c r="A106" s="11"/>
    </row>
    <row r="107" spans="1:1" x14ac:dyDescent="0.2">
      <c r="A107" s="11"/>
    </row>
    <row r="108" spans="1:1" x14ac:dyDescent="0.2">
      <c r="A108" s="11"/>
    </row>
    <row r="109" spans="1:1" x14ac:dyDescent="0.2">
      <c r="A109" s="11"/>
    </row>
    <row r="110" spans="1:1" x14ac:dyDescent="0.2">
      <c r="A110" s="11"/>
    </row>
    <row r="111" spans="1:1" x14ac:dyDescent="0.2">
      <c r="A111" s="11"/>
    </row>
    <row r="112" spans="1:1" x14ac:dyDescent="0.2">
      <c r="A112" s="11"/>
    </row>
    <row r="113" spans="1:1" x14ac:dyDescent="0.2">
      <c r="A113" s="11"/>
    </row>
    <row r="114" spans="1:1" x14ac:dyDescent="0.2">
      <c r="A114" s="11"/>
    </row>
    <row r="115" spans="1:1" x14ac:dyDescent="0.2">
      <c r="A115" s="11"/>
    </row>
    <row r="116" spans="1:1" x14ac:dyDescent="0.2">
      <c r="A116" s="11"/>
    </row>
    <row r="117" spans="1:1" x14ac:dyDescent="0.2">
      <c r="A117" s="11"/>
    </row>
    <row r="118" spans="1:1" x14ac:dyDescent="0.2">
      <c r="A118" s="11"/>
    </row>
    <row r="119" spans="1:1" x14ac:dyDescent="0.2">
      <c r="A119" s="11"/>
    </row>
    <row r="120" spans="1:1" x14ac:dyDescent="0.2">
      <c r="A120" s="11"/>
    </row>
    <row r="121" spans="1:1" x14ac:dyDescent="0.2">
      <c r="A121" s="11"/>
    </row>
    <row r="122" spans="1:1" x14ac:dyDescent="0.2">
      <c r="A122" s="11"/>
    </row>
    <row r="123" spans="1:1" x14ac:dyDescent="0.2">
      <c r="A123" s="11"/>
    </row>
    <row r="124" spans="1:1" x14ac:dyDescent="0.2">
      <c r="A124" s="11"/>
    </row>
    <row r="125" spans="1:1" x14ac:dyDescent="0.2">
      <c r="A125" s="11"/>
    </row>
    <row r="126" spans="1:1" x14ac:dyDescent="0.2">
      <c r="A126" s="11"/>
    </row>
    <row r="127" spans="1:1" x14ac:dyDescent="0.2">
      <c r="A127" s="11"/>
    </row>
    <row r="128" spans="1:1" x14ac:dyDescent="0.2">
      <c r="A128" s="11"/>
    </row>
    <row r="129" spans="1:1" x14ac:dyDescent="0.2">
      <c r="A129" s="11"/>
    </row>
    <row r="130" spans="1:1" x14ac:dyDescent="0.2">
      <c r="A130" s="11"/>
    </row>
    <row r="131" spans="1:1" x14ac:dyDescent="0.2">
      <c r="A131" s="11"/>
    </row>
  </sheetData>
  <hyperlinks>
    <hyperlink ref="B5" r:id="rId1" xr:uid="{862DA998-AAD8-4A5B-8534-7DC3EDBC4AB2}"/>
    <hyperlink ref="B6" r:id="rId2" xr:uid="{43C60588-2186-4192-B5F7-DBC392710280}"/>
    <hyperlink ref="B7" r:id="rId3" xr:uid="{6A12FCF3-584D-4323-A41F-B970C6FF1200}"/>
    <hyperlink ref="B8" r:id="rId4" display="Virt" xr:uid="{40A4329D-348A-4629-AAFA-B94628070672}"/>
    <hyperlink ref="B9" r:id="rId5" xr:uid="{008C64C3-FE55-425E-8F91-6D7191763AE3}"/>
    <hyperlink ref="B10" r:id="rId6" xr:uid="{2F35C231-9D4B-4712-94E5-6754F841B088}"/>
    <hyperlink ref="B11" r:id="rId7" xr:uid="{AED81220-75B7-4217-BDBB-E6654FE09225}"/>
    <hyperlink ref="B12" r:id="rId8" xr:uid="{B5E94AC4-BA08-461E-866C-8E618213DE8F}"/>
    <hyperlink ref="B13" r:id="rId9" xr:uid="{393CB23F-6784-4298-AFD5-19F3BDBBFE9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2DF4B-01E2-41F7-B53D-8680A3262A00}">
  <dimension ref="A1:D6"/>
  <sheetViews>
    <sheetView zoomScale="200" zoomScaleNormal="200" workbookViewId="0">
      <selection activeCell="C5" sqref="C5"/>
    </sheetView>
  </sheetViews>
  <sheetFormatPr defaultRowHeight="15" x14ac:dyDescent="0.25"/>
  <cols>
    <col min="1" max="1" width="5.140625" customWidth="1"/>
    <col min="2" max="2" width="14.42578125" customWidth="1"/>
  </cols>
  <sheetData>
    <row r="1" spans="1:4" x14ac:dyDescent="0.25">
      <c r="A1" s="7" t="s">
        <v>3</v>
      </c>
      <c r="B1" s="3"/>
      <c r="C1" s="3"/>
      <c r="D1" s="1"/>
    </row>
    <row r="2" spans="1:4" x14ac:dyDescent="0.25">
      <c r="A2" s="3"/>
      <c r="B2" s="3" t="s">
        <v>2</v>
      </c>
      <c r="C2" s="3">
        <v>1.17</v>
      </c>
      <c r="D2" s="1"/>
    </row>
    <row r="3" spans="1:4" x14ac:dyDescent="0.25">
      <c r="A3" s="3"/>
      <c r="B3" s="14" t="s">
        <v>42</v>
      </c>
      <c r="C3" s="3">
        <v>0.14000000000000001</v>
      </c>
      <c r="D3" s="1"/>
    </row>
    <row r="4" spans="1:4" x14ac:dyDescent="0.25">
      <c r="A4" s="3"/>
      <c r="B4" s="28" t="s">
        <v>62</v>
      </c>
      <c r="C4" s="3">
        <v>0.16</v>
      </c>
      <c r="D4" s="1"/>
    </row>
    <row r="5" spans="1:4" x14ac:dyDescent="0.25">
      <c r="A5" s="3"/>
      <c r="B5" s="3"/>
      <c r="C5" s="3"/>
      <c r="D5" s="1"/>
    </row>
    <row r="6" spans="1:4" x14ac:dyDescent="0.25">
      <c r="A6" s="1"/>
      <c r="B6" s="1"/>
      <c r="C6" s="1"/>
      <c r="D6" s="1"/>
    </row>
  </sheetData>
  <hyperlinks>
    <hyperlink ref="A1" location="Main!A1" display="Main" xr:uid="{13B3A9A0-1460-4562-AC2B-DA633B46C06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2025-08-19T16:02:03Z</dcterms:created>
  <dcterms:modified xsi:type="dcterms:W3CDTF">2025-11-08T13:24:58Z</dcterms:modified>
</cp:coreProperties>
</file>