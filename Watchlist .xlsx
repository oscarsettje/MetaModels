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E8FFC6B-032C-4630-B4F0-0EA56CB079C9}" xr6:coauthVersionLast="47" xr6:coauthVersionMax="47" xr10:uidLastSave="{00000000-0000-0000-0000-000000000000}"/>
  <bookViews>
    <workbookView xWindow="225" yWindow="156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<sst xmlns="http://schemas.openxmlformats.org/spreadsheetml/2006/main" count="81" uniqueCount="62">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</sst>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Fill="0" applyBorder="0" applyAlignment="0" applyProtection="0"/>
    <xf numFmtId="9" fontId="13" fillId="0" borderId="0" applyFont="0" applyFill="0" applyBorder="0" applyAlignment="0" applyProtection="0"/>
  </cellStyleXfs>
  <cellXfs count="31">
    <xf numFmtId="0" fontId="0" fillId="0" borderId="0" xfId="0"/>
    <xf numFmtId="0" fontId="10" fillId="0" borderId="0" xfId="0" applyFont="1"/>
    <xf numFmtId="0" fontId="11" fillId="0" borderId="0" xfId="0" applyFont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0" xfId="1"/>
    <xf numFmtId="0" fontId="8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0" applyNumberFormat="1" applyFont="1"/>
    <xf numFmtId="16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9" fontId="8" fillId="0" borderId="0" xfId="2" applyFont="1"/>
    <xf numFmtId="9" fontId="8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4" fillId="0" borderId="0" xfId="0" applyFont="1" applyAlignment="1">
      <alignment horizontal="left"/>
    </xf>
    <xf numFmtId="16" fontId="3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43.24</v>
          </cell>
        </row>
        <row r="4">
          <cell r="J4">
            <v>869.61473076000004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127.35</v>
          </cell>
        </row>
        <row r="4">
          <cell r="I4">
            <v>14069.968151849998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154.19999999999999</v>
          </cell>
        </row>
        <row r="4">
          <cell r="I4">
            <v>204946.60319999998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tabSelected="1" zoomScale="200" zoomScaleNormal="200" workbookViewId="0">
      <pane ySplit="4" topLeftCell="A5" activePane="bottomLeft" state="frozen"/>
      <selection pane="bottomLeft" activeCell="B13" sqref="B13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/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43.24</v>
      </c>
      <c r="F5" s="12">
        <f>+[1]Main!$J$4*FX!C2</f>
        <v>1017.4492349892</v>
      </c>
      <c r="G5" s="12">
        <f>(+[1]Main!$J$6-[1]Main!$J$5)*FX!C2</f>
        <v>156.81744000000003</v>
      </c>
      <c r="H5" s="12">
        <f t="shared" ref="H5:H13" si="0">+F5+G5</f>
        <v>1174.2666749892001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-0.56411290322580643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5.75</v>
      </c>
      <c r="F6" s="12">
        <f>+[2]Main!$I$4</f>
        <v>9886.3120132500007</v>
      </c>
      <c r="G6" s="12">
        <f>+[2]Main!$I$6-[2]Main!$I$5</f>
        <v>544.51200000000017</v>
      </c>
      <c r="H6" s="12">
        <f t="shared" si="0"/>
        <v>10430.824013250001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-0.22715053763440862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127.35</v>
      </c>
      <c r="F7" s="12">
        <f>+[3]Main!$I$4</f>
        <v>14069.968151849998</v>
      </c>
      <c r="G7" s="12">
        <f>+[3]Main!$I$6-[3]Main!$I$5</f>
        <v>-1807.202</v>
      </c>
      <c r="H7" s="12">
        <f t="shared" si="0"/>
        <v>12262.766151849999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-0.35801784544033877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51.9</v>
      </c>
      <c r="F8" s="12">
        <f>+[4]Main!$H$4</f>
        <v>7933.6541597999994</v>
      </c>
      <c r="G8" s="12">
        <f>+[4]Main!$H$6-[4]Main!$H$5</f>
        <v>1242.8240000000001</v>
      </c>
      <c r="H8" s="12">
        <f t="shared" si="0"/>
        <v>9176.478159799999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0.2566585956416465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124.3</v>
      </c>
      <c r="F9" s="12">
        <f>+[5]Main!$J$5*FX!C3</f>
        <v>303765.83160000003</v>
      </c>
      <c r="G9" s="12">
        <f>+([5]Main!$J$7-[5]Main!$J$6)*FX!C3</f>
        <v>-41909.560000000005</v>
      </c>
      <c r="H9" s="12">
        <f t="shared" si="0"/>
        <v>261856.27160000004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-7.30797912005966E-2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86.1</v>
      </c>
      <c r="F10" s="12">
        <f>+([6]Main!$J$4)*FX!C2</f>
        <v>6849.4789392119992</v>
      </c>
      <c r="G10" s="12">
        <f>+([6]Main!$J$6-[6]Main!$J$5)*FX!C2</f>
        <v>225.55494000000004</v>
      </c>
      <c r="H10" s="12">
        <f t="shared" si="0"/>
        <v>7075.0338792119992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9.3786635404453644E-3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154.19999999999999</v>
      </c>
      <c r="F11" s="12">
        <f>+[7]Main!$I$4*FX!C3</f>
        <v>28692.524448</v>
      </c>
      <c r="G11" s="12">
        <f>+([7]Main!$I$6-[7]Main!$I$5)*FX!C3</f>
        <v>-1927.1995400000001</v>
      </c>
      <c r="H11" s="12">
        <f t="shared" si="0"/>
        <v>26765.324907999999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-0.39859594383775354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115.31</v>
      </c>
      <c r="F12" s="12">
        <f>+[8]Main!$H$4</f>
        <v>51658.880000000005</v>
      </c>
      <c r="G12" s="12">
        <f>+([8]Main!$H$6-[8]Main!$H$5)</f>
        <v>3827</v>
      </c>
      <c r="H12" s="12">
        <f t="shared" si="0"/>
        <v>55485.880000000005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0.25105782792665732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+[9]Main!$I$2</f>
        <v>55.6</v>
      </c>
      <c r="F13" s="12">
        <f>+[9]Main!$I$4</f>
        <v>29904.564917200001</v>
      </c>
      <c r="G13" s="12">
        <f>+[9]Main!$I$6-[9]Main!$I$5</f>
        <v>29131</v>
      </c>
      <c r="H13" s="12">
        <f t="shared" si="0"/>
        <v>59035.564917199998</v>
      </c>
      <c r="I13" s="29" t="s">
        <v>60</v>
      </c>
      <c r="K13" s="13">
        <v>45967</v>
      </c>
      <c r="L13" s="9">
        <v>62.5</v>
      </c>
      <c r="M13" s="18">
        <f>+E13/L13-1</f>
        <v>-0.11039999999999994</v>
      </c>
      <c r="O13" s="30" t="s">
        <v>61</v>
      </c>
      <c r="P13" s="14" t="s">
        <v>21</v>
      </c>
      <c r="Q13" s="28" t="s">
        <v>57</v>
      </c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  <c r="P14" s="14"/>
    </row>
    <row r="15" spans="1:17" x14ac:dyDescent="0.2">
      <c r="A15" s="11">
        <f t="shared" si="2"/>
        <v>11</v>
      </c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/>
      <c r="F47" s="12"/>
      <c r="G47" s="12"/>
      <c r="H47" s="12"/>
      <c r="I47" s="8"/>
    </row>
    <row r="48" spans="1:9" x14ac:dyDescent="0.2">
      <c r="A48" s="11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59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2026-05-27T08:52:27Z</dcterms:modified>
</cp:coreProperties>
</file>