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5CC8528-F20E-4389-A643-0069DFE222F1}" xr6:coauthVersionLast="47" xr6:coauthVersionMax="47" xr10:uidLastSave="{00000000-0000-0000-0000-000000000000}"/>
  <bookViews>
    <workbookView xWindow="225" yWindow="3855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E14" i="1"/>
  <c r="M14" i="1" s="1"/>
  <c r="G13" i="1"/>
  <c r="F13" i="1"/>
  <c r="E13" i="1"/>
  <c r="M13" i="1" s="1"/>
  <c r="H14" i="1" l="1"/>
  <c r="H13" i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<sst xmlns="http://schemas.openxmlformats.org/spreadsheetml/2006/main" count="87" uniqueCount="66">
  <si>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</si>
  <si>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</si>
  <si>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</si>
  <si>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</si>
  <si>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</si>
  <si>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</si>
  <si>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</si>
  <si>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</si>
  <si>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</si>
  <si>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</si>
  <si>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</si>
  <si>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</si>
  <si>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</si>
  <si>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</si>
  <si>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</si>
  <si>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</si>
  <si>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</si>
  <si>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</si>
  <si>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</si>
  <si>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</si>
  <si>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</si>
  <si>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</si>
  <si>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</si>
  <si>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</si>
  <si>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</si>
  <si>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</si>
  <si>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</si>
  <si>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</si>
  <si>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</si>
  <si>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</si>
  <si>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</si>
  <si>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</si>
  <si>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</si>
  <si>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</si>
  <si>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</si>
  <si>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</si>
  <si>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</si>
  <si>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</si>
  <si>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</si>
  <si>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</si>
  <si>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</si>
  <si>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</si>
  <si>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</si>
  <si>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</si>
  <si>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</si>
  <si>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</si>
  <si>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</si>
  <si>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</si>
  <si>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</si>
  <si>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</si>
  <si>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</si>
  <si>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</si>
  <si>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</si>
  <si>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</si>
  <si>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</si>
  <si>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</si>
  <si>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</si>
  <si>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>Scandivian Tobacco</t>
  </si>
  <si>
    <t>STG.CO</t>
  </si>
  <si>
    <t>DEN</t>
  </si>
  <si>
    <t xml:space="preserve">Crash </t>
  </si>
  <si>
    <t>FI</t>
  </si>
  <si>
    <t>DKK/USD</t>
  </si>
  <si>
    <t>Q323</t>
  </si>
  <si>
    <t>FinTech</t>
  </si>
  <si>
    <t>Tobacco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</si>
</sst>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Fill="0" applyBorder="0" applyAlignment="0" applyProtection="0"/>
    <xf numFmtId="9" fontId="13" fillId="0" borderId="0" applyFont="0" applyFill="0" applyBorder="0" applyAlignment="0" applyProtection="0"/>
  </cellStyleXfs>
  <cellXfs count="32">
    <xf numFmtId="0" fontId="0" fillId="0" borderId="0" xfId="0"/>
    <xf numFmtId="0" fontId="10" fillId="0" borderId="0" xfId="0" applyFont="1"/>
    <xf numFmtId="0" fontId="11" fillId="0" borderId="0" xfId="0" applyFont="1"/>
    <xf numFmtId="0" fontId="9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0" xfId="1"/>
    <xf numFmtId="0" fontId="8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0" applyNumberFormat="1" applyFont="1"/>
    <xf numFmtId="16" fontId="8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9" fontId="8" fillId="0" borderId="0" xfId="2" applyFont="1"/>
    <xf numFmtId="9" fontId="8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" fontId="4" fillId="0" borderId="0" xfId="0" applyNumberFormat="1" applyFont="1"/>
    <xf numFmtId="0" fontId="4" fillId="0" borderId="0" xfId="0" applyFont="1" applyAlignment="1">
      <alignment horizontal="left"/>
    </xf>
    <xf numFmtId="16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87.86</v>
          </cell>
        </row>
        <row r="4">
          <cell r="J4">
            <v>1766.9831231400001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10" Type="http://schemas.openxmlformats.org/officeDocument/2006/relationships/hyperlink" Target="..\Models\STG.CO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B14" sqref="B14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0.17558569248538858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87.86</v>
      </c>
      <c r="F5" s="12">
        <f>+[1]Main!$J$4*FX!C2</f>
        <v>2067.3702540738</v>
      </c>
      <c r="G5" s="12">
        <f>(+[1]Main!$J$6-[1]Main!$J$5)*FX!C2</f>
        <v>156.81744000000003</v>
      </c>
      <c r="H5" s="12">
        <f t="shared" ref="H5:H14" si="0">+F5+G5</f>
        <v>2224.1876940738002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-0.11431451612903232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8.2100000000000009</v>
      </c>
      <c r="F6" s="12">
        <f>+[2]Main!$I$4</f>
        <v>14115.934196310003</v>
      </c>
      <c r="G6" s="12">
        <f>+[2]Main!$I$6-[2]Main!$I$5</f>
        <v>544.51200000000017</v>
      </c>
      <c r="H6" s="12">
        <f t="shared" si="0"/>
        <v>14660.446196310004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0.103494623655914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204.5</v>
      </c>
      <c r="F7" s="12">
        <f>+[3]Main!$I$4</f>
        <v>22942.8633845</v>
      </c>
      <c r="G7" s="12">
        <f>+[3]Main!$I$6-[3]Main!$I$5</f>
        <v>-1035.8620000000001</v>
      </c>
      <c r="H7" s="12">
        <f t="shared" si="0"/>
        <v>21907.001384499999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3.0901850078136839E-2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34.51</v>
      </c>
      <c r="F8" s="12">
        <f>+[4]Main!$H$4</f>
        <v>5275.3449914199991</v>
      </c>
      <c r="G8" s="12">
        <f>+[4]Main!$H$6-[4]Main!$H$5</f>
        <v>1242.8240000000001</v>
      </c>
      <c r="H8" s="12">
        <f t="shared" si="0"/>
        <v>6518.1689914199997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-0.16440677966101691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177</v>
      </c>
      <c r="F9" s="12">
        <f>+[5]Main!$J$5*FX!C3</f>
        <v>432554.72400000005</v>
      </c>
      <c r="G9" s="12">
        <f>+([5]Main!$J$7-[5]Main!$J$6)*FX!C3</f>
        <v>-41909.560000000005</v>
      </c>
      <c r="H9" s="12">
        <f t="shared" si="0"/>
        <v>390645.16400000005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0.31991051454138697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93</v>
      </c>
      <c r="F10" s="12">
        <f>+([6]Main!$J$4)*FX!C2</f>
        <v>7398.3918855599986</v>
      </c>
      <c r="G10" s="12">
        <f>+([6]Main!$J$6-[6]Main!$J$5)*FX!C2</f>
        <v>-277.05716999999999</v>
      </c>
      <c r="H10" s="12">
        <f t="shared" si="0"/>
        <v>7121.3347155599986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9.0269636576787882E-2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266.8</v>
      </c>
      <c r="F11" s="12">
        <f>+[7]Main!$I$4*FX!C3</f>
        <v>49644.39379200001</v>
      </c>
      <c r="G11" s="12">
        <f>+([7]Main!$I$6-[7]Main!$I$5)*FX!C3</f>
        <v>-1927.1995400000001</v>
      </c>
      <c r="H11" s="12">
        <f t="shared" si="0"/>
        <v>47717.194252000008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4.0561622464898806E-2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92.17</v>
      </c>
      <c r="F12" s="12">
        <f>+[8]Main!$H$4</f>
        <v>42121.69</v>
      </c>
      <c r="G12" s="12">
        <f>+([8]Main!$H$6-[8]Main!$H$5)</f>
        <v>2998</v>
      </c>
      <c r="H12" s="12">
        <f t="shared" si="0"/>
        <v>45119.69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 t="s">
        <v>56</v>
      </c>
      <c r="C13" s="28" t="s">
        <v>61</v>
      </c>
      <c r="D13" s="28" t="s">
        <v>24</v>
      </c>
      <c r="E13" s="9">
        <f>+[9]Main!$I$2</f>
        <v>62.5</v>
      </c>
      <c r="F13" s="12">
        <f>+[9]Main!$I$4</f>
        <v>33615.742937499999</v>
      </c>
      <c r="G13" s="12">
        <f>+[9]Main!$I$6-[9]Main!$I$5</f>
        <v>29131</v>
      </c>
      <c r="H13" s="12">
        <f t="shared" si="0"/>
        <v>62746.742937499999</v>
      </c>
      <c r="I13" s="30" t="s">
        <v>63</v>
      </c>
      <c r="K13" s="13">
        <v>45967</v>
      </c>
      <c r="L13" s="9">
        <v>62.5</v>
      </c>
      <c r="M13" s="18">
        <f>+E13/L13-1</f>
        <v>0</v>
      </c>
      <c r="O13" s="31" t="s">
        <v>64</v>
      </c>
      <c r="P13" s="14" t="s">
        <v>21</v>
      </c>
      <c r="Q13" s="28" t="s">
        <v>60</v>
      </c>
    </row>
    <row r="14" spans="1:17" x14ac:dyDescent="0.2">
      <c r="A14" s="11">
        <f t="shared" si="2"/>
        <v>10</v>
      </c>
      <c r="B14" s="7" t="s">
        <v>57</v>
      </c>
      <c r="C14" s="9" t="s">
        <v>58</v>
      </c>
      <c r="D14" s="28" t="s">
        <v>59</v>
      </c>
      <c r="E14" s="9">
        <f>+[10]Main!$J$2</f>
        <v>86.5</v>
      </c>
      <c r="F14" s="12">
        <f>+[10]Main!$J$4*FX!C4</f>
        <v>1091.6300000000001</v>
      </c>
      <c r="G14" s="12">
        <f>+([10]Main!$J$6-[10]Main!$J$5)*FX!C4</f>
        <v>801.18399999999997</v>
      </c>
      <c r="H14" s="12">
        <f t="shared" si="0"/>
        <v>1892.8140000000001</v>
      </c>
      <c r="I14" s="29" t="s">
        <v>18</v>
      </c>
      <c r="K14" s="13">
        <v>45967</v>
      </c>
      <c r="L14" s="9">
        <v>86.5</v>
      </c>
      <c r="M14" s="18">
        <f>+E14/L14-1</f>
        <v>0</v>
      </c>
      <c r="O14" s="31" t="s">
        <v>65</v>
      </c>
      <c r="P14" s="14" t="s">
        <v>21</v>
      </c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  <c r="P15" s="14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  <hyperlink ref="B14" r:id="rId10" xr:uid="{30A9981A-0AC0-4E59-B3F8-4D7739771C0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C5" sqref="C5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28" t="s">
        <v>62</v>
      </c>
      <c r="C4" s="3">
        <v>0.16</v>
      </c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2025-12-30T10:39:07Z</dcterms:modified>
</cp:coreProperties>
</file>