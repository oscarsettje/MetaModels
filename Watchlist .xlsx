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etaModels\"/>
    </mc:Choice>
  </mc:AlternateContent>
  <xr:revisionPtr revIDLastSave="0" documentId="13_ncr:1_{5653B5D0-E691-4788-8025-A1E4EB75A9CD}" xr6:coauthVersionLast="47" xr6:coauthVersionMax="47" xr10:uidLastSave="{00000000-0000-0000-0000-000000000000}"/>
  <bookViews>
    <workbookView xWindow="225" yWindow="2340" windowWidth="38175" windowHeight="15240" xr2:uid="{17ABFCAF-F8B8-4F77-A601-F3F3D02F1763}"/>
  </bookViews>
  <sheets>
    <sheet name="Main" sheetId="1" r:id="rId1"/>
    <sheet name="Portfolio" sheetId="3" r:id="rId2"/>
    <sheet name="FX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3" l="1"/>
  <c r="G11" i="3"/>
  <c r="F11" i="3"/>
  <c r="E11" i="3"/>
  <c r="H11" i="3" l="1"/>
  <c r="M10" i="3"/>
  <c r="N10" i="3" s="1"/>
  <c r="M9" i="3"/>
  <c r="N9" i="3" s="1"/>
  <c r="M8" i="3"/>
  <c r="N8" i="3" s="1"/>
  <c r="G10" i="3" l="1"/>
  <c r="F10" i="3"/>
  <c r="H10" i="3" s="1"/>
  <c r="E10" i="3"/>
  <c r="O10" i="3" l="1"/>
  <c r="P10" i="3" s="1"/>
  <c r="G9" i="3" l="1"/>
  <c r="F9" i="3"/>
  <c r="H9" i="3" s="1"/>
  <c r="E9" i="3"/>
  <c r="O9" i="3" l="1"/>
  <c r="P9" i="3" s="1"/>
  <c r="G8" i="3" l="1"/>
  <c r="F8" i="3"/>
  <c r="E8" i="3"/>
  <c r="H8" i="3" l="1"/>
  <c r="G7" i="3"/>
  <c r="F7" i="3"/>
  <c r="H7" i="3" s="1"/>
  <c r="E7" i="3"/>
  <c r="M7" i="3" s="1"/>
  <c r="N7" i="3" s="1"/>
  <c r="O7" i="3" l="1"/>
  <c r="P7" i="3" s="1"/>
  <c r="G6" i="3" l="1"/>
  <c r="F6" i="3"/>
  <c r="E6" i="3"/>
  <c r="M6" i="3" s="1"/>
  <c r="N6" i="3" s="1"/>
  <c r="H6" i="3" l="1"/>
  <c r="O6" i="3"/>
  <c r="P6" i="3" s="1"/>
  <c r="G5" i="3" l="1"/>
  <c r="F5" i="3"/>
  <c r="E5" i="3"/>
  <c r="M5" i="3" s="1"/>
  <c r="N5" i="3" s="1"/>
  <c r="H5" i="3" l="1"/>
  <c r="O5" i="3"/>
  <c r="P5" i="3" s="1"/>
  <c r="A7" i="3"/>
  <c r="A8" i="3" s="1"/>
  <c r="A9" i="3" s="1"/>
  <c r="A10" i="3" s="1"/>
  <c r="A11" i="3" s="1"/>
  <c r="A12" i="3" s="1"/>
  <c r="A13" i="3" s="1"/>
  <c r="A14" i="1"/>
  <c r="G13" i="1" l="1"/>
  <c r="F13" i="1"/>
  <c r="E13" i="1"/>
  <c r="M13" i="1" s="1"/>
  <c r="H13" i="1" l="1"/>
  <c r="G12" i="1"/>
  <c r="F12" i="1"/>
  <c r="E12" i="1"/>
  <c r="M12" i="1" s="1"/>
  <c r="H12" i="1" l="1"/>
  <c r="G11" i="1"/>
  <c r="F11" i="1"/>
  <c r="E11" i="1"/>
  <c r="M11" i="1" s="1"/>
  <c r="H11" i="1" l="1"/>
  <c r="G10" i="1"/>
  <c r="F10" i="1"/>
  <c r="E10" i="1"/>
  <c r="M10" i="1" s="1"/>
  <c r="H10" i="1" l="1"/>
  <c r="G9" i="1"/>
  <c r="E9" i="1"/>
  <c r="M9" i="1" s="1"/>
  <c r="F9" i="1"/>
  <c r="H9" i="1" l="1"/>
  <c r="G8" i="1" l="1"/>
  <c r="F8" i="1"/>
  <c r="E8" i="1"/>
  <c r="M8" i="1" s="1"/>
  <c r="H8" i="1" l="1"/>
  <c r="G7" i="1"/>
  <c r="F7" i="1"/>
  <c r="E7" i="1"/>
  <c r="M7" i="1" s="1"/>
  <c r="H7" i="1" l="1"/>
  <c r="G6" i="1"/>
  <c r="F6" i="1"/>
  <c r="G5" i="1"/>
  <c r="F5" i="1"/>
  <c r="E6" i="1"/>
  <c r="M6" i="1" s="1"/>
  <c r="H6" i="1" l="1"/>
  <c r="H5" i="1"/>
  <c r="E5" i="1"/>
  <c r="M5" i="1" s="1"/>
  <c r="M15" i="1" s="1"/>
  <c r="A6" i="1" l="1"/>
  <c r="A7" i="1" s="1"/>
  <c r="A8" i="1" s="1"/>
  <c r="A9" i="1" s="1"/>
  <c r="A10" i="1" s="1"/>
  <c r="A11" i="1" s="1"/>
  <c r="A12" i="1" s="1"/>
  <c r="A13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tc={7016EAAF-06C2-4B4E-B159-DD4D4D50A028}</author>
  </authors>
  <commentList>
    <comment ref="L4" authorId="0" shapeId="0" xr:uid="{7016EAAF-06C2-4B4E-B159-DD4D4D50A028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Price</t>
      </text>
    </comment>
  </commentList>
</comments>
</file>

<file path=xl/sharedStrings.xml><?xml version="1.0" encoding="utf-8"?>
<sst xmlns="http://schemas.openxmlformats.org/spreadsheetml/2006/main" count="149" uniqueCount="100">
  <si>
    <t>Watchlist</t>
  </si>
  <si>
    <t>numbers in mio USD</t>
  </si>
  <si>
    <t>EUR/USD</t>
  </si>
  <si>
    <t>Main</t>
  </si>
  <si>
    <t>Name</t>
  </si>
  <si>
    <t>#</t>
  </si>
  <si>
    <t>Ticker</t>
  </si>
  <si>
    <t>Country</t>
  </si>
  <si>
    <t>Price</t>
  </si>
  <si>
    <t>MC</t>
  </si>
  <si>
    <t>Net Debt</t>
  </si>
  <si>
    <t>EV</t>
  </si>
  <si>
    <t>Updated</t>
  </si>
  <si>
    <t>Nxt Rslts</t>
  </si>
  <si>
    <t>Date</t>
  </si>
  <si>
    <t>Redcare Pharmacy</t>
  </si>
  <si>
    <t>GER</t>
  </si>
  <si>
    <t>RDC.F</t>
  </si>
  <si>
    <t>Q225</t>
  </si>
  <si>
    <t>Target</t>
  </si>
  <si>
    <t>Direction</t>
  </si>
  <si>
    <t>long</t>
  </si>
  <si>
    <t>Snap Inc</t>
  </si>
  <si>
    <t>Snap</t>
  </si>
  <si>
    <t>USA</t>
  </si>
  <si>
    <t>Notes</t>
  </si>
  <si>
    <t xml:space="preserve">Possible acquisition target </t>
  </si>
  <si>
    <t xml:space="preserve">Lululemon </t>
  </si>
  <si>
    <t>LULU</t>
  </si>
  <si>
    <t>CAN</t>
  </si>
  <si>
    <t>VIRT</t>
  </si>
  <si>
    <t xml:space="preserve">Virtu Financial </t>
  </si>
  <si>
    <t>Sector</t>
  </si>
  <si>
    <t>Pharmacy</t>
  </si>
  <si>
    <t>Financial Services</t>
  </si>
  <si>
    <t xml:space="preserve">(Sports)-Apperal </t>
  </si>
  <si>
    <t>Technology</t>
  </si>
  <si>
    <t>Alibaba</t>
  </si>
  <si>
    <t>BABA</t>
  </si>
  <si>
    <t>CH</t>
  </si>
  <si>
    <t>Q126</t>
  </si>
  <si>
    <t>E-Commerce</t>
  </si>
  <si>
    <t>RMB/USD</t>
  </si>
  <si>
    <t>Change</t>
  </si>
  <si>
    <t>Brunello Cuchinelli</t>
  </si>
  <si>
    <t>ITA</t>
  </si>
  <si>
    <t>BC.MI</t>
  </si>
  <si>
    <t>Luxury Apperal</t>
  </si>
  <si>
    <t>20% drop after Short Report</t>
  </si>
  <si>
    <t>Pop Mart</t>
  </si>
  <si>
    <t>9992.HK</t>
  </si>
  <si>
    <t>CHI</t>
  </si>
  <si>
    <t>Toys</t>
  </si>
  <si>
    <t>Labubu Hype</t>
  </si>
  <si>
    <t>EBAY</t>
  </si>
  <si>
    <t>Marketplace</t>
  </si>
  <si>
    <t>Fiserv</t>
  </si>
  <si>
    <t xml:space="preserve">Crash </t>
  </si>
  <si>
    <t>FI</t>
  </si>
  <si>
    <t>DKK/USD</t>
  </si>
  <si>
    <t>Q323</t>
  </si>
  <si>
    <t>FinTech</t>
  </si>
  <si>
    <t>Buy-In</t>
  </si>
  <si>
    <t>BAT</t>
  </si>
  <si>
    <t>PayPal</t>
  </si>
  <si>
    <t>Scandinavian Tobacco</t>
  </si>
  <si>
    <t>Porsche SE</t>
  </si>
  <si>
    <t>Frosta AG</t>
  </si>
  <si>
    <t>Kering</t>
  </si>
  <si>
    <t>KER.PA</t>
  </si>
  <si>
    <t>Delta</t>
  </si>
  <si>
    <t>FR</t>
  </si>
  <si>
    <t>NLM.F</t>
  </si>
  <si>
    <t>PAH3</t>
  </si>
  <si>
    <t>STG.CO</t>
  </si>
  <si>
    <t>DEN</t>
  </si>
  <si>
    <t>PYPL</t>
  </si>
  <si>
    <t>US</t>
  </si>
  <si>
    <t>UK</t>
  </si>
  <si>
    <t>Euro FX</t>
  </si>
  <si>
    <t>GBP/EUR</t>
  </si>
  <si>
    <t>USD/EUR</t>
  </si>
  <si>
    <t>DKK/EUR</t>
  </si>
  <si>
    <t>numbers in mio EUR</t>
  </si>
  <si>
    <t>BATS.L</t>
  </si>
  <si>
    <t>Tobacco</t>
  </si>
  <si>
    <t>Apparel</t>
  </si>
  <si>
    <t>Fintech</t>
  </si>
  <si>
    <t>N.A.</t>
  </si>
  <si>
    <t>Automobil</t>
  </si>
  <si>
    <t>in Euro</t>
  </si>
  <si>
    <t>Food</t>
  </si>
  <si>
    <t>Q226</t>
  </si>
  <si>
    <t>Q425</t>
  </si>
  <si>
    <t>n.a.</t>
  </si>
  <si>
    <t>ASML</t>
  </si>
  <si>
    <t>Lululemon</t>
  </si>
  <si>
    <t xml:space="preserve">Sports </t>
  </si>
  <si>
    <t>QXO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</si>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</sst>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#,##0.0;\(#,##0.0\)"/>
  </numFmts>
  <fonts count="22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1"/>
      <color theme="1"/>
      <name val="Aptos Narrow"/>
      <family val="2"/>
      <scheme val="minor"/>
    </font>
    <font>
      <u/>
      <sz val="10"/>
      <color theme="1"/>
      <name val="Arial"/>
      <family val="2"/>
    </font>
    <font>
      <sz val="10"/>
      <color theme="1"/>
      <name val="Arial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8" fillId="0" borderId="0" applyFill="0" applyBorder="0" applyAlignment="0" applyProtection="0"/>
    <xf numFmtId="9" fontId="19" fillId="0" borderId="0" applyFont="0" applyFill="0" applyBorder="0" applyAlignment="0" applyProtection="0"/>
  </cellStyleXfs>
  <cellXfs count="49">
    <xf numFmtId="0" fontId="0" fillId="0" borderId="0" xfId="0"/>
    <xf numFmtId="0" fontId="16" fillId="0" borderId="0" xfId="0" applyFont="1"/>
    <xf numFmtId="0" fontId="17" fillId="0" borderId="0" xfId="0" applyFont="1"/>
    <xf numFmtId="0" fontId="15" fillId="0" borderId="0" xfId="0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0" fontId="17" fillId="0" borderId="0" xfId="0" applyFont="1" applyAlignment="1">
      <alignment horizontal="left"/>
    </xf>
    <xf numFmtId="0" fontId="18" fillId="0" borderId="0" xfId="1"/>
    <xf numFmtId="0" fontId="14" fillId="0" borderId="0" xfId="0" applyFont="1" applyAlignment="1">
      <alignment horizontal="right"/>
    </xf>
    <xf numFmtId="0" fontId="14" fillId="0" borderId="0" xfId="0" applyFont="1"/>
    <xf numFmtId="0" fontId="14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164" fontId="14" fillId="0" borderId="0" xfId="0" applyNumberFormat="1" applyFont="1"/>
    <xf numFmtId="16" fontId="14" fillId="0" borderId="0" xfId="0" applyNumberFormat="1" applyFont="1"/>
    <xf numFmtId="0" fontId="13" fillId="0" borderId="0" xfId="0" applyFont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9" fontId="14" fillId="0" borderId="0" xfId="2" applyFont="1"/>
    <xf numFmtId="9" fontId="14" fillId="0" borderId="0" xfId="0" applyNumberFormat="1" applyFont="1"/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right"/>
    </xf>
    <xf numFmtId="16" fontId="10" fillId="0" borderId="0" xfId="0" applyNumberFormat="1" applyFont="1"/>
    <xf numFmtId="0" fontId="10" fillId="0" borderId="0" xfId="0" applyFont="1" applyAlignment="1">
      <alignment horizontal="left"/>
    </xf>
    <xf numFmtId="16" fontId="9" fillId="0" borderId="0" xfId="0" applyNumberFormat="1" applyFont="1"/>
    <xf numFmtId="0" fontId="8" fillId="0" borderId="0" xfId="0" applyFont="1"/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6" fillId="0" borderId="0" xfId="0" applyFont="1"/>
    <xf numFmtId="0" fontId="20" fillId="0" borderId="0" xfId="0" applyFont="1"/>
    <xf numFmtId="2" fontId="14" fillId="0" borderId="0" xfId="0" applyNumberFormat="1" applyFont="1"/>
    <xf numFmtId="9" fontId="14" fillId="0" borderId="0" xfId="2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0" xfId="0" applyFont="1"/>
    <xf numFmtId="4" fontId="4" fillId="0" borderId="0" xfId="0" applyNumberFormat="1" applyFont="1"/>
    <xf numFmtId="4" fontId="14" fillId="0" borderId="0" xfId="0" applyNumberFormat="1" applyFont="1"/>
    <xf numFmtId="0" fontId="4" fillId="0" borderId="0" xfId="0" applyFont="1" applyAlignment="1">
      <alignment horizontal="right"/>
    </xf>
    <xf numFmtId="16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7" fontId="21" fillId="0" borderId="0" xfId="0" applyNumberFormat="1" applyFont="1" applyAlignment="1">
      <alignment horizontal="right"/>
    </xf>
    <xf numFmtId="16" fontId="21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1" fillId="0" borderId="0" xfId="0" applyFont="1"/>
  </cellXfs>
  <cellStyles count="3">
    <cellStyle name="Hyperlink" xfId="1" builtinId="8" customBuiltin="1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BTI.xlsx" TargetMode="External"/><Relationship Id="rId2" Type="http://schemas.openxmlformats.org/officeDocument/2006/relationships/externalLinkPath" Target="file:///E:\1.Finance\Anaylsen\Models\BTI.xlsx" TargetMode="External"/><Relationship Id="rId1" Type="http://schemas.openxmlformats.org/officeDocument/2006/relationships/externalLinkPath" Target="/1.Finance/Anaylsen/Models/BTI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PYPL.xlsx" TargetMode="External"/><Relationship Id="rId2" Type="http://schemas.openxmlformats.org/officeDocument/2006/relationships/externalLinkPath" Target="file:///E:\1.Finance\Anaylsen\Models\PYPL.xlsx" TargetMode="External"/><Relationship Id="rId1" Type="http://schemas.openxmlformats.org/officeDocument/2006/relationships/externalLinkPath" Target="/1.Finance/Anaylsen/Models/PYPL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STG.CO.xlsx" TargetMode="External"/><Relationship Id="rId2" Type="http://schemas.openxmlformats.org/officeDocument/2006/relationships/externalLinkPath" Target="file:///E:\1.Finance\Anaylsen\Models\STG.CO.xlsx" TargetMode="External"/><Relationship Id="rId1" Type="http://schemas.openxmlformats.org/officeDocument/2006/relationships/externalLinkPath" Target="/1.Finance/Anaylsen/Models/STG.CO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PAH3.xlsx" TargetMode="External"/><Relationship Id="rId2" Type="http://schemas.openxmlformats.org/officeDocument/2006/relationships/externalLinkPath" Target="file:///E:\1.Finance\Anaylsen\Models\PAH3.xlsx" TargetMode="External"/><Relationship Id="rId1" Type="http://schemas.openxmlformats.org/officeDocument/2006/relationships/externalLinkPath" Target="/1.Finance/Anaylsen/Models/PAH3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NLM.F.xlsx" TargetMode="External"/><Relationship Id="rId2" Type="http://schemas.openxmlformats.org/officeDocument/2006/relationships/externalLinkPath" Target="file:///E:\1.Finance\Anaylsen\Models\NLM.F.xlsx" TargetMode="External"/><Relationship Id="rId1" Type="http://schemas.openxmlformats.org/officeDocument/2006/relationships/externalLinkPath" Target="/1.Finance/Anaylsen/Models/NLM.F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KER.PA.xlsx" TargetMode="External"/><Relationship Id="rId2" Type="http://schemas.openxmlformats.org/officeDocument/2006/relationships/externalLinkPath" Target="file:///E:\1.Finance\Anaylsen\Models\KER.PA.xlsx" TargetMode="External"/><Relationship Id="rId1" Type="http://schemas.openxmlformats.org/officeDocument/2006/relationships/externalLinkPath" Target="/1.Finance/Anaylsen/Models/KER.PA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LULU.xlsx" TargetMode="External"/><Relationship Id="rId2" Type="http://schemas.openxmlformats.org/officeDocument/2006/relationships/externalLinkPath" Target="file:///E:\1.Finance\Anaylsen\Models\LULU.xlsx" TargetMode="External"/><Relationship Id="rId1" Type="http://schemas.openxmlformats.org/officeDocument/2006/relationships/externalLinkPath" Target="/1.Finance/Anaylsen/Models/LULU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RDC.F.xlsx" TargetMode="External"/><Relationship Id="rId2" Type="http://schemas.openxmlformats.org/officeDocument/2006/relationships/externalLinkPath" Target="file:///E:\1.Finance\Anaylsen\Models\RDC.F.xlsx" TargetMode="External"/><Relationship Id="rId1" Type="http://schemas.openxmlformats.org/officeDocument/2006/relationships/externalLinkPath" Target="/1.Finance/Anaylsen/Models/RDC.F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SNAP.xlsx" TargetMode="External"/><Relationship Id="rId2" Type="http://schemas.openxmlformats.org/officeDocument/2006/relationships/externalLinkPath" Target="file:///E:\1.Finance\Anaylsen\Models\SNAP.xlsx" TargetMode="External"/><Relationship Id="rId1" Type="http://schemas.openxmlformats.org/officeDocument/2006/relationships/externalLinkPath" Target="/1.Finance/Anaylsen/Models/SNAP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VIRT.xlsx" TargetMode="External"/><Relationship Id="rId2" Type="http://schemas.openxmlformats.org/officeDocument/2006/relationships/externalLinkPath" Target="file:///E:\1.Finance\Anaylsen\Models\VIRT.xlsx" TargetMode="External"/><Relationship Id="rId1" Type="http://schemas.openxmlformats.org/officeDocument/2006/relationships/externalLinkPath" Target="/1.Finance/Anaylsen/Models/VIRT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BABA.xlsx" TargetMode="External"/><Relationship Id="rId2" Type="http://schemas.openxmlformats.org/officeDocument/2006/relationships/externalLinkPath" Target="file:///E:\1.Finance\Anaylsen\Models\BABA.xlsx" TargetMode="External"/><Relationship Id="rId1" Type="http://schemas.openxmlformats.org/officeDocument/2006/relationships/externalLinkPath" Target="/1.Finance/Anaylsen/Models/BABA.xlsx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BC.MI.xlsx" TargetMode="External"/><Relationship Id="rId2" Type="http://schemas.openxmlformats.org/officeDocument/2006/relationships/externalLinkPath" Target="file:///E:\1.Finance\Anaylsen\Models\BC.MI.xlsx" TargetMode="External"/><Relationship Id="rId1" Type="http://schemas.openxmlformats.org/officeDocument/2006/relationships/externalLinkPath" Target="/1.Finance/Anaylsen/Models/BC.MI.xlsx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9992.HK.xlsx" TargetMode="External"/><Relationship Id="rId2" Type="http://schemas.openxmlformats.org/officeDocument/2006/relationships/externalLinkPath" Target="file:///E:\1.Finance\Anaylsen\Models\9992.HK.xlsx" TargetMode="External"/><Relationship Id="rId1" Type="http://schemas.openxmlformats.org/officeDocument/2006/relationships/externalLinkPath" Target="/1.Finance/Anaylsen/Models/9992.HK.xlsx" TargetMode="External"/></Relationships>
</file>

<file path=xl/externalLinks/_rels/externalLink14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EBAY.xlsx" TargetMode="External"/><Relationship Id="rId2" Type="http://schemas.openxmlformats.org/officeDocument/2006/relationships/externalLinkPath" Target="file:///E:\1.Finance\Anaylsen\Models\EBAY.xlsx" TargetMode="External"/><Relationship Id="rId1" Type="http://schemas.openxmlformats.org/officeDocument/2006/relationships/externalLinkPath" Target="/1.Finance/Anaylsen/Models/EBAY.xlsx" TargetMode="External"/></Relationships>
</file>

<file path=xl/externalLinks/_rels/externalLink15.xml.rels><?xml version="1.0" encoding="UTF-8" standalone="yes"?>
<Relationships xmlns="http://schemas.openxmlformats.org/package/2006/relationships"><Relationship Id="rId3" Type="http://schemas.openxmlformats.org/officeDocument/2006/relationships/externalLinkPath" Target="../Models/FI.xlsx" TargetMode="External"/><Relationship Id="rId2" Type="http://schemas.openxmlformats.org/officeDocument/2006/relationships/externalLinkPath" Target="file:///E:\1.Finance\Anaylsen\Models\FI.xlsx" TargetMode="External"/><Relationship Id="rId1" Type="http://schemas.openxmlformats.org/officeDocument/2006/relationships/externalLinkPath" Target="/1.Finance/Anaylsen/Models/F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Products"/>
      <sheetName val="Model"/>
      <sheetName val="Ratios"/>
      <sheetName val="DCF"/>
    </sheetNames>
    <sheetDataSet>
      <sheetData sheetId="0">
        <row r="3">
          <cell r="H3">
            <v>47.45</v>
          </cell>
        </row>
        <row r="5">
          <cell r="H5">
            <v>104105.3</v>
          </cell>
        </row>
        <row r="6">
          <cell r="H6">
            <v>2518</v>
          </cell>
        </row>
        <row r="7">
          <cell r="H7">
            <v>35063</v>
          </cell>
        </row>
      </sheetData>
      <sheetData sheetId="1"/>
      <sheetData sheetId="2"/>
      <sheetData sheetId="3"/>
      <sheetData sheetId="4">
        <row r="4">
          <cell r="J4">
            <v>55.220363038811023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  <sheetName val="KPIs"/>
      <sheetName val="CoC"/>
      <sheetName val="DCF"/>
    </sheetNames>
    <sheetDataSet>
      <sheetData sheetId="0">
        <row r="2">
          <cell r="I2">
            <v>58.7</v>
          </cell>
        </row>
        <row r="4">
          <cell r="I4">
            <v>52066.9</v>
          </cell>
        </row>
        <row r="5">
          <cell r="I5">
            <v>11256</v>
          </cell>
        </row>
        <row r="6">
          <cell r="I6">
            <v>13400</v>
          </cell>
        </row>
      </sheetData>
      <sheetData sheetId="1"/>
      <sheetData sheetId="2"/>
      <sheetData sheetId="3"/>
      <sheetData sheetId="4">
        <row r="4">
          <cell r="J4">
            <v>90.720141570568231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  <sheetName val="KPI"/>
      <sheetName val="DCF"/>
    </sheetNames>
    <sheetDataSet>
      <sheetData sheetId="0">
        <row r="2">
          <cell r="J2">
            <v>71.599999999999994</v>
          </cell>
        </row>
        <row r="4">
          <cell r="J4">
            <v>5629.192</v>
          </cell>
        </row>
        <row r="5">
          <cell r="J5">
            <v>61.6</v>
          </cell>
        </row>
        <row r="6">
          <cell r="J6">
            <v>4941.8999999999996</v>
          </cell>
        </row>
      </sheetData>
      <sheetData sheetId="1"/>
      <sheetData sheetId="2"/>
      <sheetData sheetId="3">
        <row r="4">
          <cell r="J4">
            <v>108.99870635334247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Financials"/>
    </sheetNames>
    <sheetDataSet>
      <sheetData sheetId="0">
        <row r="3">
          <cell r="I3">
            <v>38.979999999999997</v>
          </cell>
        </row>
        <row r="5">
          <cell r="I5">
            <v>11937.624999999998</v>
          </cell>
        </row>
        <row r="6">
          <cell r="I6">
            <v>889</v>
          </cell>
        </row>
        <row r="7">
          <cell r="I7">
            <v>6769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  <sheetName val="WC"/>
      <sheetName val="BC"/>
      <sheetName val="Ratios"/>
      <sheetName val="DCF"/>
      <sheetName val="CoC"/>
    </sheetNames>
    <sheetDataSet>
      <sheetData sheetId="0">
        <row r="2">
          <cell r="H2">
            <v>101.5</v>
          </cell>
        </row>
        <row r="4">
          <cell r="H4">
            <v>691.47869700000001</v>
          </cell>
        </row>
        <row r="6">
          <cell r="H6">
            <v>15.463999999999999</v>
          </cell>
        </row>
      </sheetData>
      <sheetData sheetId="1"/>
      <sheetData sheetId="2"/>
      <sheetData sheetId="3"/>
      <sheetData sheetId="4"/>
      <sheetData sheetId="5">
        <row r="3">
          <cell r="J3">
            <v>97.40723155701005</v>
          </cell>
        </row>
      </sheetData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Brands"/>
      <sheetName val="Macro"/>
      <sheetName val="Model"/>
      <sheetName val="Quart"/>
      <sheetName val="Ratios"/>
      <sheetName val="DCF"/>
      <sheetName val="CoC"/>
      <sheetName val="TradingComps"/>
    </sheetNames>
    <sheetDataSet>
      <sheetData sheetId="0">
        <row r="2">
          <cell r="H2">
            <v>250.5</v>
          </cell>
        </row>
        <row r="4">
          <cell r="H4">
            <v>30716.233848</v>
          </cell>
        </row>
        <row r="5">
          <cell r="H5">
            <v>8480</v>
          </cell>
        </row>
        <row r="6">
          <cell r="H6">
            <v>11804</v>
          </cell>
        </row>
      </sheetData>
      <sheetData sheetId="1"/>
      <sheetData sheetId="2"/>
      <sheetData sheetId="3"/>
      <sheetData sheetId="4"/>
      <sheetData sheetId="5"/>
      <sheetData sheetId="6">
        <row r="4">
          <cell r="J4">
            <v>379.40823731776692</v>
          </cell>
        </row>
      </sheetData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  <sheetName val="Ratios"/>
      <sheetName val="DCF"/>
    </sheetNames>
    <sheetDataSet>
      <sheetData sheetId="0">
        <row r="2">
          <cell r="I2">
            <v>110.86</v>
          </cell>
        </row>
        <row r="4">
          <cell r="I4">
            <v>12021.43191302</v>
          </cell>
        </row>
        <row r="5">
          <cell r="I5">
            <v>1514.729</v>
          </cell>
        </row>
        <row r="6">
          <cell r="I6">
            <v>0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Quarters"/>
      <sheetName val="Model"/>
    </sheetNames>
    <sheetDataSet>
      <sheetData sheetId="0">
        <row r="2">
          <cell r="J2">
            <v>66.3</v>
          </cell>
        </row>
        <row r="4">
          <cell r="J4">
            <v>1333.3824387</v>
          </cell>
        </row>
        <row r="5">
          <cell r="J5">
            <v>315.70799999999997</v>
          </cell>
        </row>
        <row r="6">
          <cell r="J6">
            <v>449.74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5.29</v>
          </cell>
        </row>
        <row r="4">
          <cell r="I4">
            <v>8946.4358964800012</v>
          </cell>
        </row>
        <row r="5">
          <cell r="I5">
            <v>2659.7579999999998</v>
          </cell>
        </row>
        <row r="6">
          <cell r="I6">
            <v>3534.607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  <sheetName val="Ratios"/>
      <sheetName val="CoC"/>
      <sheetName val="DCF"/>
    </sheetNames>
    <sheetDataSet>
      <sheetData sheetId="0">
        <row r="2">
          <cell r="H2">
            <v>59.96</v>
          </cell>
        </row>
        <row r="4">
          <cell r="H4">
            <v>9165.7399503199995</v>
          </cell>
        </row>
        <row r="5">
          <cell r="H5">
            <v>752.101</v>
          </cell>
        </row>
        <row r="6">
          <cell r="H6">
            <v>1994.925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111</v>
          </cell>
        </row>
        <row r="5">
          <cell r="J5">
            <v>1937593.7999999998</v>
          </cell>
        </row>
        <row r="6">
          <cell r="J6">
            <v>374857</v>
          </cell>
        </row>
        <row r="7">
          <cell r="J7">
            <v>75503</v>
          </cell>
        </row>
      </sheetData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J2">
            <v>87.92</v>
          </cell>
        </row>
        <row r="4">
          <cell r="J4">
            <v>5978.0039939199996</v>
          </cell>
        </row>
        <row r="5">
          <cell r="J5">
            <v>180.76900000000001</v>
          </cell>
        </row>
        <row r="6">
          <cell r="J6">
            <v>399.72299999999996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160.9</v>
          </cell>
        </row>
        <row r="4">
          <cell r="I4">
            <v>213851.54640000002</v>
          </cell>
        </row>
        <row r="5">
          <cell r="I5">
            <v>13765.710999999999</v>
          </cell>
        </row>
        <row r="6">
          <cell r="I6">
            <v>0</v>
          </cell>
        </row>
      </sheetData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H2">
            <v>113.5</v>
          </cell>
        </row>
        <row r="4">
          <cell r="H4">
            <v>50394</v>
          </cell>
        </row>
        <row r="5">
          <cell r="H5">
            <v>2919</v>
          </cell>
        </row>
        <row r="6">
          <cell r="H6">
            <v>6746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in"/>
      <sheetName val="Model"/>
    </sheetNames>
    <sheetDataSet>
      <sheetData sheetId="0">
        <row r="2">
          <cell r="I2">
            <v>50.7</v>
          </cell>
        </row>
        <row r="4">
          <cell r="I4">
            <v>27269.090670900005</v>
          </cell>
        </row>
        <row r="5">
          <cell r="I5">
            <v>1068</v>
          </cell>
        </row>
        <row r="6">
          <cell r="I6">
            <v>30199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Oscar Settje" id="{4E634C5A-9FB4-4BCE-BEA8-F22D7E8CCFF9}" userId="7ff36870b973954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4" dT="2026-07-26T16:51:02.57" personId="{4E634C5A-9FB4-4BCE-BEA8-F22D7E8CCFF9}" id="{7016EAAF-06C2-4B4E-B159-DD4D4D50A028}">
    <text>Average Price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\Models\EBAY.xlsx" TargetMode="External"/><Relationship Id="rId3" Type="http://schemas.openxmlformats.org/officeDocument/2006/relationships/hyperlink" Target="..\Models\LULU.xlsx" TargetMode="External"/><Relationship Id="rId7" Type="http://schemas.openxmlformats.org/officeDocument/2006/relationships/hyperlink" Target="..\Models\9992.HK.xlsx" TargetMode="External"/><Relationship Id="rId2" Type="http://schemas.openxmlformats.org/officeDocument/2006/relationships/hyperlink" Target="..\Models\SNAP.xlsx" TargetMode="External"/><Relationship Id="rId1" Type="http://schemas.openxmlformats.org/officeDocument/2006/relationships/hyperlink" Target="../Models/RDC.F.xlsx" TargetMode="External"/><Relationship Id="rId6" Type="http://schemas.openxmlformats.org/officeDocument/2006/relationships/hyperlink" Target="..\Models\BC.MI.xlsx" TargetMode="External"/><Relationship Id="rId5" Type="http://schemas.openxmlformats.org/officeDocument/2006/relationships/hyperlink" Target="..\Models\BABA.xlsx" TargetMode="External"/><Relationship Id="rId4" Type="http://schemas.openxmlformats.org/officeDocument/2006/relationships/hyperlink" Target="..\Models\VIRT.xlsx" TargetMode="External"/><Relationship Id="rId9" Type="http://schemas.openxmlformats.org/officeDocument/2006/relationships/hyperlink" Target="..\Models\FI.xls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..\Models\PAH3.xlsx" TargetMode="External"/><Relationship Id="rId7" Type="http://schemas.openxmlformats.org/officeDocument/2006/relationships/hyperlink" Target="..\Models\LULU.xlsx" TargetMode="External"/><Relationship Id="rId2" Type="http://schemas.openxmlformats.org/officeDocument/2006/relationships/hyperlink" Target="..\Models\NLM.F.xlsx" TargetMode="External"/><Relationship Id="rId1" Type="http://schemas.openxmlformats.org/officeDocument/2006/relationships/hyperlink" Target="..\Models\KER.PA.xlsx" TargetMode="External"/><Relationship Id="rId6" Type="http://schemas.openxmlformats.org/officeDocument/2006/relationships/hyperlink" Target="..\Models\BTI.xlsx" TargetMode="External"/><Relationship Id="rId5" Type="http://schemas.openxmlformats.org/officeDocument/2006/relationships/hyperlink" Target="..\Models\PYPL.xlsx" TargetMode="External"/><Relationship Id="rId10" Type="http://schemas.microsoft.com/office/2017/10/relationships/threadedComment" Target="../threadedComments/threadedComment1.xml"/><Relationship Id="rId4" Type="http://schemas.openxmlformats.org/officeDocument/2006/relationships/hyperlink" Target="..\Models\STG.CO.xlsx" TargetMode="External"/><Relationship Id="rId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4A331-3821-4718-A769-006CA9DC39E7}">
  <dimension ref="A1:Q130"/>
  <sheetViews>
    <sheetView tabSelected="1" zoomScale="200" zoomScaleNormal="200" workbookViewId="0">
      <pane ySplit="4" topLeftCell="A5" activePane="bottomLeft" state="frozen"/>
      <selection pane="bottomLeft" activeCell="D16" sqref="D16"/>
    </sheetView>
  </sheetViews>
  <sheetFormatPr defaultRowHeight="12.75"/>
  <cols>
    <col min="1" max="1" width="3.5703125" style="9" customWidth="1"/>
    <col min="2" max="2" width="20" style="9" customWidth="1"/>
    <col min="3" max="14" width="9.140625" style="9"/>
    <col min="15" max="15" width="16.7109375" style="10" bestFit="1" customWidth="1"/>
    <col min="16" max="16384" width="9.140625" style="9"/>
  </cols>
  <sheetData>
    <row r="1" spans="1:17">
      <c r="A1" s="2" t="s">
        <v>0</v>
      </c>
    </row>
    <row r="2" spans="1:17">
      <c r="A2" s="9" t="s">
        <v>1</v>
      </c>
      <c r="M2" s="19"/>
    </row>
    <row r="4" spans="1:17">
      <c r="A4" s="4" t="s">
        <v>5</v>
      </c>
      <c r="B4" s="2" t="s">
        <v>4</v>
      </c>
      <c r="C4" s="2" t="s">
        <v>6</v>
      </c>
      <c r="D4" s="2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8</v>
      </c>
      <c r="M4" s="5" t="s">
        <v>43</v>
      </c>
      <c r="N4" s="5" t="s">
        <v>19</v>
      </c>
      <c r="O4" s="6" t="s">
        <v>32</v>
      </c>
      <c r="P4" s="6" t="s">
        <v>20</v>
      </c>
      <c r="Q4" s="5" t="s">
        <v>25</v>
      </c>
    </row>
    <row r="5" spans="1:17">
      <c r="A5" s="11">
        <v>1</v>
      </c>
      <c r="B5" s="7" t="s">
        <v>15</v>
      </c>
      <c r="C5" s="9" t="s">
        <v>17</v>
      </c>
      <c r="D5" s="9" t="s">
        <v>16</v>
      </c>
      <c r="E5" s="9">
        <f>+[8]Main!$J$2</f>
        <v>66.3</v>
      </c>
      <c r="F5" s="12">
        <f>+[8]Main!$J$4*FX!C2</f>
        <v>1560.0574532789999</v>
      </c>
      <c r="G5" s="12">
        <f>(+[8]Main!$J$6-[8]Main!$J$5)*FX!C2</f>
        <v>156.81744000000003</v>
      </c>
      <c r="H5" s="12">
        <f t="shared" ref="H5:H13" si="0">+F5+G5</f>
        <v>1716.8748932789999</v>
      </c>
      <c r="I5" s="8" t="s">
        <v>18</v>
      </c>
      <c r="J5" s="13">
        <v>45965</v>
      </c>
      <c r="K5" s="13">
        <v>45888</v>
      </c>
      <c r="L5" s="9">
        <v>99.2</v>
      </c>
      <c r="M5" s="18">
        <f>+E5/L5-1</f>
        <v>-0.33165322580645162</v>
      </c>
      <c r="O5" s="10" t="s">
        <v>33</v>
      </c>
      <c r="P5" s="9" t="s">
        <v>21</v>
      </c>
    </row>
    <row r="6" spans="1:17">
      <c r="A6" s="11">
        <f>+A5+1</f>
        <v>2</v>
      </c>
      <c r="B6" s="7" t="s">
        <v>22</v>
      </c>
      <c r="C6" s="9" t="s">
        <v>23</v>
      </c>
      <c r="D6" s="9" t="s">
        <v>24</v>
      </c>
      <c r="E6" s="9">
        <f>+[9]Main!$I$2</f>
        <v>5.29</v>
      </c>
      <c r="F6" s="12">
        <f>+[9]Main!$I$4</f>
        <v>8946.4358964800012</v>
      </c>
      <c r="G6" s="12">
        <f>+[9]Main!$I$6-[9]Main!$I$5</f>
        <v>874.84900000000016</v>
      </c>
      <c r="H6" s="12">
        <f t="shared" si="0"/>
        <v>9821.2848964800014</v>
      </c>
      <c r="I6" s="8" t="s">
        <v>18</v>
      </c>
      <c r="J6" s="27">
        <v>45958</v>
      </c>
      <c r="K6" s="13">
        <v>45889</v>
      </c>
      <c r="L6" s="9">
        <v>7.44</v>
      </c>
      <c r="M6" s="18">
        <f t="shared" ref="M6:M10" si="1">+E6/L6-1</f>
        <v>-0.28897849462365599</v>
      </c>
      <c r="O6" s="10" t="s">
        <v>36</v>
      </c>
      <c r="P6" s="9" t="s">
        <v>21</v>
      </c>
      <c r="Q6" s="9" t="s">
        <v>26</v>
      </c>
    </row>
    <row r="7" spans="1:17">
      <c r="A7" s="11">
        <f t="shared" ref="A7:A46" si="2">+A6+1</f>
        <v>3</v>
      </c>
      <c r="B7" s="7" t="s">
        <v>27</v>
      </c>
      <c r="C7" s="9" t="s">
        <v>28</v>
      </c>
      <c r="D7" s="9" t="s">
        <v>29</v>
      </c>
      <c r="E7" s="9">
        <f>+[7]Main!$I$2</f>
        <v>110.86</v>
      </c>
      <c r="F7" s="12">
        <f>+[7]Main!$I$4</f>
        <v>12021.43191302</v>
      </c>
      <c r="G7" s="12">
        <f>+[7]Main!$I$6-[7]Main!$I$5</f>
        <v>-1514.729</v>
      </c>
      <c r="H7" s="12">
        <f t="shared" si="0"/>
        <v>10506.702913020001</v>
      </c>
      <c r="I7" s="17" t="s">
        <v>18</v>
      </c>
      <c r="J7" s="13">
        <v>45995</v>
      </c>
      <c r="K7" s="13">
        <v>45891</v>
      </c>
      <c r="L7" s="9">
        <v>198.37</v>
      </c>
      <c r="M7" s="18">
        <f t="shared" si="1"/>
        <v>-0.44114533447597926</v>
      </c>
      <c r="O7" s="10" t="s">
        <v>35</v>
      </c>
      <c r="P7" s="9" t="s">
        <v>21</v>
      </c>
    </row>
    <row r="8" spans="1:17">
      <c r="A8" s="11">
        <f t="shared" si="2"/>
        <v>4</v>
      </c>
      <c r="B8" s="7" t="s">
        <v>31</v>
      </c>
      <c r="C8" s="9" t="s">
        <v>30</v>
      </c>
      <c r="D8" s="9" t="s">
        <v>24</v>
      </c>
      <c r="E8" s="9">
        <f>+[10]Main!$H$2</f>
        <v>59.96</v>
      </c>
      <c r="F8" s="12">
        <f>+[10]Main!$H$4</f>
        <v>9165.7399503199995</v>
      </c>
      <c r="G8" s="12">
        <f>+[10]Main!$H$6-[10]Main!$H$5</f>
        <v>1242.8240000000001</v>
      </c>
      <c r="H8" s="12">
        <f t="shared" si="0"/>
        <v>10408.56395032</v>
      </c>
      <c r="I8" s="8" t="s">
        <v>18</v>
      </c>
      <c r="J8" s="13">
        <v>45953</v>
      </c>
      <c r="K8" s="13">
        <v>45902</v>
      </c>
      <c r="L8" s="9">
        <v>41.3</v>
      </c>
      <c r="M8" s="18">
        <f t="shared" si="1"/>
        <v>0.45181598062954009</v>
      </c>
      <c r="O8" s="10" t="s">
        <v>34</v>
      </c>
      <c r="P8" s="9" t="s">
        <v>21</v>
      </c>
    </row>
    <row r="9" spans="1:17">
      <c r="A9" s="11">
        <f t="shared" si="2"/>
        <v>5</v>
      </c>
      <c r="B9" s="7" t="s">
        <v>37</v>
      </c>
      <c r="C9" s="14" t="s">
        <v>38</v>
      </c>
      <c r="D9" s="14" t="s">
        <v>39</v>
      </c>
      <c r="E9" s="9">
        <f>+[11]Main!$J$2</f>
        <v>111</v>
      </c>
      <c r="F9" s="12">
        <f>+[11]Main!$J$5*FX!C3</f>
        <v>271263.13199999998</v>
      </c>
      <c r="G9" s="12">
        <f>+([11]Main!$J$7-[11]Main!$J$6)*FX!C3</f>
        <v>-41909.560000000005</v>
      </c>
      <c r="H9" s="12">
        <f t="shared" si="0"/>
        <v>229353.57199999999</v>
      </c>
      <c r="I9" s="15" t="s">
        <v>40</v>
      </c>
      <c r="J9" s="13">
        <v>45981</v>
      </c>
      <c r="K9" s="13">
        <v>45902</v>
      </c>
      <c r="L9" s="9">
        <v>134.1</v>
      </c>
      <c r="M9" s="18">
        <f t="shared" si="1"/>
        <v>-0.17225950782997757</v>
      </c>
      <c r="O9" s="16" t="s">
        <v>41</v>
      </c>
      <c r="P9" s="14" t="s">
        <v>21</v>
      </c>
    </row>
    <row r="10" spans="1:17">
      <c r="A10" s="11">
        <f t="shared" si="2"/>
        <v>6</v>
      </c>
      <c r="B10" s="7" t="s">
        <v>44</v>
      </c>
      <c r="C10" s="20" t="s">
        <v>46</v>
      </c>
      <c r="D10" s="20" t="s">
        <v>45</v>
      </c>
      <c r="E10" s="9">
        <f>+[12]Main!$J$2</f>
        <v>87.92</v>
      </c>
      <c r="F10" s="12">
        <f>+([12]Main!$J$4)*FX!C2</f>
        <v>6994.2646728863992</v>
      </c>
      <c r="G10" s="12">
        <f>+([12]Main!$J$6-[12]Main!$J$5)*FX!C2</f>
        <v>256.17617999999993</v>
      </c>
      <c r="H10" s="12">
        <f t="shared" si="0"/>
        <v>7250.4408528863987</v>
      </c>
      <c r="I10" s="22" t="s">
        <v>18</v>
      </c>
      <c r="J10" s="13">
        <v>45946</v>
      </c>
      <c r="K10" s="13">
        <v>45926</v>
      </c>
      <c r="L10" s="9">
        <v>85.3</v>
      </c>
      <c r="M10" s="18">
        <f t="shared" si="1"/>
        <v>3.071512309495894E-2</v>
      </c>
      <c r="O10" s="21" t="s">
        <v>47</v>
      </c>
      <c r="P10" s="14" t="s">
        <v>21</v>
      </c>
      <c r="Q10" s="20" t="s">
        <v>48</v>
      </c>
    </row>
    <row r="11" spans="1:17">
      <c r="A11" s="11">
        <f t="shared" si="2"/>
        <v>7</v>
      </c>
      <c r="B11" s="7" t="s">
        <v>49</v>
      </c>
      <c r="C11" s="20" t="s">
        <v>50</v>
      </c>
      <c r="D11" s="20" t="s">
        <v>51</v>
      </c>
      <c r="E11" s="9">
        <f>+[13]Main!$I$2</f>
        <v>160.9</v>
      </c>
      <c r="F11" s="12">
        <f>+[13]Main!$I$4*FX!C3</f>
        <v>29939.216496000005</v>
      </c>
      <c r="G11" s="12">
        <f>+([13]Main!$I$6-[13]Main!$I$5)*FX!C3</f>
        <v>-1927.1995400000001</v>
      </c>
      <c r="H11" s="12">
        <f t="shared" si="0"/>
        <v>28012.016956000003</v>
      </c>
      <c r="I11" s="22" t="s">
        <v>18</v>
      </c>
      <c r="J11" s="13">
        <v>46078</v>
      </c>
      <c r="K11" s="13">
        <v>45926</v>
      </c>
      <c r="L11" s="9">
        <v>256.39999999999998</v>
      </c>
      <c r="M11" s="18">
        <f>+E11/L11-1</f>
        <v>-0.37246489859594378</v>
      </c>
      <c r="O11" s="21" t="s">
        <v>52</v>
      </c>
      <c r="P11" s="14" t="s">
        <v>21</v>
      </c>
      <c r="Q11" s="20" t="s">
        <v>53</v>
      </c>
    </row>
    <row r="12" spans="1:17">
      <c r="A12" s="11">
        <f t="shared" si="2"/>
        <v>8</v>
      </c>
      <c r="B12" s="7" t="s">
        <v>54</v>
      </c>
      <c r="C12" s="23" t="s">
        <v>54</v>
      </c>
      <c r="D12" s="23" t="s">
        <v>24</v>
      </c>
      <c r="E12" s="9">
        <f>+[14]Main!$H$2</f>
        <v>113.5</v>
      </c>
      <c r="F12" s="12">
        <f>+[14]Main!$H$4</f>
        <v>50394</v>
      </c>
      <c r="G12" s="12">
        <f>+([14]Main!$H$6-[14]Main!$H$5)</f>
        <v>3827</v>
      </c>
      <c r="H12" s="12">
        <f t="shared" si="0"/>
        <v>54221</v>
      </c>
      <c r="I12" s="24" t="s">
        <v>18</v>
      </c>
      <c r="J12" s="25">
        <v>45959</v>
      </c>
      <c r="K12" s="13">
        <v>45934</v>
      </c>
      <c r="L12" s="9">
        <v>92.17</v>
      </c>
      <c r="M12" s="18">
        <f>+E12/L12-1</f>
        <v>0.23142020180101985</v>
      </c>
      <c r="O12" s="26" t="s">
        <v>55</v>
      </c>
      <c r="P12" s="14" t="s">
        <v>21</v>
      </c>
    </row>
    <row r="13" spans="1:17">
      <c r="A13" s="11">
        <f t="shared" si="2"/>
        <v>9</v>
      </c>
      <c r="B13" s="7" t="s">
        <v>56</v>
      </c>
      <c r="C13" s="28" t="s">
        <v>58</v>
      </c>
      <c r="D13" s="28" t="s">
        <v>24</v>
      </c>
      <c r="E13" s="9">
        <f>+[15]Main!$I$2</f>
        <v>50.7</v>
      </c>
      <c r="F13" s="12">
        <f>+[15]Main!$I$4</f>
        <v>27269.090670900005</v>
      </c>
      <c r="G13" s="12">
        <f>+[15]Main!$I$6-[15]Main!$I$5</f>
        <v>29131</v>
      </c>
      <c r="H13" s="12">
        <f t="shared" si="0"/>
        <v>56400.090670900005</v>
      </c>
      <c r="I13" s="29" t="s">
        <v>60</v>
      </c>
      <c r="K13" s="13">
        <v>45967</v>
      </c>
      <c r="L13" s="9">
        <v>62.5</v>
      </c>
      <c r="M13" s="18">
        <f>+E13/L13-1</f>
        <v>-0.18879999999999997</v>
      </c>
      <c r="O13" s="30" t="s">
        <v>61</v>
      </c>
      <c r="P13" s="14" t="s">
        <v>21</v>
      </c>
      <c r="Q13" s="28" t="s">
        <v>57</v>
      </c>
    </row>
    <row r="14" spans="1:17">
      <c r="A14" s="11">
        <f t="shared" si="2"/>
        <v>10</v>
      </c>
      <c r="B14" s="7" t="s">
        <v>95</v>
      </c>
      <c r="C14" s="48" t="s">
        <v>95</v>
      </c>
      <c r="D14" s="48" t="s">
        <v>99</v>
      </c>
      <c r="F14" s="12"/>
      <c r="G14" s="12"/>
      <c r="H14" s="12"/>
      <c r="I14" s="8"/>
      <c r="P14" s="14"/>
    </row>
    <row r="15" spans="1:17">
      <c r="A15" s="11">
        <f t="shared" si="2"/>
        <v>11</v>
      </c>
      <c r="B15" s="48" t="s">
        <v>98</v>
      </c>
      <c r="C15" s="48" t="s">
        <v>98</v>
      </c>
      <c r="D15" s="48" t="s">
        <v>24</v>
      </c>
      <c r="F15" s="12"/>
      <c r="G15" s="12"/>
      <c r="H15" s="12"/>
      <c r="I15" s="8"/>
      <c r="M15" s="19">
        <f>+AVERAGE(M5:M13)</f>
        <v>-0.12015001731183217</v>
      </c>
    </row>
    <row r="16" spans="1:17">
      <c r="A16" s="11">
        <f t="shared" si="2"/>
        <v>12</v>
      </c>
      <c r="F16" s="12"/>
      <c r="G16" s="12"/>
      <c r="H16" s="12"/>
      <c r="I16" s="8"/>
    </row>
    <row r="17" spans="1:9">
      <c r="A17" s="11">
        <f t="shared" si="2"/>
        <v>13</v>
      </c>
      <c r="F17" s="12"/>
      <c r="G17" s="12"/>
      <c r="H17" s="12"/>
      <c r="I17" s="8"/>
    </row>
    <row r="18" spans="1:9">
      <c r="A18" s="11">
        <f t="shared" si="2"/>
        <v>14</v>
      </c>
      <c r="F18" s="12"/>
      <c r="G18" s="12"/>
      <c r="H18" s="12"/>
      <c r="I18" s="8"/>
    </row>
    <row r="19" spans="1:9">
      <c r="A19" s="11">
        <f t="shared" si="2"/>
        <v>15</v>
      </c>
      <c r="F19" s="12"/>
      <c r="G19" s="12"/>
      <c r="H19" s="12"/>
      <c r="I19" s="8"/>
    </row>
    <row r="20" spans="1:9">
      <c r="A20" s="11">
        <f t="shared" si="2"/>
        <v>16</v>
      </c>
      <c r="F20" s="12"/>
      <c r="G20" s="12"/>
      <c r="H20" s="12"/>
      <c r="I20" s="8"/>
    </row>
    <row r="21" spans="1:9">
      <c r="A21" s="11">
        <f t="shared" si="2"/>
        <v>17</v>
      </c>
      <c r="F21" s="12"/>
      <c r="G21" s="12"/>
      <c r="H21" s="12"/>
      <c r="I21" s="8"/>
    </row>
    <row r="22" spans="1:9">
      <c r="A22" s="11">
        <f t="shared" si="2"/>
        <v>18</v>
      </c>
      <c r="F22" s="12"/>
      <c r="G22" s="12"/>
      <c r="H22" s="12"/>
      <c r="I22" s="8"/>
    </row>
    <row r="23" spans="1:9">
      <c r="A23" s="11">
        <f t="shared" si="2"/>
        <v>19</v>
      </c>
      <c r="F23" s="12"/>
      <c r="G23" s="12"/>
      <c r="H23" s="12"/>
      <c r="I23" s="8"/>
    </row>
    <row r="24" spans="1:9">
      <c r="A24" s="11">
        <f t="shared" si="2"/>
        <v>20</v>
      </c>
      <c r="F24" s="12"/>
      <c r="G24" s="12"/>
      <c r="H24" s="12"/>
      <c r="I24" s="8"/>
    </row>
    <row r="25" spans="1:9">
      <c r="A25" s="11">
        <f t="shared" si="2"/>
        <v>21</v>
      </c>
      <c r="F25" s="12"/>
      <c r="G25" s="12"/>
      <c r="H25" s="12"/>
      <c r="I25" s="8"/>
    </row>
    <row r="26" spans="1:9">
      <c r="A26" s="11">
        <f t="shared" si="2"/>
        <v>22</v>
      </c>
      <c r="F26" s="12"/>
      <c r="G26" s="12"/>
      <c r="H26" s="12"/>
      <c r="I26" s="8"/>
    </row>
    <row r="27" spans="1:9">
      <c r="A27" s="11">
        <f t="shared" si="2"/>
        <v>23</v>
      </c>
      <c r="F27" s="12"/>
      <c r="G27" s="12"/>
      <c r="H27" s="12"/>
      <c r="I27" s="8"/>
    </row>
    <row r="28" spans="1:9">
      <c r="A28" s="11">
        <f t="shared" si="2"/>
        <v>24</v>
      </c>
      <c r="F28" s="12"/>
      <c r="G28" s="12"/>
      <c r="H28" s="12"/>
      <c r="I28" s="8"/>
    </row>
    <row r="29" spans="1:9">
      <c r="A29" s="11">
        <f t="shared" si="2"/>
        <v>25</v>
      </c>
      <c r="F29" s="12"/>
      <c r="G29" s="12"/>
      <c r="H29" s="12"/>
      <c r="I29" s="8"/>
    </row>
    <row r="30" spans="1:9">
      <c r="A30" s="11">
        <f t="shared" si="2"/>
        <v>26</v>
      </c>
      <c r="F30" s="12"/>
      <c r="G30" s="12"/>
      <c r="H30" s="12"/>
      <c r="I30" s="8"/>
    </row>
    <row r="31" spans="1:9">
      <c r="A31" s="11">
        <f t="shared" si="2"/>
        <v>27</v>
      </c>
      <c r="F31" s="12"/>
      <c r="G31" s="12"/>
      <c r="H31" s="12"/>
      <c r="I31" s="8"/>
    </row>
    <row r="32" spans="1:9">
      <c r="A32" s="11">
        <f t="shared" si="2"/>
        <v>28</v>
      </c>
      <c r="F32" s="12"/>
      <c r="G32" s="12"/>
      <c r="H32" s="12"/>
      <c r="I32" s="8"/>
    </row>
    <row r="33" spans="1:9">
      <c r="A33" s="11">
        <f t="shared" si="2"/>
        <v>29</v>
      </c>
      <c r="F33" s="12"/>
      <c r="G33" s="12"/>
      <c r="H33" s="12"/>
      <c r="I33" s="8"/>
    </row>
    <row r="34" spans="1:9">
      <c r="A34" s="11">
        <f t="shared" si="2"/>
        <v>30</v>
      </c>
      <c r="F34" s="12"/>
      <c r="G34" s="12"/>
      <c r="H34" s="12"/>
      <c r="I34" s="8"/>
    </row>
    <row r="35" spans="1:9">
      <c r="A35" s="11">
        <f t="shared" si="2"/>
        <v>31</v>
      </c>
      <c r="F35" s="12"/>
      <c r="G35" s="12"/>
      <c r="H35" s="12"/>
      <c r="I35" s="8"/>
    </row>
    <row r="36" spans="1:9">
      <c r="A36" s="11">
        <f t="shared" si="2"/>
        <v>32</v>
      </c>
      <c r="F36" s="12"/>
      <c r="G36" s="12"/>
      <c r="H36" s="12"/>
      <c r="I36" s="8"/>
    </row>
    <row r="37" spans="1:9">
      <c r="A37" s="11">
        <f t="shared" si="2"/>
        <v>33</v>
      </c>
      <c r="F37" s="12"/>
      <c r="G37" s="12"/>
      <c r="H37" s="12"/>
      <c r="I37" s="8"/>
    </row>
    <row r="38" spans="1:9">
      <c r="A38" s="11">
        <f t="shared" si="2"/>
        <v>34</v>
      </c>
      <c r="F38" s="12"/>
      <c r="G38" s="12"/>
      <c r="H38" s="12"/>
      <c r="I38" s="8"/>
    </row>
    <row r="39" spans="1:9">
      <c r="A39" s="11">
        <f t="shared" si="2"/>
        <v>35</v>
      </c>
      <c r="F39" s="12"/>
      <c r="G39" s="12"/>
      <c r="H39" s="12"/>
      <c r="I39" s="8"/>
    </row>
    <row r="40" spans="1:9">
      <c r="A40" s="11">
        <f t="shared" si="2"/>
        <v>36</v>
      </c>
      <c r="F40" s="12"/>
      <c r="G40" s="12"/>
      <c r="H40" s="12"/>
      <c r="I40" s="8"/>
    </row>
    <row r="41" spans="1:9">
      <c r="A41" s="11">
        <f t="shared" si="2"/>
        <v>37</v>
      </c>
      <c r="F41" s="12"/>
      <c r="G41" s="12"/>
      <c r="H41" s="12"/>
      <c r="I41" s="8"/>
    </row>
    <row r="42" spans="1:9">
      <c r="A42" s="11">
        <f t="shared" si="2"/>
        <v>38</v>
      </c>
      <c r="F42" s="12"/>
      <c r="G42" s="12"/>
      <c r="H42" s="12"/>
      <c r="I42" s="8"/>
    </row>
    <row r="43" spans="1:9">
      <c r="A43" s="11">
        <f t="shared" si="2"/>
        <v>39</v>
      </c>
      <c r="F43" s="12"/>
      <c r="G43" s="12"/>
      <c r="H43" s="12"/>
      <c r="I43" s="8"/>
    </row>
    <row r="44" spans="1:9">
      <c r="A44" s="11">
        <f t="shared" si="2"/>
        <v>40</v>
      </c>
      <c r="F44" s="12"/>
      <c r="G44" s="12"/>
      <c r="H44" s="12"/>
      <c r="I44" s="8"/>
    </row>
    <row r="45" spans="1:9">
      <c r="A45" s="11">
        <f t="shared" si="2"/>
        <v>41</v>
      </c>
      <c r="F45" s="12"/>
      <c r="G45" s="12"/>
      <c r="H45" s="12"/>
      <c r="I45" s="8"/>
    </row>
    <row r="46" spans="1:9">
      <c r="A46" s="11">
        <f t="shared" si="2"/>
        <v>42</v>
      </c>
      <c r="F46" s="12"/>
      <c r="G46" s="12"/>
      <c r="H46" s="12"/>
      <c r="I46" s="8"/>
    </row>
    <row r="47" spans="1:9">
      <c r="A47" s="11"/>
      <c r="F47" s="12"/>
      <c r="G47" s="12"/>
      <c r="H47" s="12"/>
      <c r="I47" s="8"/>
    </row>
    <row r="48" spans="1:9">
      <c r="A48" s="11"/>
      <c r="I48" s="8"/>
    </row>
    <row r="49" spans="1:9">
      <c r="A49" s="11"/>
      <c r="I49" s="8"/>
    </row>
    <row r="50" spans="1:9">
      <c r="A50" s="11"/>
      <c r="I50" s="8"/>
    </row>
    <row r="51" spans="1:9">
      <c r="A51" s="11"/>
      <c r="I51" s="8"/>
    </row>
    <row r="52" spans="1:9">
      <c r="A52" s="11"/>
      <c r="I52" s="8"/>
    </row>
    <row r="53" spans="1:9">
      <c r="A53" s="11"/>
      <c r="I53" s="8"/>
    </row>
    <row r="54" spans="1:9">
      <c r="A54" s="11"/>
      <c r="I54" s="8"/>
    </row>
    <row r="55" spans="1:9">
      <c r="A55" s="11"/>
      <c r="I55" s="8"/>
    </row>
    <row r="56" spans="1:9">
      <c r="A56" s="11"/>
      <c r="I56" s="8"/>
    </row>
    <row r="57" spans="1:9">
      <c r="A57" s="11"/>
      <c r="I57" s="8"/>
    </row>
    <row r="58" spans="1:9">
      <c r="A58" s="11"/>
      <c r="I58" s="8"/>
    </row>
    <row r="59" spans="1:9">
      <c r="A59" s="11"/>
    </row>
    <row r="60" spans="1:9">
      <c r="A60" s="11"/>
    </row>
    <row r="61" spans="1:9">
      <c r="A61" s="11"/>
    </row>
    <row r="62" spans="1:9">
      <c r="A62" s="11"/>
    </row>
    <row r="63" spans="1:9">
      <c r="A63" s="11"/>
    </row>
    <row r="64" spans="1:9">
      <c r="A64" s="11"/>
    </row>
    <row r="65" spans="1:1">
      <c r="A65" s="11"/>
    </row>
    <row r="66" spans="1:1">
      <c r="A66" s="11"/>
    </row>
    <row r="67" spans="1:1">
      <c r="A67" s="11"/>
    </row>
    <row r="68" spans="1:1">
      <c r="A68" s="11"/>
    </row>
    <row r="69" spans="1:1">
      <c r="A69" s="11"/>
    </row>
    <row r="70" spans="1:1">
      <c r="A70" s="11"/>
    </row>
    <row r="71" spans="1:1">
      <c r="A71" s="11"/>
    </row>
    <row r="72" spans="1:1">
      <c r="A72" s="11"/>
    </row>
    <row r="73" spans="1:1">
      <c r="A73" s="11"/>
    </row>
    <row r="74" spans="1:1">
      <c r="A74" s="11"/>
    </row>
    <row r="75" spans="1:1">
      <c r="A75" s="11"/>
    </row>
    <row r="76" spans="1:1">
      <c r="A76" s="11"/>
    </row>
    <row r="77" spans="1:1">
      <c r="A77" s="11"/>
    </row>
    <row r="78" spans="1:1">
      <c r="A78" s="11"/>
    </row>
    <row r="79" spans="1:1">
      <c r="A79" s="11"/>
    </row>
    <row r="80" spans="1:1">
      <c r="A80" s="11"/>
    </row>
    <row r="81" spans="1:1">
      <c r="A81" s="11"/>
    </row>
    <row r="82" spans="1:1">
      <c r="A82" s="11"/>
    </row>
    <row r="83" spans="1:1">
      <c r="A83" s="11"/>
    </row>
    <row r="84" spans="1:1">
      <c r="A84" s="11"/>
    </row>
    <row r="85" spans="1:1">
      <c r="A85" s="11"/>
    </row>
    <row r="86" spans="1:1">
      <c r="A86" s="11"/>
    </row>
    <row r="87" spans="1:1">
      <c r="A87" s="11"/>
    </row>
    <row r="88" spans="1:1">
      <c r="A88" s="11"/>
    </row>
    <row r="89" spans="1:1">
      <c r="A89" s="11"/>
    </row>
    <row r="90" spans="1:1">
      <c r="A90" s="11"/>
    </row>
    <row r="91" spans="1:1">
      <c r="A91" s="11"/>
    </row>
    <row r="92" spans="1:1">
      <c r="A92" s="11"/>
    </row>
    <row r="93" spans="1:1">
      <c r="A93" s="11"/>
    </row>
    <row r="94" spans="1:1">
      <c r="A94" s="11"/>
    </row>
    <row r="95" spans="1:1">
      <c r="A95" s="11"/>
    </row>
    <row r="96" spans="1:1">
      <c r="A96" s="11"/>
    </row>
    <row r="97" spans="1:1">
      <c r="A97" s="11"/>
    </row>
    <row r="98" spans="1:1">
      <c r="A98" s="11"/>
    </row>
    <row r="99" spans="1:1">
      <c r="A99" s="11"/>
    </row>
    <row r="100" spans="1:1">
      <c r="A100" s="11"/>
    </row>
    <row r="101" spans="1:1">
      <c r="A101" s="11"/>
    </row>
    <row r="102" spans="1:1">
      <c r="A102" s="11"/>
    </row>
    <row r="103" spans="1:1">
      <c r="A103" s="11"/>
    </row>
    <row r="104" spans="1:1">
      <c r="A104" s="11"/>
    </row>
    <row r="105" spans="1:1">
      <c r="A105" s="11"/>
    </row>
    <row r="106" spans="1:1">
      <c r="A106" s="11"/>
    </row>
    <row r="107" spans="1:1">
      <c r="A107" s="11"/>
    </row>
    <row r="108" spans="1:1">
      <c r="A108" s="11"/>
    </row>
    <row r="109" spans="1:1">
      <c r="A109" s="11"/>
    </row>
    <row r="110" spans="1:1">
      <c r="A110" s="11"/>
    </row>
    <row r="111" spans="1:1">
      <c r="A111" s="11"/>
    </row>
    <row r="112" spans="1:1">
      <c r="A112" s="11"/>
    </row>
    <row r="113" spans="1:1">
      <c r="A113" s="11"/>
    </row>
    <row r="114" spans="1:1">
      <c r="A114" s="11"/>
    </row>
    <row r="115" spans="1:1">
      <c r="A115" s="11"/>
    </row>
    <row r="116" spans="1:1">
      <c r="A116" s="11"/>
    </row>
    <row r="117" spans="1:1">
      <c r="A117" s="11"/>
    </row>
    <row r="118" spans="1:1">
      <c r="A118" s="11"/>
    </row>
    <row r="119" spans="1:1">
      <c r="A119" s="11"/>
    </row>
    <row r="120" spans="1:1">
      <c r="A120" s="11"/>
    </row>
    <row r="121" spans="1:1">
      <c r="A121" s="11"/>
    </row>
    <row r="122" spans="1:1">
      <c r="A122" s="11"/>
    </row>
    <row r="123" spans="1:1">
      <c r="A123" s="11"/>
    </row>
    <row r="124" spans="1:1">
      <c r="A124" s="11"/>
    </row>
    <row r="125" spans="1:1">
      <c r="A125" s="11"/>
    </row>
    <row r="126" spans="1:1">
      <c r="A126" s="11"/>
    </row>
    <row r="127" spans="1:1">
      <c r="A127" s="11"/>
    </row>
    <row r="128" spans="1:1">
      <c r="A128" s="11"/>
    </row>
    <row r="129" spans="1:1">
      <c r="A129" s="11"/>
    </row>
    <row r="130" spans="1:1">
      <c r="A130" s="11"/>
    </row>
  </sheetData>
  <hyperlinks>
    <hyperlink ref="B5" r:id="rId1" xr:uid="{862DA998-AAD8-4A5B-8534-7DC3EDBC4AB2}"/>
    <hyperlink ref="B6" r:id="rId2" xr:uid="{43C60588-2186-4192-B5F7-DBC392710280}"/>
    <hyperlink ref="B7" r:id="rId3" xr:uid="{6A12FCF3-584D-4323-A41F-B970C6FF1200}"/>
    <hyperlink ref="B8" r:id="rId4" display="Virt" xr:uid="{40A4329D-348A-4629-AAFA-B94628070672}"/>
    <hyperlink ref="B9" r:id="rId5" xr:uid="{008C64C3-FE55-425E-8F91-6D7191763AE3}"/>
    <hyperlink ref="B10" r:id="rId6" xr:uid="{2F35C231-9D4B-4712-94E5-6754F841B088}"/>
    <hyperlink ref="B11" r:id="rId7" xr:uid="{AED81220-75B7-4217-BDBB-E6654FE09225}"/>
    <hyperlink ref="B12" r:id="rId8" xr:uid="{B5E94AC4-BA08-461E-866C-8E618213DE8F}"/>
    <hyperlink ref="B13" r:id="rId9" xr:uid="{393CB23F-6784-4298-AFD5-19F3BDBBFE9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D887-56C2-45D2-86E7-3AD60D640181}">
  <dimension ref="A1:S13"/>
  <sheetViews>
    <sheetView zoomScale="200" zoomScaleNormal="200" workbookViewId="0">
      <pane ySplit="4" topLeftCell="A5" activePane="bottomLeft" state="frozen"/>
      <selection pane="bottomLeft" activeCell="J12" sqref="J12"/>
    </sheetView>
  </sheetViews>
  <sheetFormatPr defaultRowHeight="15"/>
  <cols>
    <col min="1" max="1" width="5" bestFit="1" customWidth="1"/>
    <col min="2" max="2" width="20.5703125" bestFit="1" customWidth="1"/>
  </cols>
  <sheetData>
    <row r="1" spans="1:19" s="9" customFormat="1" ht="12.75">
      <c r="A1" s="7" t="s">
        <v>3</v>
      </c>
      <c r="P1" s="10"/>
    </row>
    <row r="2" spans="1:19" s="9" customFormat="1" ht="12.75">
      <c r="A2" s="31" t="s">
        <v>83</v>
      </c>
      <c r="N2" s="19"/>
      <c r="P2" s="10"/>
    </row>
    <row r="3" spans="1:19" s="9" customFormat="1" ht="12.75">
      <c r="P3" s="10"/>
    </row>
    <row r="4" spans="1:19" s="9" customFormat="1" ht="12.75">
      <c r="A4" s="4" t="s">
        <v>5</v>
      </c>
      <c r="B4" s="2" t="s">
        <v>4</v>
      </c>
      <c r="C4" s="2" t="s">
        <v>6</v>
      </c>
      <c r="D4" s="2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62</v>
      </c>
      <c r="M4" s="5" t="s">
        <v>90</v>
      </c>
      <c r="N4" s="5" t="s">
        <v>43</v>
      </c>
      <c r="O4" s="5" t="s">
        <v>19</v>
      </c>
      <c r="P4" s="5" t="s">
        <v>70</v>
      </c>
      <c r="Q4" s="6" t="s">
        <v>32</v>
      </c>
      <c r="R4" s="6"/>
      <c r="S4" s="5" t="s">
        <v>25</v>
      </c>
    </row>
    <row r="5" spans="1:19" s="9" customFormat="1" ht="12.75">
      <c r="A5" s="11">
        <v>1</v>
      </c>
      <c r="B5" s="7" t="s">
        <v>63</v>
      </c>
      <c r="C5" s="31" t="s">
        <v>84</v>
      </c>
      <c r="D5" s="31" t="s">
        <v>78</v>
      </c>
      <c r="E5" s="9">
        <f>+[1]Main!$H$3</f>
        <v>47.45</v>
      </c>
      <c r="F5" s="12">
        <f>+[1]Main!$H$5*FX!C11</f>
        <v>121803.201</v>
      </c>
      <c r="G5" s="12">
        <f>+([1]Main!$H$7-[1]Main!$H$6)*FX!C11</f>
        <v>38077.649999999994</v>
      </c>
      <c r="H5" s="12">
        <f t="shared" ref="H5:H11" si="0">+F5+G5</f>
        <v>159880.851</v>
      </c>
      <c r="I5" s="42" t="s">
        <v>93</v>
      </c>
      <c r="J5" s="41">
        <v>46233</v>
      </c>
      <c r="K5" s="13">
        <v>45509</v>
      </c>
      <c r="L5" s="38">
        <v>32.515099999999997</v>
      </c>
      <c r="M5" s="38">
        <f>+FX!C11*Portfolio!E5</f>
        <v>55.516500000000001</v>
      </c>
      <c r="N5" s="18">
        <f>+M5/L5-1</f>
        <v>0.70740671257354304</v>
      </c>
      <c r="O5" s="33">
        <f>+[1]DCF!$J$4</f>
        <v>55.220363038811023</v>
      </c>
      <c r="P5" s="34">
        <f>+O5/E5-1</f>
        <v>0.16375896815197089</v>
      </c>
      <c r="Q5" s="35" t="s">
        <v>85</v>
      </c>
    </row>
    <row r="6" spans="1:19" s="9" customFormat="1" ht="12.75">
      <c r="A6" s="11">
        <f>+A5+1</f>
        <v>2</v>
      </c>
      <c r="B6" s="7" t="s">
        <v>64</v>
      </c>
      <c r="C6" s="31" t="s">
        <v>76</v>
      </c>
      <c r="D6" s="31" t="s">
        <v>77</v>
      </c>
      <c r="E6" s="9">
        <f>+[2]Main!$I$2</f>
        <v>58.7</v>
      </c>
      <c r="F6" s="12">
        <f>+[2]Main!$I$4*FX!C12</f>
        <v>45818.872000000003</v>
      </c>
      <c r="G6" s="12">
        <f>+([2]Main!$I$6-[2]Main!$I$5)*FX!C12</f>
        <v>1886.72</v>
      </c>
      <c r="H6" s="12">
        <f t="shared" si="0"/>
        <v>47705.592000000004</v>
      </c>
      <c r="I6" s="40" t="s">
        <v>40</v>
      </c>
      <c r="J6" s="13">
        <v>46231</v>
      </c>
      <c r="K6" s="13">
        <v>45755</v>
      </c>
      <c r="L6" s="38">
        <v>53.947499999999998</v>
      </c>
      <c r="M6" s="38">
        <f>+E6*FX!C12</f>
        <v>51.656000000000006</v>
      </c>
      <c r="N6" s="18">
        <f t="shared" ref="N6:N10" si="1">+M6/L6-1</f>
        <v>-4.2476481764678442E-2</v>
      </c>
      <c r="O6" s="33">
        <f>+[2]DCF!$J$4</f>
        <v>90.720141570568231</v>
      </c>
      <c r="P6" s="34">
        <f>+O6/E6-1</f>
        <v>0.54548793135550633</v>
      </c>
      <c r="Q6" s="35" t="s">
        <v>87</v>
      </c>
    </row>
    <row r="7" spans="1:19" s="9" customFormat="1" ht="12.75">
      <c r="A7" s="11">
        <f t="shared" ref="A7:A13" si="2">+A6+1</f>
        <v>3</v>
      </c>
      <c r="B7" s="7" t="s">
        <v>65</v>
      </c>
      <c r="C7" s="31" t="s">
        <v>74</v>
      </c>
      <c r="D7" s="31" t="s">
        <v>75</v>
      </c>
      <c r="E7" s="9">
        <f>+[3]Main!$J$2</f>
        <v>71.599999999999994</v>
      </c>
      <c r="F7" s="12">
        <f>+[3]Main!$J$4*FX!C13</f>
        <v>731.79496000000006</v>
      </c>
      <c r="G7" s="12">
        <f>+([3]Main!$J$6-[3]Main!$J$5)*FX!C13</f>
        <v>634.43899999999996</v>
      </c>
      <c r="H7" s="12">
        <f t="shared" si="0"/>
        <v>1366.23396</v>
      </c>
      <c r="I7" s="47" t="s">
        <v>92</v>
      </c>
      <c r="J7" s="41">
        <v>46338</v>
      </c>
      <c r="K7" s="13">
        <v>45972</v>
      </c>
      <c r="L7" s="38">
        <v>11.895</v>
      </c>
      <c r="M7" s="38">
        <f>+E7*FX!C13</f>
        <v>9.3079999999999998</v>
      </c>
      <c r="N7" s="18">
        <f t="shared" si="1"/>
        <v>-0.2174863387978142</v>
      </c>
      <c r="O7" s="33">
        <f>+[3]DCF!$J$4</f>
        <v>108.99870635334247</v>
      </c>
      <c r="P7" s="34">
        <f>+O7/E7-1</f>
        <v>0.52232830102433625</v>
      </c>
      <c r="Q7" s="35" t="s">
        <v>85</v>
      </c>
    </row>
    <row r="8" spans="1:19" s="9" customFormat="1" ht="12.75">
      <c r="A8" s="11">
        <f t="shared" si="2"/>
        <v>4</v>
      </c>
      <c r="B8" s="7" t="s">
        <v>66</v>
      </c>
      <c r="C8" s="31" t="s">
        <v>73</v>
      </c>
      <c r="D8" s="31" t="s">
        <v>16</v>
      </c>
      <c r="E8" s="9">
        <f>+[4]Main!$I$3</f>
        <v>38.979999999999997</v>
      </c>
      <c r="F8" s="12">
        <f>+[4]Main!$I$5</f>
        <v>11937.624999999998</v>
      </c>
      <c r="G8" s="12">
        <f>+[4]Main!$I$7-[4]Main!$I$6</f>
        <v>5880</v>
      </c>
      <c r="H8" s="12">
        <f t="shared" si="0"/>
        <v>17817.625</v>
      </c>
      <c r="I8" s="40" t="s">
        <v>94</v>
      </c>
      <c r="J8" s="40" t="s">
        <v>94</v>
      </c>
      <c r="K8" s="13">
        <v>45084</v>
      </c>
      <c r="L8" s="39">
        <v>56.9</v>
      </c>
      <c r="M8" s="9">
        <f>+[4]Main!$I$3</f>
        <v>38.979999999999997</v>
      </c>
      <c r="N8" s="18">
        <f t="shared" si="1"/>
        <v>-0.3149384885764499</v>
      </c>
      <c r="O8" s="36" t="s">
        <v>88</v>
      </c>
      <c r="P8" s="36" t="s">
        <v>88</v>
      </c>
      <c r="Q8" s="35" t="s">
        <v>89</v>
      </c>
    </row>
    <row r="9" spans="1:19" s="9" customFormat="1" ht="12.75">
      <c r="A9" s="11">
        <f t="shared" si="2"/>
        <v>5</v>
      </c>
      <c r="B9" s="7" t="s">
        <v>67</v>
      </c>
      <c r="C9" s="31" t="s">
        <v>72</v>
      </c>
      <c r="D9" s="31" t="s">
        <v>16</v>
      </c>
      <c r="E9" s="9">
        <f>+[5]Main!$H$2</f>
        <v>101.5</v>
      </c>
      <c r="F9" s="12">
        <f>+[5]Main!$H$4</f>
        <v>691.47869700000001</v>
      </c>
      <c r="G9" s="12">
        <f>+[5]Main!$H$6</f>
        <v>15.463999999999999</v>
      </c>
      <c r="H9" s="12">
        <f t="shared" si="0"/>
        <v>706.94269699999995</v>
      </c>
      <c r="I9" s="40" t="s">
        <v>92</v>
      </c>
      <c r="J9" s="41">
        <v>46186</v>
      </c>
      <c r="K9" s="13">
        <v>45698</v>
      </c>
      <c r="L9" s="39">
        <v>74.495000000000005</v>
      </c>
      <c r="M9" s="9">
        <f>+[5]Main!$H$2</f>
        <v>101.5</v>
      </c>
      <c r="N9" s="18">
        <f t="shared" si="1"/>
        <v>0.36250755084233832</v>
      </c>
      <c r="O9" s="33">
        <f>+[5]DCF!$J$3</f>
        <v>97.40723155701005</v>
      </c>
      <c r="P9" s="34">
        <f>+O9/E9-1</f>
        <v>-4.0322841802856613E-2</v>
      </c>
      <c r="Q9" s="37" t="s">
        <v>91</v>
      </c>
      <c r="R9" s="20"/>
    </row>
    <row r="10" spans="1:19" s="9" customFormat="1" ht="12.75">
      <c r="A10" s="11">
        <f t="shared" si="2"/>
        <v>6</v>
      </c>
      <c r="B10" s="7" t="s">
        <v>68</v>
      </c>
      <c r="C10" s="31" t="s">
        <v>69</v>
      </c>
      <c r="D10" s="31" t="s">
        <v>71</v>
      </c>
      <c r="E10" s="9">
        <f>+[6]Main!$H$2</f>
        <v>250.5</v>
      </c>
      <c r="F10" s="12">
        <f>+[6]Main!$H$4</f>
        <v>30716.233848</v>
      </c>
      <c r="G10" s="12">
        <f>+[6]Main!$H$6-[6]Main!$H$5</f>
        <v>3324</v>
      </c>
      <c r="H10" s="12">
        <f t="shared" si="0"/>
        <v>34040.233848000003</v>
      </c>
      <c r="I10" s="43" t="s">
        <v>40</v>
      </c>
      <c r="J10" s="44">
        <v>46231</v>
      </c>
      <c r="K10" s="13">
        <v>45580</v>
      </c>
      <c r="L10" s="39">
        <v>226.89</v>
      </c>
      <c r="M10" s="9">
        <f>+[6]Main!$H$2</f>
        <v>250.5</v>
      </c>
      <c r="N10" s="18">
        <f t="shared" si="1"/>
        <v>0.10405923575300813</v>
      </c>
      <c r="O10" s="9">
        <f>+[6]DCF!$J$4</f>
        <v>379.40823731776692</v>
      </c>
      <c r="P10" s="34">
        <f>+O10/E10-1</f>
        <v>0.51460374178749269</v>
      </c>
      <c r="Q10" s="35" t="s">
        <v>86</v>
      </c>
      <c r="R10" s="20"/>
    </row>
    <row r="11" spans="1:19" s="9" customFormat="1" ht="12.75">
      <c r="A11" s="11">
        <f t="shared" si="2"/>
        <v>7</v>
      </c>
      <c r="B11" s="7" t="s">
        <v>96</v>
      </c>
      <c r="C11" s="45" t="s">
        <v>28</v>
      </c>
      <c r="D11" s="45" t="s">
        <v>77</v>
      </c>
      <c r="E11" s="9">
        <f>+[7]Main!$I$2</f>
        <v>110.86</v>
      </c>
      <c r="F11" s="12">
        <f>+[7]Main!$I$4</f>
        <v>12021.43191302</v>
      </c>
      <c r="G11" s="12">
        <f>+[7]Main!$I$6-[7]Main!$I$5</f>
        <v>-1514.729</v>
      </c>
      <c r="H11" s="12">
        <f t="shared" si="0"/>
        <v>10506.702913020001</v>
      </c>
      <c r="I11" s="46" t="s">
        <v>40</v>
      </c>
      <c r="J11" s="25">
        <v>46268</v>
      </c>
      <c r="K11" s="13"/>
      <c r="N11" s="18"/>
      <c r="P11" s="26"/>
      <c r="Q11" s="45" t="s">
        <v>97</v>
      </c>
    </row>
    <row r="12" spans="1:19" s="9" customFormat="1" ht="12.75">
      <c r="A12" s="11">
        <f t="shared" si="2"/>
        <v>8</v>
      </c>
      <c r="B12" s="7"/>
      <c r="C12" s="28"/>
      <c r="D12" s="28"/>
      <c r="F12" s="12"/>
      <c r="G12" s="12"/>
      <c r="H12" s="12"/>
      <c r="I12" s="29"/>
      <c r="K12" s="13"/>
      <c r="N12" s="18"/>
      <c r="P12" s="30"/>
      <c r="Q12" s="14"/>
      <c r="R12" s="28"/>
    </row>
    <row r="13" spans="1:19" s="9" customFormat="1" ht="12.75">
      <c r="A13" s="11">
        <f t="shared" si="2"/>
        <v>9</v>
      </c>
      <c r="B13" s="7"/>
      <c r="F13" s="12"/>
      <c r="G13" s="12"/>
      <c r="H13" s="12"/>
      <c r="I13" s="8"/>
      <c r="P13" s="10"/>
      <c r="Q13" s="14"/>
    </row>
  </sheetData>
  <hyperlinks>
    <hyperlink ref="A1" location="Main!A1" display="Main" xr:uid="{1794CFC6-2AEA-4E11-A9BA-3889D0D75F94}"/>
    <hyperlink ref="B10" r:id="rId1" xr:uid="{A820B1DA-C5FE-45E5-B57D-CD4E2C400A5A}"/>
    <hyperlink ref="B9" r:id="rId2" xr:uid="{547B0603-1275-4D29-869A-D4EBA76FFD25}"/>
    <hyperlink ref="B8" r:id="rId3" xr:uid="{321210F2-65AA-4E53-885E-71ECFD1CB23B}"/>
    <hyperlink ref="B7" r:id="rId4" xr:uid="{1BC137DB-A3DF-4798-841A-BD61751FCC08}"/>
    <hyperlink ref="B6" r:id="rId5" xr:uid="{018DBD35-7DB3-46D1-A0AA-358A16A16D4A}"/>
    <hyperlink ref="B5" r:id="rId6" xr:uid="{91117BF7-0788-4B43-ADAF-699E0F21AEC2}"/>
    <hyperlink ref="B11" r:id="rId7" xr:uid="{94C4823C-98CB-4C18-A807-39999389542E}"/>
  </hyperlinks>
  <pageMargins left="0.7" right="0.7" top="0.75" bottom="0.75" header="0.3" footer="0.3"/>
  <legacy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2DF4B-01E2-41F7-B53D-8680A3262A00}">
  <dimension ref="A1:CB334"/>
  <sheetViews>
    <sheetView zoomScale="200" zoomScaleNormal="200" workbookViewId="0">
      <selection activeCell="B14" sqref="B14"/>
    </sheetView>
  </sheetViews>
  <sheetFormatPr defaultRowHeight="15"/>
  <cols>
    <col min="1" max="1" width="5.140625" customWidth="1"/>
    <col min="2" max="2" width="14.42578125" customWidth="1"/>
  </cols>
  <sheetData>
    <row r="1" spans="1:80">
      <c r="A1" s="7" t="s">
        <v>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</row>
    <row r="2" spans="1:80">
      <c r="A2" s="3"/>
      <c r="B2" s="31" t="s">
        <v>2</v>
      </c>
      <c r="C2" s="31">
        <v>1.17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</row>
    <row r="3" spans="1:80">
      <c r="A3" s="3"/>
      <c r="B3" s="31" t="s">
        <v>42</v>
      </c>
      <c r="C3" s="31">
        <v>0.14000000000000001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</row>
    <row r="4" spans="1:80">
      <c r="A4" s="3"/>
      <c r="B4" s="31" t="s">
        <v>59</v>
      </c>
      <c r="C4" s="31">
        <v>0.16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</row>
    <row r="5" spans="1:80">
      <c r="A5" s="3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</row>
    <row r="6" spans="1:80">
      <c r="A6" s="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</row>
    <row r="7" spans="1:80"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</row>
    <row r="8" spans="1:80"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</row>
    <row r="9" spans="1:80"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</row>
    <row r="10" spans="1:80">
      <c r="B10" s="32" t="s">
        <v>79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</row>
    <row r="11" spans="1:80">
      <c r="B11" s="31" t="s">
        <v>80</v>
      </c>
      <c r="C11" s="31">
        <v>1.17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</row>
    <row r="12" spans="1:80">
      <c r="B12" s="31" t="s">
        <v>81</v>
      </c>
      <c r="C12" s="31">
        <v>0.88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</row>
    <row r="13" spans="1:80">
      <c r="B13" s="31" t="s">
        <v>82</v>
      </c>
      <c r="C13" s="31">
        <v>0.13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</row>
    <row r="14" spans="1:80"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</row>
    <row r="15" spans="1:80"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</row>
    <row r="16" spans="1:80"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</row>
    <row r="17" spans="2:80"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</row>
    <row r="18" spans="2:80"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</row>
    <row r="19" spans="2:80"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</row>
    <row r="20" spans="2:80"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</row>
    <row r="21" spans="2:80"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</row>
    <row r="22" spans="2:80"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</row>
    <row r="23" spans="2:80"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</row>
    <row r="24" spans="2:80"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</row>
    <row r="25" spans="2:80"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</row>
    <row r="26" spans="2:80"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</row>
    <row r="27" spans="2:80"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</row>
    <row r="28" spans="2:80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</row>
    <row r="29" spans="2:80"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</row>
    <row r="30" spans="2:80"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</row>
    <row r="31" spans="2:80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</row>
    <row r="32" spans="2:80"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</row>
    <row r="33" spans="2:80"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</row>
    <row r="34" spans="2:80"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</row>
    <row r="35" spans="2:80"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</row>
    <row r="36" spans="2:80"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</row>
    <row r="37" spans="2:80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</row>
    <row r="38" spans="2:80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</row>
    <row r="39" spans="2:80"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</row>
    <row r="40" spans="2:80"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</row>
    <row r="41" spans="2:80"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</row>
    <row r="42" spans="2:80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</row>
    <row r="43" spans="2:80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</row>
    <row r="44" spans="2:80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</row>
    <row r="45" spans="2:80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</row>
    <row r="46" spans="2:80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</row>
    <row r="47" spans="2:80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</row>
    <row r="48" spans="2:80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</row>
    <row r="49" spans="2:80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</row>
    <row r="50" spans="2:80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</row>
    <row r="51" spans="2:80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</row>
    <row r="52" spans="2:80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</row>
    <row r="53" spans="2:80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</row>
    <row r="54" spans="2:80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</row>
    <row r="55" spans="2:80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</row>
    <row r="56" spans="2:80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</row>
    <row r="57" spans="2:80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</row>
    <row r="58" spans="2:80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</row>
    <row r="59" spans="2:80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</row>
    <row r="60" spans="2:80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</row>
    <row r="61" spans="2:80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</row>
    <row r="62" spans="2:80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</row>
    <row r="63" spans="2:80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</row>
    <row r="64" spans="2:80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</row>
    <row r="65" spans="2:80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</row>
    <row r="66" spans="2:80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</row>
    <row r="67" spans="2:80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</row>
    <row r="68" spans="2:80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</row>
    <row r="69" spans="2:80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</row>
    <row r="70" spans="2:80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</row>
    <row r="71" spans="2:80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</row>
    <row r="72" spans="2:80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</row>
    <row r="73" spans="2:80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</row>
    <row r="74" spans="2:80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</row>
    <row r="75" spans="2:80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</row>
    <row r="76" spans="2:80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</row>
    <row r="77" spans="2:80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</row>
    <row r="78" spans="2:80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</row>
    <row r="79" spans="2:80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</row>
    <row r="80" spans="2:80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</row>
    <row r="81" spans="2:80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</row>
    <row r="82" spans="2:80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</row>
    <row r="83" spans="2:80"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</row>
    <row r="84" spans="2:80"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</row>
    <row r="85" spans="2:80"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</row>
    <row r="86" spans="2:80"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</row>
    <row r="87" spans="2:80"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</row>
    <row r="88" spans="2:80"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</row>
    <row r="89" spans="2:80"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</row>
    <row r="90" spans="2:80"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</row>
    <row r="91" spans="2:80"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</row>
    <row r="92" spans="2:80"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</row>
    <row r="93" spans="2:80"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</row>
    <row r="94" spans="2:80"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</row>
    <row r="95" spans="2:80"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</row>
    <row r="96" spans="2:80"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</row>
    <row r="97" spans="2:80"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</row>
    <row r="98" spans="2:80"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</row>
    <row r="99" spans="2:80"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</row>
    <row r="100" spans="2:80"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</row>
    <row r="101" spans="2:80"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</row>
    <row r="102" spans="2:80"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</row>
    <row r="103" spans="2:80"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</row>
    <row r="104" spans="2:80"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</row>
    <row r="105" spans="2:80"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</row>
    <row r="106" spans="2:80"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</row>
    <row r="107" spans="2:80"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</row>
    <row r="108" spans="2:80"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</row>
    <row r="109" spans="2:80"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</row>
    <row r="110" spans="2:80"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</row>
    <row r="111" spans="2:80"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</row>
    <row r="112" spans="2:80"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</row>
    <row r="113" spans="2:80"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</row>
    <row r="114" spans="2:80"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</row>
    <row r="115" spans="2:80"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</row>
    <row r="116" spans="2:80"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</row>
    <row r="117" spans="2:80"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</row>
    <row r="118" spans="2:80"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</row>
    <row r="119" spans="2:80"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</row>
    <row r="120" spans="2:80"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</row>
    <row r="121" spans="2:80"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</row>
    <row r="122" spans="2:80"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</row>
    <row r="123" spans="2:80"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</row>
    <row r="124" spans="2:80"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</row>
    <row r="125" spans="2:80"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</row>
    <row r="126" spans="2:80"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</row>
    <row r="127" spans="2:80"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</row>
    <row r="128" spans="2:80"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/>
      <c r="BU128" s="31"/>
      <c r="BV128" s="31"/>
      <c r="BW128" s="31"/>
      <c r="BX128" s="31"/>
      <c r="BY128" s="31"/>
      <c r="BZ128" s="31"/>
      <c r="CA128" s="31"/>
      <c r="CB128" s="31"/>
    </row>
    <row r="129" spans="2:80"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</row>
    <row r="130" spans="2:80"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</row>
    <row r="131" spans="2:80"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31"/>
      <c r="BW131" s="31"/>
      <c r="BX131" s="31"/>
      <c r="BY131" s="31"/>
      <c r="BZ131" s="31"/>
      <c r="CA131" s="31"/>
      <c r="CB131" s="31"/>
    </row>
    <row r="132" spans="2:80"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</row>
    <row r="133" spans="2:80"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</row>
    <row r="134" spans="2:80"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</row>
    <row r="135" spans="2:80"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</row>
    <row r="136" spans="2:80"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</row>
    <row r="137" spans="2:80"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</row>
    <row r="138" spans="2:80"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</row>
    <row r="139" spans="2:80"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</row>
    <row r="140" spans="2:80"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</row>
    <row r="141" spans="2:80"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</row>
    <row r="142" spans="2:80"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</row>
    <row r="143" spans="2:80"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</row>
    <row r="144" spans="2:80"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</row>
    <row r="145" spans="2:80"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</row>
    <row r="146" spans="2:80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</row>
    <row r="147" spans="2:80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</row>
    <row r="148" spans="2:80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</row>
    <row r="149" spans="2:80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</row>
    <row r="150" spans="2:80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</row>
    <row r="151" spans="2:80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</row>
    <row r="152" spans="2:80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</row>
    <row r="153" spans="2:80"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</row>
    <row r="154" spans="2:80"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</row>
    <row r="155" spans="2:80"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</row>
    <row r="156" spans="2:80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</row>
    <row r="157" spans="2:80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</row>
    <row r="158" spans="2:80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</row>
    <row r="159" spans="2:80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</row>
    <row r="160" spans="2:80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</row>
    <row r="161" spans="2:80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</row>
    <row r="162" spans="2:80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</row>
    <row r="163" spans="2:80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</row>
    <row r="164" spans="2:80"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</row>
    <row r="165" spans="2:80"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</row>
    <row r="166" spans="2:80"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</row>
    <row r="167" spans="2:80"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</row>
    <row r="168" spans="2:80"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</row>
    <row r="169" spans="2:80"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</row>
    <row r="170" spans="2:80"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</row>
    <row r="171" spans="2:80"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</row>
    <row r="172" spans="2:80"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</row>
    <row r="173" spans="2:80"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</row>
    <row r="174" spans="2:80"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</row>
    <row r="175" spans="2:80"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</row>
    <row r="176" spans="2:80"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</row>
    <row r="177" spans="2:80"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</row>
    <row r="178" spans="2:80"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</row>
    <row r="179" spans="2:80"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</row>
    <row r="180" spans="2:80"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</row>
    <row r="181" spans="2:80"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</row>
    <row r="182" spans="2:80"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</row>
    <row r="183" spans="2:80"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</row>
    <row r="184" spans="2:80"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</row>
    <row r="185" spans="2:80"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</row>
    <row r="186" spans="2:80"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</row>
    <row r="187" spans="2:80"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</row>
    <row r="188" spans="2:80"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</row>
    <row r="189" spans="2:80"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</row>
    <row r="190" spans="2:80"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</row>
    <row r="191" spans="2:80"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</row>
    <row r="192" spans="2:80"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</row>
    <row r="193" spans="2:80"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</row>
    <row r="194" spans="2:80"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31"/>
    </row>
    <row r="195" spans="2:80"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</row>
    <row r="196" spans="2:80"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</row>
    <row r="197" spans="2:80"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</row>
    <row r="198" spans="2:80"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</row>
    <row r="199" spans="2:80"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</row>
    <row r="200" spans="2:80"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</row>
    <row r="201" spans="2:80"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</row>
    <row r="202" spans="2:80"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</row>
    <row r="203" spans="2:80"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</row>
    <row r="204" spans="2:80"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</row>
    <row r="205" spans="2:80"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</row>
    <row r="206" spans="2:80"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</row>
    <row r="207" spans="2:80"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</row>
    <row r="208" spans="2:80"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</row>
    <row r="209" spans="2:80"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</row>
    <row r="210" spans="2:80"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</row>
    <row r="211" spans="2:80"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</row>
    <row r="212" spans="2:80"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</row>
    <row r="213" spans="2:80"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</row>
    <row r="214" spans="2:80"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</row>
    <row r="215" spans="2:80"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</row>
    <row r="216" spans="2:80"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</row>
    <row r="217" spans="2:80"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</row>
    <row r="218" spans="2:80"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</row>
    <row r="219" spans="2:80"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</row>
    <row r="220" spans="2:80"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</row>
    <row r="221" spans="2:80"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</row>
    <row r="222" spans="2:80"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</row>
    <row r="223" spans="2:80"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</row>
    <row r="224" spans="2:80"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</row>
    <row r="225" spans="2:80"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</row>
    <row r="226" spans="2:80"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</row>
    <row r="227" spans="2:80"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</row>
    <row r="228" spans="2:80"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</row>
    <row r="229" spans="2:80"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  <c r="BZ229" s="31"/>
      <c r="CA229" s="31"/>
      <c r="CB229" s="31"/>
    </row>
    <row r="230" spans="2:80"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  <c r="CA230" s="31"/>
      <c r="CB230" s="31"/>
    </row>
    <row r="231" spans="2:80"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</row>
    <row r="232" spans="2:80"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</row>
    <row r="233" spans="2:80"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</row>
    <row r="234" spans="2:80"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  <c r="BZ234" s="31"/>
      <c r="CA234" s="31"/>
      <c r="CB234" s="31"/>
    </row>
    <row r="235" spans="2:80"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</row>
    <row r="236" spans="2:80"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  <c r="BS236" s="31"/>
      <c r="BT236" s="31"/>
      <c r="BU236" s="31"/>
      <c r="BV236" s="31"/>
      <c r="BW236" s="31"/>
      <c r="BX236" s="31"/>
      <c r="BY236" s="31"/>
      <c r="BZ236" s="31"/>
      <c r="CA236" s="31"/>
      <c r="CB236" s="31"/>
    </row>
    <row r="237" spans="2:80"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</row>
    <row r="238" spans="2:80"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</row>
    <row r="239" spans="2:80"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</row>
    <row r="240" spans="2:80"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</row>
    <row r="241" spans="2:80"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</row>
    <row r="242" spans="2:80"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31"/>
      <c r="CA242" s="31"/>
      <c r="CB242" s="31"/>
    </row>
    <row r="243" spans="2:80"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31"/>
      <c r="CA243" s="31"/>
      <c r="CB243" s="31"/>
    </row>
    <row r="244" spans="2:80"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</row>
    <row r="245" spans="2:80"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  <c r="CA245" s="31"/>
      <c r="CB245" s="31"/>
    </row>
    <row r="246" spans="2:80"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  <c r="BZ246" s="31"/>
      <c r="CA246" s="31"/>
      <c r="CB246" s="31"/>
    </row>
    <row r="247" spans="2:80"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  <c r="BZ247" s="31"/>
      <c r="CA247" s="31"/>
      <c r="CB247" s="31"/>
    </row>
    <row r="248" spans="2:80"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31"/>
      <c r="CA248" s="31"/>
      <c r="CB248" s="31"/>
    </row>
    <row r="249" spans="2:80"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</row>
    <row r="250" spans="2:80"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1"/>
    </row>
    <row r="251" spans="2:80"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</row>
    <row r="252" spans="2:80"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</row>
    <row r="253" spans="2:80"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</row>
    <row r="254" spans="2:80"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</row>
    <row r="255" spans="2:80"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31"/>
      <c r="CA255" s="31"/>
      <c r="CB255" s="31"/>
    </row>
    <row r="256" spans="2:80"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  <c r="CA256" s="31"/>
      <c r="CB256" s="31"/>
    </row>
    <row r="257" spans="2:80"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  <c r="CA257" s="31"/>
      <c r="CB257" s="31"/>
    </row>
    <row r="258" spans="2:80"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  <c r="BZ258" s="31"/>
      <c r="CA258" s="31"/>
      <c r="CB258" s="31"/>
    </row>
    <row r="259" spans="2:80"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</row>
    <row r="260" spans="2:80"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</row>
    <row r="261" spans="2:80"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</row>
    <row r="262" spans="2:80"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</row>
    <row r="263" spans="2:80"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</row>
    <row r="264" spans="2:80"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</row>
    <row r="265" spans="2:80"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</row>
    <row r="266" spans="2:80"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</row>
    <row r="267" spans="2:80"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</row>
    <row r="268" spans="2:80"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</row>
    <row r="269" spans="2:80"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</row>
    <row r="270" spans="2:80"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</row>
    <row r="271" spans="2:80"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</row>
    <row r="272" spans="2:80"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</row>
    <row r="273" spans="2:80"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</row>
    <row r="274" spans="2:80"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</row>
    <row r="275" spans="2:80"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</row>
    <row r="276" spans="2:80"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</row>
    <row r="277" spans="2:80"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  <c r="CA277" s="31"/>
      <c r="CB277" s="31"/>
    </row>
    <row r="278" spans="2:80"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</row>
    <row r="279" spans="2:80"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  <c r="CA279" s="31"/>
      <c r="CB279" s="31"/>
    </row>
    <row r="280" spans="2:80"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  <c r="CA280" s="31"/>
      <c r="CB280" s="31"/>
    </row>
    <row r="281" spans="2:80"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  <c r="BZ281" s="31"/>
      <c r="CA281" s="31"/>
      <c r="CB281" s="31"/>
    </row>
    <row r="282" spans="2:80"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  <c r="BS282" s="31"/>
      <c r="BT282" s="31"/>
      <c r="BU282" s="31"/>
      <c r="BV282" s="31"/>
      <c r="BW282" s="31"/>
      <c r="BX282" s="31"/>
      <c r="BY282" s="31"/>
      <c r="BZ282" s="31"/>
      <c r="CA282" s="31"/>
      <c r="CB282" s="31"/>
    </row>
    <row r="283" spans="2:80"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  <c r="BZ283" s="31"/>
      <c r="CA283" s="31"/>
      <c r="CB283" s="31"/>
    </row>
    <row r="284" spans="2:80"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  <c r="BS284" s="31"/>
      <c r="BT284" s="31"/>
      <c r="BU284" s="31"/>
      <c r="BV284" s="31"/>
      <c r="BW284" s="31"/>
      <c r="BX284" s="31"/>
      <c r="BY284" s="31"/>
      <c r="BZ284" s="31"/>
      <c r="CA284" s="31"/>
      <c r="CB284" s="31"/>
    </row>
    <row r="285" spans="2:80"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  <c r="BS285" s="31"/>
      <c r="BT285" s="31"/>
      <c r="BU285" s="31"/>
      <c r="BV285" s="31"/>
      <c r="BW285" s="31"/>
      <c r="BX285" s="31"/>
      <c r="BY285" s="31"/>
      <c r="BZ285" s="31"/>
      <c r="CA285" s="31"/>
      <c r="CB285" s="31"/>
    </row>
    <row r="286" spans="2:80"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</row>
    <row r="287" spans="2:80"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  <c r="BS287" s="31"/>
      <c r="BT287" s="31"/>
      <c r="BU287" s="31"/>
      <c r="BV287" s="31"/>
      <c r="BW287" s="31"/>
      <c r="BX287" s="31"/>
      <c r="BY287" s="31"/>
      <c r="BZ287" s="31"/>
      <c r="CA287" s="31"/>
      <c r="CB287" s="31"/>
    </row>
    <row r="288" spans="2:80"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  <c r="BZ288" s="31"/>
      <c r="CA288" s="31"/>
      <c r="CB288" s="31"/>
    </row>
    <row r="289" spans="2:80"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</row>
    <row r="290" spans="2:80"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  <c r="BS290" s="31"/>
      <c r="BT290" s="31"/>
      <c r="BU290" s="31"/>
      <c r="BV290" s="31"/>
      <c r="BW290" s="31"/>
      <c r="BX290" s="31"/>
      <c r="BY290" s="31"/>
      <c r="BZ290" s="31"/>
      <c r="CA290" s="31"/>
      <c r="CB290" s="31"/>
    </row>
    <row r="291" spans="2:80"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</row>
    <row r="292" spans="2:80"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</row>
    <row r="293" spans="2:80"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  <c r="BS293" s="31"/>
      <c r="BT293" s="31"/>
      <c r="BU293" s="31"/>
      <c r="BV293" s="31"/>
      <c r="BW293" s="31"/>
      <c r="BX293" s="31"/>
      <c r="BY293" s="31"/>
      <c r="BZ293" s="31"/>
      <c r="CA293" s="31"/>
      <c r="CB293" s="31"/>
    </row>
    <row r="294" spans="2:80"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  <c r="BS294" s="31"/>
      <c r="BT294" s="31"/>
      <c r="BU294" s="31"/>
      <c r="BV294" s="31"/>
      <c r="BW294" s="31"/>
      <c r="BX294" s="31"/>
      <c r="BY294" s="31"/>
      <c r="BZ294" s="31"/>
      <c r="CA294" s="31"/>
      <c r="CB294" s="31"/>
    </row>
    <row r="295" spans="2:80"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  <c r="BS295" s="31"/>
      <c r="BT295" s="31"/>
      <c r="BU295" s="31"/>
      <c r="BV295" s="31"/>
      <c r="BW295" s="31"/>
      <c r="BX295" s="31"/>
      <c r="BY295" s="31"/>
      <c r="BZ295" s="31"/>
      <c r="CA295" s="31"/>
      <c r="CB295" s="31"/>
    </row>
    <row r="296" spans="2:80"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  <c r="BS296" s="31"/>
      <c r="BT296" s="31"/>
      <c r="BU296" s="31"/>
      <c r="BV296" s="31"/>
      <c r="BW296" s="31"/>
      <c r="BX296" s="31"/>
      <c r="BY296" s="31"/>
      <c r="BZ296" s="31"/>
      <c r="CA296" s="31"/>
      <c r="CB296" s="31"/>
    </row>
    <row r="297" spans="2:80"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  <c r="BS297" s="31"/>
      <c r="BT297" s="31"/>
      <c r="BU297" s="31"/>
      <c r="BV297" s="31"/>
      <c r="BW297" s="31"/>
      <c r="BX297" s="31"/>
      <c r="BY297" s="31"/>
      <c r="BZ297" s="31"/>
      <c r="CA297" s="31"/>
      <c r="CB297" s="31"/>
    </row>
    <row r="298" spans="2:80"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</row>
    <row r="299" spans="2:80"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  <c r="BS299" s="31"/>
      <c r="BT299" s="31"/>
      <c r="BU299" s="31"/>
      <c r="BV299" s="31"/>
      <c r="BW299" s="31"/>
      <c r="BX299" s="31"/>
      <c r="BY299" s="31"/>
      <c r="BZ299" s="31"/>
      <c r="CA299" s="31"/>
      <c r="CB299" s="31"/>
    </row>
    <row r="300" spans="2:80"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  <c r="BS300" s="31"/>
      <c r="BT300" s="31"/>
      <c r="BU300" s="31"/>
      <c r="BV300" s="31"/>
      <c r="BW300" s="31"/>
      <c r="BX300" s="31"/>
      <c r="BY300" s="31"/>
      <c r="BZ300" s="31"/>
      <c r="CA300" s="31"/>
      <c r="CB300" s="31"/>
    </row>
    <row r="301" spans="2:80"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  <c r="BZ301" s="31"/>
      <c r="CA301" s="31"/>
      <c r="CB301" s="31"/>
    </row>
    <row r="302" spans="2:80"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  <c r="BS302" s="31"/>
      <c r="BT302" s="31"/>
      <c r="BU302" s="31"/>
      <c r="BV302" s="31"/>
      <c r="BW302" s="31"/>
      <c r="BX302" s="31"/>
      <c r="BY302" s="31"/>
      <c r="BZ302" s="31"/>
      <c r="CA302" s="31"/>
      <c r="CB302" s="31"/>
    </row>
    <row r="303" spans="2:80"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  <c r="BS303" s="31"/>
      <c r="BT303" s="31"/>
      <c r="BU303" s="31"/>
      <c r="BV303" s="31"/>
      <c r="BW303" s="31"/>
      <c r="BX303" s="31"/>
      <c r="BY303" s="31"/>
      <c r="BZ303" s="31"/>
      <c r="CA303" s="31"/>
      <c r="CB303" s="31"/>
    </row>
    <row r="304" spans="2:80"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  <c r="BZ304" s="31"/>
      <c r="CA304" s="31"/>
      <c r="CB304" s="31"/>
    </row>
    <row r="305" spans="2:80"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  <c r="BS305" s="31"/>
      <c r="BT305" s="31"/>
      <c r="BU305" s="31"/>
      <c r="BV305" s="31"/>
      <c r="BW305" s="31"/>
      <c r="BX305" s="31"/>
      <c r="BY305" s="31"/>
      <c r="BZ305" s="31"/>
      <c r="CA305" s="31"/>
      <c r="CB305" s="31"/>
    </row>
    <row r="306" spans="2:80"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  <c r="BS306" s="31"/>
      <c r="BT306" s="31"/>
      <c r="BU306" s="31"/>
      <c r="BV306" s="31"/>
      <c r="BW306" s="31"/>
      <c r="BX306" s="31"/>
      <c r="BY306" s="31"/>
      <c r="BZ306" s="31"/>
      <c r="CA306" s="31"/>
      <c r="CB306" s="31"/>
    </row>
    <row r="307" spans="2:80"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  <c r="BS307" s="31"/>
      <c r="BT307" s="31"/>
      <c r="BU307" s="31"/>
      <c r="BV307" s="31"/>
      <c r="BW307" s="31"/>
      <c r="BX307" s="31"/>
      <c r="BY307" s="31"/>
      <c r="BZ307" s="31"/>
      <c r="CA307" s="31"/>
      <c r="CB307" s="31"/>
    </row>
    <row r="308" spans="2:80"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  <c r="BS308" s="31"/>
      <c r="BT308" s="31"/>
      <c r="BU308" s="31"/>
      <c r="BV308" s="31"/>
      <c r="BW308" s="31"/>
      <c r="BX308" s="31"/>
      <c r="BY308" s="31"/>
      <c r="BZ308" s="31"/>
      <c r="CA308" s="31"/>
      <c r="CB308" s="31"/>
    </row>
    <row r="309" spans="2:80"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  <c r="BS309" s="31"/>
      <c r="BT309" s="31"/>
      <c r="BU309" s="31"/>
      <c r="BV309" s="31"/>
      <c r="BW309" s="31"/>
      <c r="BX309" s="31"/>
      <c r="BY309" s="31"/>
      <c r="BZ309" s="31"/>
      <c r="CA309" s="31"/>
      <c r="CB309" s="31"/>
    </row>
    <row r="310" spans="2:80"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  <c r="CA310" s="31"/>
      <c r="CB310" s="31"/>
    </row>
    <row r="311" spans="2:80"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  <c r="BS311" s="31"/>
      <c r="BT311" s="31"/>
      <c r="BU311" s="31"/>
      <c r="BV311" s="31"/>
      <c r="BW311" s="31"/>
      <c r="BX311" s="31"/>
      <c r="BY311" s="31"/>
      <c r="BZ311" s="31"/>
      <c r="CA311" s="31"/>
      <c r="CB311" s="31"/>
    </row>
    <row r="312" spans="2:80"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  <c r="BZ312" s="31"/>
      <c r="CA312" s="31"/>
      <c r="CB312" s="31"/>
    </row>
    <row r="313" spans="2:80"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  <c r="BS313" s="31"/>
      <c r="BT313" s="31"/>
      <c r="BU313" s="31"/>
      <c r="BV313" s="31"/>
      <c r="BW313" s="31"/>
      <c r="BX313" s="31"/>
      <c r="BY313" s="31"/>
      <c r="BZ313" s="31"/>
      <c r="CA313" s="31"/>
      <c r="CB313" s="31"/>
    </row>
    <row r="314" spans="2:80"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  <c r="BS314" s="31"/>
      <c r="BT314" s="31"/>
      <c r="BU314" s="31"/>
      <c r="BV314" s="31"/>
      <c r="BW314" s="31"/>
      <c r="BX314" s="31"/>
      <c r="BY314" s="31"/>
      <c r="BZ314" s="31"/>
      <c r="CA314" s="31"/>
      <c r="CB314" s="31"/>
    </row>
    <row r="315" spans="2:80"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  <c r="BS315" s="31"/>
      <c r="BT315" s="31"/>
      <c r="BU315" s="31"/>
      <c r="BV315" s="31"/>
      <c r="BW315" s="31"/>
      <c r="BX315" s="31"/>
      <c r="BY315" s="31"/>
      <c r="BZ315" s="31"/>
      <c r="CA315" s="31"/>
      <c r="CB315" s="31"/>
    </row>
    <row r="316" spans="2:80"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  <c r="CA316" s="31"/>
      <c r="CB316" s="31"/>
    </row>
    <row r="317" spans="2:80"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  <c r="BS317" s="31"/>
      <c r="BT317" s="31"/>
      <c r="BU317" s="31"/>
      <c r="BV317" s="31"/>
      <c r="BW317" s="31"/>
      <c r="BX317" s="31"/>
      <c r="BY317" s="31"/>
      <c r="BZ317" s="31"/>
      <c r="CA317" s="31"/>
      <c r="CB317" s="31"/>
    </row>
    <row r="318" spans="2:80"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  <c r="BS318" s="31"/>
      <c r="BT318" s="31"/>
      <c r="BU318" s="31"/>
      <c r="BV318" s="31"/>
      <c r="BW318" s="31"/>
      <c r="BX318" s="31"/>
      <c r="BY318" s="31"/>
      <c r="BZ318" s="31"/>
      <c r="CA318" s="31"/>
      <c r="CB318" s="31"/>
    </row>
    <row r="319" spans="2:80"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  <c r="BS319" s="31"/>
      <c r="BT319" s="31"/>
      <c r="BU319" s="31"/>
      <c r="BV319" s="31"/>
      <c r="BW319" s="31"/>
      <c r="BX319" s="31"/>
      <c r="BY319" s="31"/>
      <c r="BZ319" s="31"/>
      <c r="CA319" s="31"/>
      <c r="CB319" s="31"/>
    </row>
    <row r="320" spans="2:80"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  <c r="BS320" s="31"/>
      <c r="BT320" s="31"/>
      <c r="BU320" s="31"/>
      <c r="BV320" s="31"/>
      <c r="BW320" s="31"/>
      <c r="BX320" s="31"/>
      <c r="BY320" s="31"/>
      <c r="BZ320" s="31"/>
      <c r="CA320" s="31"/>
      <c r="CB320" s="31"/>
    </row>
    <row r="321" spans="2:80"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  <c r="BS321" s="31"/>
      <c r="BT321" s="31"/>
      <c r="BU321" s="31"/>
      <c r="BV321" s="31"/>
      <c r="BW321" s="31"/>
      <c r="BX321" s="31"/>
      <c r="BY321" s="31"/>
      <c r="BZ321" s="31"/>
      <c r="CA321" s="31"/>
      <c r="CB321" s="31"/>
    </row>
    <row r="322" spans="2:80"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  <c r="BZ322" s="31"/>
      <c r="CA322" s="31"/>
      <c r="CB322" s="31"/>
    </row>
    <row r="323" spans="2:80"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  <c r="BS323" s="31"/>
      <c r="BT323" s="31"/>
      <c r="BU323" s="31"/>
      <c r="BV323" s="31"/>
      <c r="BW323" s="31"/>
      <c r="BX323" s="31"/>
      <c r="BY323" s="31"/>
      <c r="BZ323" s="31"/>
      <c r="CA323" s="31"/>
      <c r="CB323" s="31"/>
    </row>
    <row r="324" spans="2:80"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  <c r="BS324" s="31"/>
      <c r="BT324" s="31"/>
      <c r="BU324" s="31"/>
      <c r="BV324" s="31"/>
      <c r="BW324" s="31"/>
      <c r="BX324" s="31"/>
      <c r="BY324" s="31"/>
      <c r="BZ324" s="31"/>
      <c r="CA324" s="31"/>
      <c r="CB324" s="31"/>
    </row>
    <row r="325" spans="2:80"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  <c r="BS325" s="31"/>
      <c r="BT325" s="31"/>
      <c r="BU325" s="31"/>
      <c r="BV325" s="31"/>
      <c r="BW325" s="31"/>
      <c r="BX325" s="31"/>
      <c r="BY325" s="31"/>
      <c r="BZ325" s="31"/>
      <c r="CA325" s="31"/>
      <c r="CB325" s="31"/>
    </row>
    <row r="326" spans="2:80"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  <c r="BS326" s="31"/>
      <c r="BT326" s="31"/>
      <c r="BU326" s="31"/>
      <c r="BV326" s="31"/>
      <c r="BW326" s="31"/>
      <c r="BX326" s="31"/>
      <c r="BY326" s="31"/>
      <c r="BZ326" s="31"/>
      <c r="CA326" s="31"/>
      <c r="CB326" s="31"/>
    </row>
    <row r="327" spans="2:80"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  <c r="BS327" s="31"/>
      <c r="BT327" s="31"/>
      <c r="BU327" s="31"/>
      <c r="BV327" s="31"/>
      <c r="BW327" s="31"/>
      <c r="BX327" s="31"/>
      <c r="BY327" s="31"/>
      <c r="BZ327" s="31"/>
      <c r="CA327" s="31"/>
      <c r="CB327" s="31"/>
    </row>
    <row r="328" spans="2:80"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  <c r="BS328" s="31"/>
      <c r="BT328" s="31"/>
      <c r="BU328" s="31"/>
      <c r="BV328" s="31"/>
      <c r="BW328" s="31"/>
      <c r="BX328" s="31"/>
      <c r="BY328" s="31"/>
      <c r="BZ328" s="31"/>
      <c r="CA328" s="31"/>
      <c r="CB328" s="31"/>
    </row>
    <row r="329" spans="2:80"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  <c r="BS329" s="31"/>
      <c r="BT329" s="31"/>
      <c r="BU329" s="31"/>
      <c r="BV329" s="31"/>
      <c r="BW329" s="31"/>
      <c r="BX329" s="31"/>
      <c r="BY329" s="31"/>
      <c r="BZ329" s="31"/>
      <c r="CA329" s="31"/>
      <c r="CB329" s="31"/>
    </row>
    <row r="330" spans="2:80"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  <c r="BS330" s="31"/>
      <c r="BT330" s="31"/>
      <c r="BU330" s="31"/>
      <c r="BV330" s="31"/>
      <c r="BW330" s="31"/>
      <c r="BX330" s="31"/>
      <c r="BY330" s="31"/>
      <c r="BZ330" s="31"/>
      <c r="CA330" s="31"/>
      <c r="CB330" s="31"/>
    </row>
    <row r="331" spans="2:80"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  <c r="BS331" s="31"/>
      <c r="BT331" s="31"/>
      <c r="BU331" s="31"/>
      <c r="BV331" s="31"/>
      <c r="BW331" s="31"/>
      <c r="BX331" s="31"/>
      <c r="BY331" s="31"/>
      <c r="BZ331" s="31"/>
      <c r="CA331" s="31"/>
      <c r="CB331" s="31"/>
    </row>
    <row r="332" spans="2:80"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  <c r="BZ332" s="31"/>
      <c r="CA332" s="31"/>
      <c r="CB332" s="31"/>
    </row>
    <row r="333" spans="2:80"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  <c r="BS333" s="31"/>
      <c r="BT333" s="31"/>
      <c r="BU333" s="31"/>
      <c r="BV333" s="31"/>
      <c r="BW333" s="31"/>
      <c r="BX333" s="31"/>
      <c r="BY333" s="31"/>
      <c r="BZ333" s="31"/>
      <c r="CA333" s="31"/>
      <c r="CB333" s="31"/>
    </row>
    <row r="334" spans="2:80"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  <c r="BZ334" s="31"/>
      <c r="CA334" s="31"/>
      <c r="CB334" s="31"/>
    </row>
  </sheetData>
  <hyperlinks>
    <hyperlink ref="A1" location="Main!A1" display="Main" xr:uid="{13B3A9A0-1460-4562-AC2B-DA633B46C0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Portfolio</vt:lpstr>
      <vt:lpstr>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2025-08-19T16:02:03Z</dcterms:created>
  <dcterms:modified xsi:type="dcterms:W3CDTF">2026-09-03T15:18:36Z</dcterms:modified>
</cp:coreProperties>
</file>