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62B09DAF-1176-4CDC-B226-8445B4B06AAF}" xr6:coauthVersionLast="47" xr6:coauthVersionMax="47" xr10:uidLastSave="{00000000-0000-0000-0000-000000000000}"/>
  <bookViews>
    <workbookView xWindow="225" yWindow="2340" windowWidth="38175" windowHeight="15240" activeTab="7" xr2:uid="{BC09624D-2BC9-4D8E-825C-85DD97F4255E}"/>
  </bookViews>
  <sheets>
    <sheet name="Main" sheetId="1" r:id="rId1"/>
    <sheet name="Automotive" sheetId="3" r:id="rId2"/>
    <sheet name="Manufacturing" sheetId="2" r:id="rId3"/>
    <sheet name="Transportation" sheetId="6" r:id="rId4"/>
    <sheet name="Defense" sheetId="5" r:id="rId5"/>
    <sheet name="Space" sheetId="8" r:id="rId6"/>
    <sheet name="Marine" sheetId="9" r:id="rId7"/>
    <sheet name="Infrastructure" sheetId="7" r:id="rId8"/>
    <sheet name="FX" sheetId="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6" i="2" l="1"/>
  <c r="A45" i="5"/>
  <c r="G16" i="2"/>
  <c r="F16" i="2"/>
  <c r="E16" i="2"/>
  <c r="A92" i="9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G43" i="7"/>
  <c r="F43" i="7"/>
  <c r="H43" i="7" s="1"/>
  <c r="E43" i="7"/>
  <c r="A34" i="8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133" i="7"/>
  <c r="A134" i="7" s="1"/>
  <c r="A135" i="7" s="1"/>
  <c r="A6" i="8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5" i="8"/>
  <c r="A44" i="5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5" i="5"/>
  <c r="G4" i="5"/>
  <c r="F4" i="5"/>
  <c r="E4" i="5"/>
  <c r="H4" i="5" l="1"/>
  <c r="A27" i="7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5" i="7"/>
  <c r="A6" i="7" s="1"/>
  <c r="G5" i="7"/>
  <c r="F5" i="7"/>
  <c r="H5" i="7" s="1"/>
  <c r="E5" i="7"/>
  <c r="G4" i="7" l="1"/>
  <c r="F4" i="7"/>
  <c r="E4" i="7"/>
  <c r="A7" i="7"/>
  <c r="G42" i="5"/>
  <c r="F42" i="5"/>
  <c r="H42" i="5" s="1"/>
  <c r="E42" i="5"/>
  <c r="G31" i="6"/>
  <c r="F31" i="6"/>
  <c r="E31" i="6"/>
  <c r="G74" i="6"/>
  <c r="F74" i="6"/>
  <c r="E74" i="6"/>
  <c r="G41" i="5"/>
  <c r="F41" i="5"/>
  <c r="E41" i="5"/>
  <c r="G9" i="2"/>
  <c r="F9" i="2"/>
  <c r="E9" i="2"/>
  <c r="G15" i="6"/>
  <c r="F15" i="6"/>
  <c r="E15" i="6"/>
  <c r="G6" i="6"/>
  <c r="F6" i="6"/>
  <c r="H6" i="6" s="1"/>
  <c r="E6" i="6"/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H4" i="7"/>
  <c r="H15" i="6"/>
  <c r="H74" i="6"/>
  <c r="H31" i="6"/>
  <c r="H9" i="2"/>
  <c r="H41" i="5"/>
  <c r="G8" i="6"/>
  <c r="F8" i="6"/>
  <c r="E8" i="6"/>
  <c r="H8" i="6" l="1"/>
  <c r="G7" i="6"/>
  <c r="F7" i="6"/>
  <c r="E7" i="6"/>
  <c r="G14" i="5"/>
  <c r="F14" i="5"/>
  <c r="E14" i="5"/>
  <c r="A285" i="6"/>
  <c r="A286" i="6" s="1"/>
  <c r="A284" i="6"/>
  <c r="G15" i="2"/>
  <c r="F15" i="2"/>
  <c r="E15" i="2"/>
  <c r="G13" i="2"/>
  <c r="F13" i="2"/>
  <c r="E13" i="2"/>
  <c r="G88" i="2"/>
  <c r="F88" i="2"/>
  <c r="E88" i="2"/>
  <c r="H7" i="6" l="1"/>
  <c r="H13" i="2"/>
  <c r="H14" i="5"/>
  <c r="H88" i="2"/>
  <c r="H15" i="2"/>
  <c r="G8" i="2"/>
  <c r="F8" i="2"/>
  <c r="E8" i="2"/>
  <c r="G17" i="6"/>
  <c r="F17" i="6"/>
  <c r="E17" i="6"/>
  <c r="G20" i="6"/>
  <c r="F20" i="6"/>
  <c r="E20" i="6"/>
  <c r="H8" i="2" l="1"/>
  <c r="H16" i="2"/>
  <c r="H20" i="6"/>
  <c r="H17" i="6"/>
  <c r="G14" i="2"/>
  <c r="F14" i="2"/>
  <c r="E14" i="2"/>
  <c r="H14" i="2" l="1"/>
  <c r="G12" i="2"/>
  <c r="F12" i="2"/>
  <c r="E12" i="2"/>
  <c r="H12" i="2" l="1"/>
  <c r="G10" i="2"/>
  <c r="F10" i="2"/>
  <c r="E10" i="2"/>
  <c r="G7" i="2"/>
  <c r="E7" i="2"/>
  <c r="F7" i="2"/>
  <c r="G6" i="2"/>
  <c r="F6" i="2"/>
  <c r="E6" i="2"/>
  <c r="G5" i="2"/>
  <c r="F5" i="2"/>
  <c r="E5" i="2"/>
  <c r="H7" i="2" l="1"/>
  <c r="H5" i="2"/>
  <c r="H6" i="2"/>
  <c r="H10" i="2"/>
  <c r="G4" i="2"/>
  <c r="F4" i="2"/>
  <c r="H4" i="2" s="1"/>
  <c r="E4" i="2"/>
  <c r="G4" i="6" l="1"/>
  <c r="F4" i="6"/>
  <c r="E4" i="6"/>
  <c r="H4" i="6" l="1"/>
  <c r="G5" i="6"/>
  <c r="F5" i="6"/>
  <c r="E5" i="6"/>
  <c r="H5" i="6" l="1"/>
  <c r="A104" i="2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5" i="6"/>
  <c r="G54" i="3"/>
  <c r="F54" i="3"/>
  <c r="G11" i="3"/>
  <c r="F11" i="3"/>
  <c r="G7" i="3"/>
  <c r="F7" i="3"/>
  <c r="G6" i="3"/>
  <c r="F6" i="3"/>
  <c r="G5" i="3"/>
  <c r="F5" i="3"/>
  <c r="G17" i="5"/>
  <c r="F17" i="5"/>
  <c r="G22" i="5" l="1"/>
  <c r="F22" i="5"/>
  <c r="E22" i="5"/>
  <c r="E17" i="5"/>
  <c r="G12" i="5"/>
  <c r="F12" i="5"/>
  <c r="E12" i="5"/>
  <c r="G10" i="5"/>
  <c r="F10" i="5"/>
  <c r="E10" i="5"/>
  <c r="G9" i="5"/>
  <c r="F9" i="5"/>
  <c r="E9" i="5"/>
  <c r="G7" i="5"/>
  <c r="F7" i="5"/>
  <c r="E7" i="5"/>
  <c r="G6" i="5"/>
  <c r="F6" i="5"/>
  <c r="E6" i="5"/>
  <c r="G5" i="5"/>
  <c r="F5" i="5"/>
  <c r="E5" i="5"/>
  <c r="H7" i="5" l="1"/>
  <c r="H9" i="5"/>
  <c r="H22" i="5"/>
  <c r="H12" i="5"/>
  <c r="H6" i="5"/>
  <c r="H10" i="5"/>
  <c r="H17" i="5"/>
  <c r="H5" i="5"/>
  <c r="E54" i="3" l="1"/>
  <c r="G15" i="3"/>
  <c r="F15" i="3"/>
  <c r="E15" i="3"/>
  <c r="G13" i="3"/>
  <c r="F13" i="3"/>
  <c r="E13" i="3"/>
  <c r="H11" i="3"/>
  <c r="E11" i="3"/>
  <c r="H7" i="3"/>
  <c r="E7" i="3"/>
  <c r="H6" i="3"/>
  <c r="E6" i="3"/>
  <c r="E5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G4" i="3"/>
  <c r="F4" i="3"/>
  <c r="E4" i="3"/>
  <c r="H13" i="3" l="1"/>
  <c r="H15" i="3"/>
  <c r="H4" i="3"/>
  <c r="H5" i="3"/>
  <c r="H5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</calcChain>
</file>

<file path=xl/sharedStrings.xml><?xml version="1.0" encoding="utf-8"?>
<sst xmlns="http://schemas.openxmlformats.org/spreadsheetml/2006/main" count="4329" uniqueCount="2628">
  <si>
    <t>Industrials Universe</t>
  </si>
  <si>
    <t>numbers in mio USD</t>
  </si>
  <si>
    <t>US</t>
  </si>
  <si>
    <t>SWK</t>
  </si>
  <si>
    <t>Stanley Black &amp; Decker</t>
  </si>
  <si>
    <t>CH</t>
  </si>
  <si>
    <t>601238.SS</t>
  </si>
  <si>
    <t>GAC</t>
  </si>
  <si>
    <t>ILMN</t>
  </si>
  <si>
    <t>Illumina</t>
  </si>
  <si>
    <t>JAP</t>
  </si>
  <si>
    <t>5802.T</t>
  </si>
  <si>
    <t>Sumitomo Denki</t>
  </si>
  <si>
    <t>SING</t>
  </si>
  <si>
    <t>FLEX</t>
  </si>
  <si>
    <t>Flex</t>
  </si>
  <si>
    <t>6988.T</t>
  </si>
  <si>
    <t>Nitto Denko</t>
  </si>
  <si>
    <t>TXT</t>
  </si>
  <si>
    <t>Textron</t>
  </si>
  <si>
    <t>FSLR</t>
  </si>
  <si>
    <t>First Solar</t>
  </si>
  <si>
    <t>8113.T</t>
  </si>
  <si>
    <t>Unicharm</t>
  </si>
  <si>
    <t>6326.T</t>
  </si>
  <si>
    <t>Kubota</t>
  </si>
  <si>
    <t>AVY</t>
  </si>
  <si>
    <t>Avery Dennisom</t>
  </si>
  <si>
    <t>FIN</t>
  </si>
  <si>
    <t>UPM.HE</t>
  </si>
  <si>
    <t>UPM.Kymmene</t>
  </si>
  <si>
    <t>GER</t>
  </si>
  <si>
    <t>KBX.DE</t>
  </si>
  <si>
    <t>Knorr-Bremse</t>
  </si>
  <si>
    <t>MAS</t>
  </si>
  <si>
    <t>Masco</t>
  </si>
  <si>
    <t>FRA</t>
  </si>
  <si>
    <t>RNO.PA</t>
  </si>
  <si>
    <t>Renault</t>
  </si>
  <si>
    <t>JBL</t>
  </si>
  <si>
    <t>Jabil</t>
  </si>
  <si>
    <t>RIVN</t>
  </si>
  <si>
    <t xml:space="preserve">Rivian </t>
  </si>
  <si>
    <t>000625.SZ</t>
  </si>
  <si>
    <t>Chongqing Changan</t>
  </si>
  <si>
    <t>6971.T</t>
  </si>
  <si>
    <t>Kyocera</t>
  </si>
  <si>
    <t>IN</t>
  </si>
  <si>
    <t>EICHERMOT.NS</t>
  </si>
  <si>
    <t>Eicher Motors</t>
  </si>
  <si>
    <t>SNA</t>
  </si>
  <si>
    <t>Snap-on</t>
  </si>
  <si>
    <t>6594.T</t>
  </si>
  <si>
    <t xml:space="preserve">Nidec </t>
  </si>
  <si>
    <t>2338.HK</t>
  </si>
  <si>
    <t>Weichai Power</t>
  </si>
  <si>
    <t>SW</t>
  </si>
  <si>
    <t>STM</t>
  </si>
  <si>
    <t>STM Microelectronics</t>
  </si>
  <si>
    <t>XPEV</t>
  </si>
  <si>
    <t>Xpeng</t>
  </si>
  <si>
    <t>SK</t>
  </si>
  <si>
    <t>012450.KS</t>
  </si>
  <si>
    <t>Hawha Aerospace</t>
  </si>
  <si>
    <t>300274.SZ</t>
  </si>
  <si>
    <t>Sungrow Power Supply</t>
  </si>
  <si>
    <t>WAT</t>
  </si>
  <si>
    <t>Waters Corporation</t>
  </si>
  <si>
    <t>LUX</t>
  </si>
  <si>
    <t>TS</t>
  </si>
  <si>
    <t>Tenaris</t>
  </si>
  <si>
    <t>000725.SZ</t>
  </si>
  <si>
    <t>BOE Technolgies</t>
  </si>
  <si>
    <t>HK</t>
  </si>
  <si>
    <t>0669.HK</t>
  </si>
  <si>
    <t>Techtronic Industries</t>
  </si>
  <si>
    <t>0175.HK</t>
  </si>
  <si>
    <t>Geely</t>
  </si>
  <si>
    <t>SWE</t>
  </si>
  <si>
    <t>EPI-AST</t>
  </si>
  <si>
    <t>Epiroc</t>
  </si>
  <si>
    <t>6273.T</t>
  </si>
  <si>
    <t>SMC</t>
  </si>
  <si>
    <t>7269.T</t>
  </si>
  <si>
    <t>Suzuki Motor</t>
  </si>
  <si>
    <t>MTD</t>
  </si>
  <si>
    <t>Mettler Toledo</t>
  </si>
  <si>
    <t>DOV</t>
  </si>
  <si>
    <t xml:space="preserve">Dover </t>
  </si>
  <si>
    <t>TH</t>
  </si>
  <si>
    <t>DELTA.BK</t>
  </si>
  <si>
    <t>Delta Electronics</t>
  </si>
  <si>
    <t>000270.KS</t>
  </si>
  <si>
    <t>Kia</t>
  </si>
  <si>
    <t>600104.SS</t>
  </si>
  <si>
    <t>SAI Motor</t>
  </si>
  <si>
    <t>6954.T</t>
  </si>
  <si>
    <t>Fanuc</t>
  </si>
  <si>
    <t>AM.PA</t>
  </si>
  <si>
    <t>Dassault Aviation</t>
  </si>
  <si>
    <t>SAND.ST</t>
  </si>
  <si>
    <t>Sandvik</t>
  </si>
  <si>
    <t>601633.SS</t>
  </si>
  <si>
    <t>Great Wall Motors</t>
  </si>
  <si>
    <t>TWN</t>
  </si>
  <si>
    <t>2382.TW</t>
  </si>
  <si>
    <t>Quanta Computer</t>
  </si>
  <si>
    <t>6301.T</t>
  </si>
  <si>
    <t>Komatsu</t>
  </si>
  <si>
    <t>LR.PA</t>
  </si>
  <si>
    <t>Legrand</t>
  </si>
  <si>
    <t>601127.SS</t>
  </si>
  <si>
    <t>Seres Group</t>
  </si>
  <si>
    <t>IP</t>
  </si>
  <si>
    <t>International Paper</t>
  </si>
  <si>
    <t>DTG.F</t>
  </si>
  <si>
    <t>Daimler Truck</t>
  </si>
  <si>
    <t>6376.T</t>
  </si>
  <si>
    <t>Daikin</t>
  </si>
  <si>
    <t>NE</t>
  </si>
  <si>
    <t>STLA</t>
  </si>
  <si>
    <t>Stellantis</t>
  </si>
  <si>
    <t>A</t>
  </si>
  <si>
    <t>Agilent Technologies</t>
  </si>
  <si>
    <t>SCHN.SW</t>
  </si>
  <si>
    <t>Schindler Group</t>
  </si>
  <si>
    <t>HYMTF</t>
  </si>
  <si>
    <t>Hyundai</t>
  </si>
  <si>
    <t>000651.SZ</t>
  </si>
  <si>
    <t xml:space="preserve">Gree Elecetric </t>
  </si>
  <si>
    <t>6902.T</t>
  </si>
  <si>
    <t>Denso</t>
  </si>
  <si>
    <t>CEHC</t>
  </si>
  <si>
    <t>GE Healtcare</t>
  </si>
  <si>
    <t>7741.T</t>
  </si>
  <si>
    <t>Hoya</t>
  </si>
  <si>
    <t>6530.T</t>
  </si>
  <si>
    <t>Mitsubishi Electric</t>
  </si>
  <si>
    <t>300760.SZ</t>
  </si>
  <si>
    <t>Mindray</t>
  </si>
  <si>
    <t>F</t>
  </si>
  <si>
    <t>Ford</t>
  </si>
  <si>
    <t>HMC</t>
  </si>
  <si>
    <t>Honda</t>
  </si>
  <si>
    <t>AME</t>
  </si>
  <si>
    <t>Ametek</t>
  </si>
  <si>
    <t>OTIS</t>
  </si>
  <si>
    <t>Otis Worldwide</t>
  </si>
  <si>
    <t>MARUTI.NS</t>
  </si>
  <si>
    <t>Maruti Szuzuki</t>
  </si>
  <si>
    <t>CMI</t>
  </si>
  <si>
    <t>Cummins</t>
  </si>
  <si>
    <t>P911.DE</t>
  </si>
  <si>
    <t>Porsche</t>
  </si>
  <si>
    <t>GM</t>
  </si>
  <si>
    <t>General Motors</t>
  </si>
  <si>
    <t>KMB</t>
  </si>
  <si>
    <t>Kimberley Clark</t>
  </si>
  <si>
    <t>BMW.DE</t>
  </si>
  <si>
    <t>BMW</t>
  </si>
  <si>
    <t>207940.KS</t>
  </si>
  <si>
    <t>Samsung Biologics</t>
  </si>
  <si>
    <t>VOW3.DE</t>
  </si>
  <si>
    <t>Volkswagen</t>
  </si>
  <si>
    <t>PCAR</t>
  </si>
  <si>
    <t>Paccar</t>
  </si>
  <si>
    <t>FR</t>
  </si>
  <si>
    <t>SGO.PA</t>
  </si>
  <si>
    <t>Compagnie de Saint Cobain</t>
  </si>
  <si>
    <t>MRVL</t>
  </si>
  <si>
    <t>Marvell Technology</t>
  </si>
  <si>
    <t>601138.SS</t>
  </si>
  <si>
    <t>Foxconn Industrial Internet</t>
  </si>
  <si>
    <t>MBG.DE</t>
  </si>
  <si>
    <t>Mercedes Benz</t>
  </si>
  <si>
    <t>Volvo.AST</t>
  </si>
  <si>
    <t>Volvo Group</t>
  </si>
  <si>
    <t>EMR</t>
  </si>
  <si>
    <t>Emerson</t>
  </si>
  <si>
    <t>TW</t>
  </si>
  <si>
    <t>2317.TW</t>
  </si>
  <si>
    <t>Foxconn</t>
  </si>
  <si>
    <t>ITW</t>
  </si>
  <si>
    <t>Illinois Tools Work</t>
  </si>
  <si>
    <t>ATCO.BST</t>
  </si>
  <si>
    <t>Atlas Copco</t>
  </si>
  <si>
    <t>IT</t>
  </si>
  <si>
    <t>RACE</t>
  </si>
  <si>
    <t>Ferrari</t>
  </si>
  <si>
    <t>000333.SZ</t>
  </si>
  <si>
    <t>Midea</t>
  </si>
  <si>
    <t>APH</t>
  </si>
  <si>
    <t>Amphenol</t>
  </si>
  <si>
    <t>UK</t>
  </si>
  <si>
    <t>RL.L</t>
  </si>
  <si>
    <t>Rolls Royce</t>
  </si>
  <si>
    <t>INTC</t>
  </si>
  <si>
    <t xml:space="preserve">Intel </t>
  </si>
  <si>
    <t>ADI</t>
  </si>
  <si>
    <t>Analog Devices</t>
  </si>
  <si>
    <t>LMT</t>
  </si>
  <si>
    <t>Lockheed Martin</t>
  </si>
  <si>
    <t>BA</t>
  </si>
  <si>
    <t>Boeing</t>
  </si>
  <si>
    <t>DE</t>
  </si>
  <si>
    <t>Deere &amp; Company</t>
  </si>
  <si>
    <t>AIR.PA</t>
  </si>
  <si>
    <t>Airbus</t>
  </si>
  <si>
    <t>002594.SZ</t>
  </si>
  <si>
    <t>BYD</t>
  </si>
  <si>
    <t>Xiaomi</t>
  </si>
  <si>
    <t>CAT</t>
  </si>
  <si>
    <t>Caterpillar</t>
  </si>
  <si>
    <t>TM</t>
  </si>
  <si>
    <t>Toyota</t>
  </si>
  <si>
    <t>005930.KS</t>
  </si>
  <si>
    <t>Samsung</t>
  </si>
  <si>
    <t>TSLA</t>
  </si>
  <si>
    <t>Tesla</t>
  </si>
  <si>
    <t>TSM</t>
  </si>
  <si>
    <t>TSMC</t>
  </si>
  <si>
    <t>Country</t>
  </si>
  <si>
    <t>Ticker</t>
  </si>
  <si>
    <t>Name</t>
  </si>
  <si>
    <t>#</t>
  </si>
  <si>
    <t xml:space="preserve">Main </t>
  </si>
  <si>
    <t>Automakers</t>
  </si>
  <si>
    <t>Numbers in mm USD</t>
  </si>
  <si>
    <t>TICKR</t>
  </si>
  <si>
    <t>Price</t>
  </si>
  <si>
    <t>MC</t>
  </si>
  <si>
    <t>Net Debt</t>
  </si>
  <si>
    <t>EV</t>
  </si>
  <si>
    <t>Last Update</t>
  </si>
  <si>
    <t>Next Results</t>
  </si>
  <si>
    <t>Rev</t>
  </si>
  <si>
    <t>Q424</t>
  </si>
  <si>
    <t>FQ325</t>
  </si>
  <si>
    <t>CHI</t>
  </si>
  <si>
    <t>Q324</t>
  </si>
  <si>
    <t>ITA</t>
  </si>
  <si>
    <t>Stellanis</t>
  </si>
  <si>
    <t>XIACF</t>
  </si>
  <si>
    <t>HYMFT</t>
  </si>
  <si>
    <t>KOR</t>
  </si>
  <si>
    <t>Maruti Szuki</t>
  </si>
  <si>
    <t>IND</t>
  </si>
  <si>
    <t>TATA Motors</t>
  </si>
  <si>
    <t>TATAMOTORS.NS</t>
  </si>
  <si>
    <t>Mahindra &amp; Mahindra</t>
  </si>
  <si>
    <t>M&amp;M.NS</t>
  </si>
  <si>
    <t>KIA</t>
  </si>
  <si>
    <t>000270.SK</t>
  </si>
  <si>
    <t>Suzuki</t>
  </si>
  <si>
    <t>Li Auto</t>
  </si>
  <si>
    <t>LI</t>
  </si>
  <si>
    <t>SAIC Motor</t>
  </si>
  <si>
    <t>Chongquing Chagan</t>
  </si>
  <si>
    <t>601127.SZ</t>
  </si>
  <si>
    <t>Rivian</t>
  </si>
  <si>
    <t>Subaru</t>
  </si>
  <si>
    <t>7270.T</t>
  </si>
  <si>
    <t>Nissan</t>
  </si>
  <si>
    <t>7201.T</t>
  </si>
  <si>
    <t>Ford Otosan</t>
  </si>
  <si>
    <t>FROTO.IS</t>
  </si>
  <si>
    <t>TUR</t>
  </si>
  <si>
    <t>VinFast Auto</t>
  </si>
  <si>
    <t>VFS</t>
  </si>
  <si>
    <t>VTN</t>
  </si>
  <si>
    <t>Hotai Motor</t>
  </si>
  <si>
    <t>2207.TW</t>
  </si>
  <si>
    <t>Isuzu</t>
  </si>
  <si>
    <t>7202.T</t>
  </si>
  <si>
    <t>Nio</t>
  </si>
  <si>
    <t>NIO</t>
  </si>
  <si>
    <t>Volvo</t>
  </si>
  <si>
    <t>VOLCAR.BST</t>
  </si>
  <si>
    <t>XPENG</t>
  </si>
  <si>
    <t>Lucid Motors</t>
  </si>
  <si>
    <t>LCID</t>
  </si>
  <si>
    <t>Mazda</t>
  </si>
  <si>
    <t>7261.T</t>
  </si>
  <si>
    <t>JAC Motors</t>
  </si>
  <si>
    <t>600418.SS</t>
  </si>
  <si>
    <t>FAW Car</t>
  </si>
  <si>
    <t>000800.SZ</t>
  </si>
  <si>
    <t xml:space="preserve">Tofas Türk Otomobil </t>
  </si>
  <si>
    <t>TOASO.IS</t>
  </si>
  <si>
    <t>Zeekr</t>
  </si>
  <si>
    <t>ZK</t>
  </si>
  <si>
    <t>Mitsubishi Motors</t>
  </si>
  <si>
    <t>7211.T</t>
  </si>
  <si>
    <t>Lotus Techn.</t>
  </si>
  <si>
    <t>LOT</t>
  </si>
  <si>
    <t>Polaris</t>
  </si>
  <si>
    <t>PII</t>
  </si>
  <si>
    <t>Leapmotor</t>
  </si>
  <si>
    <t>9863.HK</t>
  </si>
  <si>
    <t>Dongfeng Motor</t>
  </si>
  <si>
    <t>0489.HK</t>
  </si>
  <si>
    <t>Youlon Motor Company</t>
  </si>
  <si>
    <t>2201.TW</t>
  </si>
  <si>
    <t>Polestar</t>
  </si>
  <si>
    <t>PSNY</t>
  </si>
  <si>
    <t>Aston Martin</t>
  </si>
  <si>
    <t>AML.L</t>
  </si>
  <si>
    <t>GB</t>
  </si>
  <si>
    <t>Force Motors</t>
  </si>
  <si>
    <t>FORCEMOT.NS</t>
  </si>
  <si>
    <t>Nikolia</t>
  </si>
  <si>
    <t>NKLA</t>
  </si>
  <si>
    <t>NWTN</t>
  </si>
  <si>
    <t>UAE</t>
  </si>
  <si>
    <t>Kandi Technolgies</t>
  </si>
  <si>
    <t>KNDI</t>
  </si>
  <si>
    <t>Canoo</t>
  </si>
  <si>
    <t>GOEV</t>
  </si>
  <si>
    <t>Cenntro Electric Group</t>
  </si>
  <si>
    <t>CENN</t>
  </si>
  <si>
    <t>REE Automotive</t>
  </si>
  <si>
    <t>REE</t>
  </si>
  <si>
    <t>ISRL</t>
  </si>
  <si>
    <t>Mullen Automotive</t>
  </si>
  <si>
    <t>MULN</t>
  </si>
  <si>
    <t>Phoenix Motor</t>
  </si>
  <si>
    <t>PEV</t>
  </si>
  <si>
    <t>Fraraday Future</t>
  </si>
  <si>
    <t>FFIE</t>
  </si>
  <si>
    <t>Acrimoto</t>
  </si>
  <si>
    <t>FUV</t>
  </si>
  <si>
    <t>Porsche Holding</t>
  </si>
  <si>
    <t>PAH003</t>
  </si>
  <si>
    <t>Main</t>
  </si>
  <si>
    <t>EUR/USD</t>
  </si>
  <si>
    <t>RMB/USD</t>
  </si>
  <si>
    <t>GBP/USD</t>
  </si>
  <si>
    <t>YEN/USD</t>
  </si>
  <si>
    <t>Tickr</t>
  </si>
  <si>
    <t>Update</t>
  </si>
  <si>
    <t>Notes</t>
  </si>
  <si>
    <t>Raytheon Technologies</t>
  </si>
  <si>
    <t>RTX</t>
  </si>
  <si>
    <t>Q224</t>
  </si>
  <si>
    <t>Lockhead Martin</t>
  </si>
  <si>
    <t>Honeywell</t>
  </si>
  <si>
    <t>HON</t>
  </si>
  <si>
    <t>Safran</t>
  </si>
  <si>
    <t>SAF.PA</t>
  </si>
  <si>
    <t>General Dynamics</t>
  </si>
  <si>
    <t>GD</t>
  </si>
  <si>
    <t>Northgroup Norman</t>
  </si>
  <si>
    <t>NOC</t>
  </si>
  <si>
    <t>BAE Systemns</t>
  </si>
  <si>
    <t>BA.L</t>
  </si>
  <si>
    <t>L3Harris</t>
  </si>
  <si>
    <t>LHX</t>
  </si>
  <si>
    <t>Hindustan Aeronautics</t>
  </si>
  <si>
    <t>HAL.NS</t>
  </si>
  <si>
    <t>Thales</t>
  </si>
  <si>
    <t>HO.PA</t>
  </si>
  <si>
    <t>Bharat Eletronics</t>
  </si>
  <si>
    <t>BEL.NS</t>
  </si>
  <si>
    <t>Rheinmetall</t>
  </si>
  <si>
    <t>RHM.F</t>
  </si>
  <si>
    <t>Kongsberg Gruppen</t>
  </si>
  <si>
    <t>KOG.OL</t>
  </si>
  <si>
    <t>NOR</t>
  </si>
  <si>
    <t>Leonardo</t>
  </si>
  <si>
    <t>LDO.MI</t>
  </si>
  <si>
    <t>SAAB AB</t>
  </si>
  <si>
    <t>SAAB.B-ST</t>
  </si>
  <si>
    <t>Huntingtion Ingalls</t>
  </si>
  <si>
    <t>HII</t>
  </si>
  <si>
    <t>ELBIT Systems</t>
  </si>
  <si>
    <t>ESLT</t>
  </si>
  <si>
    <t>Leonardo DRS</t>
  </si>
  <si>
    <t>DRS</t>
  </si>
  <si>
    <t>Aselsan</t>
  </si>
  <si>
    <t>ASELS.IS</t>
  </si>
  <si>
    <t>Bharat Dynamics</t>
  </si>
  <si>
    <t>BDL.NS</t>
  </si>
  <si>
    <t>Aero Viroment</t>
  </si>
  <si>
    <t>AVAV</t>
  </si>
  <si>
    <t>Hensfoldt</t>
  </si>
  <si>
    <t>HAG.F</t>
  </si>
  <si>
    <t>QinteiQ</t>
  </si>
  <si>
    <t>QQ.L</t>
  </si>
  <si>
    <t>Kratos DSS</t>
  </si>
  <si>
    <t>KTOS</t>
  </si>
  <si>
    <t>Indra Sistemas</t>
  </si>
  <si>
    <t>IDR.MC</t>
  </si>
  <si>
    <t>SPA</t>
  </si>
  <si>
    <t>Mercury Systems</t>
  </si>
  <si>
    <t>MRCY</t>
  </si>
  <si>
    <t>V2X</t>
  </si>
  <si>
    <t>VVX</t>
  </si>
  <si>
    <t>VSE Corp</t>
  </si>
  <si>
    <t>VSEC</t>
  </si>
  <si>
    <t>Drone Shield</t>
  </si>
  <si>
    <t>DRO.AX</t>
  </si>
  <si>
    <t>AUS</t>
  </si>
  <si>
    <t>Sturm, Ruger &amp; CO</t>
  </si>
  <si>
    <t>RGR</t>
  </si>
  <si>
    <t>Avon Protection</t>
  </si>
  <si>
    <t>AVON.L</t>
  </si>
  <si>
    <t>AMMO</t>
  </si>
  <si>
    <t>POWW</t>
  </si>
  <si>
    <t>TAT Technologies</t>
  </si>
  <si>
    <t>TATT</t>
  </si>
  <si>
    <t>Lubawa</t>
  </si>
  <si>
    <t>LBW.WA</t>
  </si>
  <si>
    <t>POL</t>
  </si>
  <si>
    <t xml:space="preserve">Privat </t>
  </si>
  <si>
    <t>Anduril Industries</t>
  </si>
  <si>
    <t xml:space="preserve">Price </t>
  </si>
  <si>
    <t>Updated</t>
  </si>
  <si>
    <t>Nxt Rslt</t>
  </si>
  <si>
    <t>Uber</t>
  </si>
  <si>
    <t>UBER</t>
  </si>
  <si>
    <t>Union Pacific Corporation</t>
  </si>
  <si>
    <t>UNP</t>
  </si>
  <si>
    <t>United Parcel Service</t>
  </si>
  <si>
    <t>UPS</t>
  </si>
  <si>
    <t>Canadian Pacific Railway</t>
  </si>
  <si>
    <t>CP</t>
  </si>
  <si>
    <t>Canadian National Railway</t>
  </si>
  <si>
    <t>CNI</t>
  </si>
  <si>
    <t>Kinder Morgan</t>
  </si>
  <si>
    <t>KMI</t>
  </si>
  <si>
    <t>CSX Corporation</t>
  </si>
  <si>
    <t>CSX</t>
  </si>
  <si>
    <t>FedEx</t>
  </si>
  <si>
    <t>FDX</t>
  </si>
  <si>
    <t>TC Energy</t>
  </si>
  <si>
    <t>TRP</t>
  </si>
  <si>
    <t>DHL Group (Deutsche Post)</t>
  </si>
  <si>
    <t>DHL.DE</t>
  </si>
  <si>
    <t>DSV</t>
  </si>
  <si>
    <t>DSV.VI</t>
  </si>
  <si>
    <t>Old Dominion Freight Line</t>
  </si>
  <si>
    <t>ODFL</t>
  </si>
  <si>
    <t>COSCO Shipping</t>
  </si>
  <si>
    <t>601919.SS</t>
  </si>
  <si>
    <t>Delta Air Lines</t>
  </si>
  <si>
    <t>DAL</t>
  </si>
  <si>
    <t>Hapag-Lloyd</t>
  </si>
  <si>
    <t>HLAG.DE</t>
  </si>
  <si>
    <t>Kühne + Nagel</t>
  </si>
  <si>
    <t>KNIN.SW</t>
  </si>
  <si>
    <t>East Japan Railway</t>
  </si>
  <si>
    <t>9020.T</t>
  </si>
  <si>
    <t>Maersk</t>
  </si>
  <si>
    <t>MAERSK-B.CO</t>
  </si>
  <si>
    <t>InterGlobe Aviation</t>
  </si>
  <si>
    <t>INDIGO.NS</t>
  </si>
  <si>
    <t>Ryanair</t>
  </si>
  <si>
    <t>RYAAY</t>
  </si>
  <si>
    <t>United Airlines Holdings</t>
  </si>
  <si>
    <t>UAL</t>
  </si>
  <si>
    <t>Pembina Pipeline</t>
  </si>
  <si>
    <t>PBA</t>
  </si>
  <si>
    <t>Central Japan Railway</t>
  </si>
  <si>
    <t>9022.T</t>
  </si>
  <si>
    <t>Brambles</t>
  </si>
  <si>
    <t>BXB.AX</t>
  </si>
  <si>
    <t>DiDi</t>
  </si>
  <si>
    <t>DIDIY</t>
  </si>
  <si>
    <t>International Consolidated Airlines</t>
  </si>
  <si>
    <t>BABWF</t>
  </si>
  <si>
    <t>Air China</t>
  </si>
  <si>
    <t>601111.SS</t>
  </si>
  <si>
    <t>Expeditors</t>
  </si>
  <si>
    <t>EXPD</t>
  </si>
  <si>
    <t>Southwest Airlines</t>
  </si>
  <si>
    <t>LUV</t>
  </si>
  <si>
    <t>Nippon Yūsen</t>
  </si>
  <si>
    <t>9101.T</t>
  </si>
  <si>
    <t>Singapore Airlines</t>
  </si>
  <si>
    <t>C6L.SI</t>
  </si>
  <si>
    <t>Evergreen Marine</t>
  </si>
  <si>
    <t>2603.TW</t>
  </si>
  <si>
    <t>J. B. Hunt</t>
  </si>
  <si>
    <t>JBHT</t>
  </si>
  <si>
    <t>China Southern Airlines</t>
  </si>
  <si>
    <t>600029.SS</t>
  </si>
  <si>
    <t>Mitsui O.S.K. Lines</t>
  </si>
  <si>
    <t>9104.T</t>
  </si>
  <si>
    <t>HMM</t>
  </si>
  <si>
    <t>011200.KS</t>
  </si>
  <si>
    <t>Plains All American Pipeline</t>
  </si>
  <si>
    <t>PAA</t>
  </si>
  <si>
    <t>XPO Logistics</t>
  </si>
  <si>
    <t>XPO</t>
  </si>
  <si>
    <t>Turkish Airlines</t>
  </si>
  <si>
    <t>THYAO.IS</t>
  </si>
  <si>
    <t>Full Truck Alliance</t>
  </si>
  <si>
    <t>YMM</t>
  </si>
  <si>
    <t>C. H. Robinson</t>
  </si>
  <si>
    <t>CHRW</t>
  </si>
  <si>
    <t>China Eastern Airlines</t>
  </si>
  <si>
    <t>600115.SS</t>
  </si>
  <si>
    <t>West Japan Railway</t>
  </si>
  <si>
    <t>9021.T</t>
  </si>
  <si>
    <t>FTAI Aviation</t>
  </si>
  <si>
    <t>FTAI</t>
  </si>
  <si>
    <t>Getlink</t>
  </si>
  <si>
    <t>GET.PA</t>
  </si>
  <si>
    <t>Saia</t>
  </si>
  <si>
    <t>SAIA</t>
  </si>
  <si>
    <t>Orient Overseas Container Line</t>
  </si>
  <si>
    <t>0316.HK</t>
  </si>
  <si>
    <t>ANA Holdings</t>
  </si>
  <si>
    <t>9202.T</t>
  </si>
  <si>
    <t>ADNOC Logistics &amp; Services</t>
  </si>
  <si>
    <t>ADNOCLS.AE</t>
  </si>
  <si>
    <t>LATAM Airlines</t>
  </si>
  <si>
    <t>LTM</t>
  </si>
  <si>
    <t>Hainan Airlines</t>
  </si>
  <si>
    <t>900945.SS</t>
  </si>
  <si>
    <t>“K” Line</t>
  </si>
  <si>
    <t>9107.T</t>
  </si>
  <si>
    <t>Lufthansa</t>
  </si>
  <si>
    <t>LHA.DE</t>
  </si>
  <si>
    <t>Qantas Airways</t>
  </si>
  <si>
    <t>QAN.AX</t>
  </si>
  <si>
    <t>Japan Airlines</t>
  </si>
  <si>
    <t>9201.T</t>
  </si>
  <si>
    <t>Yang Ming</t>
  </si>
  <si>
    <t>2609.TW</t>
  </si>
  <si>
    <t>Cathay Pacific</t>
  </si>
  <si>
    <t>0293.HK</t>
  </si>
  <si>
    <t>InPost</t>
  </si>
  <si>
    <t>INPST.AS</t>
  </si>
  <si>
    <t>Spring Airlines</t>
  </si>
  <si>
    <t>601021.SS</t>
  </si>
  <si>
    <t>MISC Berhad</t>
  </si>
  <si>
    <t>3816.KL</t>
  </si>
  <si>
    <t>Qatar Gas Transport Company</t>
  </si>
  <si>
    <t>QGTS.QA</t>
  </si>
  <si>
    <t>Tokyu</t>
  </si>
  <si>
    <t>9005.T</t>
  </si>
  <si>
    <t>TFI International</t>
  </si>
  <si>
    <t>TFII</t>
  </si>
  <si>
    <t>Hankyu Hanshin Holdings</t>
  </si>
  <si>
    <t>9042.T</t>
  </si>
  <si>
    <t>EVA Air</t>
  </si>
  <si>
    <t>2618.TW</t>
  </si>
  <si>
    <t>China Merchants Port</t>
  </si>
  <si>
    <t>0144.HK</t>
  </si>
  <si>
    <t>Knight-Swift</t>
  </si>
  <si>
    <t>KNX</t>
  </si>
  <si>
    <t>SITC International</t>
  </si>
  <si>
    <t>1308.HK</t>
  </si>
  <si>
    <t>Wan Hai Lines</t>
  </si>
  <si>
    <t>2615.TW</t>
  </si>
  <si>
    <t>American Airlines</t>
  </si>
  <si>
    <t>AAL</t>
  </si>
  <si>
    <t>Ryder</t>
  </si>
  <si>
    <t>R</t>
  </si>
  <si>
    <t>Korean Air Lines</t>
  </si>
  <si>
    <t>003495.KS</t>
  </si>
  <si>
    <t>Hyundai Glovis</t>
  </si>
  <si>
    <t>086280.KS</t>
  </si>
  <si>
    <t>Alaska Airlines</t>
  </si>
  <si>
    <t>ALK</t>
  </si>
  <si>
    <t>Kirby Corporation</t>
  </si>
  <si>
    <t>KEX</t>
  </si>
  <si>
    <t>Jindal Stainless</t>
  </si>
  <si>
    <t>JSL.NS</t>
  </si>
  <si>
    <t>Landstar System</t>
  </si>
  <si>
    <t>LSTR</t>
  </si>
  <si>
    <t>Container Corporation of India</t>
  </si>
  <si>
    <t>CONCOR.NS</t>
  </si>
  <si>
    <t>Nippon Express</t>
  </si>
  <si>
    <t>9147.T</t>
  </si>
  <si>
    <t>Yamato Holdings</t>
  </si>
  <si>
    <t>9064.T</t>
  </si>
  <si>
    <t>easyJet</t>
  </si>
  <si>
    <t>EZJ.L</t>
  </si>
  <si>
    <t>Qube Holdings</t>
  </si>
  <si>
    <t>QUB.AX</t>
  </si>
  <si>
    <t>Logista (Compañía de Distribución Integral Logista)</t>
  </si>
  <si>
    <t>LOG.MC</t>
  </si>
  <si>
    <t>Kintetsu GHD</t>
  </si>
  <si>
    <t>9041.T</t>
  </si>
  <si>
    <t>China Airlines</t>
  </si>
  <si>
    <t>2610.TW</t>
  </si>
  <si>
    <t>National Shipping Company of Saudi Arabia (Bahri)</t>
  </si>
  <si>
    <t>4030.SR</t>
  </si>
  <si>
    <t>Kyushu Railway Company</t>
  </si>
  <si>
    <t>9142.T</t>
  </si>
  <si>
    <t>Schneider</t>
  </si>
  <si>
    <t>SNDR</t>
  </si>
  <si>
    <t>SAL Saudi Logistics Services</t>
  </si>
  <si>
    <t>4263.SR</t>
  </si>
  <si>
    <t>Odakyu Electric Railway</t>
  </si>
  <si>
    <t>9007.T</t>
  </si>
  <si>
    <t>Tobu Railway</t>
  </si>
  <si>
    <t>9001.T</t>
  </si>
  <si>
    <t>Brink's</t>
  </si>
  <si>
    <t>BCO</t>
  </si>
  <si>
    <t>Mainfreight</t>
  </si>
  <si>
    <t>MFT.NZ</t>
  </si>
  <si>
    <t>Jet2</t>
  </si>
  <si>
    <t>JET2.L</t>
  </si>
  <si>
    <t>Copa Holdings</t>
  </si>
  <si>
    <t>CPA</t>
  </si>
  <si>
    <t>Pegasus Airlines</t>
  </si>
  <si>
    <t>PGSUS.IS</t>
  </si>
  <si>
    <t>SkyWest</t>
  </si>
  <si>
    <t>SKYW</t>
  </si>
  <si>
    <t>Aurizon Holdings</t>
  </si>
  <si>
    <t>AZJ.AX</t>
  </si>
  <si>
    <t>Milaha - Qatar Navigation</t>
  </si>
  <si>
    <t>QNNS.QA</t>
  </si>
  <si>
    <t>Matson</t>
  </si>
  <si>
    <t>MATX</t>
  </si>
  <si>
    <t>Air Canada</t>
  </si>
  <si>
    <t>AC.TO</t>
  </si>
  <si>
    <t>Keio Corporation</t>
  </si>
  <si>
    <t>9008.T</t>
  </si>
  <si>
    <t>Frontline</t>
  </si>
  <si>
    <t>FRO</t>
  </si>
  <si>
    <t>Wallenius Wilhelmsen</t>
  </si>
  <si>
    <t>WAWI.OL</t>
  </si>
  <si>
    <t>WeRide</t>
  </si>
  <si>
    <t>WRD</t>
  </si>
  <si>
    <t>Loomis AB</t>
  </si>
  <si>
    <t>LOOMIS.ST</t>
  </si>
  <si>
    <t>Atlantica</t>
  </si>
  <si>
    <t>AY</t>
  </si>
  <si>
    <t>Vietnam Airlines</t>
  </si>
  <si>
    <t>HVN.VN</t>
  </si>
  <si>
    <t>Seaboard</t>
  </si>
  <si>
    <t>SEB</t>
  </si>
  <si>
    <t>Bangkok Expressway and Metro (BEM)</t>
  </si>
  <si>
    <t>BEM.BK</t>
  </si>
  <si>
    <t>ID Logistics Group</t>
  </si>
  <si>
    <t>IDL.PA</t>
  </si>
  <si>
    <t>Meitetsu</t>
  </si>
  <si>
    <t>9048.T</t>
  </si>
  <si>
    <t>Seino Holdings</t>
  </si>
  <si>
    <t>9076.T</t>
  </si>
  <si>
    <t>Kamigumi</t>
  </si>
  <si>
    <t>9364.T</t>
  </si>
  <si>
    <t>RXO</t>
  </si>
  <si>
    <t>ComfortDelGro</t>
  </si>
  <si>
    <t>C52.SI</t>
  </si>
  <si>
    <t>Air France-KLM</t>
  </si>
  <si>
    <t>AF.PA</t>
  </si>
  <si>
    <t>Sankyu</t>
  </si>
  <si>
    <t>9065.T</t>
  </si>
  <si>
    <t>Delhivery</t>
  </si>
  <si>
    <t>DELHIVERY.NS</t>
  </si>
  <si>
    <t>BTS Group</t>
  </si>
  <si>
    <t>BTS.BK</t>
  </si>
  <si>
    <t>Jahez International Company for Information Systems Technology</t>
  </si>
  <si>
    <t>9526.SR</t>
  </si>
  <si>
    <t>Hafnia Limited</t>
  </si>
  <si>
    <t>HAFN</t>
  </si>
  <si>
    <t>Wizz Air</t>
  </si>
  <si>
    <t>WIZZ.L</t>
  </si>
  <si>
    <t>Nankai Electric Railway</t>
  </si>
  <si>
    <t>9044.T</t>
  </si>
  <si>
    <t>VietJet Aviation</t>
  </si>
  <si>
    <t>VJC.VN</t>
  </si>
  <si>
    <t>Werner Enterprises</t>
  </si>
  <si>
    <t>WERN</t>
  </si>
  <si>
    <t>Exchange Income Corporation</t>
  </si>
  <si>
    <t>EIF.TO</t>
  </si>
  <si>
    <t>DOF Group</t>
  </si>
  <si>
    <t>DOFG.OL</t>
  </si>
  <si>
    <t>Blue Dart Express</t>
  </si>
  <si>
    <t>BLUEDART.NS</t>
  </si>
  <si>
    <t>Tidewater</t>
  </si>
  <si>
    <t>TDW</t>
  </si>
  <si>
    <t>Scorpio Tankers</t>
  </si>
  <si>
    <t>STNG</t>
  </si>
  <si>
    <t>DHT Holdings</t>
  </si>
  <si>
    <t>DHT</t>
  </si>
  <si>
    <t>Genesis Energy L.P.</t>
  </si>
  <si>
    <t>GEL</t>
  </si>
  <si>
    <t>Abu Dhabi Aviation</t>
  </si>
  <si>
    <t>ADAVIATION.AE</t>
  </si>
  <si>
    <t>Cmb.Tech</t>
  </si>
  <si>
    <t>CMBT</t>
  </si>
  <si>
    <t>Star Bulk Carriers</t>
  </si>
  <si>
    <t>SBLK</t>
  </si>
  <si>
    <t>ZIM Integrated Shipping Services</t>
  </si>
  <si>
    <t>ZIM</t>
  </si>
  <si>
    <t>International Seaways</t>
  </si>
  <si>
    <t>INSW</t>
  </si>
  <si>
    <t>TORM</t>
  </si>
  <si>
    <t>TRMD</t>
  </si>
  <si>
    <t>Air Transport Services Group</t>
  </si>
  <si>
    <t>ATSG</t>
  </si>
  <si>
    <t>Kerry Logistics Network</t>
  </si>
  <si>
    <t>0636.HK</t>
  </si>
  <si>
    <t>ArcBest</t>
  </si>
  <si>
    <t>ARCB</t>
  </si>
  <si>
    <t>Pitney Bowes</t>
  </si>
  <si>
    <t>PBI</t>
  </si>
  <si>
    <t>Wilh. Wilhelmsen Holding</t>
  </si>
  <si>
    <t>WWI.OL</t>
  </si>
  <si>
    <t>Asiana Airlines</t>
  </si>
  <si>
    <t>020560.KS</t>
  </si>
  <si>
    <t>Golden Ocean Group</t>
  </si>
  <si>
    <t>GOGL</t>
  </si>
  <si>
    <t>Höegh Autoliners</t>
  </si>
  <si>
    <t>HAUTO.OL</t>
  </si>
  <si>
    <t>Jetblue Airways</t>
  </si>
  <si>
    <t>JBLU</t>
  </si>
  <si>
    <t>Clarkson PLC</t>
  </si>
  <si>
    <t>CKN.L</t>
  </si>
  <si>
    <t>Danaos</t>
  </si>
  <si>
    <t>DAC</t>
  </si>
  <si>
    <t>Jungfraubahn Holding AG</t>
  </si>
  <si>
    <t>JFN.SW</t>
  </si>
  <si>
    <t>Pan Ocean</t>
  </si>
  <si>
    <t>028670.KS</t>
  </si>
  <si>
    <t>Teekay Tankers</t>
  </si>
  <si>
    <t>TNK</t>
  </si>
  <si>
    <t>Stolt-Nielsen Limited</t>
  </si>
  <si>
    <t>0OHK.L</t>
  </si>
  <si>
    <t>Gulf Navigation Holding</t>
  </si>
  <si>
    <t>GULFNAV.AE</t>
  </si>
  <si>
    <t>Flex Lng</t>
  </si>
  <si>
    <t>FLNG</t>
  </si>
  <si>
    <t>FirstGroup</t>
  </si>
  <si>
    <t>FGP.L</t>
  </si>
  <si>
    <t>Nishi-Nippon Railroad</t>
  </si>
  <si>
    <t>9031.T</t>
  </si>
  <si>
    <t>Air New Zealand</t>
  </si>
  <si>
    <t>AIR.NZ</t>
  </si>
  <si>
    <t>GasLog</t>
  </si>
  <si>
    <t>GLOP-PA</t>
  </si>
  <si>
    <t>Prosegur Cash</t>
  </si>
  <si>
    <t>CASH.MC</t>
  </si>
  <si>
    <t>Andlauer Healthcare Group</t>
  </si>
  <si>
    <t>AND.TO</t>
  </si>
  <si>
    <t>Marten Transport</t>
  </si>
  <si>
    <t>MRTN</t>
  </si>
  <si>
    <t>Freightways</t>
  </si>
  <si>
    <t>FRW.NZ</t>
  </si>
  <si>
    <t>Pacific Basin Shipping</t>
  </si>
  <si>
    <t>2343.HK</t>
  </si>
  <si>
    <t>Norwegian Air Shuttle</t>
  </si>
  <si>
    <t>NAS.OL</t>
  </si>
  <si>
    <t>Costamare</t>
  </si>
  <si>
    <t>CMRE</t>
  </si>
  <si>
    <t>SFL Corp</t>
  </si>
  <si>
    <t>SFL</t>
  </si>
  <si>
    <t>Transport Corporation of India</t>
  </si>
  <si>
    <t>TCI.NS</t>
  </si>
  <si>
    <t>Bangkok Airways</t>
  </si>
  <si>
    <t>BA.BK</t>
  </si>
  <si>
    <t>Konoike Transport</t>
  </si>
  <si>
    <t>9025.T</t>
  </si>
  <si>
    <t>Navios Maritime Partners</t>
  </si>
  <si>
    <t>NMM</t>
  </si>
  <si>
    <t>Singapore Post</t>
  </si>
  <si>
    <t>S08.SI</t>
  </si>
  <si>
    <t>Tsakos Energy Navigation</t>
  </si>
  <si>
    <t>TNP</t>
  </si>
  <si>
    <t>Allegiant Air</t>
  </si>
  <si>
    <t>ALGT</t>
  </si>
  <si>
    <t>Cargojet</t>
  </si>
  <si>
    <t>CJT.TO</t>
  </si>
  <si>
    <t>Navigator Holdings</t>
  </si>
  <si>
    <t>NVGS</t>
  </si>
  <si>
    <t>Frontier Airlines</t>
  </si>
  <si>
    <t>ULCC</t>
  </si>
  <si>
    <t>SBS Holdings</t>
  </si>
  <si>
    <t>2384.T</t>
  </si>
  <si>
    <t>Dorian LPG</t>
  </si>
  <si>
    <t>LPG</t>
  </si>
  <si>
    <t>Mullen Group</t>
  </si>
  <si>
    <t>MTL.TO</t>
  </si>
  <si>
    <t>GOL Airlines</t>
  </si>
  <si>
    <t>GOLL4.SA</t>
  </si>
  <si>
    <t>NTG Nordic Transport Group A/S</t>
  </si>
  <si>
    <t>NTG.CO</t>
  </si>
  <si>
    <t>Exmar</t>
  </si>
  <si>
    <t>EXM.BR</t>
  </si>
  <si>
    <t>D/S Norden (Dampskibsselskabet Norden)</t>
  </si>
  <si>
    <t>DNORD.CO</t>
  </si>
  <si>
    <t>Iino Kaiun Kaisha</t>
  </si>
  <si>
    <t>9119.T</t>
  </si>
  <si>
    <t>Gram Car Carriers</t>
  </si>
  <si>
    <t>GCC.OL</t>
  </si>
  <si>
    <t>Jazeera Airways</t>
  </si>
  <si>
    <t>JAZEERA.KW</t>
  </si>
  <si>
    <t>Universal Logistics Holdings</t>
  </si>
  <si>
    <t>ULH</t>
  </si>
  <si>
    <t>Capital A (Air Asia)</t>
  </si>
  <si>
    <t>5099.KL</t>
  </si>
  <si>
    <t>DFDS A/S</t>
  </si>
  <si>
    <t>DFDS.CO</t>
  </si>
  <si>
    <t>Heartland Express</t>
  </si>
  <si>
    <t>HTLD</t>
  </si>
  <si>
    <t>Finnair</t>
  </si>
  <si>
    <t>FIA1S.HE</t>
  </si>
  <si>
    <t>Trancom</t>
  </si>
  <si>
    <t>9058.T</t>
  </si>
  <si>
    <t>MPC Container Ships</t>
  </si>
  <si>
    <t>MPCC.OL</t>
  </si>
  <si>
    <t>NS United Kaiun Kaisha</t>
  </si>
  <si>
    <t>9110.T</t>
  </si>
  <si>
    <t>Attica Holdings</t>
  </si>
  <si>
    <t>ATTICA.AT</t>
  </si>
  <si>
    <t>Volaris</t>
  </si>
  <si>
    <t>VLRS</t>
  </si>
  <si>
    <t>Transport International Holdings</t>
  </si>
  <si>
    <t>0062.HK</t>
  </si>
  <si>
    <t>SAPTCO (Saudi Public Transport Company)</t>
  </si>
  <si>
    <t>4040.SR</t>
  </si>
  <si>
    <t>Sun Country Airlines</t>
  </si>
  <si>
    <t>SNCY</t>
  </si>
  <si>
    <t>Tallink Grupp</t>
  </si>
  <si>
    <t>T5N.F</t>
  </si>
  <si>
    <t>Covenant Logistics</t>
  </si>
  <si>
    <t>CVLG</t>
  </si>
  <si>
    <t>Genco Shipping &amp; Trading</t>
  </si>
  <si>
    <t>GNK</t>
  </si>
  <si>
    <t>Teekay</t>
  </si>
  <si>
    <t>TK</t>
  </si>
  <si>
    <t>Nordic American Tankers</t>
  </si>
  <si>
    <t>NAT</t>
  </si>
  <si>
    <t>Gulf Warehousing Company</t>
  </si>
  <si>
    <t>GWCS.QA</t>
  </si>
  <si>
    <t>Belships ASA</t>
  </si>
  <si>
    <t>BELCO.OL</t>
  </si>
  <si>
    <t>VRL Logistics</t>
  </si>
  <si>
    <t>VRLLOG.NS</t>
  </si>
  <si>
    <t>Mobico Group</t>
  </si>
  <si>
    <t>MCG.L</t>
  </si>
  <si>
    <t>Eimskipafélag Íslands</t>
  </si>
  <si>
    <t>EIM.IC</t>
  </si>
  <si>
    <t>Nissin Corporation</t>
  </si>
  <si>
    <t>9066.T</t>
  </si>
  <si>
    <t>Algoma Central Corporation</t>
  </si>
  <si>
    <t>ALC.TO</t>
  </si>
  <si>
    <t>Kelsian Group</t>
  </si>
  <si>
    <t>KLS.AX</t>
  </si>
  <si>
    <t>Forward Air</t>
  </si>
  <si>
    <t>FWRD</t>
  </si>
  <si>
    <t>Viking Line Abp</t>
  </si>
  <si>
    <t>VIK1V.HE</t>
  </si>
  <si>
    <t>Jeju Air</t>
  </si>
  <si>
    <t>089590.KS</t>
  </si>
  <si>
    <t>Gateway Distriparks</t>
  </si>
  <si>
    <t>GATEWAY.NS</t>
  </si>
  <si>
    <t>Ardmore Shipping</t>
  </si>
  <si>
    <t>ASC</t>
  </si>
  <si>
    <t>Chorus Aviation</t>
  </si>
  <si>
    <t>CHR.TO</t>
  </si>
  <si>
    <t>Safe Bulkers</t>
  </si>
  <si>
    <t>SB</t>
  </si>
  <si>
    <t>Icelandair</t>
  </si>
  <si>
    <t>ICEAIR.IC</t>
  </si>
  <si>
    <t>Independent Petroleum Group K.S.C.P.</t>
  </si>
  <si>
    <t>IPG.KW</t>
  </si>
  <si>
    <t>Clean Energy Fuels</t>
  </si>
  <si>
    <t>CLNE</t>
  </si>
  <si>
    <t>Klaveness Combination Carriers</t>
  </si>
  <si>
    <t>KCC.OL</t>
  </si>
  <si>
    <t>Allcargo Logistics</t>
  </si>
  <si>
    <t>ALLCARGO.NS</t>
  </si>
  <si>
    <t>SpiceJet</t>
  </si>
  <si>
    <t>SPICEJET.BO</t>
  </si>
  <si>
    <t>Jin Air</t>
  </si>
  <si>
    <t>272450.KS</t>
  </si>
  <si>
    <t>T’way Air</t>
  </si>
  <si>
    <t>091810.KS</t>
  </si>
  <si>
    <t>Pangaea Logistics Solutions</t>
  </si>
  <si>
    <t>PANL</t>
  </si>
  <si>
    <t>Radiant Logistics</t>
  </si>
  <si>
    <t>RLGT</t>
  </si>
  <si>
    <t>CoolCo (Cool Company)</t>
  </si>
  <si>
    <t>CLCO</t>
  </si>
  <si>
    <t>flyExclusive</t>
  </si>
  <si>
    <t>FLYX</t>
  </si>
  <si>
    <t>BVZ Holding</t>
  </si>
  <si>
    <t>BVZN.SW</t>
  </si>
  <si>
    <t>KNOT Offshore Partners</t>
  </si>
  <si>
    <t>KNOP</t>
  </si>
  <si>
    <t>Himalaya Shipping</t>
  </si>
  <si>
    <t>HSHP</t>
  </si>
  <si>
    <t>Ernst Russ</t>
  </si>
  <si>
    <t>HXCK.DE</t>
  </si>
  <si>
    <t>Proficient Auto Logistics</t>
  </si>
  <si>
    <t>PAL</t>
  </si>
  <si>
    <t>Blade Air Mobility</t>
  </si>
  <si>
    <t>BLDE</t>
  </si>
  <si>
    <t>Euroseas</t>
  </si>
  <si>
    <t>ESEA</t>
  </si>
  <si>
    <t>Pkp Cargo</t>
  </si>
  <si>
    <t>PKP.WA</t>
  </si>
  <si>
    <t>StealthGas</t>
  </si>
  <si>
    <t>GASS</t>
  </si>
  <si>
    <t>Azul</t>
  </si>
  <si>
    <t>AZUL</t>
  </si>
  <si>
    <t>Marti Technologies</t>
  </si>
  <si>
    <t>MRT</t>
  </si>
  <si>
    <t>Bergbahnen Engelberg-Trübsee-Titlis</t>
  </si>
  <si>
    <t>TIBN.SW</t>
  </si>
  <si>
    <t>Diana Shipping</t>
  </si>
  <si>
    <t>DSX</t>
  </si>
  <si>
    <t>Sloman Neptun</t>
  </si>
  <si>
    <t>NEP.HM</t>
  </si>
  <si>
    <t>Air Busan</t>
  </si>
  <si>
    <t>298690.KS</t>
  </si>
  <si>
    <t>Compagnie Du Mont-Blanc</t>
  </si>
  <si>
    <t>MLCMB.PA</t>
  </si>
  <si>
    <t>Navkar Corp</t>
  </si>
  <si>
    <t>NAVKARCORP.NS</t>
  </si>
  <si>
    <t>Lindsay Australia</t>
  </si>
  <si>
    <t>LAU.AX</t>
  </si>
  <si>
    <t>SEACOR Marine</t>
  </si>
  <si>
    <t>SMHI</t>
  </si>
  <si>
    <t>Seanergy Maritime</t>
  </si>
  <si>
    <t>SHIP</t>
  </si>
  <si>
    <t>SIEC (Saudi Industrial Export Company)</t>
  </si>
  <si>
    <t>4140.SR</t>
  </si>
  <si>
    <t>Freightos</t>
  </si>
  <si>
    <t>CRGO</t>
  </si>
  <si>
    <t>Imperial Petroleum</t>
  </si>
  <si>
    <t>IMPP</t>
  </si>
  <si>
    <t>Shengfeng Development</t>
  </si>
  <si>
    <t>SFWL</t>
  </si>
  <si>
    <t>Norse Atlantic ASA</t>
  </si>
  <si>
    <t>NORSE.OL</t>
  </si>
  <si>
    <t>OT Logistics</t>
  </si>
  <si>
    <t>OTS.WA</t>
  </si>
  <si>
    <t>Spirit Airlines</t>
  </si>
  <si>
    <t>SAVEQ</t>
  </si>
  <si>
    <t>Mesa Air</t>
  </si>
  <si>
    <t>MESA</t>
  </si>
  <si>
    <t>Kuwait and Gulf Link Transport Company</t>
  </si>
  <si>
    <t>KGL.KW</t>
  </si>
  <si>
    <t>Müller - Die lila Logistik</t>
  </si>
  <si>
    <t>MLL.DE</t>
  </si>
  <si>
    <t>Western Bulk</t>
  </si>
  <si>
    <t>WEST.OL</t>
  </si>
  <si>
    <t>Toro Corp.</t>
  </si>
  <si>
    <t>TORO</t>
  </si>
  <si>
    <t>Pyxis Tankers</t>
  </si>
  <si>
    <t>PXS</t>
  </si>
  <si>
    <t>Swvl Holdings</t>
  </si>
  <si>
    <t>SWVL</t>
  </si>
  <si>
    <t>Top Ships</t>
  </si>
  <si>
    <t>TOPS</t>
  </si>
  <si>
    <t>Nebelhornbahn-Aktiengesellschaft</t>
  </si>
  <si>
    <t>NHB0.MU</t>
  </si>
  <si>
    <t>Yellow Corporation</t>
  </si>
  <si>
    <t>YELLQ</t>
  </si>
  <si>
    <t>Performance Shipping</t>
  </si>
  <si>
    <t>PSHG</t>
  </si>
  <si>
    <t>Fly Play</t>
  </si>
  <si>
    <t>PLAY.IC</t>
  </si>
  <si>
    <t>Globavend</t>
  </si>
  <si>
    <t>GVH</t>
  </si>
  <si>
    <t>ryde</t>
  </si>
  <si>
    <t>RYDE</t>
  </si>
  <si>
    <t>OceanPal</t>
  </si>
  <si>
    <t>OP</t>
  </si>
  <si>
    <t>Nok Air</t>
  </si>
  <si>
    <t>NOKPF</t>
  </si>
  <si>
    <t>Dubai Taxi Company</t>
  </si>
  <si>
    <t>DTC.AE</t>
  </si>
  <si>
    <t>Agility Global</t>
  </si>
  <si>
    <t>AGILITY.AE</t>
  </si>
  <si>
    <t>Aramex</t>
  </si>
  <si>
    <t>ARMX.AE</t>
  </si>
  <si>
    <t>CA</t>
  </si>
  <si>
    <t>IRE</t>
  </si>
  <si>
    <t>AX</t>
  </si>
  <si>
    <t>MAL</t>
  </si>
  <si>
    <t>QA</t>
  </si>
  <si>
    <t>SA</t>
  </si>
  <si>
    <t>NZ</t>
  </si>
  <si>
    <t>PAN</t>
  </si>
  <si>
    <t>BER</t>
  </si>
  <si>
    <t>VIE</t>
  </si>
  <si>
    <t>JAR</t>
  </si>
  <si>
    <t>MONC</t>
  </si>
  <si>
    <t>BEL</t>
  </si>
  <si>
    <t>GRE</t>
  </si>
  <si>
    <t>IS</t>
  </si>
  <si>
    <t>MON</t>
  </si>
  <si>
    <t>BR</t>
  </si>
  <si>
    <t>KW</t>
  </si>
  <si>
    <t>MEX</t>
  </si>
  <si>
    <t>EST</t>
  </si>
  <si>
    <t>ICE</t>
  </si>
  <si>
    <t>MONA</t>
  </si>
  <si>
    <t>CYP</t>
  </si>
  <si>
    <t>HELLA</t>
  </si>
  <si>
    <t>HLE.F</t>
  </si>
  <si>
    <t>Nordson</t>
  </si>
  <si>
    <t>NDSN</t>
  </si>
  <si>
    <t>CG Power and Industrial Solutions</t>
  </si>
  <si>
    <t>CGPOWER.NS</t>
  </si>
  <si>
    <t>VAT Group</t>
  </si>
  <si>
    <t>VACN.SW</t>
  </si>
  <si>
    <t>ITT</t>
  </si>
  <si>
    <t>Woodward</t>
  </si>
  <si>
    <t>WWD</t>
  </si>
  <si>
    <t>Wärtsilä</t>
  </si>
  <si>
    <t>WRT1V.HE</t>
  </si>
  <si>
    <t>Crown Holdings</t>
  </si>
  <si>
    <t>CCK</t>
  </si>
  <si>
    <t>Alstom</t>
  </si>
  <si>
    <t>ALO.PA</t>
  </si>
  <si>
    <t>Indutrade</t>
  </si>
  <si>
    <t>INDT.ST</t>
  </si>
  <si>
    <t>AptarGroup</t>
  </si>
  <si>
    <t>ATR</t>
  </si>
  <si>
    <t>Polycab India</t>
  </si>
  <si>
    <t>POLYCAB.NS</t>
  </si>
  <si>
    <t>Celestica</t>
  </si>
  <si>
    <t>CLS</t>
  </si>
  <si>
    <t>Accton Technology</t>
  </si>
  <si>
    <t>2345.TW</t>
  </si>
  <si>
    <t>Hero MotoCorp</t>
  </si>
  <si>
    <t>HEROMOTOCO.NS</t>
  </si>
  <si>
    <t>Zoomlion</t>
  </si>
  <si>
    <t>1157.HK</t>
  </si>
  <si>
    <t>Rockwool</t>
  </si>
  <si>
    <t>ROCK-B.CO</t>
  </si>
  <si>
    <t>Ryohin Keikaku</t>
  </si>
  <si>
    <t>7453.T</t>
  </si>
  <si>
    <t>Wistron Corporation</t>
  </si>
  <si>
    <t>3231.TW</t>
  </si>
  <si>
    <t>Mueller Industries</t>
  </si>
  <si>
    <t>MLI</t>
  </si>
  <si>
    <t>Embraer</t>
  </si>
  <si>
    <t>ERJ</t>
  </si>
  <si>
    <t>BELIMO Holding</t>
  </si>
  <si>
    <t>BEAN.SW</t>
  </si>
  <si>
    <t>Metso</t>
  </si>
  <si>
    <t>METSO.HE</t>
  </si>
  <si>
    <t>Berry Global</t>
  </si>
  <si>
    <t>BERY</t>
  </si>
  <si>
    <t>Makita</t>
  </si>
  <si>
    <t>6586.T</t>
  </si>
  <si>
    <t>Zhuzhou CRRC Times Electric</t>
  </si>
  <si>
    <t>3898.HK</t>
  </si>
  <si>
    <t>Yamaha Motor</t>
  </si>
  <si>
    <t>7272.T</t>
  </si>
  <si>
    <t>Ashok Leyland</t>
  </si>
  <si>
    <t>ASHOKLEY.NS</t>
  </si>
  <si>
    <t>Yageo</t>
  </si>
  <si>
    <t>2327.TW</t>
  </si>
  <si>
    <t>Ecopro BM</t>
  </si>
  <si>
    <t>247540.KQ</t>
  </si>
  <si>
    <t>ESAB</t>
  </si>
  <si>
    <t>Sanwa Holdings</t>
  </si>
  <si>
    <t>5929.T</t>
  </si>
  <si>
    <t>Melrose Industries</t>
  </si>
  <si>
    <t>MRO.L</t>
  </si>
  <si>
    <t>The AZEK Company</t>
  </si>
  <si>
    <t>AZEK</t>
  </si>
  <si>
    <t>Aaon</t>
  </si>
  <si>
    <t>AAON</t>
  </si>
  <si>
    <t>Ebara Corporation</t>
  </si>
  <si>
    <t>6361.T</t>
  </si>
  <si>
    <t>Generac Power Systems</t>
  </si>
  <si>
    <t>GNRC</t>
  </si>
  <si>
    <t>Pegatron</t>
  </si>
  <si>
    <t>4938.TW</t>
  </si>
  <si>
    <t>Thyssenkrupp</t>
  </si>
  <si>
    <t>TKA.F</t>
  </si>
  <si>
    <t>AGCO</t>
  </si>
  <si>
    <t>AGC</t>
  </si>
  <si>
    <t>5201.T</t>
  </si>
  <si>
    <t>Mondi</t>
  </si>
  <si>
    <t>MNDI.L</t>
  </si>
  <si>
    <t>Gildan</t>
  </si>
  <si>
    <t>GIL</t>
  </si>
  <si>
    <t>Lite-On Technology</t>
  </si>
  <si>
    <t>2301.TW</t>
  </si>
  <si>
    <t>Hoa Phat Group</t>
  </si>
  <si>
    <t>HPG.VN</t>
  </si>
  <si>
    <t>Lattice Semiconductor</t>
  </si>
  <si>
    <t>LSCC</t>
  </si>
  <si>
    <t>Bruker</t>
  </si>
  <si>
    <t>BRKR</t>
  </si>
  <si>
    <t>Page Industries</t>
  </si>
  <si>
    <t>PAGEIND.NS</t>
  </si>
  <si>
    <t>Armstrong World Industries</t>
  </si>
  <si>
    <t>AWI</t>
  </si>
  <si>
    <t>DiaSorin</t>
  </si>
  <si>
    <t>DIA.MI</t>
  </si>
  <si>
    <t>Tube Investments of India</t>
  </si>
  <si>
    <t>TIINDIA.NS</t>
  </si>
  <si>
    <t>Hitachi Construction Machinery</t>
  </si>
  <si>
    <t>6305.T</t>
  </si>
  <si>
    <t>Bombardier</t>
  </si>
  <si>
    <t>BBD-B.TO</t>
  </si>
  <si>
    <t>Valmont Industries</t>
  </si>
  <si>
    <t>VMI</t>
  </si>
  <si>
    <t>Georg Fischer</t>
  </si>
  <si>
    <t>GF.SW</t>
  </si>
  <si>
    <t>Spirax-Sarco Engineering</t>
  </si>
  <si>
    <t>SPX.L</t>
  </si>
  <si>
    <t>Schaeffler India</t>
  </si>
  <si>
    <t>SCHAEFFLER.NS</t>
  </si>
  <si>
    <t>Oshkosh Corporation</t>
  </si>
  <si>
    <t>OSK</t>
  </si>
  <si>
    <t>Far Eastern New Century</t>
  </si>
  <si>
    <t>1402.TW</t>
  </si>
  <si>
    <t>Badger Meter</t>
  </si>
  <si>
    <t>BMI</t>
  </si>
  <si>
    <t>Crocs</t>
  </si>
  <si>
    <t>CROX</t>
  </si>
  <si>
    <t>Sulzer</t>
  </si>
  <si>
    <t>SUN.SW</t>
  </si>
  <si>
    <t>Vanguard International Semiconductor</t>
  </si>
  <si>
    <t>5347.TWO</t>
  </si>
  <si>
    <t>Volvo Car</t>
  </si>
  <si>
    <t>VOLCAR-B.ST</t>
  </si>
  <si>
    <t>RENK Group</t>
  </si>
  <si>
    <t>R3NK.DE</t>
  </si>
  <si>
    <t>Silgan Holdings</t>
  </si>
  <si>
    <t>SLGN</t>
  </si>
  <si>
    <t>Ternium</t>
  </si>
  <si>
    <t>TX</t>
  </si>
  <si>
    <t>JBT Marel Corporation</t>
  </si>
  <si>
    <t>JBTM</t>
  </si>
  <si>
    <t>Zurn Water Solutions</t>
  </si>
  <si>
    <t>ZWS</t>
  </si>
  <si>
    <t>Kimberly-Clark de México</t>
  </si>
  <si>
    <t>KIMBERA.MX</t>
  </si>
  <si>
    <t>Joby Aviation</t>
  </si>
  <si>
    <t>JOBY</t>
  </si>
  <si>
    <t>SFS Group</t>
  </si>
  <si>
    <t>SFSN.SW</t>
  </si>
  <si>
    <t>Valmet</t>
  </si>
  <si>
    <t>VALMT.HE</t>
  </si>
  <si>
    <t>AirTAC International</t>
  </si>
  <si>
    <t>1590.TW</t>
  </si>
  <si>
    <t>Konecranes</t>
  </si>
  <si>
    <t>KCR.HE</t>
  </si>
  <si>
    <t>Federal Signal</t>
  </si>
  <si>
    <t>FSS</t>
  </si>
  <si>
    <t>Whirlpool</t>
  </si>
  <si>
    <t>WHR</t>
  </si>
  <si>
    <t>Seatrium</t>
  </si>
  <si>
    <t>5E2.SI</t>
  </si>
  <si>
    <t>Accelleron Industries</t>
  </si>
  <si>
    <t>ACLN.SW</t>
  </si>
  <si>
    <t>Gates Industrial Corp</t>
  </si>
  <si>
    <t>GTES</t>
  </si>
  <si>
    <t>Timken Company</t>
  </si>
  <si>
    <t>TKR</t>
  </si>
  <si>
    <t>MISUMI Group</t>
  </si>
  <si>
    <t>9962.T</t>
  </si>
  <si>
    <t>Trina Solar</t>
  </si>
  <si>
    <t>688599.SS</t>
  </si>
  <si>
    <t>Azbil Corporation</t>
  </si>
  <si>
    <t>6845.T</t>
  </si>
  <si>
    <t>Nordex</t>
  </si>
  <si>
    <t>NDX1.F</t>
  </si>
  <si>
    <t>DMG Mori Aktiengesellschaft</t>
  </si>
  <si>
    <t>GIL.F</t>
  </si>
  <si>
    <t>Lear Corporation</t>
  </si>
  <si>
    <t>LEA</t>
  </si>
  <si>
    <t>Escorts Kubota</t>
  </si>
  <si>
    <t>ESCORTS.NS</t>
  </si>
  <si>
    <t>Sanmina</t>
  </si>
  <si>
    <t>SANM</t>
  </si>
  <si>
    <t>Oji Holdings</t>
  </si>
  <si>
    <t>3861.T</t>
  </si>
  <si>
    <t>Krones</t>
  </si>
  <si>
    <t>KRN.F</t>
  </si>
  <si>
    <t>Novanta</t>
  </si>
  <si>
    <t>NOVT</t>
  </si>
  <si>
    <t>Grupo Simec</t>
  </si>
  <si>
    <t>SIM</t>
  </si>
  <si>
    <t>Cognex</t>
  </si>
  <si>
    <t>CGNX</t>
  </si>
  <si>
    <t>Integer Holdings</t>
  </si>
  <si>
    <t>ITGR</t>
  </si>
  <si>
    <t>Iveco Group</t>
  </si>
  <si>
    <t>IVG.MI</t>
  </si>
  <si>
    <t>Xinyi Glass Holdings</t>
  </si>
  <si>
    <t>0868.HK</t>
  </si>
  <si>
    <t>Vallourec</t>
  </si>
  <si>
    <t>VK.PA</t>
  </si>
  <si>
    <t>Spirit AeroSystems</t>
  </si>
  <si>
    <t>SPR</t>
  </si>
  <si>
    <t>Yunnan Energy New Material</t>
  </si>
  <si>
    <t>002812.SZ</t>
  </si>
  <si>
    <t>Archer Aviation</t>
  </si>
  <si>
    <t>ACHR</t>
  </si>
  <si>
    <t>ESCO Technologies</t>
  </si>
  <si>
    <t>ESE</t>
  </si>
  <si>
    <t>Technoprobe</t>
  </si>
  <si>
    <t>TPRO.MI</t>
  </si>
  <si>
    <t>Haitian International Holdings</t>
  </si>
  <si>
    <t>1882.HK</t>
  </si>
  <si>
    <t>Belden</t>
  </si>
  <si>
    <t>BDC</t>
  </si>
  <si>
    <t>Exide Industries</t>
  </si>
  <si>
    <t>EXIDEIND.NS</t>
  </si>
  <si>
    <t>Schaeffler</t>
  </si>
  <si>
    <t>SHA0.DE</t>
  </si>
  <si>
    <t>Fincantieri</t>
  </si>
  <si>
    <t>FCT.MI</t>
  </si>
  <si>
    <t>Sharp Corporation</t>
  </si>
  <si>
    <t>6753.T</t>
  </si>
  <si>
    <t>Coway</t>
  </si>
  <si>
    <t>021240.KS</t>
  </si>
  <si>
    <t>Mycronic</t>
  </si>
  <si>
    <t>MYCR.ST</t>
  </si>
  <si>
    <t>Hirose Electric</t>
  </si>
  <si>
    <t>6806.T</t>
  </si>
  <si>
    <t>Century Textiles and Industries</t>
  </si>
  <si>
    <t>CENTURYTEX.NS</t>
  </si>
  <si>
    <t>Vidrala</t>
  </si>
  <si>
    <t>VID.MC</t>
  </si>
  <si>
    <t>SP</t>
  </si>
  <si>
    <t>NGK Insulators</t>
  </si>
  <si>
    <t>5333.T</t>
  </si>
  <si>
    <t>Interpump Group</t>
  </si>
  <si>
    <t>IP.MI</t>
  </si>
  <si>
    <t>Koito Manufacturing</t>
  </si>
  <si>
    <t>7276.T</t>
  </si>
  <si>
    <t>Innolux</t>
  </si>
  <si>
    <t>3481.TW</t>
  </si>
  <si>
    <t>Plexus</t>
  </si>
  <si>
    <t>PLXS</t>
  </si>
  <si>
    <t>Brady Corporation</t>
  </si>
  <si>
    <t>BRC</t>
  </si>
  <si>
    <t>Rotork</t>
  </si>
  <si>
    <t>ROR.L</t>
  </si>
  <si>
    <t>OSI Systems</t>
  </si>
  <si>
    <t>OSIS</t>
  </si>
  <si>
    <t>Rinnai Corporation</t>
  </si>
  <si>
    <t>5947.T</t>
  </si>
  <si>
    <t>The Yokohama Rubber Company</t>
  </si>
  <si>
    <t>5101.T</t>
  </si>
  <si>
    <t>EnPro Industries</t>
  </si>
  <si>
    <t>NPO</t>
  </si>
  <si>
    <t>Amada Co., Ltd.</t>
  </si>
  <si>
    <t>6113.T</t>
  </si>
  <si>
    <t>Doosan Bobcat</t>
  </si>
  <si>
    <t>241560.KS</t>
  </si>
  <si>
    <t>Brunswick Corporation</t>
  </si>
  <si>
    <t>BC</t>
  </si>
  <si>
    <t>Şişecam</t>
  </si>
  <si>
    <t>SISE.IS</t>
  </si>
  <si>
    <t>KEI Industries</t>
  </si>
  <si>
    <t>KEI.NS</t>
  </si>
  <si>
    <t>Acer</t>
  </si>
  <si>
    <t>2353.TW</t>
  </si>
  <si>
    <t>Sumitomo Rubber Industries</t>
  </si>
  <si>
    <t>5110.T</t>
  </si>
  <si>
    <t>ZF Commercial Vehicle Control Systems India</t>
  </si>
  <si>
    <t>ZFCVINDIA.NS</t>
  </si>
  <si>
    <t>THK Co.</t>
  </si>
  <si>
    <t>6481.T</t>
  </si>
  <si>
    <t>Toyo Seikan Group Holdings</t>
  </si>
  <si>
    <t>5901.T</t>
  </si>
  <si>
    <t>Harley-Davidson</t>
  </si>
  <si>
    <t>HOG</t>
  </si>
  <si>
    <t>Stanley Electric</t>
  </si>
  <si>
    <t>6923.T</t>
  </si>
  <si>
    <t>BIC</t>
  </si>
  <si>
    <t>BB.PA</t>
  </si>
  <si>
    <t>HORIBA</t>
  </si>
  <si>
    <t>6856.T</t>
  </si>
  <si>
    <t>Camtek</t>
  </si>
  <si>
    <t>CAMT</t>
  </si>
  <si>
    <t>Brembo</t>
  </si>
  <si>
    <t>BRE.MI</t>
  </si>
  <si>
    <t>Bombardier Recreational Products</t>
  </si>
  <si>
    <t>DOOO</t>
  </si>
  <si>
    <t>Takasago Thermal Engineering</t>
  </si>
  <si>
    <t>1969.T</t>
  </si>
  <si>
    <t>Greif</t>
  </si>
  <si>
    <t>GEF</t>
  </si>
  <si>
    <t>Crompton Greaves Consumer Electricals</t>
  </si>
  <si>
    <t>CROMPTON.NS</t>
  </si>
  <si>
    <t>Signify</t>
  </si>
  <si>
    <t>LIGHT.AS</t>
  </si>
  <si>
    <t>Ola Electric Mobility</t>
  </si>
  <si>
    <t>OLAELEC.NS</t>
  </si>
  <si>
    <t>Stadler Rail</t>
  </si>
  <si>
    <t>SRAIL.SW</t>
  </si>
  <si>
    <t>Topcon Corporation</t>
  </si>
  <si>
    <t>7732.T</t>
  </si>
  <si>
    <t>Venture Corporation</t>
  </si>
  <si>
    <t>V03.SI</t>
  </si>
  <si>
    <t>Worthington Enterprises</t>
  </si>
  <si>
    <t>WOR</t>
  </si>
  <si>
    <t>DMG Mori</t>
  </si>
  <si>
    <t>6141.T</t>
  </si>
  <si>
    <t>Dätwyler</t>
  </si>
  <si>
    <t>DAE.SW</t>
  </si>
  <si>
    <t>Maruwa</t>
  </si>
  <si>
    <t>5344.T</t>
  </si>
  <si>
    <t>Terex</t>
  </si>
  <si>
    <t>TEX</t>
  </si>
  <si>
    <t>IPG Photonics</t>
  </si>
  <si>
    <t>IPGP</t>
  </si>
  <si>
    <t>Estun Automation</t>
  </si>
  <si>
    <t>002747.SZ</t>
  </si>
  <si>
    <t>Nifco Inc.</t>
  </si>
  <si>
    <t>7988.T</t>
  </si>
  <si>
    <t>Gerresheimer</t>
  </si>
  <si>
    <t>GXI.F</t>
  </si>
  <si>
    <t>Einhell Germany</t>
  </si>
  <si>
    <t>EIN3.DE</t>
  </si>
  <si>
    <t>NOK Corporation</t>
  </si>
  <si>
    <t>7240.T</t>
  </si>
  <si>
    <t>Enerpac Tool Group</t>
  </si>
  <si>
    <t>EPAC</t>
  </si>
  <si>
    <t>JTEKT Corporation</t>
  </si>
  <si>
    <t>6473.T</t>
  </si>
  <si>
    <t>Carborundum Universal</t>
  </si>
  <si>
    <t>CARBORUNIV.NS</t>
  </si>
  <si>
    <t>Kokuyo</t>
  </si>
  <si>
    <t>7984.T</t>
  </si>
  <si>
    <t>Burckhardt Compression</t>
  </si>
  <si>
    <t>BCHN.SW</t>
  </si>
  <si>
    <t>Toyoda Gosei</t>
  </si>
  <si>
    <t>7282.T</t>
  </si>
  <si>
    <t>Arçelik</t>
  </si>
  <si>
    <t>ARCLK.IS</t>
  </si>
  <si>
    <t>Tofaş Türk Otomobil Fabrikası</t>
  </si>
  <si>
    <t>Furukawa Electric</t>
  </si>
  <si>
    <t>5801.T</t>
  </si>
  <si>
    <t>Trigano</t>
  </si>
  <si>
    <t>TRI.PA</t>
  </si>
  <si>
    <t>Linamar</t>
  </si>
  <si>
    <t>LNR.TO</t>
  </si>
  <si>
    <t>Alamo Group</t>
  </si>
  <si>
    <t>ALG</t>
  </si>
  <si>
    <t>NHK Spring</t>
  </si>
  <si>
    <t>5991.T</t>
  </si>
  <si>
    <t>Carel Industries</t>
  </si>
  <si>
    <t>CRL.MI</t>
  </si>
  <si>
    <t>Sino-American Silicon Products</t>
  </si>
  <si>
    <t>5483.TWO</t>
  </si>
  <si>
    <t>Atkore</t>
  </si>
  <si>
    <t>ATKR</t>
  </si>
  <si>
    <t>Impinj</t>
  </si>
  <si>
    <t>PI</t>
  </si>
  <si>
    <t>Welspun India</t>
  </si>
  <si>
    <t>WELSPUNIND.NS</t>
  </si>
  <si>
    <t>Amano Corporation</t>
  </si>
  <si>
    <t>6436.T</t>
  </si>
  <si>
    <t>Makino Milling Machine</t>
  </si>
  <si>
    <t>6135.T</t>
  </si>
  <si>
    <t>Mabuchi Motor</t>
  </si>
  <si>
    <t>6592.T</t>
  </si>
  <si>
    <t>Wacoal Holdings</t>
  </si>
  <si>
    <t>3591.T</t>
  </si>
  <si>
    <t>Visteon</t>
  </si>
  <si>
    <t>VC</t>
  </si>
  <si>
    <t>Dexerials Corporation</t>
  </si>
  <si>
    <t>4980.T</t>
  </si>
  <si>
    <t>NV Bekaert</t>
  </si>
  <si>
    <t>BEKB.BR</t>
  </si>
  <si>
    <t>QuidelOrtho</t>
  </si>
  <si>
    <t>QDEL</t>
  </si>
  <si>
    <t>Powerchip Semiconductor Manufacturing</t>
  </si>
  <si>
    <t>6770.TW</t>
  </si>
  <si>
    <t>CIE Automotive India</t>
  </si>
  <si>
    <t>CIEINDIA.NS</t>
  </si>
  <si>
    <t>Maruichi Steel Tube</t>
  </si>
  <si>
    <t>5463.T</t>
  </si>
  <si>
    <t>CASIO</t>
  </si>
  <si>
    <t>6952.T</t>
  </si>
  <si>
    <t>Taiyo Yuden</t>
  </si>
  <si>
    <t>6976.T</t>
  </si>
  <si>
    <t>Pfeiffer Vacuum</t>
  </si>
  <si>
    <t>PFV.F</t>
  </si>
  <si>
    <t>Interroll</t>
  </si>
  <si>
    <t>INRN.SW</t>
  </si>
  <si>
    <t>Standex</t>
  </si>
  <si>
    <t>SXI</t>
  </si>
  <si>
    <t>Diodes Incorporated</t>
  </si>
  <si>
    <t>DIOD</t>
  </si>
  <si>
    <t>Hino Motors</t>
  </si>
  <si>
    <t>7205.T</t>
  </si>
  <si>
    <t>Landis+Gyr</t>
  </si>
  <si>
    <t>LAND.SW</t>
  </si>
  <si>
    <t>REV Group</t>
  </si>
  <si>
    <t>REVG</t>
  </si>
  <si>
    <t>O-I Glass</t>
  </si>
  <si>
    <t>OI</t>
  </si>
  <si>
    <t>ARB Corporation Limited</t>
  </si>
  <si>
    <t>ARB.AX</t>
  </si>
  <si>
    <t>UFP Technologies</t>
  </si>
  <si>
    <t>UFPT</t>
  </si>
  <si>
    <t>Wacker Neuson</t>
  </si>
  <si>
    <t>WAC.F</t>
  </si>
  <si>
    <t>JEOL Ltd.</t>
  </si>
  <si>
    <t>6951.T</t>
  </si>
  <si>
    <t>Ramkrishna Forgings</t>
  </si>
  <si>
    <t>RKFORGE.NS</t>
  </si>
  <si>
    <t>Trident</t>
  </si>
  <si>
    <t>TRIDENT.NS</t>
  </si>
  <si>
    <t>Coats Group</t>
  </si>
  <si>
    <t>COA.L</t>
  </si>
  <si>
    <t>PHINIA</t>
  </si>
  <si>
    <t>PHIN</t>
  </si>
  <si>
    <t>TKH Group</t>
  </si>
  <si>
    <t>TWEKA.AS</t>
  </si>
  <si>
    <t>KSB SE &amp; Co. KGaA</t>
  </si>
  <si>
    <t>KSB.DE</t>
  </si>
  <si>
    <t>Rorze Corporation</t>
  </si>
  <si>
    <t>6323.T</t>
  </si>
  <si>
    <t>MasterBrand</t>
  </si>
  <si>
    <t>MBC</t>
  </si>
  <si>
    <t>Kajaria Ceramics</t>
  </si>
  <si>
    <t>KAJARIACER.NS</t>
  </si>
  <si>
    <t>Construcciones y Auxiliar de Ferrocarriles</t>
  </si>
  <si>
    <t>CAF.MC</t>
  </si>
  <si>
    <t>Axcelis Technologies</t>
  </si>
  <si>
    <t>ACLS</t>
  </si>
  <si>
    <t>Ariston Holding</t>
  </si>
  <si>
    <t>ARIS.MI</t>
  </si>
  <si>
    <t>Daido Steel</t>
  </si>
  <si>
    <t>5471.T</t>
  </si>
  <si>
    <t>United Natural Foods</t>
  </si>
  <si>
    <t>UNFI</t>
  </si>
  <si>
    <t>engcon AB</t>
  </si>
  <si>
    <t>ENGCON-B.ST</t>
  </si>
  <si>
    <t>Pigeon</t>
  </si>
  <si>
    <t>7956.T</t>
  </si>
  <si>
    <t>Huber+Suhner</t>
  </si>
  <si>
    <t>HUBN.SW</t>
  </si>
  <si>
    <t>Orora Limited</t>
  </si>
  <si>
    <t>ORA.AX</t>
  </si>
  <si>
    <t>Mitsubishi Logisnext</t>
  </si>
  <si>
    <t>7105.T</t>
  </si>
  <si>
    <t>OPmobility</t>
  </si>
  <si>
    <t>OPM.PA</t>
  </si>
  <si>
    <t>Lisi S.A.</t>
  </si>
  <si>
    <t>FII.PA</t>
  </si>
  <si>
    <t>Nolato AB</t>
  </si>
  <si>
    <t>NOLA-B.ST</t>
  </si>
  <si>
    <t>Lindsay Corporation</t>
  </si>
  <si>
    <t>LNN</t>
  </si>
  <si>
    <t>TI Fluid Systems</t>
  </si>
  <si>
    <t>TIFS.L</t>
  </si>
  <si>
    <t>Richelieu Hardware</t>
  </si>
  <si>
    <t>RCH.TO</t>
  </si>
  <si>
    <t>Ingersoll Rand India</t>
  </si>
  <si>
    <t>INGERRAND.NS</t>
  </si>
  <si>
    <t>Knowles</t>
  </si>
  <si>
    <t>KN</t>
  </si>
  <si>
    <t>The Greenbrier Companies</t>
  </si>
  <si>
    <t>GBX</t>
  </si>
  <si>
    <t>TS TECH</t>
  </si>
  <si>
    <t>7313.T</t>
  </si>
  <si>
    <t>Benchmark Electronics</t>
  </si>
  <si>
    <t>BHE</t>
  </si>
  <si>
    <t>OC Oerlikon</t>
  </si>
  <si>
    <t>OERL.SW</t>
  </si>
  <si>
    <t>Aixtron</t>
  </si>
  <si>
    <t>AIXA.F</t>
  </si>
  <si>
    <t>Merida Industry</t>
  </si>
  <si>
    <t>9914.TW</t>
  </si>
  <si>
    <t>Yulon Motor Company</t>
  </si>
  <si>
    <t>Forvia SE</t>
  </si>
  <si>
    <t>FRVIA.PA</t>
  </si>
  <si>
    <t>East Pipes Integrated Company for Industry</t>
  </si>
  <si>
    <t>1321.SR</t>
  </si>
  <si>
    <t>Steelcase</t>
  </si>
  <si>
    <t>SCS</t>
  </si>
  <si>
    <t>Bet Shemesh Engines</t>
  </si>
  <si>
    <t>BSEN.TA</t>
  </si>
  <si>
    <t>Barco NV</t>
  </si>
  <si>
    <t>BAR.BR</t>
  </si>
  <si>
    <t>Anritsu Corporation</t>
  </si>
  <si>
    <t>6754.T</t>
  </si>
  <si>
    <t>CTS Corporation</t>
  </si>
  <si>
    <t>CTS</t>
  </si>
  <si>
    <t>Meidensha Corporation</t>
  </si>
  <si>
    <t>6508.T</t>
  </si>
  <si>
    <t>Olectra Greentech</t>
  </si>
  <si>
    <t>OLECTRA.NS</t>
  </si>
  <si>
    <t>Nakanishi</t>
  </si>
  <si>
    <t>7716.T</t>
  </si>
  <si>
    <t>Ferrum S.A. de Cerámica y Metalurgia</t>
  </si>
  <si>
    <t>FERR.BA</t>
  </si>
  <si>
    <t>ARG</t>
  </si>
  <si>
    <t>Sanlorenzo</t>
  </si>
  <si>
    <t>SL.MI</t>
  </si>
  <si>
    <t>Genuit Group</t>
  </si>
  <si>
    <t>GEN.L</t>
  </si>
  <si>
    <t>Blue Bird Corporation</t>
  </si>
  <si>
    <t>BLBD</t>
  </si>
  <si>
    <t>Mitani Corporation</t>
  </si>
  <si>
    <t>8066.T</t>
  </si>
  <si>
    <t>Marcopolo</t>
  </si>
  <si>
    <t>POMO4.SA</t>
  </si>
  <si>
    <t>CompoSecure</t>
  </si>
  <si>
    <t>CMPO</t>
  </si>
  <si>
    <t>MITSUI E&amp;S</t>
  </si>
  <si>
    <t>7003.T</t>
  </si>
  <si>
    <t>Sinfonia Technology</t>
  </si>
  <si>
    <t>6507.T</t>
  </si>
  <si>
    <t>Lenzing</t>
  </si>
  <si>
    <t>LEN.F</t>
  </si>
  <si>
    <t>Noritsu Koki</t>
  </si>
  <si>
    <t>7744.T</t>
  </si>
  <si>
    <t>Pilot Corporation</t>
  </si>
  <si>
    <t>7846.T</t>
  </si>
  <si>
    <t>WIN Semiconductors</t>
  </si>
  <si>
    <t>3105.TWO</t>
  </si>
  <si>
    <t>Eve Air Mobility</t>
  </si>
  <si>
    <t>EVEX</t>
  </si>
  <si>
    <t>Palfinger</t>
  </si>
  <si>
    <t>PFI.F</t>
  </si>
  <si>
    <t>Seiko Group</t>
  </si>
  <si>
    <t>8050.T</t>
  </si>
  <si>
    <t>Meiko Electronics</t>
  </si>
  <si>
    <t>6787.T</t>
  </si>
  <si>
    <t>Syrma SGS Technology</t>
  </si>
  <si>
    <t>SYRMA.NS</t>
  </si>
  <si>
    <t>Bunka Shutter</t>
  </si>
  <si>
    <t>5930.T</t>
  </si>
  <si>
    <t>NFI Group</t>
  </si>
  <si>
    <t>NFI.TO</t>
  </si>
  <si>
    <t>Glory Ltd.</t>
  </si>
  <si>
    <t>6457.T</t>
  </si>
  <si>
    <t>Musashi Seimitsu Industry</t>
  </si>
  <si>
    <t>7220.T</t>
  </si>
  <si>
    <t>Troax Group AB</t>
  </si>
  <si>
    <t>TROAX.ST</t>
  </si>
  <si>
    <t>DAIHEN Corporation</t>
  </si>
  <si>
    <t>6622.T</t>
  </si>
  <si>
    <t>DEUTZ</t>
  </si>
  <si>
    <t>DEZ.DE</t>
  </si>
  <si>
    <t>Paul Hartmann</t>
  </si>
  <si>
    <t>PHH2.F</t>
  </si>
  <si>
    <t>EHang Holdings</t>
  </si>
  <si>
    <t>EH</t>
  </si>
  <si>
    <t>OSG Corporation</t>
  </si>
  <si>
    <t>6136.T</t>
  </si>
  <si>
    <t>Symphony Limited</t>
  </si>
  <si>
    <t>SYMPHONY.NS</t>
  </si>
  <si>
    <t>Wolverine World Wide</t>
  </si>
  <si>
    <t>WWW</t>
  </si>
  <si>
    <t>Alok Industries</t>
  </si>
  <si>
    <t>ALOKINDS.NS</t>
  </si>
  <si>
    <t>Daqo New Energy</t>
  </si>
  <si>
    <t>DQ</t>
  </si>
  <si>
    <t>Helios Technologies</t>
  </si>
  <si>
    <t>HLIO</t>
  </si>
  <si>
    <t>Ferretti</t>
  </si>
  <si>
    <t>F3T1.F</t>
  </si>
  <si>
    <t>Janus International Group</t>
  </si>
  <si>
    <t>JBI</t>
  </si>
  <si>
    <t>Winnebago Industries</t>
  </si>
  <si>
    <t>WGO</t>
  </si>
  <si>
    <t>Nitto Boseki</t>
  </si>
  <si>
    <t>3110.T</t>
  </si>
  <si>
    <t>Comer Industries</t>
  </si>
  <si>
    <t>COM.MI</t>
  </si>
  <si>
    <t>Kumho Tire</t>
  </si>
  <si>
    <t>073240.KS</t>
  </si>
  <si>
    <t>LEM Holding</t>
  </si>
  <si>
    <t>LEHN.SW</t>
  </si>
  <si>
    <t>Cembre S.p.A.</t>
  </si>
  <si>
    <t>CMB.MI</t>
  </si>
  <si>
    <t>TriMas</t>
  </si>
  <si>
    <t>TRS</t>
  </si>
  <si>
    <t>Bel Fuse</t>
  </si>
  <si>
    <t>BELFB</t>
  </si>
  <si>
    <t>Fox Factory Holding</t>
  </si>
  <si>
    <t>FOXF</t>
  </si>
  <si>
    <t>Quanex Building Products</t>
  </si>
  <si>
    <t>NX</t>
  </si>
  <si>
    <t>Tadano</t>
  </si>
  <si>
    <t>6395.T</t>
  </si>
  <si>
    <t>Kornit Digital</t>
  </si>
  <si>
    <t>KRNT</t>
  </si>
  <si>
    <t>Piovan S.p.A.</t>
  </si>
  <si>
    <t>PVN.MI</t>
  </si>
  <si>
    <t>Aisan Industry</t>
  </si>
  <si>
    <t>7283.T</t>
  </si>
  <si>
    <t>Astra Microwave</t>
  </si>
  <si>
    <t>ASTRAMICRO.NS</t>
  </si>
  <si>
    <t>Savaria Corporation</t>
  </si>
  <si>
    <t>SIS.TO</t>
  </si>
  <si>
    <t>Lotus Technology</t>
  </si>
  <si>
    <t>JOST Werke SE</t>
  </si>
  <si>
    <t>JST.DE</t>
  </si>
  <si>
    <t>Mitsui High-tec</t>
  </si>
  <si>
    <t>6966.T</t>
  </si>
  <si>
    <t>Jindal Worldwide</t>
  </si>
  <si>
    <t>JINDWORLD.NS</t>
  </si>
  <si>
    <t>NTN Corporation</t>
  </si>
  <si>
    <t>6472.T</t>
  </si>
  <si>
    <t>Newag</t>
  </si>
  <si>
    <t>NWG.WA</t>
  </si>
  <si>
    <t>Autoneum Holding</t>
  </si>
  <si>
    <t>AUTN.SW</t>
  </si>
  <si>
    <t>R&amp;S Group</t>
  </si>
  <si>
    <t>RSGN.SW</t>
  </si>
  <si>
    <t>GELEX Group Joint Stock Company</t>
  </si>
  <si>
    <t>GEX.VN</t>
  </si>
  <si>
    <t>Astec Industries</t>
  </si>
  <si>
    <t>ASTE</t>
  </si>
  <si>
    <t>Mani, Inc.</t>
  </si>
  <si>
    <t>7730.T</t>
  </si>
  <si>
    <t>Kempower</t>
  </si>
  <si>
    <t>KEMPOWR.HE</t>
  </si>
  <si>
    <t>Canada Goose</t>
  </si>
  <si>
    <t>GOOS</t>
  </si>
  <si>
    <t>Manitou Group</t>
  </si>
  <si>
    <t>MTU.PA</t>
  </si>
  <si>
    <t>Saudi Steel Pipes</t>
  </si>
  <si>
    <t>1320.SR</t>
  </si>
  <si>
    <t>Al-Babtain Power and Telecommunications</t>
  </si>
  <si>
    <t>2320.SR</t>
  </si>
  <si>
    <t>Piaggio</t>
  </si>
  <si>
    <t>PIA.MI</t>
  </si>
  <si>
    <t>AMS-Osram</t>
  </si>
  <si>
    <t>AMS.SW</t>
  </si>
  <si>
    <t>Jinko Solar</t>
  </si>
  <si>
    <t>JKS</t>
  </si>
  <si>
    <t>Preformed Line Products</t>
  </si>
  <si>
    <t>PLPC</t>
  </si>
  <si>
    <t>Bénéteau</t>
  </si>
  <si>
    <t>BEN.PA</t>
  </si>
  <si>
    <t>Noritake</t>
  </si>
  <si>
    <t>5331.T</t>
  </si>
  <si>
    <t>Morgan Advanced Materials</t>
  </si>
  <si>
    <t>MGAM.L</t>
  </si>
  <si>
    <t>Nitta Corporation</t>
  </si>
  <si>
    <t>5186.T</t>
  </si>
  <si>
    <t>Hammond Power Solutions</t>
  </si>
  <si>
    <t>HPS-A.TO</t>
  </si>
  <si>
    <t>Mepco (Middle East Company for Manufacturing and Producing Paper)</t>
  </si>
  <si>
    <t>1202.SR</t>
  </si>
  <si>
    <t>Gokaldas Exports</t>
  </si>
  <si>
    <t>GOKEX.NS</t>
  </si>
  <si>
    <t>Saudi Paper Manufacturing Company</t>
  </si>
  <si>
    <t>2300.SR</t>
  </si>
  <si>
    <t>Zehnder Group</t>
  </si>
  <si>
    <t>ZEHN.SW</t>
  </si>
  <si>
    <t>Vetropack</t>
  </si>
  <si>
    <t>VETN.SW</t>
  </si>
  <si>
    <t>TOCALO Co.,Ltd.</t>
  </si>
  <si>
    <t>3433.T</t>
  </si>
  <si>
    <t>Amotiv Limited</t>
  </si>
  <si>
    <t>AOV.AX</t>
  </si>
  <si>
    <t>Scanfil</t>
  </si>
  <si>
    <t>SCANFL.HE</t>
  </si>
  <si>
    <t>Avalon Technologies</t>
  </si>
  <si>
    <t>AVALON.NS</t>
  </si>
  <si>
    <t>KITZ Corporation</t>
  </si>
  <si>
    <t>6498.T</t>
  </si>
  <si>
    <t>Suprajit Engineering</t>
  </si>
  <si>
    <t>SUPRAJIT.NS</t>
  </si>
  <si>
    <t>IFB Industries</t>
  </si>
  <si>
    <t>IFBIND.NS</t>
  </si>
  <si>
    <t>Stabilus</t>
  </si>
  <si>
    <t>STM.DE</t>
  </si>
  <si>
    <t>Bystronic AG</t>
  </si>
  <si>
    <t>BYS.SW</t>
  </si>
  <si>
    <t>Zojirushi</t>
  </si>
  <si>
    <t>7965.T</t>
  </si>
  <si>
    <t>Okamoto Industries</t>
  </si>
  <si>
    <t>5122.T</t>
  </si>
  <si>
    <t>Kyokuto Kaihatsu Kogyo</t>
  </si>
  <si>
    <t>7226.T</t>
  </si>
  <si>
    <t>Applied Optoelectronics</t>
  </si>
  <si>
    <t>AAOI</t>
  </si>
  <si>
    <t>Sinko Industries</t>
  </si>
  <si>
    <t>6458.T</t>
  </si>
  <si>
    <t>Shibaura Mechatronics</t>
  </si>
  <si>
    <t>6590.T</t>
  </si>
  <si>
    <t>Komax Holding</t>
  </si>
  <si>
    <t>KOMN.SW</t>
  </si>
  <si>
    <t>Skipper Limited</t>
  </si>
  <si>
    <t>SKIPPER.NS</t>
  </si>
  <si>
    <t>Shibaura Machine</t>
  </si>
  <si>
    <t>6104.T</t>
  </si>
  <si>
    <t>Kyoei Steel</t>
  </si>
  <si>
    <t>5440.T</t>
  </si>
  <si>
    <t>Daiwa Industries</t>
  </si>
  <si>
    <t>6459.T</t>
  </si>
  <si>
    <t>HOMAG Group</t>
  </si>
  <si>
    <t>HG1.F</t>
  </si>
  <si>
    <t>Magnera</t>
  </si>
  <si>
    <t>MAGN</t>
  </si>
  <si>
    <t>LiveWire Group</t>
  </si>
  <si>
    <t>LVWR</t>
  </si>
  <si>
    <t>Hampiðjan</t>
  </si>
  <si>
    <t>HAMP.IC</t>
  </si>
  <si>
    <t>Palram Industries</t>
  </si>
  <si>
    <t>PLRM.TA</t>
  </si>
  <si>
    <t>Malibu Boats</t>
  </si>
  <si>
    <t>MBUU</t>
  </si>
  <si>
    <t>Hexatronic Group AB</t>
  </si>
  <si>
    <t>HTRO.ST</t>
  </si>
  <si>
    <t>Douglas Dynamics</t>
  </si>
  <si>
    <t>PLOW</t>
  </si>
  <si>
    <t>Villeroy &amp; Boch</t>
  </si>
  <si>
    <t>VIB3.DE</t>
  </si>
  <si>
    <t>Universal Entertainment Corporation</t>
  </si>
  <si>
    <t>6425.T</t>
  </si>
  <si>
    <t>BOE Varitronix</t>
  </si>
  <si>
    <t>0710.HK</t>
  </si>
  <si>
    <t>Riso Kagaku Corporation</t>
  </si>
  <si>
    <t>6413.T</t>
  </si>
  <si>
    <t>Cicor Technologies</t>
  </si>
  <si>
    <t>CICN.SW</t>
  </si>
  <si>
    <t>2G Energy AG</t>
  </si>
  <si>
    <t>2GB.DE</t>
  </si>
  <si>
    <t>Shibaura Electronics</t>
  </si>
  <si>
    <t>6957.T</t>
  </si>
  <si>
    <t>Eiken Chemical</t>
  </si>
  <si>
    <t>4549.T</t>
  </si>
  <si>
    <t>Fujimori Kogyo</t>
  </si>
  <si>
    <t>7917.T</t>
  </si>
  <si>
    <t>Mersen</t>
  </si>
  <si>
    <t>MRN.PA</t>
  </si>
  <si>
    <t>Standard Motor Products (SMP)</t>
  </si>
  <si>
    <t>SMP</t>
  </si>
  <si>
    <t>LSI Industries</t>
  </si>
  <si>
    <t>LYTS</t>
  </si>
  <si>
    <t>Jensen-Group</t>
  </si>
  <si>
    <t>JEN.BR</t>
  </si>
  <si>
    <t>Canadian Solar</t>
  </si>
  <si>
    <t>CSIQ</t>
  </si>
  <si>
    <t>Birla Carbon (Thailand)</t>
  </si>
  <si>
    <t>BCT.BK</t>
  </si>
  <si>
    <t>Lux Industries</t>
  </si>
  <si>
    <t>LUXIND.NS</t>
  </si>
  <si>
    <t>Skellerup Holdings</t>
  </si>
  <si>
    <t>SKL.NZ</t>
  </si>
  <si>
    <t>Pacific Industrial</t>
  </si>
  <si>
    <t>7250.T</t>
  </si>
  <si>
    <t>Cytek Biosciences</t>
  </si>
  <si>
    <t>CTKB</t>
  </si>
  <si>
    <t>Plastika Kritis</t>
  </si>
  <si>
    <t>PLAKR.AT</t>
  </si>
  <si>
    <t>EuroGroup Laminations</t>
  </si>
  <si>
    <t>EGLA.MI</t>
  </si>
  <si>
    <t>Nachi-Fujikoshi</t>
  </si>
  <si>
    <t>6474.T</t>
  </si>
  <si>
    <t>Teikoku Sen-i Co., Ltd.</t>
  </si>
  <si>
    <t>3302.T</t>
  </si>
  <si>
    <t>Van de Velde</t>
  </si>
  <si>
    <t>VAN.BR</t>
  </si>
  <si>
    <t>Wabash National</t>
  </si>
  <si>
    <t>WNC</t>
  </si>
  <si>
    <t>Standard BioTools</t>
  </si>
  <si>
    <t>LAB</t>
  </si>
  <si>
    <t>Chofu Seisakusho</t>
  </si>
  <si>
    <t>5946.T</t>
  </si>
  <si>
    <t>Mattr Corp.</t>
  </si>
  <si>
    <t>MATR.TO</t>
  </si>
  <si>
    <t>Millat Tractors</t>
  </si>
  <si>
    <t>MTL.PK</t>
  </si>
  <si>
    <t>PAR</t>
  </si>
  <si>
    <t>Union Tool</t>
  </si>
  <si>
    <t>6278.T</t>
  </si>
  <si>
    <t>Talgo S.A.</t>
  </si>
  <si>
    <t>TLGO.MC</t>
  </si>
  <si>
    <t>IFL (Ibrahim Fibres)</t>
  </si>
  <si>
    <t>IBFL.PK</t>
  </si>
  <si>
    <t>Nippon Seiki</t>
  </si>
  <si>
    <t>7287.T</t>
  </si>
  <si>
    <t>United Heavy Machinery</t>
  </si>
  <si>
    <t>OMZZP.ME</t>
  </si>
  <si>
    <t>RS</t>
  </si>
  <si>
    <t>The National Company for Glass Industries</t>
  </si>
  <si>
    <t>2150.SR</t>
  </si>
  <si>
    <t>Grenevia</t>
  </si>
  <si>
    <t>GEA.WA</t>
  </si>
  <si>
    <t>Vst Tillers Tractors</t>
  </si>
  <si>
    <t>VSTTILLERS.NS</t>
  </si>
  <si>
    <t>Clearfield</t>
  </si>
  <si>
    <t>CLFD</t>
  </si>
  <si>
    <t>Arabian Pipes Company</t>
  </si>
  <si>
    <t>2200.SR</t>
  </si>
  <si>
    <t>Columbus McKinnon</t>
  </si>
  <si>
    <t>CMCO</t>
  </si>
  <si>
    <t>Fujibo Holdings</t>
  </si>
  <si>
    <t>3104.T</t>
  </si>
  <si>
    <t>Norma Group</t>
  </si>
  <si>
    <t>NOEJ.F</t>
  </si>
  <si>
    <t>Nexen Tire Corporation</t>
  </si>
  <si>
    <t>002350.KS</t>
  </si>
  <si>
    <t>Martinrea International</t>
  </si>
  <si>
    <t>MRE.TO</t>
  </si>
  <si>
    <t>Rieter Holding</t>
  </si>
  <si>
    <t>RIEN.SW</t>
  </si>
  <si>
    <t>Middle East Specialized Cables Company</t>
  </si>
  <si>
    <t>2370.SR</t>
  </si>
  <si>
    <t>Incap Oyj</t>
  </si>
  <si>
    <t>ICP1V.HE</t>
  </si>
  <si>
    <t>Aluflexpack AG</t>
  </si>
  <si>
    <t>AFP.SW</t>
  </si>
  <si>
    <t>Star Micronics</t>
  </si>
  <si>
    <t>7718.T</t>
  </si>
  <si>
    <t>Kimball Electronics</t>
  </si>
  <si>
    <t>KE</t>
  </si>
  <si>
    <t>ElringKlinger</t>
  </si>
  <si>
    <t>ZIL2.DE</t>
  </si>
  <si>
    <t>Acco Brands</t>
  </si>
  <si>
    <t>ACCO</t>
  </si>
  <si>
    <t>Deceuninck</t>
  </si>
  <si>
    <t>DECB.BR</t>
  </si>
  <si>
    <t>The Italian Sea Group</t>
  </si>
  <si>
    <t>TISG.MI</t>
  </si>
  <si>
    <t>Raoom trading Company</t>
  </si>
  <si>
    <t>9529.SR</t>
  </si>
  <si>
    <t>Nilfisk Holding</t>
  </si>
  <si>
    <t>NLFSK.CO</t>
  </si>
  <si>
    <t>Mikron Holding</t>
  </si>
  <si>
    <t>MIKN.SW</t>
  </si>
  <si>
    <t>Iwaki Co.</t>
  </si>
  <si>
    <t>6237.T</t>
  </si>
  <si>
    <t>Rosenbauer International</t>
  </si>
  <si>
    <t>ROS.VI</t>
  </si>
  <si>
    <t>Semperit</t>
  </si>
  <si>
    <t>SEM.VI</t>
  </si>
  <si>
    <t>Vertical Aerospace</t>
  </si>
  <si>
    <t>EVTL</t>
  </si>
  <si>
    <t>The Shyft Group</t>
  </si>
  <si>
    <t>SHYF</t>
  </si>
  <si>
    <t>SML Isuzu</t>
  </si>
  <si>
    <t>SMLISUZU.NS</t>
  </si>
  <si>
    <t>Relais Group Oyj</t>
  </si>
  <si>
    <t>RELAIS.HE</t>
  </si>
  <si>
    <t>XANO Industri</t>
  </si>
  <si>
    <t>XANO-B.ST</t>
  </si>
  <si>
    <t>Medistim</t>
  </si>
  <si>
    <t>MEDI.OL</t>
  </si>
  <si>
    <t>Holley</t>
  </si>
  <si>
    <t>HLLY</t>
  </si>
  <si>
    <t>Park-Ohio Holdings</t>
  </si>
  <si>
    <t>PKOH</t>
  </si>
  <si>
    <t>The Manitowoc Company</t>
  </si>
  <si>
    <t>MTW</t>
  </si>
  <si>
    <t>Luxfer</t>
  </si>
  <si>
    <t>LXFR</t>
  </si>
  <si>
    <t>Vishay Precision Group</t>
  </si>
  <si>
    <t>VPG</t>
  </si>
  <si>
    <t>MasterCraft Boat</t>
  </si>
  <si>
    <t>MCFT</t>
  </si>
  <si>
    <t>The Saudi Arabian Amiantit Company</t>
  </si>
  <si>
    <t>2160.SR</t>
  </si>
  <si>
    <t>MAX Automation</t>
  </si>
  <si>
    <t>MXHN.DE</t>
  </si>
  <si>
    <t>Al Obeikan Glass Company</t>
  </si>
  <si>
    <t>9531.SR</t>
  </si>
  <si>
    <t>Mayville Engineering Company</t>
  </si>
  <si>
    <t>MEC</t>
  </si>
  <si>
    <t>Group Five Pipe Saudi Company</t>
  </si>
  <si>
    <t>9523.SR</t>
  </si>
  <si>
    <t>Sandhar</t>
  </si>
  <si>
    <t>SANDHAR.NS</t>
  </si>
  <si>
    <t>Dollar Industries</t>
  </si>
  <si>
    <t>DOLLAR.NS</t>
  </si>
  <si>
    <t>Funko</t>
  </si>
  <si>
    <t>FNKO</t>
  </si>
  <si>
    <t>Tredegar</t>
  </si>
  <si>
    <t>TG</t>
  </si>
  <si>
    <t>StarragTornos Group</t>
  </si>
  <si>
    <t>STGN.SW</t>
  </si>
  <si>
    <t>Pact Group</t>
  </si>
  <si>
    <t>PGH.AX</t>
  </si>
  <si>
    <t>Velan</t>
  </si>
  <si>
    <t>VLN.TO</t>
  </si>
  <si>
    <t>Johnson Outdoors</t>
  </si>
  <si>
    <t>JOUT</t>
  </si>
  <si>
    <t>LPKF Laser &amp; Electronics</t>
  </si>
  <si>
    <t>LPK.DE</t>
  </si>
  <si>
    <t>Stelrad Group</t>
  </si>
  <si>
    <t>SRAD.L</t>
  </si>
  <si>
    <t>Federal-Mogul Goetze</t>
  </si>
  <si>
    <t>FMGOETZE.NS</t>
  </si>
  <si>
    <t>Saudi Cable Company</t>
  </si>
  <si>
    <t>2110.SR</t>
  </si>
  <si>
    <t>Aumann AG</t>
  </si>
  <si>
    <t>AAG.DE</t>
  </si>
  <si>
    <t>Akwel SA</t>
  </si>
  <si>
    <t>AKW.PA</t>
  </si>
  <si>
    <t>Zumtobel Group</t>
  </si>
  <si>
    <t>ZAG.VI</t>
  </si>
  <si>
    <t>Himatsingka Seide</t>
  </si>
  <si>
    <t>HIMATSEIDE.NS</t>
  </si>
  <si>
    <t>Civitanavi Systems</t>
  </si>
  <si>
    <t>CNS.MI</t>
  </si>
  <si>
    <t>Steyr Motors AG</t>
  </si>
  <si>
    <t>4X0.DE</t>
  </si>
  <si>
    <t>Escalade Sports</t>
  </si>
  <si>
    <t>ESCA</t>
  </si>
  <si>
    <t>Pro-Dex</t>
  </si>
  <si>
    <t>PDEX</t>
  </si>
  <si>
    <t>Exacompta Clairefontaine</t>
  </si>
  <si>
    <t>ALEXA.PA</t>
  </si>
  <si>
    <t>Sabaf S.p.A.</t>
  </si>
  <si>
    <t>SAB.MI</t>
  </si>
  <si>
    <t>Stille AB</t>
  </si>
  <si>
    <t>STIL.ST</t>
  </si>
  <si>
    <t>Feintool International</t>
  </si>
  <si>
    <t>FTON.SW</t>
  </si>
  <si>
    <t>Filatex India</t>
  </si>
  <si>
    <t>FILATEX.NS</t>
  </si>
  <si>
    <t>TT Electronics</t>
  </si>
  <si>
    <t>TTG.L</t>
  </si>
  <si>
    <t>Vista Alegre Atlantis</t>
  </si>
  <si>
    <t>VAF.LS</t>
  </si>
  <si>
    <t>POR</t>
  </si>
  <si>
    <t>Leclanché</t>
  </si>
  <si>
    <t>LECN.SW</t>
  </si>
  <si>
    <t>Biesse</t>
  </si>
  <si>
    <t>BSS.MI</t>
  </si>
  <si>
    <t>MM Forgings</t>
  </si>
  <si>
    <t>MMFL.NS</t>
  </si>
  <si>
    <t>Groupe SFPI</t>
  </si>
  <si>
    <t>SFPI.PA</t>
  </si>
  <si>
    <t>United Wire Factories Company</t>
  </si>
  <si>
    <t>1301.SR</t>
  </si>
  <si>
    <t>Schaffer Corporation</t>
  </si>
  <si>
    <t>SFC.AX</t>
  </si>
  <si>
    <t>Takween Advanced Industries</t>
  </si>
  <si>
    <t>1201.SR</t>
  </si>
  <si>
    <t>Kendrion</t>
  </si>
  <si>
    <t>KENDR.AS</t>
  </si>
  <si>
    <t>Cosmo First</t>
  </si>
  <si>
    <t>COSMOFIRST.NS</t>
  </si>
  <si>
    <t>Superior Group of Companies</t>
  </si>
  <si>
    <t>SGC</t>
  </si>
  <si>
    <t>Carlo Gavazzi Holding</t>
  </si>
  <si>
    <t>GAV.SW</t>
  </si>
  <si>
    <t>Desktop Metal</t>
  </si>
  <si>
    <t>DM</t>
  </si>
  <si>
    <t>Nueva Expresión Textil</t>
  </si>
  <si>
    <t>NXT.MC</t>
  </si>
  <si>
    <t>Virco Manufacturing</t>
  </si>
  <si>
    <t>VIRC</t>
  </si>
  <si>
    <t>Precia S.A.</t>
  </si>
  <si>
    <t>ALPM.PA</t>
  </si>
  <si>
    <t>Knaus Tabbert AG</t>
  </si>
  <si>
    <t>KTA.DE</t>
  </si>
  <si>
    <t>Agfa-Gevaert</t>
  </si>
  <si>
    <t>AGFB.BR</t>
  </si>
  <si>
    <t>Gévelot SA</t>
  </si>
  <si>
    <t>ALGEV.PA</t>
  </si>
  <si>
    <t>Strattec Security</t>
  </si>
  <si>
    <t>STRT</t>
  </si>
  <si>
    <t>Westag AG</t>
  </si>
  <si>
    <t>WUG3.F</t>
  </si>
  <si>
    <t>Voltamp Energy</t>
  </si>
  <si>
    <t>VOES.OM</t>
  </si>
  <si>
    <t>Oman</t>
  </si>
  <si>
    <t>Castings P.L.C.</t>
  </si>
  <si>
    <t>CGS.L</t>
  </si>
  <si>
    <t>OMER S.p.A.</t>
  </si>
  <si>
    <t>OMER.MI</t>
  </si>
  <si>
    <t>Bassett Furniture</t>
  </si>
  <si>
    <t>BSET</t>
  </si>
  <si>
    <t>Core Molding Technologies</t>
  </si>
  <si>
    <t>CMT</t>
  </si>
  <si>
    <t>Nicolás Correa</t>
  </si>
  <si>
    <t>NEA.MC</t>
  </si>
  <si>
    <t>Sadr Logistics Company</t>
  </si>
  <si>
    <t>1832.SR</t>
  </si>
  <si>
    <t>Mpac Group</t>
  </si>
  <si>
    <t>MPAC.L</t>
  </si>
  <si>
    <t>Sanok Rubber Company</t>
  </si>
  <si>
    <t>SNK.WA</t>
  </si>
  <si>
    <t>Saudi Vitrified Clay Pipe Company</t>
  </si>
  <si>
    <t>2360.SR</t>
  </si>
  <si>
    <t>SCHMID Group</t>
  </si>
  <si>
    <t>SHMD</t>
  </si>
  <si>
    <t>M-tron Industries</t>
  </si>
  <si>
    <t>MPTI</t>
  </si>
  <si>
    <t>Kopin Corporation</t>
  </si>
  <si>
    <t>KOPN</t>
  </si>
  <si>
    <t>Catana Group</t>
  </si>
  <si>
    <t>CATG.PA</t>
  </si>
  <si>
    <t>technotrans</t>
  </si>
  <si>
    <t>TTR1.DE</t>
  </si>
  <si>
    <t>R. Stahl AG</t>
  </si>
  <si>
    <t>RSL2.DE</t>
  </si>
  <si>
    <t>TOYA S.A.</t>
  </si>
  <si>
    <t>TOA.WA</t>
  </si>
  <si>
    <t>Bulten AB</t>
  </si>
  <si>
    <t>BULTEN.ST</t>
  </si>
  <si>
    <t>Al Jazeera Steel Products</t>
  </si>
  <si>
    <t>ATMI.OM</t>
  </si>
  <si>
    <t>Klingelnberg AG</t>
  </si>
  <si>
    <t>KLIN.SW</t>
  </si>
  <si>
    <t>Solid State Group</t>
  </si>
  <si>
    <t>SOLI.L</t>
  </si>
  <si>
    <t>Trifast</t>
  </si>
  <si>
    <t>TRI.L</t>
  </si>
  <si>
    <t>Kongsberg Automotive ASA</t>
  </si>
  <si>
    <t>KOA.OL</t>
  </si>
  <si>
    <t>Renold</t>
  </si>
  <si>
    <t>RNO.L</t>
  </si>
  <si>
    <t>Grammer AG</t>
  </si>
  <si>
    <t>GMM.DE</t>
  </si>
  <si>
    <t>VIGO Photonics</t>
  </si>
  <si>
    <t>VGO.WA</t>
  </si>
  <si>
    <t>Massimo Motor</t>
  </si>
  <si>
    <t>MAMO</t>
  </si>
  <si>
    <t>Ringmetall</t>
  </si>
  <si>
    <t>HP3A.DE</t>
  </si>
  <si>
    <t>NWTN Inc.</t>
  </si>
  <si>
    <t>Kandi Technologies Group</t>
  </si>
  <si>
    <t>BAUER Group</t>
  </si>
  <si>
    <t>B5A.HM</t>
  </si>
  <si>
    <t>Masterflex</t>
  </si>
  <si>
    <t>MZX.DE</t>
  </si>
  <si>
    <t>Taylor Devices</t>
  </si>
  <si>
    <t>TAYD</t>
  </si>
  <si>
    <t>Rocky Brands</t>
  </si>
  <si>
    <t>RCKY</t>
  </si>
  <si>
    <t>Caesarstone</t>
  </si>
  <si>
    <t>CSTE</t>
  </si>
  <si>
    <t>Twin Disc</t>
  </si>
  <si>
    <t>TWIN</t>
  </si>
  <si>
    <t>Garo Aktiebolag</t>
  </si>
  <si>
    <t>GARO.ST</t>
  </si>
  <si>
    <t>NN, Inc.</t>
  </si>
  <si>
    <t>NNBR</t>
  </si>
  <si>
    <t>Linz Textil</t>
  </si>
  <si>
    <t>LTH.VI</t>
  </si>
  <si>
    <t>PWO AG</t>
  </si>
  <si>
    <t>PWO.DE</t>
  </si>
  <si>
    <t>Electrovaya</t>
  </si>
  <si>
    <t>ELVA</t>
  </si>
  <si>
    <t>Wielton</t>
  </si>
  <si>
    <t>WLT.WA</t>
  </si>
  <si>
    <t>Haulotte Group</t>
  </si>
  <si>
    <t>PIG.PA</t>
  </si>
  <si>
    <t>Amaero International Ltd</t>
  </si>
  <si>
    <t>3DA.AX</t>
  </si>
  <si>
    <t>Hurco Companies</t>
  </si>
  <si>
    <t>HURC</t>
  </si>
  <si>
    <t>FreightCar America</t>
  </si>
  <si>
    <t>RAIL</t>
  </si>
  <si>
    <t>DATA MODUL</t>
  </si>
  <si>
    <t>DAM.DE</t>
  </si>
  <si>
    <t>KG Mobility (SsangYong Motor)</t>
  </si>
  <si>
    <t>003620.KS</t>
  </si>
  <si>
    <t>MGI Digital Technology</t>
  </si>
  <si>
    <t>ALMDG.PA</t>
  </si>
  <si>
    <t>centrotherm international</t>
  </si>
  <si>
    <t>CTNK.F</t>
  </si>
  <si>
    <t>Unifi</t>
  </si>
  <si>
    <t>UFI</t>
  </si>
  <si>
    <t>Poujoulat</t>
  </si>
  <si>
    <t>ALPJT.PA</t>
  </si>
  <si>
    <t>Geospace Technologies</t>
  </si>
  <si>
    <t>GEOS</t>
  </si>
  <si>
    <t>FRIWO</t>
  </si>
  <si>
    <t>CEA.DE</t>
  </si>
  <si>
    <t>Ultralife Corporation</t>
  </si>
  <si>
    <t>ULBI</t>
  </si>
  <si>
    <t>VEEM Ltd</t>
  </si>
  <si>
    <t>VEE.AX</t>
  </si>
  <si>
    <t>inTEST Corporation</t>
  </si>
  <si>
    <t>INTT</t>
  </si>
  <si>
    <t>NeoVolta</t>
  </si>
  <si>
    <t>NEOV</t>
  </si>
  <si>
    <t>Meyer Burger Technology</t>
  </si>
  <si>
    <t>MBTN.SW</t>
  </si>
  <si>
    <t>SergeFerrari Group</t>
  </si>
  <si>
    <t>SEFER.PA</t>
  </si>
  <si>
    <t>Al Anwar Ceramic Tiles</t>
  </si>
  <si>
    <t>AACT.OM</t>
  </si>
  <si>
    <t>Grand Twins International Cambodia</t>
  </si>
  <si>
    <t>GTI.KH</t>
  </si>
  <si>
    <t>CAM</t>
  </si>
  <si>
    <t>Polytec Holding</t>
  </si>
  <si>
    <t>PYT.VI</t>
  </si>
  <si>
    <t>Rapala VMC Corporation</t>
  </si>
  <si>
    <t>RAP1V.HE</t>
  </si>
  <si>
    <t>Interlink Electronics</t>
  </si>
  <si>
    <t>LINK</t>
  </si>
  <si>
    <t>PyroGenesis Canada</t>
  </si>
  <si>
    <t>PYR.TO</t>
  </si>
  <si>
    <t>Lion Electric</t>
  </si>
  <si>
    <t>LEV</t>
  </si>
  <si>
    <t>Dr. Hönle AG</t>
  </si>
  <si>
    <t>HNL.DE</t>
  </si>
  <si>
    <t>SBF AG</t>
  </si>
  <si>
    <t>CY1K.DE</t>
  </si>
  <si>
    <t>Dialight plc</t>
  </si>
  <si>
    <t>DIA.L</t>
  </si>
  <si>
    <t>Cabka</t>
  </si>
  <si>
    <t>7GW.F</t>
  </si>
  <si>
    <t>Amtech Systems</t>
  </si>
  <si>
    <t>ASYS</t>
  </si>
  <si>
    <t>Culp</t>
  </si>
  <si>
    <t>CULP</t>
  </si>
  <si>
    <t>SMT Scharf AG</t>
  </si>
  <si>
    <t>S4AA.DE</t>
  </si>
  <si>
    <t>SHW Group</t>
  </si>
  <si>
    <t>SW10.HM</t>
  </si>
  <si>
    <t>Surf Air Mobility</t>
  </si>
  <si>
    <t>SRFM</t>
  </si>
  <si>
    <t>Delfingen Industry</t>
  </si>
  <si>
    <t>ALDEL.PA</t>
  </si>
  <si>
    <t>edding AG</t>
  </si>
  <si>
    <t>EDD3.F</t>
  </si>
  <si>
    <t>Comtech Telecommunications</t>
  </si>
  <si>
    <t>CMTL</t>
  </si>
  <si>
    <t>Syntec Optics</t>
  </si>
  <si>
    <t>OPTX</t>
  </si>
  <si>
    <t>Francotyp-Postalia Holding AG</t>
  </si>
  <si>
    <t>FPH.DE</t>
  </si>
  <si>
    <t>Laser Photonics</t>
  </si>
  <si>
    <t>LASE</t>
  </si>
  <si>
    <t>TPI Composites</t>
  </si>
  <si>
    <t>TPIC</t>
  </si>
  <si>
    <t>DATRON AG</t>
  </si>
  <si>
    <t>DAR.DE</t>
  </si>
  <si>
    <t>Broadwind</t>
  </si>
  <si>
    <t>BWEN</t>
  </si>
  <si>
    <t>LACROIX Group SA</t>
  </si>
  <si>
    <t>LACR.PA</t>
  </si>
  <si>
    <t>Erayak Power Solution</t>
  </si>
  <si>
    <t>RAYA</t>
  </si>
  <si>
    <t>Hoftex Group AG</t>
  </si>
  <si>
    <t>NBH.MU</t>
  </si>
  <si>
    <t>Lilium</t>
  </si>
  <si>
    <t>LILM</t>
  </si>
  <si>
    <t>HWA AG</t>
  </si>
  <si>
    <t>H9W.DE</t>
  </si>
  <si>
    <t>HydrogenPro ASA</t>
  </si>
  <si>
    <t>HYPRO.OL</t>
  </si>
  <si>
    <t>Commercial Vehicle Group (CVG)</t>
  </si>
  <si>
    <t>CVGI</t>
  </si>
  <si>
    <t>Delignit AG</t>
  </si>
  <si>
    <t>DLX.DE</t>
  </si>
  <si>
    <t>Söktas Tekstil</t>
  </si>
  <si>
    <t>SKTAS.IS</t>
  </si>
  <si>
    <t>Pioneer Power Solutions</t>
  </si>
  <si>
    <t>PPSI</t>
  </si>
  <si>
    <t>Faraday Future</t>
  </si>
  <si>
    <t>STS Group</t>
  </si>
  <si>
    <t>SF3.DE</t>
  </si>
  <si>
    <t>hGears AG</t>
  </si>
  <si>
    <t>HGEA.DE</t>
  </si>
  <si>
    <t>FBR Limited</t>
  </si>
  <si>
    <t>FBR.AX</t>
  </si>
  <si>
    <t>TechPrecision</t>
  </si>
  <si>
    <t>TPCS</t>
  </si>
  <si>
    <t>Ebusco Holding</t>
  </si>
  <si>
    <t>EBUS.AS</t>
  </si>
  <si>
    <t>GreenPower Motor Company</t>
  </si>
  <si>
    <t>GP</t>
  </si>
  <si>
    <t>Solidion Technology</t>
  </si>
  <si>
    <t>STI</t>
  </si>
  <si>
    <t>Northann Corp</t>
  </si>
  <si>
    <t>NCL</t>
  </si>
  <si>
    <t>U Power</t>
  </si>
  <si>
    <t>UCAR</t>
  </si>
  <si>
    <t>Fly-E Group</t>
  </si>
  <si>
    <t>FLYE</t>
  </si>
  <si>
    <t>ParaZero Technologies</t>
  </si>
  <si>
    <t>PRZO</t>
  </si>
  <si>
    <t>Taiga Motors</t>
  </si>
  <si>
    <t>TAIG.TO</t>
  </si>
  <si>
    <t>Capstone Green Energy</t>
  </si>
  <si>
    <t>CGRN</t>
  </si>
  <si>
    <t>SigmaTron International</t>
  </si>
  <si>
    <t>SGMA</t>
  </si>
  <si>
    <t>Workhorse Group</t>
  </si>
  <si>
    <t>WKHS</t>
  </si>
  <si>
    <t>Addentax Group</t>
  </si>
  <si>
    <t>ATXG</t>
  </si>
  <si>
    <t>ToughBuilt Industries</t>
  </si>
  <si>
    <t>TBLT</t>
  </si>
  <si>
    <t>Ascent Solar Technologies</t>
  </si>
  <si>
    <t>ASTI</t>
  </si>
  <si>
    <t>EZGO Technologies</t>
  </si>
  <si>
    <t>EZGO</t>
  </si>
  <si>
    <t>View, Inc.</t>
  </si>
  <si>
    <t>VIEW</t>
  </si>
  <si>
    <t>Maxeon Solar Technologies</t>
  </si>
  <si>
    <t>MAXN</t>
  </si>
  <si>
    <t>Adamas One</t>
  </si>
  <si>
    <t>JEWL</t>
  </si>
  <si>
    <t>Lightning eMotors</t>
  </si>
  <si>
    <t>ZEVY</t>
  </si>
  <si>
    <t>Next Rslts</t>
  </si>
  <si>
    <t>TWD/USD</t>
  </si>
  <si>
    <t>WON/USD</t>
  </si>
  <si>
    <t>Q325</t>
  </si>
  <si>
    <t>Q125</t>
  </si>
  <si>
    <t>FQ225</t>
  </si>
  <si>
    <t>Axon Enterprise</t>
  </si>
  <si>
    <t>AXON</t>
  </si>
  <si>
    <t>Royal Caribbean Group</t>
  </si>
  <si>
    <t>RCL</t>
  </si>
  <si>
    <t>Carnival Corporation</t>
  </si>
  <si>
    <t>CCL</t>
  </si>
  <si>
    <t>Viking Holdings</t>
  </si>
  <si>
    <t>VIK</t>
  </si>
  <si>
    <t>Norwegian Cruise Line</t>
  </si>
  <si>
    <t>NCLH</t>
  </si>
  <si>
    <t>CAD/USD</t>
  </si>
  <si>
    <t>1810.HK</t>
  </si>
  <si>
    <t>Voyager Technologies</t>
  </si>
  <si>
    <t>VOYG</t>
  </si>
  <si>
    <t>Smith &amp; Wesson</t>
  </si>
  <si>
    <t>SWBI</t>
  </si>
  <si>
    <t>Q225</t>
  </si>
  <si>
    <t>Q126</t>
  </si>
  <si>
    <t>Core Civic</t>
  </si>
  <si>
    <t>GEO Group</t>
  </si>
  <si>
    <t>CXW</t>
  </si>
  <si>
    <t>GEO</t>
  </si>
  <si>
    <t>American Tower</t>
  </si>
  <si>
    <t>AMT</t>
  </si>
  <si>
    <t>National Grid</t>
  </si>
  <si>
    <t>NGG</t>
  </si>
  <si>
    <t>Norfolk Southern</t>
  </si>
  <si>
    <t>NSC</t>
  </si>
  <si>
    <t>Sempra Energy</t>
  </si>
  <si>
    <t>SRE</t>
  </si>
  <si>
    <t>Aena</t>
  </si>
  <si>
    <t>AENA.MC</t>
  </si>
  <si>
    <t>Crown Castle</t>
  </si>
  <si>
    <t>CCI</t>
  </si>
  <si>
    <t>Ferrovial</t>
  </si>
  <si>
    <t>FER.MC</t>
  </si>
  <si>
    <t>Powergrid Corporation of India</t>
  </si>
  <si>
    <t>POWERGRID.NS</t>
  </si>
  <si>
    <t>Transurban</t>
  </si>
  <si>
    <t>TCL.AX</t>
  </si>
  <si>
    <t>China Tower</t>
  </si>
  <si>
    <t>0788.HK</t>
  </si>
  <si>
    <t>CK Hutchison Holdings</t>
  </si>
  <si>
    <t>0001.HK</t>
  </si>
  <si>
    <t>SBA Communications</t>
  </si>
  <si>
    <t>SBAC</t>
  </si>
  <si>
    <t>Snam</t>
  </si>
  <si>
    <t>SRG.MI</t>
  </si>
  <si>
    <t>Terna</t>
  </si>
  <si>
    <t>TRN.MI</t>
  </si>
  <si>
    <t>Indian Railway Finance</t>
  </si>
  <si>
    <t>IRFC.NS</t>
  </si>
  <si>
    <t>Shanghai International Port Group (SIPG)</t>
  </si>
  <si>
    <t>600018.SS</t>
  </si>
  <si>
    <t>International Container Terminal Services</t>
  </si>
  <si>
    <t>ICTEF</t>
  </si>
  <si>
    <t>Airports of Thailand</t>
  </si>
  <si>
    <t>AOT.BK</t>
  </si>
  <si>
    <t>CK Infrastructure</t>
  </si>
  <si>
    <t>1038.HK</t>
  </si>
  <si>
    <t>Brookfield Infrastructure Partners</t>
  </si>
  <si>
    <t>BIP</t>
  </si>
  <si>
    <t>ADP.PA</t>
  </si>
  <si>
    <t>Salik Company</t>
  </si>
  <si>
    <t>SALIK.AE</t>
  </si>
  <si>
    <t>Grupo Aeroportuario del PacÃ­fico</t>
  </si>
  <si>
    <t>PAC</t>
  </si>
  <si>
    <t>Shanghai Airport (AVINEX)</t>
  </si>
  <si>
    <t>600009.SS</t>
  </si>
  <si>
    <t>Adani Energy Solutions</t>
  </si>
  <si>
    <t>ADANIENSOL.NS</t>
  </si>
  <si>
    <t>GMR Airports</t>
  </si>
  <si>
    <t>GMRAIRPORT.NS</t>
  </si>
  <si>
    <t>Severn Trent</t>
  </si>
  <si>
    <t>SVT.L</t>
  </si>
  <si>
    <t>RED.MC</t>
  </si>
  <si>
    <t>Grupo Aeroportuario del Sureste</t>
  </si>
  <si>
    <t>ASR</t>
  </si>
  <si>
    <t>Zurich Airport</t>
  </si>
  <si>
    <t>FHZN.SW</t>
  </si>
  <si>
    <t>AltaGas</t>
  </si>
  <si>
    <t>ALA.TO</t>
  </si>
  <si>
    <t>PetGas (Petronas Gas)</t>
  </si>
  <si>
    <t>6033.KL</t>
  </si>
  <si>
    <t>Copenhagen Airport</t>
  </si>
  <si>
    <t>KBHL.CO</t>
  </si>
  <si>
    <t>Fraport</t>
  </si>
  <si>
    <t>FRA.DE</t>
  </si>
  <si>
    <t>APA Group</t>
  </si>
  <si>
    <t>APA.AX</t>
  </si>
  <si>
    <t>Auckland Airport</t>
  </si>
  <si>
    <t>AIA.AX</t>
  </si>
  <si>
    <t>Keyera</t>
  </si>
  <si>
    <t>KEY.TO</t>
  </si>
  <si>
    <t>Qingdao Port International</t>
  </si>
  <si>
    <t>601298.SS</t>
  </si>
  <si>
    <t>Infratil</t>
  </si>
  <si>
    <t>IFT.NZ</t>
  </si>
  <si>
    <t>Construction Partners</t>
  </si>
  <si>
    <t>ROAD</t>
  </si>
  <si>
    <t>Shandong Hi-Speed</t>
  </si>
  <si>
    <t>600350.SS</t>
  </si>
  <si>
    <t>South Bow</t>
  </si>
  <si>
    <t>SOBO</t>
  </si>
  <si>
    <t>Canadian Utilities</t>
  </si>
  <si>
    <t>CU.TO</t>
  </si>
  <si>
    <t>Abu Dhabi Ports</t>
  </si>
  <si>
    <t>ADPORTS.AE</t>
  </si>
  <si>
    <t>Grupo Aeroportuario Centro Norte</t>
  </si>
  <si>
    <t>OMAB</t>
  </si>
  <si>
    <t>Taiwan High Speed Rail</t>
  </si>
  <si>
    <t>2633.TW</t>
  </si>
  <si>
    <t>Flughafen Wien (Vienna Airport)</t>
  </si>
  <si>
    <t>FLU.VI</t>
  </si>
  <si>
    <t>Altius Telecom Infrastructure Trust</t>
  </si>
  <si>
    <t>ALTIUSINVIT.BO</t>
  </si>
  <si>
    <t>Atlas Arteria</t>
  </si>
  <si>
    <t>ALX.AX</t>
  </si>
  <si>
    <t>Plains GP</t>
  </si>
  <si>
    <t>PAGP</t>
  </si>
  <si>
    <t>Golar LNG</t>
  </si>
  <si>
    <t>GLNG</t>
  </si>
  <si>
    <t>Delek Group</t>
  </si>
  <si>
    <t>DLEKG.TA</t>
  </si>
  <si>
    <t>Balfour Beatty</t>
  </si>
  <si>
    <t>BBY.L</t>
  </si>
  <si>
    <t>ENG.MC</t>
  </si>
  <si>
    <t>CTF Services Limited</t>
  </si>
  <si>
    <t>0659.HK</t>
  </si>
  <si>
    <t>Capstone Infrastructure</t>
  </si>
  <si>
    <t>CSE-PA.TO</t>
  </si>
  <si>
    <t>Athens International Airport</t>
  </si>
  <si>
    <t>AIA.AT</t>
  </si>
  <si>
    <t>Budimex</t>
  </si>
  <si>
    <t>BDX.WA</t>
  </si>
  <si>
    <t>Sacyr</t>
  </si>
  <si>
    <t>SCYR.MC</t>
  </si>
  <si>
    <t>Transportadora de Gas del Sur</t>
  </si>
  <si>
    <t>TGS</t>
  </si>
  <si>
    <t>CAAP</t>
  </si>
  <si>
    <t>Greencoat UK Wind</t>
  </si>
  <si>
    <t>UKW.L</t>
  </si>
  <si>
    <t>Port of Tauranga</t>
  </si>
  <si>
    <t>POT.NZ</t>
  </si>
  <si>
    <t>Gibson Energy</t>
  </si>
  <si>
    <t>GEI.TO</t>
  </si>
  <si>
    <t>Japan Airport Terminal</t>
  </si>
  <si>
    <t>9706.T</t>
  </si>
  <si>
    <t>Topaz Energy</t>
  </si>
  <si>
    <t>TPZ.TO</t>
  </si>
  <si>
    <t>Lendlease</t>
  </si>
  <si>
    <t>LLC.AX</t>
  </si>
  <si>
    <t>IHS Towers</t>
  </si>
  <si>
    <t>IHS</t>
  </si>
  <si>
    <t>Antin Infrastructure Partners</t>
  </si>
  <si>
    <t>ANTIN.PA</t>
  </si>
  <si>
    <t>RENE.LS</t>
  </si>
  <si>
    <t>Taesa (Transmissora AlianÃ§a de Energia ElÃ©trica)</t>
  </si>
  <si>
    <t>TAEE11.SA</t>
  </si>
  <si>
    <t>TAV Airports Holding</t>
  </si>
  <si>
    <t>TAVHL.IS</t>
  </si>
  <si>
    <t>Helios Towers</t>
  </si>
  <si>
    <t>HTWS.L</t>
  </si>
  <si>
    <t>Centuri Holdings</t>
  </si>
  <si>
    <t>CTRI</t>
  </si>
  <si>
    <t>Solaris Energy Infrastructure</t>
  </si>
  <si>
    <t>SEI</t>
  </si>
  <si>
    <t>Hamburger Hafen</t>
  </si>
  <si>
    <t>HHFA.F</t>
  </si>
  <si>
    <t>HPH Trust (Hutchison Port)</t>
  </si>
  <si>
    <t>NS8U.SI</t>
  </si>
  <si>
    <t>OQ Gas Network Company</t>
  </si>
  <si>
    <t>OQGN.OM</t>
  </si>
  <si>
    <t>Par Pacific Holdings</t>
  </si>
  <si>
    <t>PARR</t>
  </si>
  <si>
    <t>UNITI</t>
  </si>
  <si>
    <t>UNIT</t>
  </si>
  <si>
    <t>Beijing Airport</t>
  </si>
  <si>
    <t>0694.HK</t>
  </si>
  <si>
    <t>Friedrich Vorwerk Group</t>
  </si>
  <si>
    <t>VH2.DE</t>
  </si>
  <si>
    <t>Fluxys Belgium</t>
  </si>
  <si>
    <t>FLUX.BR</t>
  </si>
  <si>
    <t>Dalrymple Bay Infrastructure</t>
  </si>
  <si>
    <t>DBI.AX</t>
  </si>
  <si>
    <t>Sihanoukville Autonomous Port</t>
  </si>
  <si>
    <t>PAS.KH</t>
  </si>
  <si>
    <t>Danya Cebus</t>
  </si>
  <si>
    <t>DNYA.TA</t>
  </si>
  <si>
    <t>Westshore Terminals Investment</t>
  </si>
  <si>
    <t>WTE.TO</t>
  </si>
  <si>
    <t>Shentel</t>
  </si>
  <si>
    <t>SHEN</t>
  </si>
  <si>
    <t>Sustained Infrastructure Holding Company (sisco)</t>
  </si>
  <si>
    <t>2190.SR</t>
  </si>
  <si>
    <t>Norva24 Group AB</t>
  </si>
  <si>
    <t>NORVA.ST</t>
  </si>
  <si>
    <t>JTOWER</t>
  </si>
  <si>
    <t>4485.T</t>
  </si>
  <si>
    <t>TINC NV</t>
  </si>
  <si>
    <t>TINC.BR</t>
  </si>
  <si>
    <t>Ellaktor</t>
  </si>
  <si>
    <t>ELLAKTOR.AT</t>
  </si>
  <si>
    <t>K-Electric</t>
  </si>
  <si>
    <t>KEL.PK</t>
  </si>
  <si>
    <t>Keystone Infra</t>
  </si>
  <si>
    <t>KSTN.TA</t>
  </si>
  <si>
    <t>The Cross-Harbour Holdings</t>
  </si>
  <si>
    <t>0032.HK</t>
  </si>
  <si>
    <t>Phnom Penh Autonomous Port</t>
  </si>
  <si>
    <t>PPAP.KH</t>
  </si>
  <si>
    <t>New Fortress Energy</t>
  </si>
  <si>
    <t>NFE</t>
  </si>
  <si>
    <t>Toscana Aeroporti</t>
  </si>
  <si>
    <t>TYA.MI</t>
  </si>
  <si>
    <t>Aeroporto G. Marconi Bologna</t>
  </si>
  <si>
    <t>ADB.MI</t>
  </si>
  <si>
    <t>Argo Global Listed Infrastructure</t>
  </si>
  <si>
    <t>ALI.AX</t>
  </si>
  <si>
    <t>APM Terminals Bahrain</t>
  </si>
  <si>
    <t>APMTB.BH</t>
  </si>
  <si>
    <t>GTL Infrastructure</t>
  </si>
  <si>
    <t>GTLINFRA.NS</t>
  </si>
  <si>
    <t>ADM Hamburg</t>
  </si>
  <si>
    <t>OEL.F</t>
  </si>
  <si>
    <t>Nusantara Pelabuhan Handal</t>
  </si>
  <si>
    <t>PORT.JK</t>
  </si>
  <si>
    <t>NRC Group ASA</t>
  </si>
  <si>
    <t>NRC.OL</t>
  </si>
  <si>
    <t>South Port NZ</t>
  </si>
  <si>
    <t>SPN.NZ</t>
  </si>
  <si>
    <t>Salalah Port Services Company</t>
  </si>
  <si>
    <t>SPSI.OM</t>
  </si>
  <si>
    <t>Netel Holding</t>
  </si>
  <si>
    <t>NETEL.ST</t>
  </si>
  <si>
    <t>Pestech Cambodia</t>
  </si>
  <si>
    <t>PEPC.KH</t>
  </si>
  <si>
    <t>Muehlhan AG</t>
  </si>
  <si>
    <t>M4N.HM</t>
  </si>
  <si>
    <t>United States</t>
  </si>
  <si>
    <t>United Kingdom</t>
  </si>
  <si>
    <t>Canada</t>
  </si>
  <si>
    <t>Spain</t>
  </si>
  <si>
    <t>India</t>
  </si>
  <si>
    <t>Australia</t>
  </si>
  <si>
    <t>China</t>
  </si>
  <si>
    <t>Hong Kong</t>
  </si>
  <si>
    <t>Italy</t>
  </si>
  <si>
    <t>Philippines</t>
  </si>
  <si>
    <t>Thailand</t>
  </si>
  <si>
    <t>Bermuda</t>
  </si>
  <si>
    <t>France</t>
  </si>
  <si>
    <t>United Arab Emirates</t>
  </si>
  <si>
    <t>Mexico</t>
  </si>
  <si>
    <t>Switzerland</t>
  </si>
  <si>
    <t>Malaysia</t>
  </si>
  <si>
    <t>Denmark</t>
  </si>
  <si>
    <t>Germany</t>
  </si>
  <si>
    <t>New Zealand</t>
  </si>
  <si>
    <t>Taiwan</t>
  </si>
  <si>
    <t>Austria</t>
  </si>
  <si>
    <t>Israel</t>
  </si>
  <si>
    <t>Greece</t>
  </si>
  <si>
    <t>Poland</t>
  </si>
  <si>
    <t>Argentina</t>
  </si>
  <si>
    <t>Luxembourg</t>
  </si>
  <si>
    <t>Japan</t>
  </si>
  <si>
    <t>Portugal</t>
  </si>
  <si>
    <t>Brazil</t>
  </si>
  <si>
    <t>Turkey</t>
  </si>
  <si>
    <t>Singapore</t>
  </si>
  <si>
    <t>Belgium</t>
  </si>
  <si>
    <t>Cambodia</t>
  </si>
  <si>
    <t>Saudi Arabia</t>
  </si>
  <si>
    <t>Norway</t>
  </si>
  <si>
    <t>Pakistan</t>
  </si>
  <si>
    <t>Bahrain</t>
  </si>
  <si>
    <t>Indonesia</t>
  </si>
  <si>
    <t>Sweden</t>
  </si>
  <si>
    <t>Firefly Aerospace</t>
  </si>
  <si>
    <t>FLY</t>
  </si>
  <si>
    <t>Rocket Lab</t>
  </si>
  <si>
    <t>RKLB</t>
  </si>
  <si>
    <t>SpaceX</t>
  </si>
  <si>
    <t>General Electric</t>
  </si>
  <si>
    <t>GE</t>
  </si>
  <si>
    <t>Rolls-Royce Holdings</t>
  </si>
  <si>
    <t>RR.L</t>
  </si>
  <si>
    <t>Northrop Grumman</t>
  </si>
  <si>
    <t>HWM</t>
  </si>
  <si>
    <t>Howmet Aerospace</t>
  </si>
  <si>
    <t>BAE Systems</t>
  </si>
  <si>
    <t>TDG</t>
  </si>
  <si>
    <t>Hanwha Aerospace</t>
  </si>
  <si>
    <t>Elbit Systems</t>
  </si>
  <si>
    <t>Bharat Electronics</t>
  </si>
  <si>
    <t>AST SpaceMobile</t>
  </si>
  <si>
    <t>ASTS</t>
  </si>
  <si>
    <t>ZS</t>
  </si>
  <si>
    <t>Aeroports de Paris</t>
  </si>
  <si>
    <t xml:space="preserve">Redeia </t>
  </si>
  <si>
    <t>Enagás</t>
  </si>
  <si>
    <t>Corporación América Airports</t>
  </si>
  <si>
    <t>REN (Redes Energéticas Nacionais)</t>
  </si>
  <si>
    <t>Shikun &amp; Binui</t>
  </si>
  <si>
    <t>SKBN.TA</t>
  </si>
  <si>
    <t>Adani Ports &amp; SEZ</t>
  </si>
  <si>
    <t>ADANIPORTS.NS</t>
  </si>
  <si>
    <t>Westports</t>
  </si>
  <si>
    <t>5246.KL</t>
  </si>
  <si>
    <t>Grupo Aeroportucario del Pacifico</t>
  </si>
  <si>
    <t>TransDigm Group</t>
  </si>
  <si>
    <t>SAAB-B.ST</t>
  </si>
  <si>
    <t>China Satellite Communications</t>
  </si>
  <si>
    <t>601698.SS</t>
  </si>
  <si>
    <t>AVIC Shenyang Aircraft Company Limited</t>
  </si>
  <si>
    <t>600760.SS</t>
  </si>
  <si>
    <t>MTU Aero Engines</t>
  </si>
  <si>
    <t>MTX.DE</t>
  </si>
  <si>
    <t>Hanwha Systems</t>
  </si>
  <si>
    <t>272210.KS</t>
  </si>
  <si>
    <t>EMBJ</t>
  </si>
  <si>
    <t>Korea Aerospace Industries</t>
  </si>
  <si>
    <t>047810.KS</t>
  </si>
  <si>
    <t>AeroVironment</t>
  </si>
  <si>
    <t>LIG Nex1</t>
  </si>
  <si>
    <t>079550.KS</t>
  </si>
  <si>
    <t>NextVision Stabilized Systems</t>
  </si>
  <si>
    <t>NXSN.TA</t>
  </si>
  <si>
    <t>StandardAero</t>
  </si>
  <si>
    <t>SARO</t>
  </si>
  <si>
    <t>CAE Inc.</t>
  </si>
  <si>
    <t>CAE</t>
  </si>
  <si>
    <t>Planet Labs</t>
  </si>
  <si>
    <t>PL</t>
  </si>
  <si>
    <t>Globalstar</t>
  </si>
  <si>
    <t>GSAT</t>
  </si>
  <si>
    <t>Loar Holdings</t>
  </si>
  <si>
    <t>LOAR</t>
  </si>
  <si>
    <t>OHB SE</t>
  </si>
  <si>
    <t>OHB.DE</t>
  </si>
  <si>
    <t>BETA Technologies</t>
  </si>
  <si>
    <t>BETA</t>
  </si>
  <si>
    <t>AAR</t>
  </si>
  <si>
    <t>AIR</t>
  </si>
  <si>
    <t>MDA Ltd.</t>
  </si>
  <si>
    <t>MDA.TO</t>
  </si>
  <si>
    <t>ENAV</t>
  </si>
  <si>
    <t>ENAV.MI</t>
  </si>
  <si>
    <t>SIA Engineering Company</t>
  </si>
  <si>
    <t>S59.SI</t>
  </si>
  <si>
    <t>York Space Systems</t>
  </si>
  <si>
    <t>YSS</t>
  </si>
  <si>
    <t>Astronics Corporation</t>
  </si>
  <si>
    <t>ATRO</t>
  </si>
  <si>
    <t>DroneShield</t>
  </si>
  <si>
    <t>Intuitive Machines</t>
  </si>
  <si>
    <t>LUNR</t>
  </si>
  <si>
    <t>Iridium Communications</t>
  </si>
  <si>
    <t>IRDM</t>
  </si>
  <si>
    <t>Montana Aerospace</t>
  </si>
  <si>
    <t>AERO.SW</t>
  </si>
  <si>
    <t>Avio S.p.A.</t>
  </si>
  <si>
    <t>AVIO.MI</t>
  </si>
  <si>
    <t>Ducommun</t>
  </si>
  <si>
    <t>DCO</t>
  </si>
  <si>
    <t>SPACE42</t>
  </si>
  <si>
    <t>SPACE42.AE</t>
  </si>
  <si>
    <t>Redwire</t>
  </si>
  <si>
    <t>RDW</t>
  </si>
  <si>
    <t>Red Cat Holdings</t>
  </si>
  <si>
    <t>RCAT</t>
  </si>
  <si>
    <t>Telesat</t>
  </si>
  <si>
    <t>TSAT</t>
  </si>
  <si>
    <t>Bristow Group</t>
  </si>
  <si>
    <t>VTOL</t>
  </si>
  <si>
    <t>BlackSky Technology</t>
  </si>
  <si>
    <t>BKSY</t>
  </si>
  <si>
    <t>FACC AG</t>
  </si>
  <si>
    <t>FACC.VI</t>
  </si>
  <si>
    <t>Unusual Machines</t>
  </si>
  <si>
    <t>UMAC</t>
  </si>
  <si>
    <t>Creotech Instruments</t>
  </si>
  <si>
    <t>CRI.WA</t>
  </si>
  <si>
    <t>Park Aerospace</t>
  </si>
  <si>
    <t>PKE</t>
  </si>
  <si>
    <t>Frequency Electronics</t>
  </si>
  <si>
    <t>FEIM</t>
  </si>
  <si>
    <t>Innovative Solutions and Support</t>
  </si>
  <si>
    <t>ISSC</t>
  </si>
  <si>
    <t>Satellogic</t>
  </si>
  <si>
    <t>SATL</t>
  </si>
  <si>
    <t>Parrot S.A.</t>
  </si>
  <si>
    <t>PARRO.PA</t>
  </si>
  <si>
    <t>Private</t>
  </si>
  <si>
    <t>Koenigsegg</t>
  </si>
  <si>
    <t>Q425</t>
  </si>
  <si>
    <t>CHF/USD</t>
  </si>
  <si>
    <t>COSCO Shipping Energy</t>
  </si>
  <si>
    <t>600026.SS</t>
  </si>
  <si>
    <t>South Korea</t>
  </si>
  <si>
    <t>Qatar</t>
  </si>
  <si>
    <t>Seaboard Corporation</t>
  </si>
  <si>
    <t>Monaco</t>
  </si>
  <si>
    <t>CMB.TECH</t>
  </si>
  <si>
    <t>Asyad Shipping Company</t>
  </si>
  <si>
    <t>ASCO.OM</t>
  </si>
  <si>
    <t>Flex LNG</t>
  </si>
  <si>
    <t>TEN</t>
  </si>
  <si>
    <t>Estonia</t>
  </si>
  <si>
    <t>Kuwait</t>
  </si>
  <si>
    <t>Finland</t>
  </si>
  <si>
    <t>Iceland</t>
  </si>
  <si>
    <t>ERAG.DE</t>
  </si>
  <si>
    <t>Cyprus</t>
  </si>
  <si>
    <t>Heidmar Maritime Holdings</t>
  </si>
  <si>
    <t>HMR</t>
  </si>
  <si>
    <t>SVRN</t>
  </si>
  <si>
    <t>TSM1T.TL</t>
  </si>
  <si>
    <t>AS Tallinna Sadam</t>
  </si>
  <si>
    <t>Kawasaki Kisen Kaisha</t>
  </si>
  <si>
    <t xml:space="preserve">Nippon Yusen </t>
  </si>
  <si>
    <t>Genko Shippinh &amp; Trading</t>
  </si>
  <si>
    <t>Vincorion</t>
  </si>
  <si>
    <t>Dangote Refinery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</si>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</sst>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;\(#,##0.0\)"/>
  </numFmts>
  <fonts count="3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1" fontId="14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7" applyNumberFormat="0" applyAlignment="0" applyProtection="0"/>
    <xf numFmtId="0" fontId="24" fillId="8" borderId="8" applyNumberFormat="0" applyAlignment="0" applyProtection="0"/>
    <xf numFmtId="0" fontId="25" fillId="8" borderId="7" applyNumberFormat="0" applyAlignment="0" applyProtection="0"/>
    <xf numFmtId="0" fontId="26" fillId="0" borderId="9" applyNumberFormat="0" applyFill="0" applyAlignment="0" applyProtection="0"/>
    <xf numFmtId="0" fontId="27" fillId="9" borderId="10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3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3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3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30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30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30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0" borderId="0"/>
    <xf numFmtId="0" fontId="8" fillId="10" borderId="11" applyNumberFormat="0" applyFont="0" applyAlignment="0" applyProtection="0"/>
  </cellStyleXfs>
  <cellXfs count="42">
    <xf numFmtId="0" fontId="0" fillId="0" borderId="0" xfId="0"/>
    <xf numFmtId="11" fontId="14" fillId="0" borderId="0" xfId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/>
    <xf numFmtId="0" fontId="12" fillId="2" borderId="3" xfId="0" applyFont="1" applyFill="1" applyBorder="1"/>
    <xf numFmtId="0" fontId="11" fillId="0" borderId="0" xfId="0" applyFont="1" applyAlignment="1">
      <alignment horizontal="center"/>
    </xf>
    <xf numFmtId="2" fontId="11" fillId="0" borderId="0" xfId="0" applyNumberFormat="1" applyFont="1"/>
    <xf numFmtId="164" fontId="11" fillId="0" borderId="0" xfId="0" applyNumberFormat="1" applyFont="1"/>
    <xf numFmtId="0" fontId="11" fillId="0" borderId="0" xfId="0" applyFont="1" applyAlignment="1">
      <alignment horizontal="right"/>
    </xf>
    <xf numFmtId="4" fontId="11" fillId="0" borderId="0" xfId="0" applyNumberFormat="1" applyFont="1"/>
    <xf numFmtId="0" fontId="11" fillId="0" borderId="0" xfId="0" quotePrefix="1" applyFont="1"/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2" fillId="3" borderId="0" xfId="0" applyFont="1" applyFill="1" applyAlignment="1">
      <alignment horizontal="right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/>
    <xf numFmtId="0" fontId="12" fillId="3" borderId="2" xfId="0" applyFont="1" applyFill="1" applyBorder="1" applyAlignment="1">
      <alignment horizontal="right"/>
    </xf>
    <xf numFmtId="0" fontId="12" fillId="3" borderId="3" xfId="0" applyFont="1" applyFill="1" applyBorder="1"/>
    <xf numFmtId="0" fontId="15" fillId="0" borderId="0" xfId="0" applyFont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6" fillId="0" borderId="0" xfId="0" applyFont="1"/>
    <xf numFmtId="0" fontId="6" fillId="0" borderId="0" xfId="42" applyFont="1" applyAlignment="1">
      <alignment horizontal="center"/>
    </xf>
    <xf numFmtId="0" fontId="6" fillId="0" borderId="0" xfId="42" applyFont="1"/>
    <xf numFmtId="0" fontId="6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1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0FE82D12-D9C6-4EB1-A65F-46F8B81518C0}"/>
    <cellStyle name="Note 2" xfId="43" xr:uid="{6A491596-45EF-4685-85E8-A8406587B9E1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SM.xlsx" TargetMode="External"/><Relationship Id="rId2" Type="http://schemas.openxmlformats.org/officeDocument/2006/relationships/externalLinkPath" Target="file:///E:\1.Finance\Anaylsen\Models\TSM.xlsx" TargetMode="External"/><Relationship Id="rId1" Type="http://schemas.openxmlformats.org/officeDocument/2006/relationships/externalLinkPath" Target="/1.Finance/Anaylsen/Models/TSM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SLA.xlsx" TargetMode="External"/><Relationship Id="rId2" Type="http://schemas.openxmlformats.org/officeDocument/2006/relationships/externalLinkPath" Target="file:///E:\1.Finance\Anaylsen\Models\TSLA.xlsx" TargetMode="External"/><Relationship Id="rId1" Type="http://schemas.openxmlformats.org/officeDocument/2006/relationships/externalLinkPath" Target="/1.Finance/Anaylsen/Models/TSL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005930.KS.xlsx" TargetMode="External"/><Relationship Id="rId2" Type="http://schemas.openxmlformats.org/officeDocument/2006/relationships/externalLinkPath" Target="file:///E:\1.Finance\Anaylsen\Models\005930.KS.xlsx" TargetMode="External"/><Relationship Id="rId1" Type="http://schemas.openxmlformats.org/officeDocument/2006/relationships/externalLinkPath" Target="/1.Finance/Anaylsen/Models/005930.K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TM.xlsx" TargetMode="External"/><Relationship Id="rId2" Type="http://schemas.openxmlformats.org/officeDocument/2006/relationships/externalLinkPath" Target="file:///E:\1.Finance\Anaylsen\Models\TM.xlsx" TargetMode="External"/><Relationship Id="rId1" Type="http://schemas.openxmlformats.org/officeDocument/2006/relationships/externalLinkPath" Target="/1.Finance/Anaylsen/Models/TM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AT.xlsx" TargetMode="External"/><Relationship Id="rId2" Type="http://schemas.openxmlformats.org/officeDocument/2006/relationships/externalLinkPath" Target="file:///E:\1.Finance\Anaylsen\Models\CAT.xlsx" TargetMode="External"/><Relationship Id="rId1" Type="http://schemas.openxmlformats.org/officeDocument/2006/relationships/externalLinkPath" Target="/1.Finance/Anaylsen/Models/CAT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1810.HK.xlsx" TargetMode="External"/><Relationship Id="rId2" Type="http://schemas.openxmlformats.org/officeDocument/2006/relationships/externalLinkPath" Target="file:///E:\1.Finance\Anaylsen\Models\1810.HK.xlsx" TargetMode="External"/><Relationship Id="rId1" Type="http://schemas.openxmlformats.org/officeDocument/2006/relationships/externalLinkPath" Target="/1.Finance/Anaylsen/Models/1810.HK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002594.SZ.xlsx" TargetMode="External"/><Relationship Id="rId2" Type="http://schemas.openxmlformats.org/officeDocument/2006/relationships/externalLinkPath" Target="file:///E:\1.Finance\Anaylsen\Models\002594.SZ.xlsx" TargetMode="External"/><Relationship Id="rId1" Type="http://schemas.openxmlformats.org/officeDocument/2006/relationships/externalLinkPath" Target="/1.Finance/Anaylsen/Models/002594.SZ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E.xlsx" TargetMode="External"/><Relationship Id="rId2" Type="http://schemas.openxmlformats.org/officeDocument/2006/relationships/externalLinkPath" Target="file:///E:\1.Finance\Anaylsen\Models\DE.xlsx" TargetMode="External"/><Relationship Id="rId1" Type="http://schemas.openxmlformats.org/officeDocument/2006/relationships/externalLinkPath" Target="/1.Finance/Anaylsen/Models/DE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A.xlsx" TargetMode="External"/><Relationship Id="rId2" Type="http://schemas.openxmlformats.org/officeDocument/2006/relationships/externalLinkPath" Target="file:///E:\1.Finance\Anaylsen\Models\BA.xlsx" TargetMode="External"/><Relationship Id="rId1" Type="http://schemas.openxmlformats.org/officeDocument/2006/relationships/externalLinkPath" Target="/1.Finance/Anaylsen/Models/BA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MT.xlsx" TargetMode="External"/><Relationship Id="rId2" Type="http://schemas.openxmlformats.org/officeDocument/2006/relationships/externalLinkPath" Target="file:///E:\1.Finance\Anaylsen\Models\LMT.xlsx" TargetMode="External"/><Relationship Id="rId1" Type="http://schemas.openxmlformats.org/officeDocument/2006/relationships/externalLinkPath" Target="/1.Finance/Anaylsen/Models/LMT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DI.xlsx" TargetMode="External"/><Relationship Id="rId2" Type="http://schemas.openxmlformats.org/officeDocument/2006/relationships/externalLinkPath" Target="file:///E:\1.Finance\Anaylsen\Models\ADI.xlsx" TargetMode="External"/><Relationship Id="rId1" Type="http://schemas.openxmlformats.org/officeDocument/2006/relationships/externalLinkPath" Target="/1.Finance/Anaylsen/Models/ADI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INTC.xlsx" TargetMode="External"/><Relationship Id="rId2" Type="http://schemas.openxmlformats.org/officeDocument/2006/relationships/externalLinkPath" Target="file:///E:\1.Finance\Anaylsen\Models\INTC.xlsx" TargetMode="External"/><Relationship Id="rId1" Type="http://schemas.openxmlformats.org/officeDocument/2006/relationships/externalLinkPath" Target="/1.Finance/Anaylsen/Models/INTC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JBL.xlsx" TargetMode="External"/><Relationship Id="rId2" Type="http://schemas.openxmlformats.org/officeDocument/2006/relationships/externalLinkPath" Target="file:///E:\1.Finance\Anaylsen\Models\JBL.xlsx" TargetMode="External"/><Relationship Id="rId1" Type="http://schemas.openxmlformats.org/officeDocument/2006/relationships/externalLinkPath" Target="/1.Finance/Anaylsen/Models/JBL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ACE.xlsx" TargetMode="External"/><Relationship Id="rId2" Type="http://schemas.openxmlformats.org/officeDocument/2006/relationships/externalLinkPath" Target="file:///E:\1.Finance\Anaylsen\Models\RACE.xlsx" TargetMode="External"/><Relationship Id="rId1" Type="http://schemas.openxmlformats.org/officeDocument/2006/relationships/externalLinkPath" Target="/1.Finance/Anaylsen/Models/RACE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OW3.DE.xlsx" TargetMode="External"/><Relationship Id="rId2" Type="http://schemas.openxmlformats.org/officeDocument/2006/relationships/externalLinkPath" Target="file:///E:\1.Finance\Anaylsen\Models\VOW3.DE.xlsx" TargetMode="External"/><Relationship Id="rId1" Type="http://schemas.openxmlformats.org/officeDocument/2006/relationships/externalLinkPath" Target="/1.Finance/Anaylsen/Models/VOW3.DE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M.xlsx" TargetMode="External"/><Relationship Id="rId2" Type="http://schemas.openxmlformats.org/officeDocument/2006/relationships/externalLinkPath" Target="file:///E:\1.Finance\Anaylsen\Models\GM.xlsx" TargetMode="External"/><Relationship Id="rId1" Type="http://schemas.openxmlformats.org/officeDocument/2006/relationships/externalLinkPath" Target="/1.Finance/Anaylsen/Models/GM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.xlsx" TargetMode="External"/><Relationship Id="rId2" Type="http://schemas.openxmlformats.org/officeDocument/2006/relationships/externalLinkPath" Target="file:///E:\1.Finance\Anaylsen\Models\F.xlsx" TargetMode="External"/><Relationship Id="rId1" Type="http://schemas.openxmlformats.org/officeDocument/2006/relationships/externalLinkPath" Target="/1.Finance/Anaylsen/Models/F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ML.L.xlsx" TargetMode="External"/><Relationship Id="rId2" Type="http://schemas.openxmlformats.org/officeDocument/2006/relationships/externalLinkPath" Target="file:///E:\1.Finance\Anaylsen\Models\AML.L.xlsx" TargetMode="External"/><Relationship Id="rId1" Type="http://schemas.openxmlformats.org/officeDocument/2006/relationships/externalLinkPath" Target="/1.Finance/Anaylsen/Models/AML.L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BER.xlsx" TargetMode="External"/><Relationship Id="rId2" Type="http://schemas.openxmlformats.org/officeDocument/2006/relationships/externalLinkPath" Target="file:///E:\1.Finance\Anaylsen\Models\UBER.xlsx" TargetMode="External"/><Relationship Id="rId1" Type="http://schemas.openxmlformats.org/officeDocument/2006/relationships/externalLinkPath" Target="/1.Finance/Anaylsen/Models/UBER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NP.xlsx" TargetMode="External"/><Relationship Id="rId2" Type="http://schemas.openxmlformats.org/officeDocument/2006/relationships/externalLinkPath" Target="file:///E:\1.Finance\Anaylsen\Models\UNP.xlsx" TargetMode="External"/><Relationship Id="rId1" Type="http://schemas.openxmlformats.org/officeDocument/2006/relationships/externalLinkPath" Target="/1.Finance/Anaylsen/Models/UNP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UPS.xlsx" TargetMode="External"/><Relationship Id="rId2" Type="http://schemas.openxmlformats.org/officeDocument/2006/relationships/externalLinkPath" Target="file:///E:\1.Finance\Anaylsen\Models\UPS.xlsx" TargetMode="External"/><Relationship Id="rId1" Type="http://schemas.openxmlformats.org/officeDocument/2006/relationships/externalLinkPath" Target="/1.Finance/Anaylsen/Models/UPS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P.xlsx" TargetMode="External"/><Relationship Id="rId2" Type="http://schemas.openxmlformats.org/officeDocument/2006/relationships/externalLinkPath" Target="file:///E:\1.Finance\Anaylsen\Models\CP.xlsx" TargetMode="External"/><Relationship Id="rId1" Type="http://schemas.openxmlformats.org/officeDocument/2006/relationships/externalLinkPath" Target="/1.Finance/Anaylsen/Models/CP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NI.xlsx" TargetMode="External"/><Relationship Id="rId2" Type="http://schemas.openxmlformats.org/officeDocument/2006/relationships/externalLinkPath" Target="file:///E:\1.Finance\Anaylsen\Models\CNI.xlsx" TargetMode="External"/><Relationship Id="rId1" Type="http://schemas.openxmlformats.org/officeDocument/2006/relationships/externalLinkPath" Target="/1.Finance/Anaylsen/Models/CNI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ODFL.xlsx" TargetMode="External"/><Relationship Id="rId2" Type="http://schemas.openxmlformats.org/officeDocument/2006/relationships/externalLinkPath" Target="file:///E:\1.Finance\Anaylsen\Models\ODFL.xlsx" TargetMode="External"/><Relationship Id="rId1" Type="http://schemas.openxmlformats.org/officeDocument/2006/relationships/externalLinkPath" Target="/1.Finance/Anaylsen/Models/ODFL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DAL.xlsx" TargetMode="External"/><Relationship Id="rId2" Type="http://schemas.openxmlformats.org/officeDocument/2006/relationships/externalLinkPath" Target="file:///E:\1.Finance\Anaylsen\Models\DAL.xlsx" TargetMode="External"/><Relationship Id="rId1" Type="http://schemas.openxmlformats.org/officeDocument/2006/relationships/externalLinkPath" Target="/1.Finance/Anaylsen/Models/DAL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020.T.xlsx" TargetMode="External"/><Relationship Id="rId2" Type="http://schemas.openxmlformats.org/officeDocument/2006/relationships/externalLinkPath" Target="file:///E:\1.Finance\Anaylsen\Models\9020.T.xlsx" TargetMode="External"/><Relationship Id="rId1" Type="http://schemas.openxmlformats.org/officeDocument/2006/relationships/externalLinkPath" Target="/1.Finance/Anaylsen/Models/9020.T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XPD.xlsx" TargetMode="External"/><Relationship Id="rId2" Type="http://schemas.openxmlformats.org/officeDocument/2006/relationships/externalLinkPath" Target="file:///E:\1.Finance\Anaylsen\Models\EXPD.xlsx" TargetMode="External"/><Relationship Id="rId1" Type="http://schemas.openxmlformats.org/officeDocument/2006/relationships/externalLinkPath" Target="/1.Finance/Anaylsen/Models/EXPD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.xlsx" TargetMode="External"/><Relationship Id="rId2" Type="http://schemas.openxmlformats.org/officeDocument/2006/relationships/externalLinkPath" Target="file:///E:\1.Finance\Anaylsen\Models\R.xlsx" TargetMode="External"/><Relationship Id="rId1" Type="http://schemas.openxmlformats.org/officeDocument/2006/relationships/externalLinkPath" Target="/1.Finance/Anaylsen/Models/R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TX.xlsx" TargetMode="External"/><Relationship Id="rId2" Type="http://schemas.openxmlformats.org/officeDocument/2006/relationships/externalLinkPath" Target="file:///E:\1.Finance\Anaylsen\Models\RTX.xlsx" TargetMode="External"/><Relationship Id="rId1" Type="http://schemas.openxmlformats.org/officeDocument/2006/relationships/externalLinkPath" Target="/1.Finance/Anaylsen/Models/RTX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ON.xlsx" TargetMode="External"/><Relationship Id="rId2" Type="http://schemas.openxmlformats.org/officeDocument/2006/relationships/externalLinkPath" Target="file:///E:\1.Finance\Anaylsen\Models\HON.xlsx" TargetMode="External"/><Relationship Id="rId1" Type="http://schemas.openxmlformats.org/officeDocument/2006/relationships/externalLinkPath" Target="/1.Finance/Anaylsen/Models/HON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D.xlsx" TargetMode="External"/><Relationship Id="rId2" Type="http://schemas.openxmlformats.org/officeDocument/2006/relationships/externalLinkPath" Target="file:///E:\1.Finance\Anaylsen\Models\GD.xlsx" TargetMode="External"/><Relationship Id="rId1" Type="http://schemas.openxmlformats.org/officeDocument/2006/relationships/externalLinkPath" Target="/1.Finance/Anaylsen/Models/GD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OC.xlsx" TargetMode="External"/><Relationship Id="rId2" Type="http://schemas.openxmlformats.org/officeDocument/2006/relationships/externalLinkPath" Target="file:///E:\1.Finance\Anaylsen\Models\NOC.xlsx" TargetMode="External"/><Relationship Id="rId1" Type="http://schemas.openxmlformats.org/officeDocument/2006/relationships/externalLinkPath" Target="/1.Finance/Anaylsen/Models/NOC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HX.xlsx" TargetMode="External"/><Relationship Id="rId2" Type="http://schemas.openxmlformats.org/officeDocument/2006/relationships/externalLinkPath" Target="file:///E:\1.Finance\Anaylsen\Models\LHX.xlsx" TargetMode="External"/><Relationship Id="rId1" Type="http://schemas.openxmlformats.org/officeDocument/2006/relationships/externalLinkPath" Target="/1.Finance/Anaylsen/Models/LHX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AXON.xlsx" TargetMode="External"/><Relationship Id="rId2" Type="http://schemas.openxmlformats.org/officeDocument/2006/relationships/externalLinkPath" Target="file:///E:\1.Finance\Anaylsen\Models\AXON.xlsx" TargetMode="External"/><Relationship Id="rId1" Type="http://schemas.openxmlformats.org/officeDocument/2006/relationships/externalLinkPath" Target="/1.Finance/Anaylsen/Models/AXON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HM.F.xlsx" TargetMode="External"/><Relationship Id="rId2" Type="http://schemas.openxmlformats.org/officeDocument/2006/relationships/externalLinkPath" Target="file:///E:\1.Finance\Anaylsen\Models\RHM.F.xlsx" TargetMode="External"/><Relationship Id="rId1" Type="http://schemas.openxmlformats.org/officeDocument/2006/relationships/externalLinkPath" Target="/1.Finance/Anaylsen/Models/RHM.F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HII.xlsx" TargetMode="External"/><Relationship Id="rId2" Type="http://schemas.openxmlformats.org/officeDocument/2006/relationships/externalLinkPath" Target="file:///E:\1.Finance\Anaylsen\Models\HII.xlsx" TargetMode="External"/><Relationship Id="rId1" Type="http://schemas.openxmlformats.org/officeDocument/2006/relationships/externalLinkPath" Target="/1.Finance/Anaylsen/Models/HII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OYG.xlsx" TargetMode="External"/><Relationship Id="rId2" Type="http://schemas.openxmlformats.org/officeDocument/2006/relationships/externalLinkPath" Target="file:///E:\1.Finance\Anaylsen\Models\VOYG.xlsx" TargetMode="External"/><Relationship Id="rId1" Type="http://schemas.openxmlformats.org/officeDocument/2006/relationships/externalLinkPath" Target="/1.Finance/Anaylsen/Models/VOYG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WBI.xlsx" TargetMode="External"/><Relationship Id="rId2" Type="http://schemas.openxmlformats.org/officeDocument/2006/relationships/externalLinkPath" Target="file:///E:\1.Finance\Anaylsen\Models\SWBI.xlsx" TargetMode="External"/><Relationship Id="rId1" Type="http://schemas.openxmlformats.org/officeDocument/2006/relationships/externalLinkPath" Target="/1.Finance/Anaylsen/Models/SWBI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GEO.xlsx" TargetMode="External"/><Relationship Id="rId2" Type="http://schemas.openxmlformats.org/officeDocument/2006/relationships/externalLinkPath" Target="file:///E:\1.Finance\Anaylsen\Models\GEO.xlsx" TargetMode="External"/><Relationship Id="rId1" Type="http://schemas.openxmlformats.org/officeDocument/2006/relationships/externalLinkPath" Target="/1.Finance/Anaylsen/Models/GEO.xlsx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CXW.xlsx" TargetMode="External"/><Relationship Id="rId2" Type="http://schemas.openxmlformats.org/officeDocument/2006/relationships/externalLinkPath" Target="file:///E:\1.Finance\Anaylsen\Models\CXW.xlsx" TargetMode="External"/><Relationship Id="rId1" Type="http://schemas.openxmlformats.org/officeDocument/2006/relationships/externalLinkPath" Target="/1.Finance/Anaylsen/Models/CXW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HZN.SW.xlsx" TargetMode="External"/><Relationship Id="rId2" Type="http://schemas.openxmlformats.org/officeDocument/2006/relationships/externalLinkPath" Target="file:///E:\1.Finance\Anaylsen\Models\FHZN.SW.xlsx" TargetMode="External"/><Relationship Id="rId1" Type="http://schemas.openxmlformats.org/officeDocument/2006/relationships/externalLinkPath" Target="/1.Finance/Anaylsen/Models/FHZN.S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2290</v>
          </cell>
        </row>
        <row r="4">
          <cell r="H4">
            <v>59384280</v>
          </cell>
        </row>
        <row r="5">
          <cell r="H5">
            <v>3518013</v>
          </cell>
        </row>
        <row r="6">
          <cell r="H6">
            <v>982447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Manufacturing"/>
      <sheetName val="IP"/>
    </sheetNames>
    <sheetDataSet>
      <sheetData sheetId="0">
        <row r="2">
          <cell r="K2">
            <v>352.05</v>
          </cell>
        </row>
        <row r="4">
          <cell r="K4">
            <v>1139585.8500000001</v>
          </cell>
        </row>
        <row r="5">
          <cell r="K5">
            <v>43524</v>
          </cell>
        </row>
        <row r="6">
          <cell r="K6">
            <v>9342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71500</v>
          </cell>
        </row>
        <row r="4">
          <cell r="J4">
            <v>420187299.67500001</v>
          </cell>
        </row>
        <row r="5">
          <cell r="J5">
            <v>100700579</v>
          </cell>
        </row>
        <row r="6">
          <cell r="J6">
            <v>12812502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J2">
            <v>2420</v>
          </cell>
        </row>
        <row r="4">
          <cell r="J4">
            <v>39482269.653200001</v>
          </cell>
        </row>
        <row r="5">
          <cell r="J5">
            <v>8285156</v>
          </cell>
        </row>
        <row r="6">
          <cell r="J6">
            <v>40126117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298.69</v>
          </cell>
        </row>
        <row r="4">
          <cell r="J4">
            <v>142753.51624856002</v>
          </cell>
        </row>
        <row r="5">
          <cell r="J5">
            <v>6889</v>
          </cell>
        </row>
        <row r="6">
          <cell r="J6">
            <v>38409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56.2</v>
          </cell>
        </row>
        <row r="5">
          <cell r="I5">
            <v>1336197.8985840003</v>
          </cell>
        </row>
        <row r="6">
          <cell r="I6">
            <v>110461.84599999999</v>
          </cell>
        </row>
        <row r="7">
          <cell r="I7">
            <v>28912.835999999999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2">
          <cell r="I2">
            <v>372</v>
          </cell>
        </row>
        <row r="4">
          <cell r="I4">
            <v>1082542.0357920001</v>
          </cell>
        </row>
        <row r="5">
          <cell r="I5">
            <v>0</v>
          </cell>
        </row>
        <row r="6">
          <cell r="I6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485.5</v>
          </cell>
        </row>
        <row r="4">
          <cell r="H4">
            <v>131849.79941100001</v>
          </cell>
        </row>
        <row r="5">
          <cell r="H5">
            <v>8478</v>
          </cell>
        </row>
        <row r="6">
          <cell r="H6">
            <v>65193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215.01</v>
          </cell>
        </row>
        <row r="4">
          <cell r="I4">
            <v>162118.71696474002</v>
          </cell>
        </row>
        <row r="5">
          <cell r="I5">
            <v>23674</v>
          </cell>
        </row>
        <row r="6">
          <cell r="I6">
            <v>53618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639</v>
          </cell>
        </row>
        <row r="4">
          <cell r="K4">
            <v>148695.29999999999</v>
          </cell>
        </row>
        <row r="5">
          <cell r="K5">
            <v>4121</v>
          </cell>
        </row>
        <row r="6">
          <cell r="K6">
            <v>21700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176.33</v>
          </cell>
        </row>
        <row r="4">
          <cell r="J4">
            <v>105088.53324739002</v>
          </cell>
        </row>
        <row r="5">
          <cell r="J5">
            <v>2721.4540000000002</v>
          </cell>
        </row>
        <row r="6">
          <cell r="J6">
            <v>7018.4110000000001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Sheet1"/>
      <sheetName val="Sheet2"/>
    </sheetNames>
    <sheetDataSet>
      <sheetData sheetId="0">
        <row r="2">
          <cell r="K2">
            <v>82.72</v>
          </cell>
        </row>
        <row r="4">
          <cell r="K4">
            <v>85340</v>
          </cell>
        </row>
        <row r="5">
          <cell r="K5">
            <v>32789</v>
          </cell>
        </row>
        <row r="6">
          <cell r="K6">
            <v>45031</v>
          </cell>
        </row>
      </sheetData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134.80000000000001</v>
          </cell>
        </row>
        <row r="4">
          <cell r="J4">
            <v>14470.152910400002</v>
          </cell>
        </row>
        <row r="5">
          <cell r="J5">
            <v>1592</v>
          </cell>
        </row>
        <row r="6">
          <cell r="J6">
            <v>2883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296.39999999999998</v>
          </cell>
        </row>
        <row r="4">
          <cell r="H4">
            <v>52796.249999999993</v>
          </cell>
        </row>
        <row r="5">
          <cell r="H5">
            <v>1545.796</v>
          </cell>
        </row>
        <row r="6">
          <cell r="H6">
            <v>2884.22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101.45</v>
          </cell>
        </row>
        <row r="4">
          <cell r="J4">
            <v>50349.154431349998</v>
          </cell>
        </row>
        <row r="5">
          <cell r="J5">
            <v>67622</v>
          </cell>
        </row>
        <row r="6">
          <cell r="J6">
            <v>274993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49.8</v>
          </cell>
        </row>
        <row r="4">
          <cell r="I4">
            <v>49551.094171799996</v>
          </cell>
        </row>
        <row r="5">
          <cell r="I5">
            <v>27137</v>
          </cell>
        </row>
        <row r="6">
          <cell r="I6">
            <v>129732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10.039999999999999</v>
          </cell>
        </row>
        <row r="4">
          <cell r="I4">
            <v>39910.807471079999</v>
          </cell>
        </row>
        <row r="5">
          <cell r="I5">
            <v>38348</v>
          </cell>
        </row>
        <row r="6">
          <cell r="I6">
            <v>158522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0.74150000000000005</v>
          </cell>
        </row>
        <row r="4">
          <cell r="I4">
            <v>617.22460000000001</v>
          </cell>
        </row>
        <row r="5">
          <cell r="I5">
            <v>360.6</v>
          </cell>
        </row>
        <row r="6">
          <cell r="I6">
            <v>1387.3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75.69</v>
          </cell>
        </row>
        <row r="4">
          <cell r="H4">
            <v>155778.79875327001</v>
          </cell>
        </row>
        <row r="5">
          <cell r="H5">
            <v>7633</v>
          </cell>
        </row>
        <row r="6">
          <cell r="H6">
            <v>10521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L2">
            <v>221.76</v>
          </cell>
        </row>
        <row r="4">
          <cell r="L4">
            <v>131513.36337216001</v>
          </cell>
        </row>
        <row r="5">
          <cell r="L5">
            <v>1060</v>
          </cell>
        </row>
        <row r="6">
          <cell r="L6">
            <v>32813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98.26</v>
          </cell>
        </row>
        <row r="4">
          <cell r="J4">
            <v>83206.352417560003</v>
          </cell>
        </row>
        <row r="5">
          <cell r="J5">
            <v>5065</v>
          </cell>
        </row>
        <row r="6">
          <cell r="J6">
            <v>21369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114</v>
          </cell>
        </row>
        <row r="4">
          <cell r="K4">
            <v>106384.8</v>
          </cell>
        </row>
        <row r="5">
          <cell r="K5">
            <v>695</v>
          </cell>
        </row>
        <row r="6">
          <cell r="K6">
            <v>22652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150.99</v>
          </cell>
        </row>
        <row r="4">
          <cell r="K4">
            <v>94947.775058430008</v>
          </cell>
        </row>
        <row r="5">
          <cell r="K5">
            <v>401</v>
          </cell>
        </row>
        <row r="6">
          <cell r="K6">
            <v>20894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159.69999999999999</v>
          </cell>
        </row>
        <row r="4">
          <cell r="J4">
            <v>33748.665421799997</v>
          </cell>
        </row>
        <row r="5">
          <cell r="J5">
            <v>97.197999999999993</v>
          </cell>
        </row>
        <row r="6">
          <cell r="J6">
            <v>59.99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41.41</v>
          </cell>
        </row>
        <row r="4">
          <cell r="J4">
            <v>27038.873548289997</v>
          </cell>
        </row>
        <row r="5">
          <cell r="J5">
            <v>3711</v>
          </cell>
        </row>
        <row r="6">
          <cell r="J6">
            <v>15824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3048</v>
          </cell>
        </row>
        <row r="4">
          <cell r="K4">
            <v>3448235.3763120002</v>
          </cell>
        </row>
        <row r="5">
          <cell r="K5">
            <v>281000</v>
          </cell>
        </row>
        <row r="6">
          <cell r="K6">
            <v>4605018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114.99</v>
          </cell>
        </row>
        <row r="4">
          <cell r="J4">
            <v>15747.656844450001</v>
          </cell>
        </row>
        <row r="5">
          <cell r="J5">
            <v>1318.52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160.88</v>
          </cell>
        </row>
        <row r="4">
          <cell r="J4">
            <v>6650.9066169600001</v>
          </cell>
        </row>
        <row r="7">
          <cell r="J7">
            <v>14264.906616960001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H3">
            <v>200.99</v>
          </cell>
        </row>
        <row r="5">
          <cell r="H5">
            <v>269786.39999924001</v>
          </cell>
        </row>
        <row r="6">
          <cell r="H6">
            <v>7435</v>
          </cell>
        </row>
        <row r="7">
          <cell r="H7">
            <v>34492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</sheetNames>
    <sheetDataSet>
      <sheetData sheetId="0">
        <row r="3">
          <cell r="K3">
            <v>198.13</v>
          </cell>
        </row>
        <row r="5">
          <cell r="K5">
            <v>128719.35485599999</v>
          </cell>
        </row>
        <row r="6">
          <cell r="K6">
            <v>9807</v>
          </cell>
        </row>
        <row r="7">
          <cell r="K7">
            <v>27932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304.8</v>
          </cell>
        </row>
        <row r="4">
          <cell r="H4">
            <v>83752.206079199997</v>
          </cell>
        </row>
        <row r="5">
          <cell r="H5">
            <v>1362</v>
          </cell>
        </row>
        <row r="6">
          <cell r="H6">
            <v>9261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519.92999999999995</v>
          </cell>
        </row>
        <row r="4">
          <cell r="K4">
            <v>76037.290752779998</v>
          </cell>
        </row>
        <row r="5">
          <cell r="K5">
            <v>3272</v>
          </cell>
        </row>
        <row r="6">
          <cell r="K6">
            <v>14706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3">
          <cell r="I3">
            <v>227.23</v>
          </cell>
        </row>
        <row r="5">
          <cell r="I5">
            <v>43106.710323699997</v>
          </cell>
        </row>
        <row r="6">
          <cell r="I6">
            <v>547</v>
          </cell>
        </row>
        <row r="7">
          <cell r="I7">
            <v>13252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628.66999999999996</v>
          </cell>
        </row>
        <row r="4">
          <cell r="K4">
            <v>48170.74863622</v>
          </cell>
        </row>
        <row r="5">
          <cell r="K5">
            <v>986.34900000000005</v>
          </cell>
        </row>
        <row r="6">
          <cell r="K6">
            <v>680.28899999999999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1332</v>
          </cell>
        </row>
        <row r="4">
          <cell r="I4">
            <v>57409.200000000004</v>
          </cell>
        </row>
        <row r="5">
          <cell r="I5">
            <v>1184</v>
          </cell>
        </row>
        <row r="6">
          <cell r="I6">
            <v>2423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265.20999999999998</v>
          </cell>
        </row>
        <row r="4">
          <cell r="I4">
            <v>10400.271678719999</v>
          </cell>
        </row>
        <row r="5">
          <cell r="I5">
            <v>11</v>
          </cell>
        </row>
        <row r="6">
          <cell r="I6">
            <v>2657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K2">
            <v>52.3</v>
          </cell>
        </row>
        <row r="4">
          <cell r="K4">
            <v>2580.9004</v>
          </cell>
        </row>
        <row r="5">
          <cell r="K5">
            <v>175.488</v>
          </cell>
        </row>
        <row r="6">
          <cell r="K6">
            <v>68.328999999999994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8.2799999999999994</v>
          </cell>
        </row>
        <row r="4">
          <cell r="I4">
            <v>367.14994667999997</v>
          </cell>
        </row>
        <row r="5">
          <cell r="I5">
            <v>21.183</v>
          </cell>
        </row>
        <row r="6">
          <cell r="I6">
            <v>94.147000000000006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21.5</v>
          </cell>
        </row>
        <row r="4">
          <cell r="H4">
            <v>3042.9942225</v>
          </cell>
        </row>
        <row r="5">
          <cell r="H5">
            <v>67.861000000000004</v>
          </cell>
        </row>
        <row r="6">
          <cell r="H6">
            <v>1696.1759999999999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20.58</v>
          </cell>
        </row>
        <row r="4">
          <cell r="I4">
            <v>2203.2937298399997</v>
          </cell>
        </row>
        <row r="5">
          <cell r="I5">
            <v>130.524</v>
          </cell>
        </row>
        <row r="6">
          <cell r="I6">
            <v>1020.468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244.6</v>
          </cell>
        </row>
        <row r="4">
          <cell r="J4">
            <v>7509.6786250000005</v>
          </cell>
        </row>
        <row r="5">
          <cell r="J5">
            <v>379.6</v>
          </cell>
        </row>
        <row r="6">
          <cell r="J6">
            <v>1720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Models\AML.L.xlsx" TargetMode="External"/><Relationship Id="rId3" Type="http://schemas.openxmlformats.org/officeDocument/2006/relationships/hyperlink" Target="..\Models\F.xlsx" TargetMode="External"/><Relationship Id="rId7" Type="http://schemas.openxmlformats.org/officeDocument/2006/relationships/hyperlink" Target="..\Models\RACE.xlsx" TargetMode="External"/><Relationship Id="rId2" Type="http://schemas.openxmlformats.org/officeDocument/2006/relationships/hyperlink" Target="..\Models\TSLA.xlsx" TargetMode="External"/><Relationship Id="rId1" Type="http://schemas.openxmlformats.org/officeDocument/2006/relationships/hyperlink" Target="..\Models\PAH3.xlsx" TargetMode="External"/><Relationship Id="rId6" Type="http://schemas.openxmlformats.org/officeDocument/2006/relationships/hyperlink" Target="..\Models\002594.SZ.xlsx" TargetMode="External"/><Relationship Id="rId5" Type="http://schemas.openxmlformats.org/officeDocument/2006/relationships/hyperlink" Target="..\Models\VOW3.DE.xlsx" TargetMode="External"/><Relationship Id="rId4" Type="http://schemas.openxmlformats.org/officeDocument/2006/relationships/hyperlink" Target="..\Models\GM.xlsx" TargetMode="External"/><Relationship Id="rId9" Type="http://schemas.openxmlformats.org/officeDocument/2006/relationships/hyperlink" Target="..\Models\TM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Models\INTC.xlsx" TargetMode="External"/><Relationship Id="rId13" Type="http://schemas.openxmlformats.org/officeDocument/2006/relationships/hyperlink" Target="..\Models\GM.xlsx" TargetMode="External"/><Relationship Id="rId18" Type="http://schemas.openxmlformats.org/officeDocument/2006/relationships/hyperlink" Target="..\Models\HMC.xlsx" TargetMode="External"/><Relationship Id="rId3" Type="http://schemas.openxmlformats.org/officeDocument/2006/relationships/hyperlink" Target="..\Models\005930.KS.xlsx" TargetMode="External"/><Relationship Id="rId7" Type="http://schemas.openxmlformats.org/officeDocument/2006/relationships/hyperlink" Target="..\Models\LMT.xlsx" TargetMode="External"/><Relationship Id="rId12" Type="http://schemas.openxmlformats.org/officeDocument/2006/relationships/hyperlink" Target="..\Models\VOW3.DE.xlsx" TargetMode="External"/><Relationship Id="rId17" Type="http://schemas.openxmlformats.org/officeDocument/2006/relationships/hyperlink" Target="..\Models\2317.TW.xlsx" TargetMode="External"/><Relationship Id="rId2" Type="http://schemas.openxmlformats.org/officeDocument/2006/relationships/hyperlink" Target="..\Models\TSLA.xlsx" TargetMode="External"/><Relationship Id="rId16" Type="http://schemas.openxmlformats.org/officeDocument/2006/relationships/hyperlink" Target="..\Models\ADI.xlsx" TargetMode="External"/><Relationship Id="rId1" Type="http://schemas.openxmlformats.org/officeDocument/2006/relationships/hyperlink" Target="..\Models\TSM.xlsx" TargetMode="External"/><Relationship Id="rId6" Type="http://schemas.openxmlformats.org/officeDocument/2006/relationships/hyperlink" Target="..\Models\DE.xlsx" TargetMode="External"/><Relationship Id="rId11" Type="http://schemas.openxmlformats.org/officeDocument/2006/relationships/hyperlink" Target="..\Models\F.xlsx" TargetMode="External"/><Relationship Id="rId5" Type="http://schemas.openxmlformats.org/officeDocument/2006/relationships/hyperlink" Target="..\Models\002594.SZ.xlsx" TargetMode="External"/><Relationship Id="rId15" Type="http://schemas.openxmlformats.org/officeDocument/2006/relationships/hyperlink" Target="..\Models\BA.xlsx" TargetMode="External"/><Relationship Id="rId10" Type="http://schemas.openxmlformats.org/officeDocument/2006/relationships/hyperlink" Target="..\Models\CAT.xlsx" TargetMode="External"/><Relationship Id="rId19" Type="http://schemas.openxmlformats.org/officeDocument/2006/relationships/hyperlink" Target="..\Models\1810.HK.xlsx" TargetMode="External"/><Relationship Id="rId4" Type="http://schemas.openxmlformats.org/officeDocument/2006/relationships/hyperlink" Target="..\Models\TM.xlsx" TargetMode="External"/><Relationship Id="rId9" Type="http://schemas.openxmlformats.org/officeDocument/2006/relationships/hyperlink" Target="..\Models\RACE.xlsx" TargetMode="External"/><Relationship Id="rId14" Type="http://schemas.openxmlformats.org/officeDocument/2006/relationships/hyperlink" Target="..\Models\JBL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\Models\ODFL.xlsx" TargetMode="External"/><Relationship Id="rId3" Type="http://schemas.openxmlformats.org/officeDocument/2006/relationships/hyperlink" Target="..\Models\9020.T.xlsx" TargetMode="External"/><Relationship Id="rId7" Type="http://schemas.openxmlformats.org/officeDocument/2006/relationships/hyperlink" Target="..\Models\UPS.xlsx" TargetMode="External"/><Relationship Id="rId2" Type="http://schemas.openxmlformats.org/officeDocument/2006/relationships/hyperlink" Target="..\Models\UBER.xlsx" TargetMode="External"/><Relationship Id="rId1" Type="http://schemas.openxmlformats.org/officeDocument/2006/relationships/hyperlink" Target="..\Models\UNP.xlsx" TargetMode="External"/><Relationship Id="rId6" Type="http://schemas.openxmlformats.org/officeDocument/2006/relationships/hyperlink" Target="..\Models\CP.xlsx" TargetMode="External"/><Relationship Id="rId5" Type="http://schemas.openxmlformats.org/officeDocument/2006/relationships/hyperlink" Target="..\Models\CNI.xlsx" TargetMode="External"/><Relationship Id="rId10" Type="http://schemas.openxmlformats.org/officeDocument/2006/relationships/hyperlink" Target="..\Models\EXPD.xlsx" TargetMode="External"/><Relationship Id="rId4" Type="http://schemas.openxmlformats.org/officeDocument/2006/relationships/hyperlink" Target="..\Models\DAL.xlsx" TargetMode="External"/><Relationship Id="rId9" Type="http://schemas.openxmlformats.org/officeDocument/2006/relationships/hyperlink" Target="..\Models\R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\Models\RHM.F.xlsx" TargetMode="External"/><Relationship Id="rId3" Type="http://schemas.openxmlformats.org/officeDocument/2006/relationships/hyperlink" Target="..\Models\HON.xlsx" TargetMode="External"/><Relationship Id="rId7" Type="http://schemas.openxmlformats.org/officeDocument/2006/relationships/hyperlink" Target="..\Models\HII.xlsx" TargetMode="External"/><Relationship Id="rId12" Type="http://schemas.openxmlformats.org/officeDocument/2006/relationships/hyperlink" Target="..\Models\BA.xlsx" TargetMode="External"/><Relationship Id="rId2" Type="http://schemas.openxmlformats.org/officeDocument/2006/relationships/hyperlink" Target="..\Models\RTX.xlsx" TargetMode="External"/><Relationship Id="rId1" Type="http://schemas.openxmlformats.org/officeDocument/2006/relationships/hyperlink" Target="..\Models\LMT.xlsx" TargetMode="External"/><Relationship Id="rId6" Type="http://schemas.openxmlformats.org/officeDocument/2006/relationships/hyperlink" Target="..\Models\GD.xlsx" TargetMode="External"/><Relationship Id="rId11" Type="http://schemas.openxmlformats.org/officeDocument/2006/relationships/hyperlink" Target="..\Models\SWBI.xlsx" TargetMode="External"/><Relationship Id="rId5" Type="http://schemas.openxmlformats.org/officeDocument/2006/relationships/hyperlink" Target="..\Models\NOC.xlsx" TargetMode="External"/><Relationship Id="rId10" Type="http://schemas.openxmlformats.org/officeDocument/2006/relationships/hyperlink" Target="..\Models\VOYG.xlsx" TargetMode="External"/><Relationship Id="rId4" Type="http://schemas.openxmlformats.org/officeDocument/2006/relationships/hyperlink" Target="..\Models\LHX.xlsx" TargetMode="External"/><Relationship Id="rId9" Type="http://schemas.openxmlformats.org/officeDocument/2006/relationships/hyperlink" Target="..\Models\AXON.xls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..\Models\UNP.xlsx" TargetMode="External"/><Relationship Id="rId2" Type="http://schemas.openxmlformats.org/officeDocument/2006/relationships/hyperlink" Target="..\Models\CXW.xlsx" TargetMode="External"/><Relationship Id="rId1" Type="http://schemas.openxmlformats.org/officeDocument/2006/relationships/hyperlink" Target="..\Models\GEO.xlsx" TargetMode="External"/><Relationship Id="rId4" Type="http://schemas.openxmlformats.org/officeDocument/2006/relationships/hyperlink" Target="..\Models\FHZN.SW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DA32-BD41-4531-A28F-BA79246BBD52}">
  <dimension ref="A1:AB96"/>
  <sheetViews>
    <sheetView zoomScale="200" zoomScaleNormal="200" workbookViewId="0">
      <selection activeCell="E19" sqref="E19"/>
    </sheetView>
  </sheetViews>
  <sheetFormatPr defaultRowHeight="13.5" x14ac:dyDescent="0.25"/>
  <cols>
    <col min="1" max="1" width="4.5703125" style="4" customWidth="1"/>
    <col min="2" max="16384" width="9.140625" style="4"/>
  </cols>
  <sheetData>
    <row r="1" spans="1:2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E7AC-1797-4E56-9B17-0AD285F2546D}">
  <dimension ref="A1:DA505"/>
  <sheetViews>
    <sheetView zoomScale="200" zoomScaleNormal="200" workbookViewId="0">
      <selection activeCell="D11" sqref="D11"/>
    </sheetView>
  </sheetViews>
  <sheetFormatPr defaultRowHeight="15" x14ac:dyDescent="0.25"/>
  <cols>
    <col min="1" max="1" width="4" customWidth="1"/>
    <col min="2" max="2" width="21.85546875" bestFit="1" customWidth="1"/>
    <col min="3" max="3" width="16" bestFit="1" customWidth="1"/>
    <col min="4" max="4" width="8.28515625" bestFit="1" customWidth="1"/>
    <col min="5" max="5" width="9.28515625" bestFit="1" customWidth="1"/>
    <col min="6" max="6" width="10.140625" bestFit="1" customWidth="1"/>
    <col min="7" max="8" width="9.28515625" bestFit="1" customWidth="1"/>
  </cols>
  <sheetData>
    <row r="1" spans="1:105" x14ac:dyDescent="0.25">
      <c r="A1" s="2" t="s">
        <v>226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5" x14ac:dyDescent="0.25">
      <c r="A2" s="3" t="s">
        <v>227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5" x14ac:dyDescent="0.25">
      <c r="A3" s="5" t="s">
        <v>224</v>
      </c>
      <c r="B3" s="6" t="s">
        <v>223</v>
      </c>
      <c r="C3" s="6" t="s">
        <v>228</v>
      </c>
      <c r="D3" s="6" t="s">
        <v>221</v>
      </c>
      <c r="E3" s="6" t="s">
        <v>229</v>
      </c>
      <c r="F3" s="6" t="s">
        <v>230</v>
      </c>
      <c r="G3" s="6" t="s">
        <v>231</v>
      </c>
      <c r="H3" s="6" t="s">
        <v>232</v>
      </c>
      <c r="I3" s="6" t="s">
        <v>233</v>
      </c>
      <c r="J3" s="6" t="s">
        <v>234</v>
      </c>
      <c r="K3" s="6" t="s">
        <v>235</v>
      </c>
      <c r="L3" s="6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</row>
    <row r="4" spans="1:105" x14ac:dyDescent="0.25">
      <c r="A4" s="8">
        <v>1</v>
      </c>
      <c r="B4" s="1" t="s">
        <v>218</v>
      </c>
      <c r="C4" s="3" t="s">
        <v>217</v>
      </c>
      <c r="D4" s="3" t="s">
        <v>2</v>
      </c>
      <c r="E4" s="9">
        <f>+[2]Main!$K$2</f>
        <v>352.05</v>
      </c>
      <c r="F4" s="10">
        <f>+[2]Main!$K$4</f>
        <v>1139585.8500000001</v>
      </c>
      <c r="G4" s="10">
        <f>+[2]Main!$K$6-[2]Main!$K$5</f>
        <v>-34182</v>
      </c>
      <c r="H4" s="10">
        <f>+F4+G4</f>
        <v>1105403.8500000001</v>
      </c>
      <c r="I4" s="11" t="s">
        <v>236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</row>
    <row r="5" spans="1:105" x14ac:dyDescent="0.25">
      <c r="A5" s="8">
        <f>A4+1</f>
        <v>2</v>
      </c>
      <c r="B5" s="1" t="s">
        <v>214</v>
      </c>
      <c r="C5" s="3" t="s">
        <v>213</v>
      </c>
      <c r="D5" s="3" t="s">
        <v>10</v>
      </c>
      <c r="E5" s="12">
        <f>+[4]Main!$J$2</f>
        <v>2420</v>
      </c>
      <c r="F5" s="10">
        <f>+[4]Main!$J$4*FX!C6</f>
        <v>260582.97971111999</v>
      </c>
      <c r="G5" s="10">
        <f>+([4]Main!$J$6-[4]Main!$J$5)*FX!C6</f>
        <v>210150.3426</v>
      </c>
      <c r="H5" s="10">
        <f>+F5+G5</f>
        <v>470733.32231111999</v>
      </c>
      <c r="I5" s="11" t="s">
        <v>237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</row>
    <row r="6" spans="1:105" x14ac:dyDescent="0.25">
      <c r="A6" s="8">
        <f t="shared" ref="A6:A66" si="0">A5+1</f>
        <v>3</v>
      </c>
      <c r="B6" s="1" t="s">
        <v>209</v>
      </c>
      <c r="C6" s="13" t="s">
        <v>208</v>
      </c>
      <c r="D6" s="3" t="s">
        <v>238</v>
      </c>
      <c r="E6" s="3">
        <f>+[7]Main!$I$2</f>
        <v>372</v>
      </c>
      <c r="F6" s="10">
        <f>+[7]Main!$I$4*FX!C4</f>
        <v>151555.88501088004</v>
      </c>
      <c r="G6" s="10">
        <f>+([7]Main!$I$6-[7]Main!$I$5)*FX!C4</f>
        <v>0</v>
      </c>
      <c r="H6" s="10">
        <f>+F6+G6</f>
        <v>151555.88501088004</v>
      </c>
      <c r="I6" s="11" t="s">
        <v>239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</row>
    <row r="7" spans="1:105" x14ac:dyDescent="0.25">
      <c r="A7" s="8">
        <f t="shared" si="0"/>
        <v>4</v>
      </c>
      <c r="B7" s="1" t="s">
        <v>188</v>
      </c>
      <c r="C7" s="3" t="s">
        <v>187</v>
      </c>
      <c r="D7" s="3" t="s">
        <v>240</v>
      </c>
      <c r="E7" s="3">
        <f>+[14]Main!$H$2</f>
        <v>296.39999999999998</v>
      </c>
      <c r="F7" s="10">
        <f>+[14]Main!$H$4*FX!C3</f>
        <v>57547.912499999999</v>
      </c>
      <c r="G7" s="10">
        <f>+([14]Main!$H$6-[14]Main!$H$5)*FX!C3</f>
        <v>1458.8821599999999</v>
      </c>
      <c r="H7" s="10">
        <f>+F7+G7</f>
        <v>59006.79466</v>
      </c>
      <c r="I7" s="32" t="s">
        <v>2598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</row>
    <row r="8" spans="1:105" x14ac:dyDescent="0.25">
      <c r="A8" s="8">
        <f t="shared" si="0"/>
        <v>5</v>
      </c>
      <c r="B8" s="3" t="s">
        <v>174</v>
      </c>
      <c r="C8" s="3" t="s">
        <v>173</v>
      </c>
      <c r="D8" s="3" t="s">
        <v>31</v>
      </c>
      <c r="E8" s="3"/>
      <c r="F8" s="10"/>
      <c r="G8" s="10"/>
      <c r="H8" s="10"/>
      <c r="I8" s="1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5" x14ac:dyDescent="0.25">
      <c r="A9" s="8">
        <f t="shared" si="0"/>
        <v>6</v>
      </c>
      <c r="B9" s="3" t="s">
        <v>153</v>
      </c>
      <c r="C9" s="3" t="s">
        <v>152</v>
      </c>
      <c r="D9" s="3" t="s">
        <v>31</v>
      </c>
      <c r="E9" s="3"/>
      <c r="F9" s="10"/>
      <c r="G9" s="10"/>
      <c r="H9" s="10"/>
      <c r="I9" s="1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5" x14ac:dyDescent="0.25">
      <c r="A10" s="8">
        <f t="shared" si="0"/>
        <v>7</v>
      </c>
      <c r="B10" s="3" t="s">
        <v>159</v>
      </c>
      <c r="C10" s="3" t="s">
        <v>158</v>
      </c>
      <c r="D10" s="3" t="s">
        <v>31</v>
      </c>
      <c r="E10" s="3"/>
      <c r="F10" s="10"/>
      <c r="G10" s="10"/>
      <c r="H10" s="10"/>
      <c r="I10" s="1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5" x14ac:dyDescent="0.25">
      <c r="A11" s="8">
        <f t="shared" si="0"/>
        <v>8</v>
      </c>
      <c r="B11" s="1" t="s">
        <v>163</v>
      </c>
      <c r="C11" s="3" t="s">
        <v>162</v>
      </c>
      <c r="D11" s="3" t="s">
        <v>31</v>
      </c>
      <c r="E11" s="3">
        <f>+[15]Main!$J$2</f>
        <v>101.45</v>
      </c>
      <c r="F11" s="10">
        <f>+[15]Main!$J$4*FX!C3</f>
        <v>54880.578330171506</v>
      </c>
      <c r="G11" s="10">
        <f>+([15]Main!$J$6-[15]Main!$J$5)*FX!C3</f>
        <v>226034.39</v>
      </c>
      <c r="H11" s="10">
        <f>+F11+G11</f>
        <v>280914.96833017154</v>
      </c>
      <c r="I11" s="11" t="s">
        <v>236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5" x14ac:dyDescent="0.25">
      <c r="A12" s="8">
        <f t="shared" si="0"/>
        <v>9</v>
      </c>
      <c r="B12" s="3" t="s">
        <v>241</v>
      </c>
      <c r="C12" s="3" t="s">
        <v>120</v>
      </c>
      <c r="D12" s="3" t="s">
        <v>119</v>
      </c>
      <c r="E12" s="3"/>
      <c r="F12" s="10"/>
      <c r="G12" s="10"/>
      <c r="H12" s="10"/>
      <c r="I12" s="1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5" x14ac:dyDescent="0.25">
      <c r="A13" s="8">
        <f t="shared" si="0"/>
        <v>10</v>
      </c>
      <c r="B13" s="1" t="s">
        <v>155</v>
      </c>
      <c r="C13" s="3" t="s">
        <v>154</v>
      </c>
      <c r="D13" s="3" t="s">
        <v>2</v>
      </c>
      <c r="E13" s="3">
        <f>+[16]Main!$I$2</f>
        <v>49.8</v>
      </c>
      <c r="F13" s="10">
        <f>+[16]Main!$I$4</f>
        <v>49551.094171799996</v>
      </c>
      <c r="G13" s="10">
        <f>+[16]Main!$I$6-[16]Main!$I$5</f>
        <v>102595</v>
      </c>
      <c r="H13" s="10">
        <f>+F13+G13</f>
        <v>152146.09417180001</v>
      </c>
      <c r="I13" s="11" t="s">
        <v>236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5" x14ac:dyDescent="0.25">
      <c r="A14" s="8">
        <f t="shared" si="0"/>
        <v>11</v>
      </c>
      <c r="B14" s="3" t="s">
        <v>210</v>
      </c>
      <c r="C14" s="3" t="s">
        <v>242</v>
      </c>
      <c r="D14" s="3" t="s">
        <v>238</v>
      </c>
      <c r="E14" s="3"/>
      <c r="F14" s="10"/>
      <c r="G14" s="10"/>
      <c r="H14" s="10"/>
      <c r="I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5" x14ac:dyDescent="0.25">
      <c r="A15" s="8">
        <f t="shared" si="0"/>
        <v>12</v>
      </c>
      <c r="B15" s="1" t="s">
        <v>141</v>
      </c>
      <c r="C15" s="3" t="s">
        <v>140</v>
      </c>
      <c r="D15" s="3" t="s">
        <v>2</v>
      </c>
      <c r="E15" s="3">
        <f>+[17]Main!$I$2</f>
        <v>10.039999999999999</v>
      </c>
      <c r="F15" s="10">
        <f>+[17]Main!$I$4</f>
        <v>39910.807471079999</v>
      </c>
      <c r="G15" s="10">
        <f>+[17]Main!$I$6-[17]Main!$I$5</f>
        <v>120174</v>
      </c>
      <c r="H15" s="10">
        <f>+F15+G15</f>
        <v>160084.80747107998</v>
      </c>
      <c r="I15" s="11" t="s">
        <v>236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5" x14ac:dyDescent="0.25">
      <c r="A16" s="8">
        <f t="shared" si="0"/>
        <v>13</v>
      </c>
      <c r="B16" s="3" t="s">
        <v>143</v>
      </c>
      <c r="C16" s="3" t="s">
        <v>142</v>
      </c>
      <c r="D16" s="3" t="s">
        <v>10</v>
      </c>
      <c r="E16" s="3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1:105" x14ac:dyDescent="0.25">
      <c r="A17" s="8">
        <f t="shared" si="0"/>
        <v>14</v>
      </c>
      <c r="B17" s="3" t="s">
        <v>127</v>
      </c>
      <c r="C17" s="3" t="s">
        <v>243</v>
      </c>
      <c r="D17" s="3" t="s">
        <v>244</v>
      </c>
      <c r="E17" s="3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1:105" x14ac:dyDescent="0.25">
      <c r="A18" s="8">
        <f t="shared" si="0"/>
        <v>15</v>
      </c>
      <c r="B18" s="3" t="s">
        <v>245</v>
      </c>
      <c r="C18" s="3" t="s">
        <v>148</v>
      </c>
      <c r="D18" s="3" t="s">
        <v>246</v>
      </c>
      <c r="E18" s="3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1:105" x14ac:dyDescent="0.25">
      <c r="A19" s="8">
        <f t="shared" si="0"/>
        <v>16</v>
      </c>
      <c r="B19" s="3" t="s">
        <v>247</v>
      </c>
      <c r="C19" s="3" t="s">
        <v>248</v>
      </c>
      <c r="D19" s="3" t="s">
        <v>246</v>
      </c>
      <c r="E19" s="3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1:105" x14ac:dyDescent="0.25">
      <c r="A20" s="8">
        <f t="shared" si="0"/>
        <v>17</v>
      </c>
      <c r="B20" s="3" t="s">
        <v>249</v>
      </c>
      <c r="C20" s="3" t="s">
        <v>250</v>
      </c>
      <c r="D20" s="3" t="s">
        <v>246</v>
      </c>
      <c r="E20" s="3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1:105" x14ac:dyDescent="0.25">
      <c r="A21" s="8">
        <f t="shared" si="0"/>
        <v>18</v>
      </c>
      <c r="B21" s="3" t="s">
        <v>251</v>
      </c>
      <c r="C21" s="13" t="s">
        <v>252</v>
      </c>
      <c r="D21" s="3" t="s">
        <v>244</v>
      </c>
      <c r="E21" s="3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1:105" x14ac:dyDescent="0.25">
      <c r="A22" s="8">
        <f t="shared" si="0"/>
        <v>19</v>
      </c>
      <c r="B22" s="3" t="s">
        <v>103</v>
      </c>
      <c r="C22" s="3" t="s">
        <v>102</v>
      </c>
      <c r="D22" s="3" t="s">
        <v>238</v>
      </c>
      <c r="E22" s="3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1:105" x14ac:dyDescent="0.25">
      <c r="A23" s="8">
        <f t="shared" si="0"/>
        <v>20</v>
      </c>
      <c r="B23" s="3" t="s">
        <v>253</v>
      </c>
      <c r="C23" s="3" t="s">
        <v>83</v>
      </c>
      <c r="D23" s="3" t="s">
        <v>10</v>
      </c>
      <c r="E23" s="3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1:105" x14ac:dyDescent="0.25">
      <c r="A24" s="8">
        <f t="shared" si="0"/>
        <v>21</v>
      </c>
      <c r="B24" s="3" t="s">
        <v>254</v>
      </c>
      <c r="C24" s="3" t="s">
        <v>255</v>
      </c>
      <c r="D24" s="3" t="s">
        <v>238</v>
      </c>
      <c r="E24" s="3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1:105" x14ac:dyDescent="0.25">
      <c r="A25" s="8">
        <f t="shared" si="0"/>
        <v>22</v>
      </c>
      <c r="B25" s="3" t="s">
        <v>256</v>
      </c>
      <c r="C25" s="3" t="s">
        <v>94</v>
      </c>
      <c r="D25" s="3" t="s">
        <v>238</v>
      </c>
      <c r="E25" s="3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1:105" x14ac:dyDescent="0.25">
      <c r="A26" s="8">
        <f t="shared" si="0"/>
        <v>23</v>
      </c>
      <c r="B26" s="3" t="s">
        <v>257</v>
      </c>
      <c r="C26" s="13" t="s">
        <v>43</v>
      </c>
      <c r="D26" s="3" t="s">
        <v>238</v>
      </c>
      <c r="E26" s="3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1:105" x14ac:dyDescent="0.25">
      <c r="A27" s="8">
        <f t="shared" si="0"/>
        <v>24</v>
      </c>
      <c r="B27" s="3" t="s">
        <v>112</v>
      </c>
      <c r="C27" s="3" t="s">
        <v>258</v>
      </c>
      <c r="D27" s="3" t="s">
        <v>238</v>
      </c>
      <c r="E27" s="3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1:105" x14ac:dyDescent="0.25">
      <c r="A28" s="8">
        <f t="shared" si="0"/>
        <v>25</v>
      </c>
      <c r="B28" s="3" t="s">
        <v>259</v>
      </c>
      <c r="C28" s="3" t="s">
        <v>41</v>
      </c>
      <c r="D28" s="3" t="s">
        <v>2</v>
      </c>
      <c r="E28" s="3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1:105" x14ac:dyDescent="0.25">
      <c r="A29" s="8">
        <f t="shared" si="0"/>
        <v>26</v>
      </c>
      <c r="B29" s="3" t="s">
        <v>260</v>
      </c>
      <c r="C29" s="3" t="s">
        <v>261</v>
      </c>
      <c r="D29" s="3" t="s">
        <v>10</v>
      </c>
      <c r="E29" s="3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1:105" x14ac:dyDescent="0.25">
      <c r="A30" s="8">
        <f t="shared" si="0"/>
        <v>27</v>
      </c>
      <c r="B30" s="3" t="s">
        <v>38</v>
      </c>
      <c r="C30" s="3" t="s">
        <v>37</v>
      </c>
      <c r="D30" s="3" t="s">
        <v>36</v>
      </c>
      <c r="E30" s="3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1:105" x14ac:dyDescent="0.25">
      <c r="A31" s="8">
        <f t="shared" si="0"/>
        <v>28</v>
      </c>
      <c r="B31" s="3" t="s">
        <v>262</v>
      </c>
      <c r="C31" s="3" t="s">
        <v>263</v>
      </c>
      <c r="D31" s="3" t="s">
        <v>10</v>
      </c>
      <c r="E31" s="3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1:105" x14ac:dyDescent="0.25">
      <c r="A32" s="8">
        <f t="shared" si="0"/>
        <v>29</v>
      </c>
      <c r="B32" s="3" t="s">
        <v>264</v>
      </c>
      <c r="C32" s="3" t="s">
        <v>265</v>
      </c>
      <c r="D32" s="3" t="s">
        <v>266</v>
      </c>
      <c r="E32" s="3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1:105" x14ac:dyDescent="0.25">
      <c r="A33" s="8">
        <f t="shared" si="0"/>
        <v>30</v>
      </c>
      <c r="B33" s="3" t="s">
        <v>267</v>
      </c>
      <c r="C33" s="3" t="s">
        <v>268</v>
      </c>
      <c r="D33" s="3" t="s">
        <v>269</v>
      </c>
      <c r="E33" s="3"/>
      <c r="F33" s="10"/>
      <c r="G33" s="10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1:105" x14ac:dyDescent="0.25">
      <c r="A34" s="8">
        <f t="shared" si="0"/>
        <v>31</v>
      </c>
      <c r="B34" s="3" t="s">
        <v>77</v>
      </c>
      <c r="C34" s="13" t="s">
        <v>76</v>
      </c>
      <c r="D34" s="3" t="s">
        <v>238</v>
      </c>
      <c r="E34" s="3"/>
      <c r="F34" s="10"/>
      <c r="G34" s="10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1:105" x14ac:dyDescent="0.25">
      <c r="A35" s="8">
        <f t="shared" si="0"/>
        <v>32</v>
      </c>
      <c r="B35" s="3" t="s">
        <v>270</v>
      </c>
      <c r="C35" s="3" t="s">
        <v>271</v>
      </c>
      <c r="D35" s="3" t="s">
        <v>238</v>
      </c>
      <c r="E35" s="3"/>
      <c r="F35" s="10"/>
      <c r="G35" s="10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1:105" x14ac:dyDescent="0.25">
      <c r="A36" s="8">
        <f t="shared" si="0"/>
        <v>33</v>
      </c>
      <c r="B36" s="3" t="s">
        <v>272</v>
      </c>
      <c r="C36" s="3" t="s">
        <v>273</v>
      </c>
      <c r="D36" s="3" t="s">
        <v>10</v>
      </c>
      <c r="E36" s="3"/>
      <c r="F36" s="10"/>
      <c r="G36" s="10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1:105" x14ac:dyDescent="0.25">
      <c r="A37" s="8">
        <f t="shared" si="0"/>
        <v>34</v>
      </c>
      <c r="B37" s="3" t="s">
        <v>274</v>
      </c>
      <c r="C37" s="3" t="s">
        <v>275</v>
      </c>
      <c r="D37" s="3" t="s">
        <v>238</v>
      </c>
      <c r="E37" s="3"/>
      <c r="F37" s="10"/>
      <c r="G37" s="10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1:105" x14ac:dyDescent="0.25">
      <c r="A38" s="8">
        <f t="shared" si="0"/>
        <v>35</v>
      </c>
      <c r="B38" s="3" t="s">
        <v>7</v>
      </c>
      <c r="C38" s="3" t="s">
        <v>6</v>
      </c>
      <c r="D38" s="3" t="s">
        <v>238</v>
      </c>
      <c r="E38" s="3"/>
      <c r="F38" s="10"/>
      <c r="G38" s="10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1:105" x14ac:dyDescent="0.25">
      <c r="A39" s="8">
        <f t="shared" si="0"/>
        <v>36</v>
      </c>
      <c r="B39" s="3" t="s">
        <v>276</v>
      </c>
      <c r="C39" s="3" t="s">
        <v>277</v>
      </c>
      <c r="D39" s="3" t="s">
        <v>78</v>
      </c>
      <c r="E39" s="3"/>
      <c r="F39" s="10"/>
      <c r="G39" s="10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1:105" x14ac:dyDescent="0.25">
      <c r="A40" s="8">
        <f t="shared" si="0"/>
        <v>37</v>
      </c>
      <c r="B40" s="3" t="s">
        <v>278</v>
      </c>
      <c r="C40" s="3" t="s">
        <v>59</v>
      </c>
      <c r="D40" s="3" t="s">
        <v>238</v>
      </c>
      <c r="E40" s="3"/>
      <c r="F40" s="10"/>
      <c r="G40" s="10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1:105" x14ac:dyDescent="0.25">
      <c r="A41" s="8">
        <f t="shared" si="0"/>
        <v>38</v>
      </c>
      <c r="B41" s="3" t="s">
        <v>279</v>
      </c>
      <c r="C41" s="3" t="s">
        <v>280</v>
      </c>
      <c r="D41" s="3" t="s">
        <v>2</v>
      </c>
      <c r="E41" s="3"/>
      <c r="F41" s="10"/>
      <c r="G41" s="10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1:105" x14ac:dyDescent="0.25">
      <c r="A42" s="8">
        <f t="shared" si="0"/>
        <v>39</v>
      </c>
      <c r="B42" s="3" t="s">
        <v>281</v>
      </c>
      <c r="C42" s="3" t="s">
        <v>282</v>
      </c>
      <c r="D42" s="3" t="s">
        <v>10</v>
      </c>
      <c r="E42" s="3"/>
      <c r="F42" s="10"/>
      <c r="G42" s="10"/>
      <c r="H42" s="1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1:105" x14ac:dyDescent="0.25">
      <c r="A43" s="8">
        <f t="shared" si="0"/>
        <v>40</v>
      </c>
      <c r="B43" s="3" t="s">
        <v>283</v>
      </c>
      <c r="C43" s="3" t="s">
        <v>284</v>
      </c>
      <c r="D43" s="3" t="s">
        <v>238</v>
      </c>
      <c r="E43" s="3"/>
      <c r="F43" s="10"/>
      <c r="G43" s="10"/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1:105" x14ac:dyDescent="0.25">
      <c r="A44" s="8">
        <f t="shared" si="0"/>
        <v>41</v>
      </c>
      <c r="B44" s="3" t="s">
        <v>285</v>
      </c>
      <c r="C44" s="13" t="s">
        <v>286</v>
      </c>
      <c r="D44" s="3" t="s">
        <v>238</v>
      </c>
      <c r="E44" s="3"/>
      <c r="F44" s="10"/>
      <c r="G44" s="10"/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1:105" x14ac:dyDescent="0.25">
      <c r="A45" s="8">
        <f t="shared" si="0"/>
        <v>42</v>
      </c>
      <c r="B45" s="3" t="s">
        <v>287</v>
      </c>
      <c r="C45" s="3" t="s">
        <v>288</v>
      </c>
      <c r="D45" s="3" t="s">
        <v>266</v>
      </c>
      <c r="E45" s="3"/>
      <c r="F45" s="10"/>
      <c r="G45" s="10"/>
      <c r="H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1:105" x14ac:dyDescent="0.25">
      <c r="A46" s="8">
        <f t="shared" si="0"/>
        <v>43</v>
      </c>
      <c r="B46" s="3" t="s">
        <v>289</v>
      </c>
      <c r="C46" s="3" t="s">
        <v>290</v>
      </c>
      <c r="D46" s="3" t="s">
        <v>238</v>
      </c>
      <c r="E46" s="3"/>
      <c r="F46" s="10"/>
      <c r="G46" s="10"/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1:105" x14ac:dyDescent="0.25">
      <c r="A47" s="8">
        <f t="shared" si="0"/>
        <v>44</v>
      </c>
      <c r="B47" s="3" t="s">
        <v>291</v>
      </c>
      <c r="C47" s="3" t="s">
        <v>292</v>
      </c>
      <c r="D47" s="3" t="s">
        <v>10</v>
      </c>
      <c r="E47" s="3"/>
      <c r="F47" s="10"/>
      <c r="G47" s="10"/>
      <c r="H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1:105" x14ac:dyDescent="0.25">
      <c r="A48" s="8">
        <f t="shared" si="0"/>
        <v>45</v>
      </c>
      <c r="B48" s="3" t="s">
        <v>293</v>
      </c>
      <c r="C48" s="3" t="s">
        <v>294</v>
      </c>
      <c r="D48" s="3" t="s">
        <v>238</v>
      </c>
      <c r="E48" s="3"/>
      <c r="F48" s="10"/>
      <c r="G48" s="10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1:105" x14ac:dyDescent="0.25">
      <c r="A49" s="8">
        <f t="shared" si="0"/>
        <v>46</v>
      </c>
      <c r="B49" s="3" t="s">
        <v>295</v>
      </c>
      <c r="C49" s="3" t="s">
        <v>296</v>
      </c>
      <c r="D49" s="3" t="s">
        <v>2</v>
      </c>
      <c r="E49" s="3"/>
      <c r="F49" s="10"/>
      <c r="G49" s="10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1:105" x14ac:dyDescent="0.25">
      <c r="A50" s="8">
        <f t="shared" si="0"/>
        <v>47</v>
      </c>
      <c r="B50" s="3" t="s">
        <v>297</v>
      </c>
      <c r="C50" s="3" t="s">
        <v>298</v>
      </c>
      <c r="D50" s="3" t="s">
        <v>238</v>
      </c>
      <c r="E50" s="3"/>
      <c r="F50" s="10"/>
      <c r="G50" s="10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1:105" x14ac:dyDescent="0.25">
      <c r="A51" s="8">
        <f t="shared" si="0"/>
        <v>48</v>
      </c>
      <c r="B51" s="3" t="s">
        <v>299</v>
      </c>
      <c r="C51" s="3" t="s">
        <v>300</v>
      </c>
      <c r="D51" s="3" t="s">
        <v>238</v>
      </c>
      <c r="E51" s="3"/>
      <c r="F51" s="10"/>
      <c r="G51" s="10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1:105" x14ac:dyDescent="0.25">
      <c r="A52" s="8">
        <f t="shared" si="0"/>
        <v>49</v>
      </c>
      <c r="B52" s="3" t="s">
        <v>301</v>
      </c>
      <c r="C52" s="3" t="s">
        <v>302</v>
      </c>
      <c r="D52" s="3" t="s">
        <v>104</v>
      </c>
      <c r="E52" s="3"/>
      <c r="F52" s="10"/>
      <c r="G52" s="10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1:105" x14ac:dyDescent="0.25">
      <c r="A53" s="8">
        <f t="shared" si="0"/>
        <v>50</v>
      </c>
      <c r="B53" s="3" t="s">
        <v>303</v>
      </c>
      <c r="C53" s="3" t="s">
        <v>304</v>
      </c>
      <c r="D53" s="3" t="s">
        <v>78</v>
      </c>
      <c r="E53" s="3"/>
      <c r="F53" s="10"/>
      <c r="G53" s="10"/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1:105" x14ac:dyDescent="0.25">
      <c r="A54" s="8">
        <f t="shared" si="0"/>
        <v>51</v>
      </c>
      <c r="B54" s="1" t="s">
        <v>305</v>
      </c>
      <c r="C54" s="3" t="s">
        <v>306</v>
      </c>
      <c r="D54" s="3" t="s">
        <v>307</v>
      </c>
      <c r="E54" s="9">
        <f>+[18]Main!$I$2</f>
        <v>0.74150000000000005</v>
      </c>
      <c r="F54" s="10">
        <f>+[18]Main!$I$4*FX!C5</f>
        <v>796.21973400000002</v>
      </c>
      <c r="G54" s="10">
        <f>+([18]Main!$I$6-[18]Main!$I$5)*FX!C5</f>
        <v>1324.4429999999998</v>
      </c>
      <c r="H54" s="10">
        <f>+F54+G54</f>
        <v>2120.6627339999995</v>
      </c>
      <c r="I54" s="11" t="s">
        <v>236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1:105" x14ac:dyDescent="0.25">
      <c r="A55" s="8">
        <f t="shared" si="0"/>
        <v>52</v>
      </c>
      <c r="B55" s="3" t="s">
        <v>308</v>
      </c>
      <c r="C55" s="3" t="s">
        <v>309</v>
      </c>
      <c r="D55" s="3" t="s">
        <v>246</v>
      </c>
      <c r="E55" s="3"/>
      <c r="F55" s="10"/>
      <c r="G55" s="10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1:105" x14ac:dyDescent="0.25">
      <c r="A56" s="8">
        <f t="shared" si="0"/>
        <v>53</v>
      </c>
      <c r="B56" s="3" t="s">
        <v>310</v>
      </c>
      <c r="C56" s="3" t="s">
        <v>311</v>
      </c>
      <c r="D56" s="3" t="s">
        <v>2</v>
      </c>
      <c r="E56" s="3"/>
      <c r="F56" s="10"/>
      <c r="G56" s="10"/>
      <c r="H56" s="1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1:105" x14ac:dyDescent="0.25">
      <c r="A57" s="8">
        <f t="shared" si="0"/>
        <v>54</v>
      </c>
      <c r="B57" s="3" t="s">
        <v>312</v>
      </c>
      <c r="C57" s="3" t="s">
        <v>312</v>
      </c>
      <c r="D57" s="3" t="s">
        <v>313</v>
      </c>
      <c r="E57" s="3"/>
      <c r="F57" s="10"/>
      <c r="G57" s="10"/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1:105" x14ac:dyDescent="0.25">
      <c r="A58" s="8">
        <f t="shared" si="0"/>
        <v>55</v>
      </c>
      <c r="B58" s="3" t="s">
        <v>314</v>
      </c>
      <c r="C58" s="3" t="s">
        <v>315</v>
      </c>
      <c r="D58" s="3" t="s">
        <v>238</v>
      </c>
      <c r="E58" s="3"/>
      <c r="F58" s="10"/>
      <c r="G58" s="10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1:105" x14ac:dyDescent="0.25">
      <c r="A59" s="8">
        <f t="shared" si="0"/>
        <v>56</v>
      </c>
      <c r="B59" s="3" t="s">
        <v>316</v>
      </c>
      <c r="C59" s="3" t="s">
        <v>317</v>
      </c>
      <c r="D59" s="3" t="s">
        <v>2</v>
      </c>
      <c r="E59" s="3"/>
      <c r="F59" s="10"/>
      <c r="G59" s="10"/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1:105" x14ac:dyDescent="0.25">
      <c r="A60" s="8">
        <f t="shared" si="0"/>
        <v>57</v>
      </c>
      <c r="B60" s="3" t="s">
        <v>318</v>
      </c>
      <c r="C60" s="3" t="s">
        <v>319</v>
      </c>
      <c r="D60" s="3" t="s">
        <v>2</v>
      </c>
      <c r="E60" s="3"/>
      <c r="F60" s="10"/>
      <c r="G60" s="10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1:105" x14ac:dyDescent="0.25">
      <c r="A61" s="8">
        <f t="shared" si="0"/>
        <v>58</v>
      </c>
      <c r="B61" s="3" t="s">
        <v>320</v>
      </c>
      <c r="C61" s="3" t="s">
        <v>321</v>
      </c>
      <c r="D61" s="3" t="s">
        <v>322</v>
      </c>
      <c r="E61" s="3"/>
      <c r="F61" s="10"/>
      <c r="G61" s="10"/>
      <c r="H61" s="1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1:105" x14ac:dyDescent="0.25">
      <c r="A62" s="8">
        <f t="shared" si="0"/>
        <v>59</v>
      </c>
      <c r="B62" s="3" t="s">
        <v>323</v>
      </c>
      <c r="C62" s="3" t="s">
        <v>324</v>
      </c>
      <c r="D62" s="3" t="s">
        <v>2</v>
      </c>
      <c r="E62" s="3"/>
      <c r="F62" s="10"/>
      <c r="G62" s="10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1:105" x14ac:dyDescent="0.25">
      <c r="A63" s="8">
        <f t="shared" si="0"/>
        <v>60</v>
      </c>
      <c r="B63" s="3" t="s">
        <v>325</v>
      </c>
      <c r="C63" s="3" t="s">
        <v>326</v>
      </c>
      <c r="D63" s="3" t="s">
        <v>2</v>
      </c>
      <c r="E63" s="3"/>
      <c r="F63" s="10"/>
      <c r="G63" s="10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1:105" x14ac:dyDescent="0.25">
      <c r="A64" s="8">
        <f t="shared" si="0"/>
        <v>61</v>
      </c>
      <c r="B64" s="3" t="s">
        <v>327</v>
      </c>
      <c r="C64" s="3" t="s">
        <v>328</v>
      </c>
      <c r="D64" s="3" t="s">
        <v>2</v>
      </c>
      <c r="E64" s="3"/>
      <c r="F64" s="10"/>
      <c r="G64" s="10"/>
      <c r="H64" s="1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1:105" x14ac:dyDescent="0.25">
      <c r="A65" s="8">
        <f t="shared" si="0"/>
        <v>62</v>
      </c>
      <c r="B65" s="3" t="s">
        <v>329</v>
      </c>
      <c r="C65" s="3" t="s">
        <v>330</v>
      </c>
      <c r="D65" s="3" t="s">
        <v>2</v>
      </c>
      <c r="E65" s="3"/>
      <c r="F65" s="10"/>
      <c r="G65" s="10"/>
      <c r="H65" s="1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1:105" x14ac:dyDescent="0.25">
      <c r="A66" s="8">
        <f t="shared" si="0"/>
        <v>63</v>
      </c>
      <c r="B66" s="1" t="s">
        <v>331</v>
      </c>
      <c r="C66" s="3" t="s">
        <v>332</v>
      </c>
      <c r="D66" s="3" t="s">
        <v>31</v>
      </c>
      <c r="E66" s="3"/>
      <c r="F66" s="10"/>
      <c r="G66" s="10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1:10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1:10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1:10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1:105" x14ac:dyDescent="0.25">
      <c r="A70" s="3"/>
      <c r="B70" s="26" t="s">
        <v>2596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1:105" x14ac:dyDescent="0.25">
      <c r="A71" s="3"/>
      <c r="B71" s="26" t="s">
        <v>2597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1:10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1:10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1:10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1:10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1:10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1:10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1:10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1:10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1:10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1:10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1:10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1:10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1:10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1:10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1:10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1:10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1:10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1:10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1:10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1:10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1:10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1:10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1:10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1:10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1:10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1:10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1:10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1:10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1:10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1:10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1:10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1:10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1:10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1:10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1:10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1:10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1:10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1:10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1:10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1:10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1:10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1:10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1:10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1:10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1:10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1:10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1:10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1:10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1:10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1:10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1:10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1:10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1:10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1:10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1:10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1:10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1:10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1:10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1:10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1:10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1:10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1:10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1:10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1:10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1:10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1:10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1:10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1:10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1:10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1:10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1:10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1:10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1:10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1:10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1:10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1:10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1:10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1:10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1:10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1:10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1:10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1:10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1:10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1:10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1:10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1:10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1:10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1:10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1:10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1:10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1:10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1:10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1:10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1:10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1:10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1:10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1:10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1:10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1:10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1:10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1:10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1:10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1:10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1:10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1:10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1:10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1:10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1:10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1:10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1:10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1:10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1:10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1:10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1:10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1:10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1:10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1:10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1:10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1:10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1:10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1:10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1:10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1:10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1:10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1:10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1:10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1:10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1:10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1:10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1:10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1:10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1:10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1:10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1:10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1:10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1:10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1:10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1:10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1:10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1:10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1:10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1:10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1:10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1:10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1:10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1:10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1:10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1:10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1:10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1:10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1:10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1:10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1:10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1:10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1:10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1:10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1:10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1:10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1:10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1:10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1:10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1:10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1:10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1:10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1:10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1:10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1:10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1:10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1:10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1:10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1:10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1:10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1:10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1:10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1:10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1:10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1:10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1:10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1:10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1:10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1:10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1:10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1:10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1:10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1:10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1:10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1:10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1:10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1:10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1:10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1:10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1:10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1:10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1:10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1:10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1:10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1:10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1:10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1:10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1:10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1:10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1:10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1:10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1:10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1:10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1:10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1:10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1:10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1:10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1:10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1:10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1:10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1:10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1:10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1:10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1:10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1:10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1:10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1:10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1:10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1:10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1:10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1:10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1:10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1:10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1:10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1:10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1:10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1:10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1:10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1:10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1:10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1:10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1:10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1:10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1:10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1:10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1:10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1:10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1:10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1:10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1:10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1:10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1:10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1:10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1:10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1:10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1:10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1:10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1:10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1:10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1:10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1:10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1:10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1:10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1:10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1:10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1:10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1:10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1:10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1:10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1:10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1:10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1:10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1:10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1:10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1:10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1:10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1:10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1:10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1:10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1:10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1:10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1:10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1:10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1:10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1:10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1:10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1:10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1:10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1:10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1:10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1:10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1:10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1:10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1:10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1:10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1:10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1:10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1:10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1:10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1:10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1:10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1:10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1:10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1:10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1:10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1:10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1:10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1:10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1:10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1:10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1:10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1:10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1:10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1:10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1:10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1:10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1:10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1:10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1:10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1:10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1:10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1:10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1:10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1:10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1:10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1:10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1:10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1:10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1:10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1:10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1:10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1:10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1:10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1:10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1:10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1:10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1:10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1:10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1:10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1:10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1:10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1:10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1:10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1:10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1:10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1:10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1:10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1:10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1:10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1:10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1:10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1:10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1:10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1:10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1:10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1:10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1:10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1:10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1:10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1:10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1:10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1:10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1:10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1:10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1:10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1:10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1:10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1:10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1:10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1:10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1:10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1:10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1:10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1:10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1:10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1:10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1:10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1:10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1:10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1:10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1:10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1:10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1:10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1:10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1:10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1:10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1:10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1:10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1:10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1:10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1:10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1:10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1:10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1:10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1:10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1:10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1:10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1:10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1:10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1:10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1:10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1:10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1:10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1:10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1:10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1:10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1:10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1:10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1:10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1:10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1:10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1:10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1:10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1:10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1:10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1:10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1:10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1:10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1:10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1:10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1:10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1:10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1:10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1:10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1:10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1:10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1:10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1:10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1:10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1:10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1:10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1:10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1:10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1:10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1:10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1:10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1:10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1:10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1:10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1:10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1:10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1:10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</sheetData>
  <hyperlinks>
    <hyperlink ref="B66" r:id="rId1" xr:uid="{B92A16EB-5C40-45ED-91B6-B1A11194C095}"/>
    <hyperlink ref="B4" r:id="rId2" xr:uid="{90E473E6-6E94-4A5B-8F74-F6BA2D3E2EE9}"/>
    <hyperlink ref="B15" r:id="rId3" xr:uid="{02790BA5-88C3-47F9-9C61-2DBB0C328648}"/>
    <hyperlink ref="B13" r:id="rId4" xr:uid="{EFB40CE4-B2D6-477C-8D92-AB90C6FA778F}"/>
    <hyperlink ref="B11" r:id="rId5" xr:uid="{3B446513-750A-47A1-B844-69287AB80B63}"/>
    <hyperlink ref="B6" r:id="rId6" xr:uid="{1C45EC13-2B5E-4F69-A6DF-9D52756B296F}"/>
    <hyperlink ref="B7" r:id="rId7" xr:uid="{812836D7-B730-4AFB-B5F1-B949CD7C2197}"/>
    <hyperlink ref="B54" r:id="rId8" xr:uid="{53D9F8CB-F8EB-460E-A27A-EAF33066A976}"/>
    <hyperlink ref="B5" r:id="rId9" xr:uid="{83AA7587-B0AF-47C7-9847-4532DEF231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1446-867A-48FD-BFD5-4BAC6DAC2D69}">
  <dimension ref="A1:AG718"/>
  <sheetViews>
    <sheetView zoomScale="200" zoomScaleNormal="200" workbookViewId="0">
      <pane ySplit="3" topLeftCell="A701" activePane="bottomLeft" state="frozen"/>
      <selection pane="bottomLeft" activeCell="B716" sqref="B716"/>
    </sheetView>
  </sheetViews>
  <sheetFormatPr defaultRowHeight="12.75" x14ac:dyDescent="0.2"/>
  <cols>
    <col min="1" max="1" width="3.85546875" style="36" customWidth="1"/>
    <col min="2" max="2" width="25.7109375" style="36" bestFit="1" customWidth="1"/>
    <col min="3" max="3" width="14.28515625" style="36" bestFit="1" customWidth="1"/>
    <col min="4" max="4" width="7.7109375" style="36" bestFit="1" customWidth="1"/>
    <col min="5" max="5" width="9.28515625" style="36" bestFit="1" customWidth="1"/>
    <col min="6" max="6" width="10.140625" style="36" bestFit="1" customWidth="1"/>
    <col min="7" max="8" width="9.42578125" style="36" bestFit="1" customWidth="1"/>
    <col min="9" max="9" width="9.140625" style="39"/>
    <col min="10" max="16384" width="9.140625" style="36"/>
  </cols>
  <sheetData>
    <row r="1" spans="1:33" s="4" customFormat="1" ht="13.5" x14ac:dyDescent="0.25">
      <c r="A1" s="1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s="4" customFormat="1" ht="13.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4" customFormat="1" ht="13.5" x14ac:dyDescent="0.25">
      <c r="A3" s="14" t="s">
        <v>224</v>
      </c>
      <c r="B3" s="15" t="s">
        <v>223</v>
      </c>
      <c r="C3" s="15" t="s">
        <v>222</v>
      </c>
      <c r="D3" s="15" t="s">
        <v>221</v>
      </c>
      <c r="E3" s="16" t="s">
        <v>415</v>
      </c>
      <c r="F3" s="16" t="s">
        <v>230</v>
      </c>
      <c r="G3" s="16" t="s">
        <v>231</v>
      </c>
      <c r="H3" s="16" t="s">
        <v>232</v>
      </c>
      <c r="I3" s="15" t="s">
        <v>416</v>
      </c>
      <c r="J3" s="15" t="s">
        <v>417</v>
      </c>
      <c r="K3" s="15"/>
      <c r="L3" s="15"/>
      <c r="M3" s="15"/>
      <c r="N3" s="15"/>
      <c r="O3" s="15"/>
      <c r="P3" s="15"/>
      <c r="Q3" s="15"/>
      <c r="R3" s="15"/>
      <c r="S3" s="1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">
      <c r="A4" s="35">
        <v>1</v>
      </c>
      <c r="B4" s="1" t="s">
        <v>220</v>
      </c>
      <c r="C4" s="36" t="s">
        <v>219</v>
      </c>
      <c r="D4" s="36" t="s">
        <v>179</v>
      </c>
      <c r="E4" s="37">
        <f>+[1]Main!$H$2</f>
        <v>2290</v>
      </c>
      <c r="F4" s="38">
        <f>+[1]Main!$H$4*FX!C7</f>
        <v>1840912.68</v>
      </c>
      <c r="G4" s="38">
        <f>+([1]Main!$H$6-[1]Main!$H$5)*FX!C7</f>
        <v>-78602.546000000002</v>
      </c>
      <c r="H4" s="38">
        <f t="shared" ref="H4:H10" si="0">+F4+G4</f>
        <v>1762310.1339999998</v>
      </c>
      <c r="I4" s="39" t="s">
        <v>236</v>
      </c>
    </row>
    <row r="5" spans="1:33" x14ac:dyDescent="0.2">
      <c r="A5" s="35">
        <f t="shared" ref="A5:A36" si="1">+A4+1</f>
        <v>2</v>
      </c>
      <c r="B5" s="1" t="s">
        <v>218</v>
      </c>
      <c r="C5" s="36" t="s">
        <v>217</v>
      </c>
      <c r="D5" s="36" t="s">
        <v>2</v>
      </c>
      <c r="E5" s="37">
        <f>+[2]Main!$K$2</f>
        <v>352.05</v>
      </c>
      <c r="F5" s="40">
        <f>+[2]Main!$K$4</f>
        <v>1139585.8500000001</v>
      </c>
      <c r="G5" s="40">
        <f>+[2]Main!$K$6-[2]Main!$K$5</f>
        <v>-34182</v>
      </c>
      <c r="H5" s="40">
        <f t="shared" si="0"/>
        <v>1105403.8500000001</v>
      </c>
      <c r="I5" s="39" t="s">
        <v>236</v>
      </c>
    </row>
    <row r="6" spans="1:33" x14ac:dyDescent="0.2">
      <c r="A6" s="35">
        <f t="shared" si="1"/>
        <v>3</v>
      </c>
      <c r="B6" s="1" t="s">
        <v>216</v>
      </c>
      <c r="C6" s="36" t="s">
        <v>215</v>
      </c>
      <c r="D6" s="36" t="s">
        <v>61</v>
      </c>
      <c r="E6" s="37">
        <f>+[3]Main!$J$2</f>
        <v>71500</v>
      </c>
      <c r="F6" s="40">
        <f>+[3]Main!$J$4*FX!C8</f>
        <v>294131.1097725</v>
      </c>
      <c r="G6" s="40">
        <f>+([3]Main!$J$6-[3]Main!$J$5)*FX!C8</f>
        <v>-61521.653899999998</v>
      </c>
      <c r="H6" s="40">
        <f t="shared" si="0"/>
        <v>232609.4558725</v>
      </c>
      <c r="I6" s="39" t="s">
        <v>236</v>
      </c>
    </row>
    <row r="7" spans="1:33" x14ac:dyDescent="0.2">
      <c r="A7" s="35">
        <f t="shared" si="1"/>
        <v>4</v>
      </c>
      <c r="B7" s="1" t="s">
        <v>214</v>
      </c>
      <c r="C7" s="36" t="s">
        <v>213</v>
      </c>
      <c r="D7" s="36" t="s">
        <v>10</v>
      </c>
      <c r="E7" s="37">
        <f>+[4]Main!$J$2</f>
        <v>2420</v>
      </c>
      <c r="F7" s="40">
        <f>+[4]Main!$J$4*FX!C6</f>
        <v>260582.97971111999</v>
      </c>
      <c r="G7" s="40">
        <f>+([4]Main!$J$6-[4]Main!$J$5)*FX!C8</f>
        <v>22288.672699999999</v>
      </c>
      <c r="H7" s="40">
        <f t="shared" si="0"/>
        <v>282871.65241112001</v>
      </c>
      <c r="I7" s="39" t="s">
        <v>236</v>
      </c>
    </row>
    <row r="8" spans="1:33" x14ac:dyDescent="0.2">
      <c r="A8" s="35">
        <f t="shared" si="1"/>
        <v>5</v>
      </c>
      <c r="B8" s="1" t="s">
        <v>212</v>
      </c>
      <c r="C8" s="36" t="s">
        <v>211</v>
      </c>
      <c r="D8" s="36" t="s">
        <v>2</v>
      </c>
      <c r="E8" s="37">
        <f>+[5]Main!$J$2</f>
        <v>298.69</v>
      </c>
      <c r="F8" s="40">
        <f>+[5]Main!$J$4</f>
        <v>142753.51624856002</v>
      </c>
      <c r="G8" s="40">
        <f>+[5]Main!$J$6-[5]Main!$J$5</f>
        <v>31520</v>
      </c>
      <c r="H8" s="40">
        <f t="shared" si="0"/>
        <v>174273.51624856002</v>
      </c>
      <c r="I8" s="39" t="s">
        <v>236</v>
      </c>
    </row>
    <row r="9" spans="1:33" x14ac:dyDescent="0.2">
      <c r="A9" s="35">
        <f t="shared" si="1"/>
        <v>6</v>
      </c>
      <c r="B9" s="1" t="s">
        <v>210</v>
      </c>
      <c r="C9" s="36" t="s">
        <v>2213</v>
      </c>
      <c r="D9" s="36" t="s">
        <v>5</v>
      </c>
      <c r="E9" s="37">
        <f>+[6]Main!$I$2</f>
        <v>56.2</v>
      </c>
      <c r="F9" s="40">
        <f>+[6]Main!$I$5*FX!C4</f>
        <v>187067.70580176005</v>
      </c>
      <c r="G9" s="40">
        <f>+([6]Main!$I$7-[6]Main!$I$6)*FX!C4</f>
        <v>-11416.8614</v>
      </c>
      <c r="H9" s="40">
        <f t="shared" si="0"/>
        <v>175650.84440176006</v>
      </c>
      <c r="I9" s="39" t="s">
        <v>2200</v>
      </c>
    </row>
    <row r="10" spans="1:33" x14ac:dyDescent="0.2">
      <c r="A10" s="35">
        <f t="shared" si="1"/>
        <v>7</v>
      </c>
      <c r="B10" s="1" t="s">
        <v>209</v>
      </c>
      <c r="C10" s="36" t="s">
        <v>208</v>
      </c>
      <c r="D10" s="36" t="s">
        <v>5</v>
      </c>
      <c r="E10" s="37">
        <f>+[7]Main!$I$2</f>
        <v>372</v>
      </c>
      <c r="F10" s="40">
        <f>+[7]Main!$I$4*FX!C4</f>
        <v>151555.88501088004</v>
      </c>
      <c r="G10" s="40">
        <f>+([7]Main!$I$6-[7]Main!$I$5)*FX!C4</f>
        <v>0</v>
      </c>
      <c r="H10" s="40">
        <f t="shared" si="0"/>
        <v>151555.88501088004</v>
      </c>
      <c r="I10" s="39" t="s">
        <v>236</v>
      </c>
    </row>
    <row r="11" spans="1:33" x14ac:dyDescent="0.2">
      <c r="A11" s="35">
        <f t="shared" si="1"/>
        <v>8</v>
      </c>
      <c r="B11" s="36" t="s">
        <v>207</v>
      </c>
      <c r="C11" s="36" t="s">
        <v>206</v>
      </c>
      <c r="D11" s="36" t="s">
        <v>119</v>
      </c>
      <c r="E11" s="37"/>
      <c r="F11" s="40"/>
      <c r="G11" s="40"/>
      <c r="H11" s="40"/>
    </row>
    <row r="12" spans="1:33" x14ac:dyDescent="0.2">
      <c r="A12" s="35">
        <f t="shared" si="1"/>
        <v>9</v>
      </c>
      <c r="B12" s="1" t="s">
        <v>205</v>
      </c>
      <c r="C12" s="36" t="s">
        <v>204</v>
      </c>
      <c r="D12" s="36" t="s">
        <v>2</v>
      </c>
      <c r="E12" s="37">
        <f>+[8]Main!$H$2</f>
        <v>485.5</v>
      </c>
      <c r="F12" s="40">
        <f>+[8]Main!$H$4</f>
        <v>131849.79941100001</v>
      </c>
      <c r="G12" s="40">
        <f>+[8]Main!$H$6-[8]Main!$H$5</f>
        <v>56715</v>
      </c>
      <c r="H12" s="40">
        <f>+F12+G12</f>
        <v>188564.79941100001</v>
      </c>
      <c r="I12" s="39" t="s">
        <v>236</v>
      </c>
    </row>
    <row r="13" spans="1:33" x14ac:dyDescent="0.2">
      <c r="A13" s="35">
        <f t="shared" si="1"/>
        <v>10</v>
      </c>
      <c r="B13" s="1" t="s">
        <v>203</v>
      </c>
      <c r="C13" s="36" t="s">
        <v>202</v>
      </c>
      <c r="D13" s="36" t="s">
        <v>2</v>
      </c>
      <c r="E13" s="37">
        <f>+[9]Main!$I$2</f>
        <v>215.01</v>
      </c>
      <c r="F13" s="40">
        <f>+[9]Main!$I$4</f>
        <v>162118.71696474002</v>
      </c>
      <c r="G13" s="40">
        <f>+[9]Main!$I$6-[9]Main!$I$5</f>
        <v>29944</v>
      </c>
      <c r="H13" s="40">
        <f>+F13+G13</f>
        <v>192062.71696474002</v>
      </c>
      <c r="I13" s="39" t="s">
        <v>2200</v>
      </c>
    </row>
    <row r="14" spans="1:33" x14ac:dyDescent="0.2">
      <c r="A14" s="35">
        <f t="shared" si="1"/>
        <v>11</v>
      </c>
      <c r="B14" s="1" t="s">
        <v>201</v>
      </c>
      <c r="C14" s="36" t="s">
        <v>200</v>
      </c>
      <c r="D14" s="36" t="s">
        <v>2</v>
      </c>
      <c r="E14" s="37">
        <f>+[10]Main!$K$2</f>
        <v>639</v>
      </c>
      <c r="F14" s="40">
        <f>+[10]Main!$K$4</f>
        <v>148695.29999999999</v>
      </c>
      <c r="G14" s="40">
        <f>+[10]Main!$K$6-[10]Main!$K$5</f>
        <v>17579</v>
      </c>
      <c r="H14" s="40">
        <f>+F14+G14</f>
        <v>166274.29999999999</v>
      </c>
      <c r="I14" s="39" t="s">
        <v>343</v>
      </c>
    </row>
    <row r="15" spans="1:33" x14ac:dyDescent="0.2">
      <c r="A15" s="35">
        <f t="shared" si="1"/>
        <v>12</v>
      </c>
      <c r="B15" s="1" t="s">
        <v>199</v>
      </c>
      <c r="C15" s="36" t="s">
        <v>198</v>
      </c>
      <c r="D15" s="36" t="s">
        <v>2</v>
      </c>
      <c r="E15" s="37">
        <f>+[11]Main!$J$2</f>
        <v>176.33</v>
      </c>
      <c r="F15" s="40">
        <f>+[11]Main!$J$4</f>
        <v>105088.53324739002</v>
      </c>
      <c r="G15" s="40">
        <f>+[11]Main!$J$6-[11]Main!$J$5</f>
        <v>4296.9570000000003</v>
      </c>
      <c r="H15" s="40">
        <f>+F15+G15</f>
        <v>109385.49024739001</v>
      </c>
      <c r="I15" s="39" t="s">
        <v>2200</v>
      </c>
    </row>
    <row r="16" spans="1:33" x14ac:dyDescent="0.2">
      <c r="A16" s="35">
        <f t="shared" si="1"/>
        <v>13</v>
      </c>
      <c r="B16" s="1" t="s">
        <v>197</v>
      </c>
      <c r="C16" s="36" t="s">
        <v>196</v>
      </c>
      <c r="D16" s="36" t="s">
        <v>2</v>
      </c>
      <c r="E16" s="37">
        <f>+[12]Main!$K$2</f>
        <v>82.72</v>
      </c>
      <c r="F16" s="40">
        <f>+[12]Main!$K$4</f>
        <v>85340</v>
      </c>
      <c r="G16" s="40">
        <f>+[12]Main!$K$6-[12]Main!$K$5</f>
        <v>12242</v>
      </c>
      <c r="H16" s="40">
        <f>+F16+G16</f>
        <v>97582</v>
      </c>
      <c r="I16" s="39" t="s">
        <v>343</v>
      </c>
    </row>
    <row r="17" spans="1:8" x14ac:dyDescent="0.2">
      <c r="A17" s="35">
        <f t="shared" si="1"/>
        <v>14</v>
      </c>
      <c r="B17" s="36" t="s">
        <v>195</v>
      </c>
      <c r="C17" s="36" t="s">
        <v>194</v>
      </c>
      <c r="D17" s="36" t="s">
        <v>193</v>
      </c>
      <c r="E17" s="37"/>
      <c r="F17" s="40"/>
      <c r="G17" s="40"/>
      <c r="H17" s="40"/>
    </row>
    <row r="18" spans="1:8" x14ac:dyDescent="0.2">
      <c r="A18" s="35">
        <f t="shared" si="1"/>
        <v>15</v>
      </c>
      <c r="B18" s="36" t="s">
        <v>192</v>
      </c>
      <c r="C18" s="36" t="s">
        <v>2</v>
      </c>
      <c r="D18" s="36" t="s">
        <v>191</v>
      </c>
      <c r="E18" s="37"/>
      <c r="F18" s="40"/>
      <c r="G18" s="40"/>
      <c r="H18" s="40"/>
    </row>
    <row r="19" spans="1:8" x14ac:dyDescent="0.2">
      <c r="A19" s="35">
        <f t="shared" si="1"/>
        <v>16</v>
      </c>
      <c r="B19" s="36" t="s">
        <v>190</v>
      </c>
      <c r="C19" s="36" t="s">
        <v>189</v>
      </c>
      <c r="D19" s="36" t="s">
        <v>5</v>
      </c>
      <c r="E19" s="37"/>
      <c r="F19" s="40"/>
      <c r="G19" s="40"/>
      <c r="H19" s="40"/>
    </row>
    <row r="20" spans="1:8" x14ac:dyDescent="0.2">
      <c r="A20" s="35">
        <f t="shared" si="1"/>
        <v>17</v>
      </c>
      <c r="B20" s="1" t="s">
        <v>188</v>
      </c>
      <c r="C20" s="36" t="s">
        <v>187</v>
      </c>
      <c r="D20" s="36" t="s">
        <v>186</v>
      </c>
      <c r="E20" s="37"/>
      <c r="F20" s="40"/>
      <c r="G20" s="40"/>
      <c r="H20" s="40"/>
    </row>
    <row r="21" spans="1:8" x14ac:dyDescent="0.2">
      <c r="A21" s="35">
        <f t="shared" si="1"/>
        <v>18</v>
      </c>
      <c r="B21" s="36" t="s">
        <v>185</v>
      </c>
      <c r="C21" s="36" t="s">
        <v>184</v>
      </c>
      <c r="D21" s="36" t="s">
        <v>78</v>
      </c>
      <c r="E21" s="37"/>
      <c r="F21" s="40"/>
      <c r="G21" s="40"/>
      <c r="H21" s="40"/>
    </row>
    <row r="22" spans="1:8" x14ac:dyDescent="0.2">
      <c r="A22" s="35">
        <f t="shared" si="1"/>
        <v>19</v>
      </c>
      <c r="B22" s="36" t="s">
        <v>183</v>
      </c>
      <c r="C22" s="36" t="s">
        <v>182</v>
      </c>
      <c r="D22" s="36" t="s">
        <v>2</v>
      </c>
      <c r="E22" s="37"/>
      <c r="F22" s="40"/>
      <c r="G22" s="40"/>
      <c r="H22" s="40"/>
    </row>
    <row r="23" spans="1:8" x14ac:dyDescent="0.2">
      <c r="A23" s="35">
        <f t="shared" si="1"/>
        <v>20</v>
      </c>
      <c r="B23" s="1" t="s">
        <v>181</v>
      </c>
      <c r="C23" s="36" t="s">
        <v>180</v>
      </c>
      <c r="D23" s="36" t="s">
        <v>179</v>
      </c>
      <c r="E23" s="37"/>
      <c r="F23" s="40"/>
      <c r="G23" s="40"/>
      <c r="H23" s="40"/>
    </row>
    <row r="24" spans="1:8" x14ac:dyDescent="0.2">
      <c r="A24" s="35">
        <f t="shared" si="1"/>
        <v>21</v>
      </c>
      <c r="B24" s="36" t="s">
        <v>178</v>
      </c>
      <c r="C24" s="36" t="s">
        <v>177</v>
      </c>
      <c r="D24" s="36" t="s">
        <v>2</v>
      </c>
      <c r="E24" s="37"/>
      <c r="F24" s="40"/>
      <c r="G24" s="40"/>
      <c r="H24" s="40"/>
    </row>
    <row r="25" spans="1:8" x14ac:dyDescent="0.2">
      <c r="A25" s="35">
        <f t="shared" si="1"/>
        <v>22</v>
      </c>
      <c r="B25" s="36" t="s">
        <v>176</v>
      </c>
      <c r="C25" s="36" t="s">
        <v>175</v>
      </c>
      <c r="D25" s="36" t="s">
        <v>78</v>
      </c>
      <c r="E25" s="37"/>
      <c r="F25" s="40"/>
      <c r="G25" s="40"/>
      <c r="H25" s="40"/>
    </row>
    <row r="26" spans="1:8" x14ac:dyDescent="0.2">
      <c r="A26" s="35">
        <f t="shared" si="1"/>
        <v>23</v>
      </c>
      <c r="B26" s="36" t="s">
        <v>174</v>
      </c>
      <c r="C26" s="36" t="s">
        <v>173</v>
      </c>
      <c r="D26" s="36" t="s">
        <v>31</v>
      </c>
      <c r="E26" s="37"/>
      <c r="F26" s="40"/>
      <c r="G26" s="40"/>
      <c r="H26" s="40"/>
    </row>
    <row r="27" spans="1:8" x14ac:dyDescent="0.2">
      <c r="A27" s="35">
        <f t="shared" si="1"/>
        <v>24</v>
      </c>
      <c r="B27" s="36" t="s">
        <v>172</v>
      </c>
      <c r="C27" s="36" t="s">
        <v>171</v>
      </c>
      <c r="D27" s="36" t="s">
        <v>5</v>
      </c>
      <c r="E27" s="37"/>
      <c r="F27" s="40"/>
      <c r="G27" s="40"/>
      <c r="H27" s="40"/>
    </row>
    <row r="28" spans="1:8" x14ac:dyDescent="0.2">
      <c r="A28" s="35">
        <f t="shared" si="1"/>
        <v>25</v>
      </c>
      <c r="B28" s="36" t="s">
        <v>170</v>
      </c>
      <c r="C28" s="36" t="s">
        <v>169</v>
      </c>
      <c r="D28" s="36" t="s">
        <v>2</v>
      </c>
      <c r="E28" s="37"/>
      <c r="F28" s="40"/>
      <c r="G28" s="40"/>
      <c r="H28" s="40"/>
    </row>
    <row r="29" spans="1:8" x14ac:dyDescent="0.2">
      <c r="A29" s="35">
        <f t="shared" si="1"/>
        <v>26</v>
      </c>
      <c r="B29" s="36" t="s">
        <v>168</v>
      </c>
      <c r="C29" s="36" t="s">
        <v>167</v>
      </c>
      <c r="D29" s="36" t="s">
        <v>166</v>
      </c>
      <c r="E29" s="37"/>
      <c r="F29" s="40"/>
      <c r="G29" s="40"/>
      <c r="H29" s="40"/>
    </row>
    <row r="30" spans="1:8" x14ac:dyDescent="0.2">
      <c r="A30" s="35">
        <f t="shared" si="1"/>
        <v>27</v>
      </c>
      <c r="B30" s="36" t="s">
        <v>165</v>
      </c>
      <c r="C30" s="36" t="s">
        <v>164</v>
      </c>
      <c r="D30" s="36" t="s">
        <v>2</v>
      </c>
      <c r="E30" s="37"/>
      <c r="F30" s="40"/>
      <c r="G30" s="40"/>
      <c r="H30" s="40"/>
    </row>
    <row r="31" spans="1:8" x14ac:dyDescent="0.2">
      <c r="A31" s="35">
        <f t="shared" si="1"/>
        <v>28</v>
      </c>
      <c r="B31" s="1" t="s">
        <v>163</v>
      </c>
      <c r="C31" s="36" t="s">
        <v>162</v>
      </c>
      <c r="D31" s="36" t="s">
        <v>31</v>
      </c>
      <c r="E31" s="37"/>
      <c r="F31" s="40"/>
      <c r="G31" s="40"/>
      <c r="H31" s="40"/>
    </row>
    <row r="32" spans="1:8" x14ac:dyDescent="0.2">
      <c r="A32" s="35">
        <f t="shared" si="1"/>
        <v>29</v>
      </c>
      <c r="B32" s="36" t="s">
        <v>161</v>
      </c>
      <c r="C32" s="36" t="s">
        <v>160</v>
      </c>
      <c r="D32" s="36" t="s">
        <v>61</v>
      </c>
      <c r="E32" s="37"/>
      <c r="F32" s="40"/>
      <c r="G32" s="40"/>
      <c r="H32" s="40"/>
    </row>
    <row r="33" spans="1:8" x14ac:dyDescent="0.2">
      <c r="A33" s="35">
        <f t="shared" si="1"/>
        <v>30</v>
      </c>
      <c r="B33" s="36" t="s">
        <v>159</v>
      </c>
      <c r="C33" s="36" t="s">
        <v>158</v>
      </c>
      <c r="D33" s="36" t="s">
        <v>31</v>
      </c>
      <c r="E33" s="37"/>
      <c r="F33" s="40"/>
      <c r="G33" s="40"/>
      <c r="H33" s="40"/>
    </row>
    <row r="34" spans="1:8" x14ac:dyDescent="0.2">
      <c r="A34" s="35">
        <f t="shared" si="1"/>
        <v>31</v>
      </c>
      <c r="B34" s="36" t="s">
        <v>157</v>
      </c>
      <c r="C34" s="36" t="s">
        <v>156</v>
      </c>
      <c r="D34" s="36" t="s">
        <v>2</v>
      </c>
      <c r="E34" s="37"/>
      <c r="F34" s="40"/>
      <c r="G34" s="40"/>
      <c r="H34" s="40"/>
    </row>
    <row r="35" spans="1:8" x14ac:dyDescent="0.2">
      <c r="A35" s="35">
        <f t="shared" si="1"/>
        <v>32</v>
      </c>
      <c r="B35" s="1" t="s">
        <v>155</v>
      </c>
      <c r="C35" s="36" t="s">
        <v>154</v>
      </c>
      <c r="D35" s="36" t="s">
        <v>2</v>
      </c>
      <c r="E35" s="37"/>
      <c r="F35" s="40"/>
      <c r="G35" s="40"/>
      <c r="H35" s="40"/>
    </row>
    <row r="36" spans="1:8" x14ac:dyDescent="0.2">
      <c r="A36" s="35">
        <f t="shared" si="1"/>
        <v>33</v>
      </c>
      <c r="B36" s="36" t="s">
        <v>153</v>
      </c>
      <c r="C36" s="36" t="s">
        <v>152</v>
      </c>
      <c r="D36" s="36" t="s">
        <v>31</v>
      </c>
      <c r="E36" s="37"/>
      <c r="F36" s="40"/>
      <c r="G36" s="40"/>
      <c r="H36" s="40"/>
    </row>
    <row r="37" spans="1:8" x14ac:dyDescent="0.2">
      <c r="A37" s="35">
        <f t="shared" ref="A37:A68" si="2">+A36+1</f>
        <v>34</v>
      </c>
      <c r="B37" s="36" t="s">
        <v>151</v>
      </c>
      <c r="C37" s="36" t="s">
        <v>150</v>
      </c>
      <c r="D37" s="36" t="s">
        <v>2</v>
      </c>
      <c r="E37" s="37"/>
      <c r="F37" s="40"/>
      <c r="G37" s="40"/>
      <c r="H37" s="40"/>
    </row>
    <row r="38" spans="1:8" x14ac:dyDescent="0.2">
      <c r="A38" s="35">
        <f t="shared" si="2"/>
        <v>35</v>
      </c>
      <c r="B38" s="36" t="s">
        <v>149</v>
      </c>
      <c r="C38" s="36" t="s">
        <v>148</v>
      </c>
      <c r="D38" s="36" t="s">
        <v>47</v>
      </c>
      <c r="E38" s="37"/>
      <c r="F38" s="40"/>
      <c r="G38" s="40"/>
      <c r="H38" s="40"/>
    </row>
    <row r="39" spans="1:8" x14ac:dyDescent="0.2">
      <c r="A39" s="35">
        <f t="shared" si="2"/>
        <v>36</v>
      </c>
      <c r="B39" s="36" t="s">
        <v>147</v>
      </c>
      <c r="C39" s="36" t="s">
        <v>146</v>
      </c>
      <c r="D39" s="36" t="s">
        <v>2</v>
      </c>
      <c r="E39" s="37"/>
      <c r="F39" s="40"/>
      <c r="G39" s="40"/>
      <c r="H39" s="40"/>
    </row>
    <row r="40" spans="1:8" x14ac:dyDescent="0.2">
      <c r="A40" s="35">
        <f t="shared" si="2"/>
        <v>37</v>
      </c>
      <c r="B40" s="36" t="s">
        <v>145</v>
      </c>
      <c r="C40" s="36" t="s">
        <v>144</v>
      </c>
      <c r="D40" s="36" t="s">
        <v>2</v>
      </c>
      <c r="E40" s="37"/>
      <c r="F40" s="40"/>
      <c r="G40" s="40"/>
      <c r="H40" s="40"/>
    </row>
    <row r="41" spans="1:8" x14ac:dyDescent="0.2">
      <c r="A41" s="35">
        <f t="shared" si="2"/>
        <v>38</v>
      </c>
      <c r="B41" s="1" t="s">
        <v>143</v>
      </c>
      <c r="C41" s="36" t="s">
        <v>142</v>
      </c>
      <c r="D41" s="36" t="s">
        <v>10</v>
      </c>
      <c r="E41" s="37"/>
      <c r="F41" s="40"/>
      <c r="G41" s="40"/>
      <c r="H41" s="40"/>
    </row>
    <row r="42" spans="1:8" x14ac:dyDescent="0.2">
      <c r="A42" s="35">
        <f t="shared" si="2"/>
        <v>39</v>
      </c>
      <c r="B42" s="1" t="s">
        <v>141</v>
      </c>
      <c r="C42" s="36" t="s">
        <v>140</v>
      </c>
      <c r="D42" s="36" t="s">
        <v>2</v>
      </c>
      <c r="E42" s="37"/>
      <c r="F42" s="40"/>
      <c r="G42" s="40"/>
      <c r="H42" s="40"/>
    </row>
    <row r="43" spans="1:8" x14ac:dyDescent="0.2">
      <c r="A43" s="35">
        <f t="shared" si="2"/>
        <v>40</v>
      </c>
      <c r="B43" s="36" t="s">
        <v>139</v>
      </c>
      <c r="C43" s="36" t="s">
        <v>138</v>
      </c>
      <c r="D43" s="36" t="s">
        <v>5</v>
      </c>
      <c r="E43" s="37"/>
      <c r="F43" s="40"/>
      <c r="G43" s="40"/>
      <c r="H43" s="40"/>
    </row>
    <row r="44" spans="1:8" x14ac:dyDescent="0.2">
      <c r="A44" s="35">
        <f t="shared" si="2"/>
        <v>41</v>
      </c>
      <c r="B44" s="36" t="s">
        <v>137</v>
      </c>
      <c r="C44" s="36" t="s">
        <v>136</v>
      </c>
      <c r="D44" s="36" t="s">
        <v>10</v>
      </c>
      <c r="E44" s="37"/>
      <c r="F44" s="40"/>
      <c r="G44" s="40"/>
      <c r="H44" s="40"/>
    </row>
    <row r="45" spans="1:8" x14ac:dyDescent="0.2">
      <c r="A45" s="35">
        <f t="shared" si="2"/>
        <v>42</v>
      </c>
      <c r="B45" s="36" t="s">
        <v>135</v>
      </c>
      <c r="C45" s="36" t="s">
        <v>134</v>
      </c>
      <c r="D45" s="36" t="s">
        <v>10</v>
      </c>
      <c r="E45" s="37"/>
      <c r="F45" s="40"/>
      <c r="G45" s="40"/>
      <c r="H45" s="40"/>
    </row>
    <row r="46" spans="1:8" x14ac:dyDescent="0.2">
      <c r="A46" s="35">
        <f t="shared" si="2"/>
        <v>43</v>
      </c>
      <c r="B46" s="36" t="s">
        <v>133</v>
      </c>
      <c r="C46" s="36" t="s">
        <v>132</v>
      </c>
      <c r="D46" s="36" t="s">
        <v>2</v>
      </c>
      <c r="E46" s="37"/>
      <c r="F46" s="40"/>
      <c r="G46" s="40"/>
      <c r="H46" s="40"/>
    </row>
    <row r="47" spans="1:8" x14ac:dyDescent="0.2">
      <c r="A47" s="35">
        <f t="shared" si="2"/>
        <v>44</v>
      </c>
      <c r="B47" s="36" t="s">
        <v>131</v>
      </c>
      <c r="C47" s="36" t="s">
        <v>130</v>
      </c>
      <c r="D47" s="36" t="s">
        <v>10</v>
      </c>
      <c r="E47" s="37"/>
      <c r="F47" s="40"/>
      <c r="G47" s="40"/>
      <c r="H47" s="40"/>
    </row>
    <row r="48" spans="1:8" x14ac:dyDescent="0.2">
      <c r="A48" s="35">
        <f t="shared" si="2"/>
        <v>45</v>
      </c>
      <c r="B48" s="36" t="s">
        <v>129</v>
      </c>
      <c r="C48" s="36" t="s">
        <v>128</v>
      </c>
      <c r="D48" s="36" t="s">
        <v>5</v>
      </c>
      <c r="E48" s="37"/>
      <c r="F48" s="40"/>
      <c r="G48" s="40"/>
      <c r="H48" s="40"/>
    </row>
    <row r="49" spans="1:8" x14ac:dyDescent="0.2">
      <c r="A49" s="35">
        <f t="shared" si="2"/>
        <v>46</v>
      </c>
      <c r="B49" s="36" t="s">
        <v>127</v>
      </c>
      <c r="C49" s="36" t="s">
        <v>126</v>
      </c>
      <c r="D49" s="36" t="s">
        <v>61</v>
      </c>
      <c r="E49" s="37"/>
      <c r="F49" s="40"/>
      <c r="G49" s="40"/>
      <c r="H49" s="40"/>
    </row>
    <row r="50" spans="1:8" x14ac:dyDescent="0.2">
      <c r="A50" s="35">
        <f t="shared" si="2"/>
        <v>47</v>
      </c>
      <c r="B50" s="36" t="s">
        <v>125</v>
      </c>
      <c r="C50" s="36" t="s">
        <v>124</v>
      </c>
      <c r="D50" s="36" t="s">
        <v>56</v>
      </c>
      <c r="E50" s="37"/>
      <c r="F50" s="40"/>
      <c r="G50" s="40"/>
      <c r="H50" s="40"/>
    </row>
    <row r="51" spans="1:8" x14ac:dyDescent="0.2">
      <c r="A51" s="35">
        <f t="shared" si="2"/>
        <v>48</v>
      </c>
      <c r="B51" s="36" t="s">
        <v>123</v>
      </c>
      <c r="C51" s="36" t="s">
        <v>122</v>
      </c>
      <c r="D51" s="36" t="s">
        <v>2</v>
      </c>
      <c r="E51" s="37"/>
      <c r="F51" s="40"/>
      <c r="G51" s="40"/>
      <c r="H51" s="40"/>
    </row>
    <row r="52" spans="1:8" x14ac:dyDescent="0.2">
      <c r="A52" s="35">
        <f t="shared" si="2"/>
        <v>49</v>
      </c>
      <c r="B52" s="36" t="s">
        <v>121</v>
      </c>
      <c r="C52" s="36" t="s">
        <v>120</v>
      </c>
      <c r="D52" s="36" t="s">
        <v>119</v>
      </c>
      <c r="E52" s="37"/>
      <c r="F52" s="40"/>
      <c r="G52" s="40"/>
      <c r="H52" s="40"/>
    </row>
    <row r="53" spans="1:8" x14ac:dyDescent="0.2">
      <c r="A53" s="35">
        <f t="shared" si="2"/>
        <v>50</v>
      </c>
      <c r="B53" s="36" t="s">
        <v>118</v>
      </c>
      <c r="C53" s="36" t="s">
        <v>117</v>
      </c>
      <c r="D53" s="36" t="s">
        <v>10</v>
      </c>
      <c r="E53" s="37"/>
      <c r="F53" s="40"/>
      <c r="G53" s="40"/>
      <c r="H53" s="40"/>
    </row>
    <row r="54" spans="1:8" x14ac:dyDescent="0.2">
      <c r="A54" s="35">
        <f t="shared" si="2"/>
        <v>51</v>
      </c>
      <c r="B54" s="36" t="s">
        <v>116</v>
      </c>
      <c r="C54" s="36" t="s">
        <v>115</v>
      </c>
      <c r="D54" s="36" t="s">
        <v>31</v>
      </c>
      <c r="E54" s="37"/>
      <c r="F54" s="40"/>
      <c r="G54" s="40"/>
      <c r="H54" s="40"/>
    </row>
    <row r="55" spans="1:8" x14ac:dyDescent="0.2">
      <c r="A55" s="35">
        <f t="shared" si="2"/>
        <v>52</v>
      </c>
      <c r="B55" s="36" t="s">
        <v>114</v>
      </c>
      <c r="C55" s="36" t="s">
        <v>113</v>
      </c>
      <c r="D55" s="36" t="s">
        <v>2</v>
      </c>
      <c r="E55" s="37"/>
      <c r="F55" s="40"/>
      <c r="G55" s="40"/>
      <c r="H55" s="40"/>
    </row>
    <row r="56" spans="1:8" x14ac:dyDescent="0.2">
      <c r="A56" s="35">
        <f t="shared" si="2"/>
        <v>53</v>
      </c>
      <c r="B56" s="36" t="s">
        <v>112</v>
      </c>
      <c r="C56" s="36" t="s">
        <v>111</v>
      </c>
      <c r="D56" s="36" t="s">
        <v>5</v>
      </c>
      <c r="E56" s="37"/>
      <c r="F56" s="40"/>
      <c r="G56" s="40"/>
      <c r="H56" s="40"/>
    </row>
    <row r="57" spans="1:8" x14ac:dyDescent="0.2">
      <c r="A57" s="35">
        <f t="shared" si="2"/>
        <v>54</v>
      </c>
      <c r="B57" s="36" t="s">
        <v>110</v>
      </c>
      <c r="C57" s="36" t="s">
        <v>109</v>
      </c>
      <c r="D57" s="36" t="s">
        <v>36</v>
      </c>
      <c r="E57" s="37"/>
      <c r="F57" s="40"/>
      <c r="G57" s="40"/>
      <c r="H57" s="40"/>
    </row>
    <row r="58" spans="1:8" x14ac:dyDescent="0.2">
      <c r="A58" s="35">
        <f t="shared" si="2"/>
        <v>55</v>
      </c>
      <c r="B58" s="36" t="s">
        <v>108</v>
      </c>
      <c r="C58" s="36" t="s">
        <v>107</v>
      </c>
      <c r="D58" s="36" t="s">
        <v>10</v>
      </c>
      <c r="E58" s="37"/>
      <c r="F58" s="40"/>
      <c r="G58" s="40"/>
      <c r="H58" s="40"/>
    </row>
    <row r="59" spans="1:8" x14ac:dyDescent="0.2">
      <c r="A59" s="35">
        <f t="shared" si="2"/>
        <v>56</v>
      </c>
      <c r="B59" s="36" t="s">
        <v>106</v>
      </c>
      <c r="C59" s="36" t="s">
        <v>105</v>
      </c>
      <c r="D59" s="36" t="s">
        <v>104</v>
      </c>
      <c r="E59" s="37"/>
      <c r="F59" s="40"/>
      <c r="G59" s="40"/>
      <c r="H59" s="40"/>
    </row>
    <row r="60" spans="1:8" x14ac:dyDescent="0.2">
      <c r="A60" s="35">
        <f t="shared" si="2"/>
        <v>57</v>
      </c>
      <c r="B60" s="36" t="s">
        <v>103</v>
      </c>
      <c r="C60" s="36" t="s">
        <v>102</v>
      </c>
      <c r="D60" s="36" t="s">
        <v>5</v>
      </c>
      <c r="E60" s="37"/>
      <c r="F60" s="40"/>
      <c r="G60" s="40"/>
      <c r="H60" s="40"/>
    </row>
    <row r="61" spans="1:8" x14ac:dyDescent="0.2">
      <c r="A61" s="35">
        <f t="shared" si="2"/>
        <v>58</v>
      </c>
      <c r="B61" s="36" t="s">
        <v>101</v>
      </c>
      <c r="C61" s="36" t="s">
        <v>100</v>
      </c>
      <c r="D61" s="36" t="s">
        <v>78</v>
      </c>
      <c r="E61" s="37"/>
      <c r="F61" s="40"/>
      <c r="G61" s="40"/>
      <c r="H61" s="40"/>
    </row>
    <row r="62" spans="1:8" x14ac:dyDescent="0.2">
      <c r="A62" s="35">
        <f t="shared" si="2"/>
        <v>59</v>
      </c>
      <c r="B62" s="36" t="s">
        <v>99</v>
      </c>
      <c r="C62" s="36" t="s">
        <v>98</v>
      </c>
      <c r="D62" s="36" t="s">
        <v>36</v>
      </c>
      <c r="E62" s="37"/>
      <c r="F62" s="40"/>
      <c r="G62" s="40"/>
      <c r="H62" s="40"/>
    </row>
    <row r="63" spans="1:8" x14ac:dyDescent="0.2">
      <c r="A63" s="35">
        <f t="shared" si="2"/>
        <v>60</v>
      </c>
      <c r="B63" s="36" t="s">
        <v>97</v>
      </c>
      <c r="C63" s="36" t="s">
        <v>96</v>
      </c>
      <c r="D63" s="36" t="s">
        <v>10</v>
      </c>
      <c r="E63" s="37"/>
      <c r="F63" s="40"/>
      <c r="G63" s="40"/>
      <c r="H63" s="40"/>
    </row>
    <row r="64" spans="1:8" x14ac:dyDescent="0.2">
      <c r="A64" s="35">
        <f t="shared" si="2"/>
        <v>61</v>
      </c>
      <c r="B64" s="36" t="s">
        <v>95</v>
      </c>
      <c r="C64" s="36" t="s">
        <v>94</v>
      </c>
      <c r="D64" s="36" t="s">
        <v>5</v>
      </c>
      <c r="E64" s="37"/>
      <c r="F64" s="40"/>
      <c r="G64" s="40"/>
      <c r="H64" s="40"/>
    </row>
    <row r="65" spans="1:8" x14ac:dyDescent="0.2">
      <c r="A65" s="35">
        <f t="shared" si="2"/>
        <v>62</v>
      </c>
      <c r="B65" s="36" t="s">
        <v>93</v>
      </c>
      <c r="C65" s="36" t="s">
        <v>92</v>
      </c>
      <c r="D65" s="36" t="s">
        <v>61</v>
      </c>
      <c r="E65" s="37"/>
      <c r="F65" s="40"/>
      <c r="G65" s="40"/>
      <c r="H65" s="40"/>
    </row>
    <row r="66" spans="1:8" x14ac:dyDescent="0.2">
      <c r="A66" s="35">
        <f t="shared" si="2"/>
        <v>63</v>
      </c>
      <c r="B66" s="36" t="s">
        <v>91</v>
      </c>
      <c r="C66" s="36" t="s">
        <v>90</v>
      </c>
      <c r="D66" s="36" t="s">
        <v>89</v>
      </c>
      <c r="E66" s="37"/>
      <c r="F66" s="40"/>
      <c r="G66" s="40"/>
      <c r="H66" s="40"/>
    </row>
    <row r="67" spans="1:8" x14ac:dyDescent="0.2">
      <c r="A67" s="35">
        <f t="shared" si="2"/>
        <v>64</v>
      </c>
      <c r="B67" s="36" t="s">
        <v>88</v>
      </c>
      <c r="C67" s="36" t="s">
        <v>87</v>
      </c>
      <c r="D67" s="36" t="s">
        <v>2</v>
      </c>
      <c r="E67" s="37"/>
      <c r="F67" s="40"/>
      <c r="G67" s="40"/>
      <c r="H67" s="40"/>
    </row>
    <row r="68" spans="1:8" x14ac:dyDescent="0.2">
      <c r="A68" s="35">
        <f t="shared" si="2"/>
        <v>65</v>
      </c>
      <c r="B68" s="36" t="s">
        <v>86</v>
      </c>
      <c r="C68" s="36" t="s">
        <v>85</v>
      </c>
      <c r="D68" s="36" t="s">
        <v>2</v>
      </c>
      <c r="E68" s="37"/>
      <c r="F68" s="40"/>
      <c r="G68" s="40"/>
      <c r="H68" s="40"/>
    </row>
    <row r="69" spans="1:8" x14ac:dyDescent="0.2">
      <c r="A69" s="35">
        <f t="shared" ref="A69:A100" si="3">+A68+1</f>
        <v>66</v>
      </c>
      <c r="B69" s="36" t="s">
        <v>84</v>
      </c>
      <c r="C69" s="36" t="s">
        <v>83</v>
      </c>
      <c r="D69" s="36" t="s">
        <v>10</v>
      </c>
      <c r="E69" s="37"/>
      <c r="F69" s="40"/>
      <c r="G69" s="40"/>
      <c r="H69" s="40"/>
    </row>
    <row r="70" spans="1:8" x14ac:dyDescent="0.2">
      <c r="A70" s="35">
        <f t="shared" si="3"/>
        <v>67</v>
      </c>
      <c r="B70" s="36" t="s">
        <v>82</v>
      </c>
      <c r="C70" s="36" t="s">
        <v>81</v>
      </c>
      <c r="D70" s="36" t="s">
        <v>10</v>
      </c>
      <c r="E70" s="37"/>
      <c r="F70" s="40"/>
      <c r="G70" s="40"/>
      <c r="H70" s="40"/>
    </row>
    <row r="71" spans="1:8" x14ac:dyDescent="0.2">
      <c r="A71" s="35">
        <f t="shared" si="3"/>
        <v>68</v>
      </c>
      <c r="B71" s="36" t="s">
        <v>80</v>
      </c>
      <c r="C71" s="36" t="s">
        <v>79</v>
      </c>
      <c r="D71" s="36" t="s">
        <v>78</v>
      </c>
      <c r="E71" s="37"/>
      <c r="F71" s="40"/>
      <c r="G71" s="40"/>
      <c r="H71" s="40"/>
    </row>
    <row r="72" spans="1:8" x14ac:dyDescent="0.2">
      <c r="A72" s="35">
        <f t="shared" si="3"/>
        <v>69</v>
      </c>
      <c r="B72" s="36" t="s">
        <v>77</v>
      </c>
      <c r="C72" s="36" t="s">
        <v>76</v>
      </c>
      <c r="D72" s="36" t="s">
        <v>5</v>
      </c>
      <c r="E72" s="37"/>
      <c r="F72" s="40"/>
      <c r="G72" s="40"/>
      <c r="H72" s="40"/>
    </row>
    <row r="73" spans="1:8" x14ac:dyDescent="0.2">
      <c r="A73" s="35">
        <f t="shared" si="3"/>
        <v>70</v>
      </c>
      <c r="B73" s="36" t="s">
        <v>75</v>
      </c>
      <c r="C73" s="36" t="s">
        <v>74</v>
      </c>
      <c r="D73" s="36" t="s">
        <v>73</v>
      </c>
      <c r="E73" s="37"/>
      <c r="F73" s="40"/>
      <c r="G73" s="40"/>
      <c r="H73" s="40"/>
    </row>
    <row r="74" spans="1:8" x14ac:dyDescent="0.2">
      <c r="A74" s="35">
        <f t="shared" si="3"/>
        <v>71</v>
      </c>
      <c r="B74" s="36" t="s">
        <v>72</v>
      </c>
      <c r="C74" s="36" t="s">
        <v>71</v>
      </c>
      <c r="D74" s="36" t="s">
        <v>5</v>
      </c>
      <c r="E74" s="37"/>
      <c r="F74" s="40"/>
      <c r="G74" s="40"/>
      <c r="H74" s="40"/>
    </row>
    <row r="75" spans="1:8" x14ac:dyDescent="0.2">
      <c r="A75" s="35">
        <f t="shared" si="3"/>
        <v>72</v>
      </c>
      <c r="B75" s="36" t="s">
        <v>70</v>
      </c>
      <c r="C75" s="36" t="s">
        <v>69</v>
      </c>
      <c r="D75" s="36" t="s">
        <v>68</v>
      </c>
      <c r="E75" s="37"/>
      <c r="F75" s="40"/>
      <c r="G75" s="40"/>
      <c r="H75" s="40"/>
    </row>
    <row r="76" spans="1:8" x14ac:dyDescent="0.2">
      <c r="A76" s="35">
        <f t="shared" si="3"/>
        <v>73</v>
      </c>
      <c r="B76" s="36" t="s">
        <v>67</v>
      </c>
      <c r="C76" s="36" t="s">
        <v>66</v>
      </c>
      <c r="D76" s="36" t="s">
        <v>2</v>
      </c>
      <c r="E76" s="37"/>
      <c r="F76" s="40"/>
      <c r="G76" s="40"/>
      <c r="H76" s="40"/>
    </row>
    <row r="77" spans="1:8" x14ac:dyDescent="0.2">
      <c r="A77" s="35">
        <f t="shared" si="3"/>
        <v>74</v>
      </c>
      <c r="B77" s="36" t="s">
        <v>65</v>
      </c>
      <c r="C77" s="36" t="s">
        <v>64</v>
      </c>
      <c r="D77" s="36" t="s">
        <v>5</v>
      </c>
      <c r="E77" s="37"/>
      <c r="F77" s="40"/>
      <c r="G77" s="40"/>
      <c r="H77" s="40"/>
    </row>
    <row r="78" spans="1:8" x14ac:dyDescent="0.2">
      <c r="A78" s="35">
        <f t="shared" si="3"/>
        <v>75</v>
      </c>
      <c r="B78" s="36" t="s">
        <v>63</v>
      </c>
      <c r="C78" s="36" t="s">
        <v>62</v>
      </c>
      <c r="D78" s="36" t="s">
        <v>61</v>
      </c>
      <c r="E78" s="37"/>
      <c r="F78" s="40"/>
      <c r="G78" s="40"/>
      <c r="H78" s="40"/>
    </row>
    <row r="79" spans="1:8" x14ac:dyDescent="0.2">
      <c r="A79" s="35">
        <f t="shared" si="3"/>
        <v>76</v>
      </c>
      <c r="B79" s="36" t="s">
        <v>60</v>
      </c>
      <c r="C79" s="36" t="s">
        <v>59</v>
      </c>
      <c r="D79" s="36" t="s">
        <v>5</v>
      </c>
      <c r="E79" s="37"/>
      <c r="F79" s="40"/>
      <c r="G79" s="40"/>
      <c r="H79" s="40"/>
    </row>
    <row r="80" spans="1:8" x14ac:dyDescent="0.2">
      <c r="A80" s="35">
        <f t="shared" si="3"/>
        <v>77</v>
      </c>
      <c r="B80" s="36" t="s">
        <v>58</v>
      </c>
      <c r="C80" s="36" t="s">
        <v>57</v>
      </c>
      <c r="D80" s="36" t="s">
        <v>56</v>
      </c>
      <c r="E80" s="37"/>
      <c r="F80" s="40"/>
      <c r="G80" s="40"/>
      <c r="H80" s="40"/>
    </row>
    <row r="81" spans="1:9" x14ac:dyDescent="0.2">
      <c r="A81" s="35">
        <f t="shared" si="3"/>
        <v>78</v>
      </c>
      <c r="B81" s="36" t="s">
        <v>55</v>
      </c>
      <c r="C81" s="36" t="s">
        <v>54</v>
      </c>
      <c r="D81" s="36" t="s">
        <v>5</v>
      </c>
      <c r="E81" s="37"/>
      <c r="F81" s="40"/>
      <c r="G81" s="40"/>
      <c r="H81" s="40"/>
    </row>
    <row r="82" spans="1:9" x14ac:dyDescent="0.2">
      <c r="A82" s="35">
        <f t="shared" si="3"/>
        <v>79</v>
      </c>
      <c r="B82" s="36" t="s">
        <v>53</v>
      </c>
      <c r="C82" s="36" t="s">
        <v>52</v>
      </c>
      <c r="D82" s="36" t="s">
        <v>10</v>
      </c>
      <c r="E82" s="37"/>
      <c r="F82" s="40"/>
      <c r="G82" s="40"/>
      <c r="H82" s="40"/>
    </row>
    <row r="83" spans="1:9" x14ac:dyDescent="0.2">
      <c r="A83" s="35">
        <f t="shared" si="3"/>
        <v>80</v>
      </c>
      <c r="B83" s="36" t="s">
        <v>51</v>
      </c>
      <c r="C83" s="36" t="s">
        <v>50</v>
      </c>
      <c r="D83" s="36" t="s">
        <v>2</v>
      </c>
      <c r="E83" s="37"/>
      <c r="F83" s="40"/>
      <c r="G83" s="40"/>
      <c r="H83" s="40"/>
    </row>
    <row r="84" spans="1:9" x14ac:dyDescent="0.2">
      <c r="A84" s="35">
        <f t="shared" si="3"/>
        <v>81</v>
      </c>
      <c r="B84" s="36" t="s">
        <v>49</v>
      </c>
      <c r="C84" s="36" t="s">
        <v>48</v>
      </c>
      <c r="D84" s="36" t="s">
        <v>47</v>
      </c>
      <c r="E84" s="37"/>
      <c r="F84" s="40"/>
      <c r="G84" s="40"/>
      <c r="H84" s="40"/>
    </row>
    <row r="85" spans="1:9" x14ac:dyDescent="0.2">
      <c r="A85" s="35">
        <f t="shared" si="3"/>
        <v>82</v>
      </c>
      <c r="B85" s="36" t="s">
        <v>46</v>
      </c>
      <c r="C85" s="36" t="s">
        <v>45</v>
      </c>
      <c r="D85" s="36" t="s">
        <v>10</v>
      </c>
      <c r="E85" s="37"/>
      <c r="F85" s="40"/>
      <c r="G85" s="40"/>
      <c r="H85" s="40"/>
    </row>
    <row r="86" spans="1:9" x14ac:dyDescent="0.2">
      <c r="A86" s="35">
        <f t="shared" si="3"/>
        <v>83</v>
      </c>
      <c r="B86" s="36" t="s">
        <v>44</v>
      </c>
      <c r="C86" s="36" t="s">
        <v>43</v>
      </c>
      <c r="D86" s="36" t="s">
        <v>5</v>
      </c>
      <c r="E86" s="37"/>
      <c r="F86" s="40"/>
      <c r="G86" s="40"/>
      <c r="H86" s="40"/>
    </row>
    <row r="87" spans="1:9" x14ac:dyDescent="0.2">
      <c r="A87" s="35">
        <f t="shared" si="3"/>
        <v>84</v>
      </c>
      <c r="B87" s="36" t="s">
        <v>42</v>
      </c>
      <c r="C87" s="36" t="s">
        <v>41</v>
      </c>
      <c r="D87" s="36" t="s">
        <v>2</v>
      </c>
      <c r="E87" s="37"/>
      <c r="F87" s="40"/>
      <c r="G87" s="40"/>
      <c r="H87" s="40"/>
    </row>
    <row r="88" spans="1:9" x14ac:dyDescent="0.2">
      <c r="A88" s="35">
        <f t="shared" si="3"/>
        <v>85</v>
      </c>
      <c r="B88" s="1" t="s">
        <v>40</v>
      </c>
      <c r="C88" s="36" t="s">
        <v>39</v>
      </c>
      <c r="D88" s="36" t="s">
        <v>2</v>
      </c>
      <c r="E88" s="37">
        <f>+[13]Main!$J$2</f>
        <v>134.80000000000001</v>
      </c>
      <c r="F88" s="40">
        <f>+[13]Main!$J$4</f>
        <v>14470.152910400002</v>
      </c>
      <c r="G88" s="40">
        <f>+[13]Main!$J$6-[13]Main!$J$5</f>
        <v>1291</v>
      </c>
      <c r="H88" s="40">
        <f>+F88+G88</f>
        <v>15761.152910400002</v>
      </c>
      <c r="I88" s="39" t="s">
        <v>2201</v>
      </c>
    </row>
    <row r="89" spans="1:9" x14ac:dyDescent="0.2">
      <c r="A89" s="35">
        <f t="shared" si="3"/>
        <v>86</v>
      </c>
      <c r="B89" s="36" t="s">
        <v>38</v>
      </c>
      <c r="C89" s="36" t="s">
        <v>37</v>
      </c>
      <c r="D89" s="36" t="s">
        <v>36</v>
      </c>
      <c r="E89" s="37"/>
      <c r="F89" s="40"/>
      <c r="G89" s="40"/>
      <c r="H89" s="40"/>
    </row>
    <row r="90" spans="1:9" x14ac:dyDescent="0.2">
      <c r="A90" s="35">
        <f t="shared" si="3"/>
        <v>87</v>
      </c>
      <c r="B90" s="36" t="s">
        <v>35</v>
      </c>
      <c r="C90" s="36" t="s">
        <v>34</v>
      </c>
      <c r="D90" s="36" t="s">
        <v>2</v>
      </c>
      <c r="E90" s="37"/>
      <c r="F90" s="40"/>
      <c r="G90" s="40"/>
      <c r="H90" s="40"/>
    </row>
    <row r="91" spans="1:9" x14ac:dyDescent="0.2">
      <c r="A91" s="35">
        <f t="shared" si="3"/>
        <v>88</v>
      </c>
      <c r="B91" s="36" t="s">
        <v>33</v>
      </c>
      <c r="C91" s="36" t="s">
        <v>32</v>
      </c>
      <c r="D91" s="36" t="s">
        <v>31</v>
      </c>
      <c r="E91" s="37"/>
      <c r="F91" s="40"/>
      <c r="G91" s="40"/>
      <c r="H91" s="40"/>
    </row>
    <row r="92" spans="1:9" x14ac:dyDescent="0.2">
      <c r="A92" s="35">
        <f t="shared" si="3"/>
        <v>89</v>
      </c>
      <c r="B92" s="36" t="s">
        <v>30</v>
      </c>
      <c r="C92" s="36" t="s">
        <v>29</v>
      </c>
      <c r="D92" s="36" t="s">
        <v>28</v>
      </c>
      <c r="E92" s="37"/>
      <c r="F92" s="40"/>
      <c r="G92" s="40"/>
      <c r="H92" s="40"/>
    </row>
    <row r="93" spans="1:9" x14ac:dyDescent="0.2">
      <c r="A93" s="35">
        <f t="shared" si="3"/>
        <v>90</v>
      </c>
      <c r="B93" s="36" t="s">
        <v>27</v>
      </c>
      <c r="C93" s="36" t="s">
        <v>26</v>
      </c>
      <c r="D93" s="36" t="s">
        <v>2</v>
      </c>
      <c r="E93" s="37"/>
      <c r="F93" s="40"/>
      <c r="G93" s="40"/>
      <c r="H93" s="40"/>
    </row>
    <row r="94" spans="1:9" x14ac:dyDescent="0.2">
      <c r="A94" s="35">
        <f t="shared" si="3"/>
        <v>91</v>
      </c>
      <c r="B94" s="36" t="s">
        <v>25</v>
      </c>
      <c r="C94" s="36" t="s">
        <v>24</v>
      </c>
      <c r="D94" s="36" t="s">
        <v>10</v>
      </c>
      <c r="E94" s="37"/>
      <c r="F94" s="40"/>
      <c r="G94" s="40"/>
      <c r="H94" s="40"/>
    </row>
    <row r="95" spans="1:9" x14ac:dyDescent="0.2">
      <c r="A95" s="35">
        <f t="shared" si="3"/>
        <v>92</v>
      </c>
      <c r="B95" s="36" t="s">
        <v>23</v>
      </c>
      <c r="C95" s="36" t="s">
        <v>22</v>
      </c>
      <c r="D95" s="36" t="s">
        <v>10</v>
      </c>
      <c r="E95" s="37"/>
      <c r="F95" s="40"/>
      <c r="G95" s="40"/>
      <c r="H95" s="40"/>
    </row>
    <row r="96" spans="1:9" x14ac:dyDescent="0.2">
      <c r="A96" s="35">
        <f t="shared" si="3"/>
        <v>93</v>
      </c>
      <c r="B96" s="36" t="s">
        <v>21</v>
      </c>
      <c r="C96" s="36" t="s">
        <v>20</v>
      </c>
      <c r="D96" s="36" t="s">
        <v>2</v>
      </c>
      <c r="E96" s="37"/>
      <c r="F96" s="40"/>
      <c r="G96" s="40"/>
      <c r="H96" s="40"/>
    </row>
    <row r="97" spans="1:8" x14ac:dyDescent="0.2">
      <c r="A97" s="35">
        <f t="shared" si="3"/>
        <v>94</v>
      </c>
      <c r="B97" s="36" t="s">
        <v>19</v>
      </c>
      <c r="C97" s="36" t="s">
        <v>18</v>
      </c>
      <c r="D97" s="36" t="s">
        <v>2</v>
      </c>
      <c r="E97" s="37"/>
      <c r="F97" s="40"/>
      <c r="G97" s="40"/>
      <c r="H97" s="40"/>
    </row>
    <row r="98" spans="1:8" x14ac:dyDescent="0.2">
      <c r="A98" s="35">
        <f t="shared" si="3"/>
        <v>95</v>
      </c>
      <c r="B98" s="36" t="s">
        <v>17</v>
      </c>
      <c r="C98" s="36" t="s">
        <v>16</v>
      </c>
      <c r="D98" s="36" t="s">
        <v>10</v>
      </c>
      <c r="E98" s="37"/>
      <c r="F98" s="40"/>
      <c r="G98" s="40"/>
      <c r="H98" s="40"/>
    </row>
    <row r="99" spans="1:8" x14ac:dyDescent="0.2">
      <c r="A99" s="35">
        <f t="shared" si="3"/>
        <v>96</v>
      </c>
      <c r="B99" s="36" t="s">
        <v>15</v>
      </c>
      <c r="C99" s="36" t="s">
        <v>14</v>
      </c>
      <c r="D99" s="36" t="s">
        <v>13</v>
      </c>
      <c r="E99" s="37"/>
      <c r="F99" s="40"/>
      <c r="G99" s="40"/>
      <c r="H99" s="40"/>
    </row>
    <row r="100" spans="1:8" x14ac:dyDescent="0.2">
      <c r="A100" s="35">
        <f t="shared" si="3"/>
        <v>97</v>
      </c>
      <c r="B100" s="36" t="s">
        <v>12</v>
      </c>
      <c r="C100" s="36" t="s">
        <v>11</v>
      </c>
      <c r="D100" s="36" t="s">
        <v>10</v>
      </c>
      <c r="E100" s="37"/>
      <c r="F100" s="40"/>
      <c r="G100" s="40"/>
      <c r="H100" s="40"/>
    </row>
    <row r="101" spans="1:8" x14ac:dyDescent="0.2">
      <c r="A101" s="35">
        <f t="shared" ref="A101:A164" si="4">+A100+1</f>
        <v>98</v>
      </c>
      <c r="B101" s="36" t="s">
        <v>9</v>
      </c>
      <c r="C101" s="36" t="s">
        <v>8</v>
      </c>
      <c r="D101" s="36" t="s">
        <v>2</v>
      </c>
      <c r="E101" s="37"/>
      <c r="F101" s="40"/>
      <c r="G101" s="40"/>
      <c r="H101" s="40"/>
    </row>
    <row r="102" spans="1:8" x14ac:dyDescent="0.2">
      <c r="A102" s="35">
        <f t="shared" si="4"/>
        <v>99</v>
      </c>
      <c r="B102" s="36" t="s">
        <v>7</v>
      </c>
      <c r="C102" s="36" t="s">
        <v>6</v>
      </c>
      <c r="D102" s="36" t="s">
        <v>5</v>
      </c>
      <c r="E102" s="37"/>
      <c r="F102" s="40"/>
      <c r="G102" s="40"/>
      <c r="H102" s="40"/>
    </row>
    <row r="103" spans="1:8" x14ac:dyDescent="0.2">
      <c r="A103" s="35">
        <f t="shared" si="4"/>
        <v>100</v>
      </c>
      <c r="B103" s="36" t="s">
        <v>4</v>
      </c>
      <c r="C103" s="36" t="s">
        <v>3</v>
      </c>
      <c r="D103" s="36" t="s">
        <v>2</v>
      </c>
      <c r="E103" s="37"/>
      <c r="F103" s="40"/>
      <c r="G103" s="40"/>
      <c r="H103" s="40"/>
    </row>
    <row r="104" spans="1:8" x14ac:dyDescent="0.2">
      <c r="A104" s="35">
        <f t="shared" si="4"/>
        <v>101</v>
      </c>
      <c r="B104" s="36" t="s">
        <v>998</v>
      </c>
      <c r="C104" s="36" t="s">
        <v>999</v>
      </c>
      <c r="D104" s="36" t="s">
        <v>31</v>
      </c>
      <c r="E104" s="37"/>
      <c r="F104" s="40"/>
      <c r="G104" s="40"/>
      <c r="H104" s="40"/>
    </row>
    <row r="105" spans="1:8" x14ac:dyDescent="0.2">
      <c r="A105" s="35">
        <f t="shared" si="4"/>
        <v>102</v>
      </c>
      <c r="B105" s="36" t="s">
        <v>1000</v>
      </c>
      <c r="C105" s="36" t="s">
        <v>1001</v>
      </c>
      <c r="D105" s="36" t="s">
        <v>2</v>
      </c>
      <c r="E105" s="37"/>
      <c r="F105" s="40"/>
      <c r="G105" s="40"/>
      <c r="H105" s="40"/>
    </row>
    <row r="106" spans="1:8" x14ac:dyDescent="0.2">
      <c r="A106" s="35">
        <f t="shared" si="4"/>
        <v>103</v>
      </c>
      <c r="B106" s="36" t="s">
        <v>1002</v>
      </c>
      <c r="C106" s="36" t="s">
        <v>1003</v>
      </c>
      <c r="D106" s="36" t="s">
        <v>47</v>
      </c>
      <c r="E106" s="37"/>
      <c r="F106" s="40"/>
      <c r="G106" s="40"/>
      <c r="H106" s="40"/>
    </row>
    <row r="107" spans="1:8" x14ac:dyDescent="0.2">
      <c r="A107" s="35">
        <f t="shared" si="4"/>
        <v>104</v>
      </c>
      <c r="B107" s="36" t="s">
        <v>1004</v>
      </c>
      <c r="C107" s="36" t="s">
        <v>1005</v>
      </c>
      <c r="D107" s="36" t="s">
        <v>56</v>
      </c>
      <c r="E107" s="37"/>
      <c r="F107" s="40"/>
      <c r="G107" s="40"/>
      <c r="H107" s="40"/>
    </row>
    <row r="108" spans="1:8" x14ac:dyDescent="0.2">
      <c r="A108" s="35">
        <f t="shared" si="4"/>
        <v>105</v>
      </c>
      <c r="B108" s="36" t="s">
        <v>1006</v>
      </c>
      <c r="C108" s="36" t="s">
        <v>1006</v>
      </c>
      <c r="D108" s="36" t="s">
        <v>2</v>
      </c>
      <c r="E108" s="37"/>
      <c r="F108" s="40"/>
      <c r="G108" s="40"/>
      <c r="H108" s="40"/>
    </row>
    <row r="109" spans="1:8" x14ac:dyDescent="0.2">
      <c r="A109" s="35">
        <f t="shared" si="4"/>
        <v>106</v>
      </c>
      <c r="B109" s="36" t="s">
        <v>1007</v>
      </c>
      <c r="C109" s="36" t="s">
        <v>1008</v>
      </c>
      <c r="D109" s="36" t="s">
        <v>2</v>
      </c>
      <c r="E109" s="37"/>
      <c r="F109" s="40"/>
      <c r="G109" s="40"/>
      <c r="H109" s="40"/>
    </row>
    <row r="110" spans="1:8" x14ac:dyDescent="0.2">
      <c r="A110" s="35">
        <f t="shared" si="4"/>
        <v>107</v>
      </c>
      <c r="B110" s="36" t="s">
        <v>1009</v>
      </c>
      <c r="C110" s="36" t="s">
        <v>1010</v>
      </c>
      <c r="D110" s="36" t="s">
        <v>28</v>
      </c>
      <c r="E110" s="37"/>
      <c r="F110" s="40"/>
      <c r="G110" s="40"/>
      <c r="H110" s="40"/>
    </row>
    <row r="111" spans="1:8" x14ac:dyDescent="0.2">
      <c r="A111" s="35">
        <f t="shared" si="4"/>
        <v>108</v>
      </c>
      <c r="B111" s="36" t="s">
        <v>283</v>
      </c>
      <c r="C111" s="36" t="s">
        <v>284</v>
      </c>
      <c r="D111" s="36" t="s">
        <v>5</v>
      </c>
      <c r="E111" s="37"/>
      <c r="F111" s="40"/>
      <c r="G111" s="40"/>
      <c r="H111" s="40"/>
    </row>
    <row r="112" spans="1:8" x14ac:dyDescent="0.2">
      <c r="A112" s="35">
        <f t="shared" si="4"/>
        <v>109</v>
      </c>
      <c r="B112" s="36" t="s">
        <v>1011</v>
      </c>
      <c r="C112" s="36" t="s">
        <v>1012</v>
      </c>
      <c r="D112" s="36" t="s">
        <v>2</v>
      </c>
      <c r="E112" s="37"/>
      <c r="F112" s="40"/>
      <c r="G112" s="40"/>
      <c r="H112" s="40"/>
    </row>
    <row r="113" spans="1:8" x14ac:dyDescent="0.2">
      <c r="A113" s="35">
        <f t="shared" si="4"/>
        <v>110</v>
      </c>
      <c r="B113" s="36" t="s">
        <v>1013</v>
      </c>
      <c r="C113" s="36" t="s">
        <v>1014</v>
      </c>
      <c r="D113" s="36" t="s">
        <v>166</v>
      </c>
      <c r="E113" s="37"/>
      <c r="F113" s="40"/>
      <c r="G113" s="40"/>
      <c r="H113" s="40"/>
    </row>
    <row r="114" spans="1:8" x14ac:dyDescent="0.2">
      <c r="A114" s="35">
        <f t="shared" si="4"/>
        <v>111</v>
      </c>
      <c r="B114" s="36" t="s">
        <v>1015</v>
      </c>
      <c r="C114" s="36" t="s">
        <v>1016</v>
      </c>
      <c r="D114" s="36" t="s">
        <v>78</v>
      </c>
      <c r="E114" s="37"/>
      <c r="F114" s="40"/>
      <c r="G114" s="40"/>
      <c r="H114" s="40"/>
    </row>
    <row r="115" spans="1:8" x14ac:dyDescent="0.2">
      <c r="A115" s="35">
        <f t="shared" si="4"/>
        <v>112</v>
      </c>
      <c r="B115" s="36" t="s">
        <v>1017</v>
      </c>
      <c r="C115" s="36" t="s">
        <v>1018</v>
      </c>
      <c r="D115" s="36" t="s">
        <v>2</v>
      </c>
      <c r="E115" s="37"/>
      <c r="F115" s="40"/>
      <c r="G115" s="40"/>
      <c r="H115" s="40"/>
    </row>
    <row r="116" spans="1:8" x14ac:dyDescent="0.2">
      <c r="A116" s="35">
        <f t="shared" si="4"/>
        <v>113</v>
      </c>
      <c r="B116" s="36" t="s">
        <v>264</v>
      </c>
      <c r="C116" s="36" t="s">
        <v>265</v>
      </c>
      <c r="D116" s="36" t="s">
        <v>266</v>
      </c>
      <c r="E116" s="37"/>
      <c r="F116" s="40"/>
      <c r="G116" s="40"/>
      <c r="H116" s="40"/>
    </row>
    <row r="117" spans="1:8" x14ac:dyDescent="0.2">
      <c r="A117" s="35">
        <f t="shared" si="4"/>
        <v>114</v>
      </c>
      <c r="B117" s="36" t="s">
        <v>1019</v>
      </c>
      <c r="C117" s="36" t="s">
        <v>1020</v>
      </c>
      <c r="D117" s="36" t="s">
        <v>47</v>
      </c>
      <c r="E117" s="37"/>
      <c r="F117" s="40"/>
      <c r="G117" s="40"/>
      <c r="H117" s="40"/>
    </row>
    <row r="118" spans="1:8" x14ac:dyDescent="0.2">
      <c r="A118" s="35">
        <f t="shared" si="4"/>
        <v>115</v>
      </c>
      <c r="B118" s="36" t="s">
        <v>1021</v>
      </c>
      <c r="C118" s="36" t="s">
        <v>1022</v>
      </c>
      <c r="D118" s="36" t="s">
        <v>975</v>
      </c>
      <c r="E118" s="37"/>
      <c r="F118" s="40"/>
      <c r="G118" s="40"/>
      <c r="H118" s="40"/>
    </row>
    <row r="119" spans="1:8" x14ac:dyDescent="0.2">
      <c r="A119" s="35">
        <f t="shared" si="4"/>
        <v>116</v>
      </c>
      <c r="B119" s="36" t="s">
        <v>1023</v>
      </c>
      <c r="C119" s="36" t="s">
        <v>1024</v>
      </c>
      <c r="D119" s="36" t="s">
        <v>179</v>
      </c>
      <c r="E119" s="37"/>
      <c r="F119" s="40"/>
      <c r="G119" s="40"/>
      <c r="H119" s="40"/>
    </row>
    <row r="120" spans="1:8" x14ac:dyDescent="0.2">
      <c r="A120" s="35">
        <f t="shared" si="4"/>
        <v>117</v>
      </c>
      <c r="B120" s="36" t="s">
        <v>1025</v>
      </c>
      <c r="C120" s="36" t="s">
        <v>1026</v>
      </c>
      <c r="D120" s="36" t="s">
        <v>47</v>
      </c>
      <c r="E120" s="37"/>
      <c r="F120" s="40"/>
      <c r="G120" s="40"/>
      <c r="H120" s="40"/>
    </row>
    <row r="121" spans="1:8" x14ac:dyDescent="0.2">
      <c r="A121" s="35">
        <f t="shared" si="4"/>
        <v>118</v>
      </c>
      <c r="B121" s="36" t="s">
        <v>1027</v>
      </c>
      <c r="C121" s="36" t="s">
        <v>1028</v>
      </c>
      <c r="D121" s="36" t="s">
        <v>5</v>
      </c>
      <c r="E121" s="37"/>
      <c r="F121" s="40"/>
      <c r="G121" s="40"/>
      <c r="H121" s="40"/>
    </row>
    <row r="122" spans="1:8" x14ac:dyDescent="0.2">
      <c r="A122" s="35">
        <f t="shared" si="4"/>
        <v>119</v>
      </c>
      <c r="B122" s="36" t="s">
        <v>1029</v>
      </c>
      <c r="C122" s="36" t="s">
        <v>1030</v>
      </c>
      <c r="D122" s="36" t="s">
        <v>204</v>
      </c>
      <c r="E122" s="37"/>
      <c r="F122" s="40"/>
      <c r="G122" s="40"/>
      <c r="H122" s="40"/>
    </row>
    <row r="123" spans="1:8" x14ac:dyDescent="0.2">
      <c r="A123" s="35">
        <f t="shared" si="4"/>
        <v>120</v>
      </c>
      <c r="B123" s="36" t="s">
        <v>1031</v>
      </c>
      <c r="C123" s="36" t="s">
        <v>1032</v>
      </c>
      <c r="D123" s="36" t="s">
        <v>10</v>
      </c>
      <c r="E123" s="37"/>
      <c r="F123" s="40"/>
      <c r="G123" s="40"/>
      <c r="H123" s="40"/>
    </row>
    <row r="124" spans="1:8" x14ac:dyDescent="0.2">
      <c r="A124" s="35">
        <f t="shared" si="4"/>
        <v>121</v>
      </c>
      <c r="B124" s="36" t="s">
        <v>1033</v>
      </c>
      <c r="C124" s="36" t="s">
        <v>1034</v>
      </c>
      <c r="D124" s="36" t="s">
        <v>179</v>
      </c>
      <c r="E124" s="37"/>
      <c r="F124" s="40"/>
      <c r="G124" s="40"/>
      <c r="H124" s="40"/>
    </row>
    <row r="125" spans="1:8" x14ac:dyDescent="0.2">
      <c r="A125" s="35">
        <f t="shared" si="4"/>
        <v>122</v>
      </c>
      <c r="B125" s="36" t="s">
        <v>1035</v>
      </c>
      <c r="C125" s="36" t="s">
        <v>1036</v>
      </c>
      <c r="D125" s="36" t="s">
        <v>2</v>
      </c>
      <c r="E125" s="37"/>
      <c r="F125" s="40"/>
      <c r="G125" s="40"/>
      <c r="H125" s="40"/>
    </row>
    <row r="126" spans="1:8" x14ac:dyDescent="0.2">
      <c r="A126" s="35">
        <f t="shared" si="4"/>
        <v>123</v>
      </c>
      <c r="B126" s="36" t="s">
        <v>262</v>
      </c>
      <c r="C126" s="36" t="s">
        <v>263</v>
      </c>
      <c r="D126" s="36" t="s">
        <v>10</v>
      </c>
      <c r="E126" s="37"/>
      <c r="F126" s="40"/>
      <c r="G126" s="40"/>
      <c r="H126" s="40"/>
    </row>
    <row r="127" spans="1:8" x14ac:dyDescent="0.2">
      <c r="A127" s="35">
        <f t="shared" si="4"/>
        <v>124</v>
      </c>
      <c r="B127" s="36" t="s">
        <v>1037</v>
      </c>
      <c r="C127" s="36" t="s">
        <v>1038</v>
      </c>
      <c r="D127" s="36" t="s">
        <v>991</v>
      </c>
      <c r="E127" s="37"/>
      <c r="F127" s="40"/>
      <c r="G127" s="40"/>
      <c r="H127" s="40"/>
    </row>
    <row r="128" spans="1:8" x14ac:dyDescent="0.2">
      <c r="A128" s="35">
        <f t="shared" si="4"/>
        <v>125</v>
      </c>
      <c r="B128" s="36" t="s">
        <v>1039</v>
      </c>
      <c r="C128" s="36" t="s">
        <v>1040</v>
      </c>
      <c r="D128" s="36" t="s">
        <v>56</v>
      </c>
      <c r="E128" s="37"/>
      <c r="F128" s="40"/>
      <c r="G128" s="40"/>
      <c r="H128" s="40"/>
    </row>
    <row r="129" spans="1:8" x14ac:dyDescent="0.2">
      <c r="A129" s="35">
        <f t="shared" si="4"/>
        <v>126</v>
      </c>
      <c r="B129" s="36" t="s">
        <v>297</v>
      </c>
      <c r="C129" s="36" t="s">
        <v>298</v>
      </c>
      <c r="D129" s="36" t="s">
        <v>5</v>
      </c>
      <c r="E129" s="37"/>
      <c r="F129" s="40"/>
      <c r="G129" s="40"/>
      <c r="H129" s="40"/>
    </row>
    <row r="130" spans="1:8" x14ac:dyDescent="0.2">
      <c r="A130" s="35">
        <f t="shared" si="4"/>
        <v>127</v>
      </c>
      <c r="B130" s="36" t="s">
        <v>1041</v>
      </c>
      <c r="C130" s="36" t="s">
        <v>1042</v>
      </c>
      <c r="D130" s="36" t="s">
        <v>28</v>
      </c>
      <c r="E130" s="37"/>
      <c r="F130" s="40"/>
      <c r="G130" s="40"/>
      <c r="H130" s="40"/>
    </row>
    <row r="131" spans="1:8" x14ac:dyDescent="0.2">
      <c r="A131" s="35">
        <f t="shared" si="4"/>
        <v>128</v>
      </c>
      <c r="B131" s="36" t="s">
        <v>1043</v>
      </c>
      <c r="C131" s="36" t="s">
        <v>1044</v>
      </c>
      <c r="D131" s="36" t="s">
        <v>2</v>
      </c>
      <c r="E131" s="37"/>
      <c r="F131" s="40"/>
      <c r="G131" s="40"/>
      <c r="H131" s="40"/>
    </row>
    <row r="132" spans="1:8" x14ac:dyDescent="0.2">
      <c r="A132" s="35">
        <f t="shared" si="4"/>
        <v>129</v>
      </c>
      <c r="B132" s="36" t="s">
        <v>1045</v>
      </c>
      <c r="C132" s="36" t="s">
        <v>1046</v>
      </c>
      <c r="D132" s="36" t="s">
        <v>10</v>
      </c>
      <c r="E132" s="37"/>
      <c r="F132" s="40"/>
      <c r="G132" s="40"/>
      <c r="H132" s="40"/>
    </row>
    <row r="133" spans="1:8" x14ac:dyDescent="0.2">
      <c r="A133" s="35">
        <f t="shared" si="4"/>
        <v>130</v>
      </c>
      <c r="B133" s="36" t="s">
        <v>1047</v>
      </c>
      <c r="C133" s="36" t="s">
        <v>1048</v>
      </c>
      <c r="D133" s="36" t="s">
        <v>73</v>
      </c>
      <c r="E133" s="37"/>
      <c r="F133" s="40"/>
      <c r="G133" s="40"/>
      <c r="H133" s="40"/>
    </row>
    <row r="134" spans="1:8" x14ac:dyDescent="0.2">
      <c r="A134" s="35">
        <f t="shared" si="4"/>
        <v>131</v>
      </c>
      <c r="B134" s="36" t="s">
        <v>1049</v>
      </c>
      <c r="C134" s="36" t="s">
        <v>1050</v>
      </c>
      <c r="D134" s="36" t="s">
        <v>10</v>
      </c>
      <c r="E134" s="37"/>
      <c r="F134" s="40"/>
      <c r="G134" s="40"/>
      <c r="H134" s="40"/>
    </row>
    <row r="135" spans="1:8" x14ac:dyDescent="0.2">
      <c r="A135" s="35">
        <f t="shared" si="4"/>
        <v>132</v>
      </c>
      <c r="B135" s="36" t="s">
        <v>1051</v>
      </c>
      <c r="C135" s="36" t="s">
        <v>1052</v>
      </c>
      <c r="D135" s="36" t="s">
        <v>47</v>
      </c>
      <c r="E135" s="37"/>
      <c r="F135" s="40"/>
      <c r="G135" s="40"/>
      <c r="H135" s="40"/>
    </row>
    <row r="136" spans="1:8" x14ac:dyDescent="0.2">
      <c r="A136" s="35">
        <f t="shared" si="4"/>
        <v>133</v>
      </c>
      <c r="B136" s="36" t="s">
        <v>1053</v>
      </c>
      <c r="C136" s="36" t="s">
        <v>1054</v>
      </c>
      <c r="D136" s="36" t="s">
        <v>179</v>
      </c>
      <c r="E136" s="37"/>
      <c r="F136" s="40"/>
      <c r="G136" s="40"/>
      <c r="H136" s="40"/>
    </row>
    <row r="137" spans="1:8" x14ac:dyDescent="0.2">
      <c r="A137" s="35">
        <f t="shared" si="4"/>
        <v>134</v>
      </c>
      <c r="B137" s="36" t="s">
        <v>1055</v>
      </c>
      <c r="C137" s="36" t="s">
        <v>1056</v>
      </c>
      <c r="D137" s="36" t="s">
        <v>61</v>
      </c>
      <c r="E137" s="37"/>
      <c r="F137" s="40"/>
      <c r="G137" s="40"/>
      <c r="H137" s="40"/>
    </row>
    <row r="138" spans="1:8" x14ac:dyDescent="0.2">
      <c r="A138" s="35">
        <f t="shared" si="4"/>
        <v>135</v>
      </c>
      <c r="B138" s="36" t="s">
        <v>1057</v>
      </c>
      <c r="C138" s="36" t="s">
        <v>1057</v>
      </c>
      <c r="D138" s="36" t="s">
        <v>2</v>
      </c>
      <c r="E138" s="37"/>
      <c r="F138" s="40"/>
      <c r="G138" s="40"/>
      <c r="H138" s="40"/>
    </row>
    <row r="139" spans="1:8" x14ac:dyDescent="0.2">
      <c r="A139" s="35">
        <f t="shared" si="4"/>
        <v>136</v>
      </c>
      <c r="B139" s="36" t="s">
        <v>267</v>
      </c>
      <c r="C139" s="36" t="s">
        <v>268</v>
      </c>
      <c r="D139" s="36" t="s">
        <v>984</v>
      </c>
      <c r="E139" s="37"/>
      <c r="F139" s="40"/>
      <c r="G139" s="40"/>
      <c r="H139" s="40"/>
    </row>
    <row r="140" spans="1:8" x14ac:dyDescent="0.2">
      <c r="A140" s="35">
        <f t="shared" si="4"/>
        <v>137</v>
      </c>
      <c r="B140" s="36" t="s">
        <v>1058</v>
      </c>
      <c r="C140" s="36" t="s">
        <v>1059</v>
      </c>
      <c r="D140" s="36" t="s">
        <v>10</v>
      </c>
      <c r="E140" s="37"/>
      <c r="F140" s="40"/>
      <c r="G140" s="40"/>
      <c r="H140" s="40"/>
    </row>
    <row r="141" spans="1:8" x14ac:dyDescent="0.2">
      <c r="A141" s="35">
        <f t="shared" si="4"/>
        <v>138</v>
      </c>
      <c r="B141" s="36" t="s">
        <v>1060</v>
      </c>
      <c r="C141" s="36" t="s">
        <v>1061</v>
      </c>
      <c r="D141" s="36" t="s">
        <v>193</v>
      </c>
      <c r="E141" s="37"/>
      <c r="F141" s="40"/>
      <c r="G141" s="40"/>
      <c r="H141" s="40"/>
    </row>
    <row r="142" spans="1:8" x14ac:dyDescent="0.2">
      <c r="A142" s="35">
        <f t="shared" si="4"/>
        <v>139</v>
      </c>
      <c r="B142" s="36" t="s">
        <v>1062</v>
      </c>
      <c r="C142" s="36" t="s">
        <v>1063</v>
      </c>
      <c r="D142" s="36" t="s">
        <v>2</v>
      </c>
      <c r="E142" s="37"/>
      <c r="F142" s="40"/>
      <c r="G142" s="40"/>
      <c r="H142" s="40"/>
    </row>
    <row r="143" spans="1:8" x14ac:dyDescent="0.2">
      <c r="A143" s="35">
        <f t="shared" si="4"/>
        <v>140</v>
      </c>
      <c r="B143" s="36" t="s">
        <v>1064</v>
      </c>
      <c r="C143" s="36" t="s">
        <v>1065</v>
      </c>
      <c r="D143" s="36" t="s">
        <v>2</v>
      </c>
      <c r="E143" s="37"/>
      <c r="F143" s="40"/>
      <c r="G143" s="40"/>
      <c r="H143" s="40"/>
    </row>
    <row r="144" spans="1:8" x14ac:dyDescent="0.2">
      <c r="A144" s="35">
        <f t="shared" si="4"/>
        <v>141</v>
      </c>
      <c r="B144" s="36" t="s">
        <v>1066</v>
      </c>
      <c r="C144" s="36" t="s">
        <v>1067</v>
      </c>
      <c r="D144" s="36" t="s">
        <v>10</v>
      </c>
      <c r="E144" s="37"/>
      <c r="F144" s="40"/>
      <c r="G144" s="40"/>
      <c r="H144" s="40"/>
    </row>
    <row r="145" spans="1:8" x14ac:dyDescent="0.2">
      <c r="A145" s="35">
        <f t="shared" si="4"/>
        <v>142</v>
      </c>
      <c r="B145" s="36" t="s">
        <v>1068</v>
      </c>
      <c r="C145" s="36" t="s">
        <v>1069</v>
      </c>
      <c r="D145" s="36" t="s">
        <v>2</v>
      </c>
      <c r="E145" s="37"/>
      <c r="F145" s="40"/>
      <c r="G145" s="40"/>
      <c r="H145" s="40"/>
    </row>
    <row r="146" spans="1:8" x14ac:dyDescent="0.2">
      <c r="A146" s="35">
        <f t="shared" si="4"/>
        <v>143</v>
      </c>
      <c r="B146" s="36" t="s">
        <v>1070</v>
      </c>
      <c r="C146" s="36" t="s">
        <v>1071</v>
      </c>
      <c r="D146" s="36" t="s">
        <v>179</v>
      </c>
      <c r="E146" s="37"/>
      <c r="F146" s="40"/>
      <c r="G146" s="40"/>
      <c r="H146" s="40"/>
    </row>
    <row r="147" spans="1:8" x14ac:dyDescent="0.2">
      <c r="A147" s="35">
        <f t="shared" si="4"/>
        <v>144</v>
      </c>
      <c r="B147" s="36" t="s">
        <v>1072</v>
      </c>
      <c r="C147" s="36" t="s">
        <v>1073</v>
      </c>
      <c r="D147" s="36" t="s">
        <v>31</v>
      </c>
      <c r="E147" s="37"/>
      <c r="F147" s="40"/>
      <c r="G147" s="40"/>
      <c r="H147" s="40"/>
    </row>
    <row r="148" spans="1:8" x14ac:dyDescent="0.2">
      <c r="A148" s="35">
        <f t="shared" si="4"/>
        <v>145</v>
      </c>
      <c r="B148" s="36" t="s">
        <v>1074</v>
      </c>
      <c r="C148" s="36" t="s">
        <v>1074</v>
      </c>
      <c r="D148" s="36" t="s">
        <v>2</v>
      </c>
      <c r="E148" s="37"/>
      <c r="F148" s="40"/>
      <c r="G148" s="40"/>
      <c r="H148" s="40"/>
    </row>
    <row r="149" spans="1:8" x14ac:dyDescent="0.2">
      <c r="A149" s="35">
        <f t="shared" si="4"/>
        <v>146</v>
      </c>
      <c r="B149" s="36" t="s">
        <v>1075</v>
      </c>
      <c r="C149" s="36" t="s">
        <v>1076</v>
      </c>
      <c r="D149" s="36" t="s">
        <v>10</v>
      </c>
      <c r="E149" s="37"/>
      <c r="F149" s="40"/>
      <c r="G149" s="40"/>
      <c r="H149" s="40"/>
    </row>
    <row r="150" spans="1:8" x14ac:dyDescent="0.2">
      <c r="A150" s="35">
        <f t="shared" si="4"/>
        <v>147</v>
      </c>
      <c r="B150" s="36" t="s">
        <v>1077</v>
      </c>
      <c r="C150" s="36" t="s">
        <v>1078</v>
      </c>
      <c r="D150" s="36" t="s">
        <v>193</v>
      </c>
      <c r="E150" s="37"/>
      <c r="F150" s="40"/>
      <c r="G150" s="40"/>
      <c r="H150" s="40"/>
    </row>
    <row r="151" spans="1:8" x14ac:dyDescent="0.2">
      <c r="A151" s="35">
        <f t="shared" si="4"/>
        <v>148</v>
      </c>
      <c r="B151" s="36" t="s">
        <v>1079</v>
      </c>
      <c r="C151" s="36" t="s">
        <v>1080</v>
      </c>
      <c r="D151" s="36" t="s">
        <v>975</v>
      </c>
      <c r="E151" s="37"/>
      <c r="F151" s="40"/>
      <c r="G151" s="40"/>
      <c r="H151" s="40"/>
    </row>
    <row r="152" spans="1:8" x14ac:dyDescent="0.2">
      <c r="A152" s="35">
        <f t="shared" si="4"/>
        <v>149</v>
      </c>
      <c r="B152" s="36" t="s">
        <v>1081</v>
      </c>
      <c r="C152" s="36" t="s">
        <v>1082</v>
      </c>
      <c r="D152" s="36" t="s">
        <v>179</v>
      </c>
      <c r="E152" s="37"/>
      <c r="F152" s="40"/>
      <c r="G152" s="40"/>
      <c r="H152" s="40"/>
    </row>
    <row r="153" spans="1:8" x14ac:dyDescent="0.2">
      <c r="A153" s="35">
        <f t="shared" si="4"/>
        <v>150</v>
      </c>
      <c r="B153" s="36" t="s">
        <v>1083</v>
      </c>
      <c r="C153" s="36" t="s">
        <v>1084</v>
      </c>
      <c r="D153" s="36" t="s">
        <v>984</v>
      </c>
      <c r="E153" s="37"/>
      <c r="F153" s="40"/>
      <c r="G153" s="40"/>
      <c r="H153" s="40"/>
    </row>
    <row r="154" spans="1:8" x14ac:dyDescent="0.2">
      <c r="A154" s="35">
        <f t="shared" si="4"/>
        <v>151</v>
      </c>
      <c r="B154" s="36" t="s">
        <v>1085</v>
      </c>
      <c r="C154" s="36" t="s">
        <v>1086</v>
      </c>
      <c r="D154" s="36" t="s">
        <v>2</v>
      </c>
      <c r="E154" s="37"/>
      <c r="F154" s="40"/>
      <c r="G154" s="40"/>
      <c r="H154" s="40"/>
    </row>
    <row r="155" spans="1:8" x14ac:dyDescent="0.2">
      <c r="A155" s="35">
        <f t="shared" si="4"/>
        <v>152</v>
      </c>
      <c r="B155" s="36" t="s">
        <v>1087</v>
      </c>
      <c r="C155" s="36" t="s">
        <v>1088</v>
      </c>
      <c r="D155" s="36" t="s">
        <v>2</v>
      </c>
      <c r="E155" s="37"/>
      <c r="F155" s="40"/>
      <c r="G155" s="40"/>
      <c r="H155" s="40"/>
    </row>
    <row r="156" spans="1:8" x14ac:dyDescent="0.2">
      <c r="A156" s="35">
        <f t="shared" si="4"/>
        <v>153</v>
      </c>
      <c r="B156" s="36" t="s">
        <v>1089</v>
      </c>
      <c r="C156" s="36" t="s">
        <v>1090</v>
      </c>
      <c r="D156" s="36" t="s">
        <v>47</v>
      </c>
      <c r="E156" s="37"/>
      <c r="F156" s="40"/>
      <c r="G156" s="40"/>
      <c r="H156" s="40"/>
    </row>
    <row r="157" spans="1:8" x14ac:dyDescent="0.2">
      <c r="A157" s="35">
        <f t="shared" si="4"/>
        <v>154</v>
      </c>
      <c r="B157" s="36" t="s">
        <v>1091</v>
      </c>
      <c r="C157" s="36" t="s">
        <v>1092</v>
      </c>
      <c r="D157" s="36" t="s">
        <v>2</v>
      </c>
      <c r="E157" s="37"/>
      <c r="F157" s="40"/>
      <c r="G157" s="40"/>
      <c r="H157" s="40"/>
    </row>
    <row r="158" spans="1:8" x14ac:dyDescent="0.2">
      <c r="A158" s="35">
        <f t="shared" si="4"/>
        <v>155</v>
      </c>
      <c r="B158" s="36" t="s">
        <v>1093</v>
      </c>
      <c r="C158" s="36" t="s">
        <v>1094</v>
      </c>
      <c r="D158" s="36" t="s">
        <v>186</v>
      </c>
      <c r="E158" s="37"/>
      <c r="F158" s="40"/>
      <c r="G158" s="40"/>
      <c r="H158" s="40"/>
    </row>
    <row r="159" spans="1:8" x14ac:dyDescent="0.2">
      <c r="A159" s="35">
        <f t="shared" si="4"/>
        <v>156</v>
      </c>
      <c r="B159" s="36" t="s">
        <v>1095</v>
      </c>
      <c r="C159" s="36" t="s">
        <v>1096</v>
      </c>
      <c r="D159" s="36" t="s">
        <v>47</v>
      </c>
      <c r="E159" s="37"/>
      <c r="F159" s="40"/>
      <c r="G159" s="40"/>
      <c r="H159" s="40"/>
    </row>
    <row r="160" spans="1:8" x14ac:dyDescent="0.2">
      <c r="A160" s="35">
        <f t="shared" si="4"/>
        <v>157</v>
      </c>
      <c r="B160" s="36" t="s">
        <v>1097</v>
      </c>
      <c r="C160" s="36" t="s">
        <v>1098</v>
      </c>
      <c r="D160" s="36" t="s">
        <v>10</v>
      </c>
      <c r="E160" s="37"/>
      <c r="F160" s="40"/>
      <c r="G160" s="40"/>
      <c r="H160" s="40"/>
    </row>
    <row r="161" spans="1:8" x14ac:dyDescent="0.2">
      <c r="A161" s="35">
        <f t="shared" si="4"/>
        <v>158</v>
      </c>
      <c r="B161" s="36" t="s">
        <v>1099</v>
      </c>
      <c r="C161" s="36" t="s">
        <v>1100</v>
      </c>
      <c r="D161" s="36" t="s">
        <v>975</v>
      </c>
      <c r="E161" s="37"/>
      <c r="F161" s="40"/>
      <c r="G161" s="40"/>
      <c r="H161" s="40"/>
    </row>
    <row r="162" spans="1:8" x14ac:dyDescent="0.2">
      <c r="A162" s="35">
        <f t="shared" si="4"/>
        <v>159</v>
      </c>
      <c r="B162" s="36" t="s">
        <v>1101</v>
      </c>
      <c r="C162" s="36" t="s">
        <v>1102</v>
      </c>
      <c r="D162" s="36" t="s">
        <v>2</v>
      </c>
      <c r="E162" s="37"/>
      <c r="F162" s="40"/>
      <c r="G162" s="40"/>
      <c r="H162" s="40"/>
    </row>
    <row r="163" spans="1:8" x14ac:dyDescent="0.2">
      <c r="A163" s="35">
        <f t="shared" si="4"/>
        <v>160</v>
      </c>
      <c r="B163" s="36" t="s">
        <v>1103</v>
      </c>
      <c r="C163" s="36" t="s">
        <v>1104</v>
      </c>
      <c r="D163" s="36" t="s">
        <v>56</v>
      </c>
      <c r="E163" s="37"/>
      <c r="F163" s="40"/>
      <c r="G163" s="40"/>
      <c r="H163" s="40"/>
    </row>
    <row r="164" spans="1:8" x14ac:dyDescent="0.2">
      <c r="A164" s="35">
        <f t="shared" si="4"/>
        <v>161</v>
      </c>
      <c r="B164" s="36" t="s">
        <v>1105</v>
      </c>
      <c r="C164" s="36" t="s">
        <v>1106</v>
      </c>
      <c r="D164" s="36" t="s">
        <v>193</v>
      </c>
      <c r="E164" s="37"/>
      <c r="F164" s="40"/>
      <c r="G164" s="40"/>
      <c r="H164" s="40"/>
    </row>
    <row r="165" spans="1:8" x14ac:dyDescent="0.2">
      <c r="A165" s="35">
        <f t="shared" ref="A165:A228" si="5">+A164+1</f>
        <v>162</v>
      </c>
      <c r="B165" s="36" t="s">
        <v>1107</v>
      </c>
      <c r="C165" s="36" t="s">
        <v>1108</v>
      </c>
      <c r="D165" s="36" t="s">
        <v>47</v>
      </c>
      <c r="E165" s="37"/>
      <c r="F165" s="40"/>
      <c r="G165" s="40"/>
      <c r="H165" s="40"/>
    </row>
    <row r="166" spans="1:8" x14ac:dyDescent="0.2">
      <c r="A166" s="35">
        <f t="shared" si="5"/>
        <v>163</v>
      </c>
      <c r="B166" s="36" t="s">
        <v>1109</v>
      </c>
      <c r="C166" s="36" t="s">
        <v>1110</v>
      </c>
      <c r="D166" s="36" t="s">
        <v>2</v>
      </c>
      <c r="E166" s="37"/>
      <c r="F166" s="40"/>
      <c r="G166" s="40"/>
      <c r="H166" s="40"/>
    </row>
    <row r="167" spans="1:8" x14ac:dyDescent="0.2">
      <c r="A167" s="35">
        <f t="shared" si="5"/>
        <v>164</v>
      </c>
      <c r="B167" s="36" t="s">
        <v>1111</v>
      </c>
      <c r="C167" s="36" t="s">
        <v>1112</v>
      </c>
      <c r="D167" s="36" t="s">
        <v>179</v>
      </c>
      <c r="E167" s="37"/>
      <c r="F167" s="40"/>
      <c r="G167" s="40"/>
      <c r="H167" s="40"/>
    </row>
    <row r="168" spans="1:8" x14ac:dyDescent="0.2">
      <c r="A168" s="35">
        <f t="shared" si="5"/>
        <v>165</v>
      </c>
      <c r="B168" s="36" t="s">
        <v>1113</v>
      </c>
      <c r="C168" s="36" t="s">
        <v>1114</v>
      </c>
      <c r="D168" s="36" t="s">
        <v>2</v>
      </c>
      <c r="E168" s="37"/>
      <c r="F168" s="40"/>
      <c r="G168" s="40"/>
      <c r="H168" s="40"/>
    </row>
    <row r="169" spans="1:8" x14ac:dyDescent="0.2">
      <c r="A169" s="35">
        <f t="shared" si="5"/>
        <v>166</v>
      </c>
      <c r="B169" s="36" t="s">
        <v>1115</v>
      </c>
      <c r="C169" s="36" t="s">
        <v>1116</v>
      </c>
      <c r="D169" s="36" t="s">
        <v>2</v>
      </c>
      <c r="E169" s="37"/>
      <c r="F169" s="40"/>
      <c r="G169" s="40"/>
      <c r="H169" s="40"/>
    </row>
    <row r="170" spans="1:8" x14ac:dyDescent="0.2">
      <c r="A170" s="35">
        <f t="shared" si="5"/>
        <v>167</v>
      </c>
      <c r="B170" s="36" t="s">
        <v>1117</v>
      </c>
      <c r="C170" s="36" t="s">
        <v>1118</v>
      </c>
      <c r="D170" s="36" t="s">
        <v>56</v>
      </c>
      <c r="E170" s="37"/>
      <c r="F170" s="40"/>
      <c r="G170" s="40"/>
      <c r="H170" s="40"/>
    </row>
    <row r="171" spans="1:8" x14ac:dyDescent="0.2">
      <c r="A171" s="35">
        <f t="shared" si="5"/>
        <v>168</v>
      </c>
      <c r="B171" s="36" t="s">
        <v>289</v>
      </c>
      <c r="C171" s="36" t="s">
        <v>290</v>
      </c>
      <c r="D171" s="36" t="s">
        <v>5</v>
      </c>
      <c r="E171" s="37"/>
      <c r="F171" s="40"/>
      <c r="G171" s="40"/>
      <c r="H171" s="40"/>
    </row>
    <row r="172" spans="1:8" x14ac:dyDescent="0.2">
      <c r="A172" s="35">
        <f t="shared" si="5"/>
        <v>169</v>
      </c>
      <c r="B172" s="36" t="s">
        <v>1119</v>
      </c>
      <c r="C172" s="36" t="s">
        <v>1120</v>
      </c>
      <c r="D172" s="36" t="s">
        <v>179</v>
      </c>
      <c r="E172" s="37"/>
      <c r="F172" s="40"/>
      <c r="G172" s="40"/>
      <c r="H172" s="40"/>
    </row>
    <row r="173" spans="1:8" x14ac:dyDescent="0.2">
      <c r="A173" s="35">
        <f t="shared" si="5"/>
        <v>170</v>
      </c>
      <c r="B173" s="36" t="s">
        <v>1121</v>
      </c>
      <c r="C173" s="36" t="s">
        <v>1122</v>
      </c>
      <c r="D173" s="36" t="s">
        <v>78</v>
      </c>
      <c r="E173" s="37"/>
      <c r="F173" s="40"/>
      <c r="G173" s="40"/>
      <c r="H173" s="40"/>
    </row>
    <row r="174" spans="1:8" x14ac:dyDescent="0.2">
      <c r="A174" s="35">
        <f t="shared" si="5"/>
        <v>171</v>
      </c>
      <c r="B174" s="36" t="s">
        <v>1123</v>
      </c>
      <c r="C174" s="36" t="s">
        <v>1124</v>
      </c>
      <c r="D174" s="36" t="s">
        <v>31</v>
      </c>
      <c r="E174" s="37"/>
      <c r="F174" s="40"/>
      <c r="G174" s="40"/>
      <c r="H174" s="40"/>
    </row>
    <row r="175" spans="1:8" x14ac:dyDescent="0.2">
      <c r="A175" s="35">
        <f t="shared" si="5"/>
        <v>172</v>
      </c>
      <c r="B175" s="36" t="s">
        <v>285</v>
      </c>
      <c r="C175" s="36" t="s">
        <v>286</v>
      </c>
      <c r="D175" s="36" t="s">
        <v>5</v>
      </c>
      <c r="E175" s="37"/>
      <c r="F175" s="40"/>
      <c r="G175" s="40"/>
      <c r="H175" s="40"/>
    </row>
    <row r="176" spans="1:8" x14ac:dyDescent="0.2">
      <c r="A176" s="35">
        <f t="shared" si="5"/>
        <v>173</v>
      </c>
      <c r="B176" s="36" t="s">
        <v>1125</v>
      </c>
      <c r="C176" s="36" t="s">
        <v>1126</v>
      </c>
      <c r="D176" s="36" t="s">
        <v>2</v>
      </c>
      <c r="E176" s="37"/>
      <c r="F176" s="40"/>
      <c r="G176" s="40"/>
      <c r="H176" s="40"/>
    </row>
    <row r="177" spans="1:8" x14ac:dyDescent="0.2">
      <c r="A177" s="35">
        <f t="shared" si="5"/>
        <v>174</v>
      </c>
      <c r="B177" s="36" t="s">
        <v>1127</v>
      </c>
      <c r="C177" s="36" t="s">
        <v>1128</v>
      </c>
      <c r="D177" s="36" t="s">
        <v>68</v>
      </c>
      <c r="E177" s="37"/>
      <c r="F177" s="40"/>
      <c r="G177" s="40"/>
      <c r="H177" s="40"/>
    </row>
    <row r="178" spans="1:8" x14ac:dyDescent="0.2">
      <c r="A178" s="35">
        <f t="shared" si="5"/>
        <v>175</v>
      </c>
      <c r="B178" s="36" t="s">
        <v>1129</v>
      </c>
      <c r="C178" s="36" t="s">
        <v>1130</v>
      </c>
      <c r="D178" s="36" t="s">
        <v>2</v>
      </c>
      <c r="E178" s="37"/>
      <c r="F178" s="40"/>
      <c r="G178" s="40"/>
      <c r="H178" s="40"/>
    </row>
    <row r="179" spans="1:8" x14ac:dyDescent="0.2">
      <c r="A179" s="35">
        <f t="shared" si="5"/>
        <v>176</v>
      </c>
      <c r="B179" s="36" t="s">
        <v>1131</v>
      </c>
      <c r="C179" s="36" t="s">
        <v>1132</v>
      </c>
      <c r="D179" s="36" t="s">
        <v>2</v>
      </c>
      <c r="E179" s="37"/>
      <c r="F179" s="40"/>
      <c r="G179" s="40"/>
      <c r="H179" s="40"/>
    </row>
    <row r="180" spans="1:8" x14ac:dyDescent="0.2">
      <c r="A180" s="35">
        <f t="shared" si="5"/>
        <v>177</v>
      </c>
      <c r="B180" s="36" t="s">
        <v>1133</v>
      </c>
      <c r="C180" s="36" t="s">
        <v>1134</v>
      </c>
      <c r="D180" s="36" t="s">
        <v>993</v>
      </c>
      <c r="E180" s="37"/>
      <c r="F180" s="40"/>
      <c r="G180" s="40"/>
      <c r="H180" s="40"/>
    </row>
    <row r="181" spans="1:8" x14ac:dyDescent="0.2">
      <c r="A181" s="35">
        <f t="shared" si="5"/>
        <v>178</v>
      </c>
      <c r="B181" s="36" t="s">
        <v>1135</v>
      </c>
      <c r="C181" s="36" t="s">
        <v>1136</v>
      </c>
      <c r="D181" s="36" t="s">
        <v>2</v>
      </c>
      <c r="E181" s="37"/>
      <c r="F181" s="40"/>
      <c r="G181" s="40"/>
      <c r="H181" s="40"/>
    </row>
    <row r="182" spans="1:8" x14ac:dyDescent="0.2">
      <c r="A182" s="35">
        <f t="shared" si="5"/>
        <v>179</v>
      </c>
      <c r="B182" s="36" t="s">
        <v>1137</v>
      </c>
      <c r="C182" s="36" t="s">
        <v>1138</v>
      </c>
      <c r="D182" s="36" t="s">
        <v>56</v>
      </c>
      <c r="E182" s="37"/>
      <c r="F182" s="40"/>
      <c r="G182" s="40"/>
      <c r="H182" s="40"/>
    </row>
    <row r="183" spans="1:8" x14ac:dyDescent="0.2">
      <c r="A183" s="35">
        <f t="shared" si="5"/>
        <v>180</v>
      </c>
      <c r="B183" s="36" t="s">
        <v>1139</v>
      </c>
      <c r="C183" s="36" t="s">
        <v>1140</v>
      </c>
      <c r="D183" s="36" t="s">
        <v>28</v>
      </c>
      <c r="E183" s="37"/>
      <c r="F183" s="40"/>
      <c r="G183" s="40"/>
      <c r="H183" s="40"/>
    </row>
    <row r="184" spans="1:8" x14ac:dyDescent="0.2">
      <c r="A184" s="35">
        <f t="shared" si="5"/>
        <v>181</v>
      </c>
      <c r="B184" s="36" t="s">
        <v>1141</v>
      </c>
      <c r="C184" s="36" t="s">
        <v>1142</v>
      </c>
      <c r="D184" s="36" t="s">
        <v>179</v>
      </c>
      <c r="E184" s="37"/>
      <c r="F184" s="40"/>
      <c r="G184" s="40"/>
      <c r="H184" s="40"/>
    </row>
    <row r="185" spans="1:8" x14ac:dyDescent="0.2">
      <c r="A185" s="35">
        <f t="shared" si="5"/>
        <v>182</v>
      </c>
      <c r="B185" s="36" t="s">
        <v>1143</v>
      </c>
      <c r="C185" s="36" t="s">
        <v>1144</v>
      </c>
      <c r="D185" s="36" t="s">
        <v>28</v>
      </c>
      <c r="E185" s="37"/>
      <c r="F185" s="40"/>
      <c r="G185" s="40"/>
      <c r="H185" s="40"/>
    </row>
    <row r="186" spans="1:8" x14ac:dyDescent="0.2">
      <c r="A186" s="35">
        <f t="shared" si="5"/>
        <v>183</v>
      </c>
      <c r="B186" s="36" t="s">
        <v>1145</v>
      </c>
      <c r="C186" s="36" t="s">
        <v>1146</v>
      </c>
      <c r="D186" s="36" t="s">
        <v>2</v>
      </c>
      <c r="E186" s="37"/>
      <c r="F186" s="40"/>
      <c r="G186" s="40"/>
      <c r="H186" s="40"/>
    </row>
    <row r="187" spans="1:8" x14ac:dyDescent="0.2">
      <c r="A187" s="35">
        <f t="shared" si="5"/>
        <v>184</v>
      </c>
      <c r="B187" s="36" t="s">
        <v>1147</v>
      </c>
      <c r="C187" s="36" t="s">
        <v>1148</v>
      </c>
      <c r="D187" s="36" t="s">
        <v>2</v>
      </c>
      <c r="E187" s="37"/>
      <c r="F187" s="40"/>
      <c r="G187" s="40"/>
      <c r="H187" s="40"/>
    </row>
    <row r="188" spans="1:8" x14ac:dyDescent="0.2">
      <c r="A188" s="35">
        <f t="shared" si="5"/>
        <v>185</v>
      </c>
      <c r="B188" s="36" t="s">
        <v>1149</v>
      </c>
      <c r="C188" s="36" t="s">
        <v>1150</v>
      </c>
      <c r="D188" s="36" t="s">
        <v>13</v>
      </c>
      <c r="E188" s="37"/>
      <c r="F188" s="40"/>
      <c r="G188" s="40"/>
      <c r="H188" s="40"/>
    </row>
    <row r="189" spans="1:8" x14ac:dyDescent="0.2">
      <c r="A189" s="35">
        <f t="shared" si="5"/>
        <v>186</v>
      </c>
      <c r="B189" s="36" t="s">
        <v>1151</v>
      </c>
      <c r="C189" s="36" t="s">
        <v>1152</v>
      </c>
      <c r="D189" s="36" t="s">
        <v>56</v>
      </c>
      <c r="E189" s="37"/>
      <c r="F189" s="40"/>
      <c r="G189" s="40"/>
      <c r="H189" s="40"/>
    </row>
    <row r="190" spans="1:8" x14ac:dyDescent="0.2">
      <c r="A190" s="35">
        <f t="shared" si="5"/>
        <v>187</v>
      </c>
      <c r="B190" s="36" t="s">
        <v>1153</v>
      </c>
      <c r="C190" s="36" t="s">
        <v>1154</v>
      </c>
      <c r="D190" s="36" t="s">
        <v>2</v>
      </c>
      <c r="E190" s="37"/>
      <c r="F190" s="40"/>
      <c r="G190" s="40"/>
      <c r="H190" s="40"/>
    </row>
    <row r="191" spans="1:8" x14ac:dyDescent="0.2">
      <c r="A191" s="35">
        <f t="shared" si="5"/>
        <v>188</v>
      </c>
      <c r="B191" s="36" t="s">
        <v>1155</v>
      </c>
      <c r="C191" s="36" t="s">
        <v>1156</v>
      </c>
      <c r="D191" s="36" t="s">
        <v>2</v>
      </c>
      <c r="E191" s="37"/>
      <c r="F191" s="40"/>
      <c r="G191" s="40"/>
      <c r="H191" s="40"/>
    </row>
    <row r="192" spans="1:8" x14ac:dyDescent="0.2">
      <c r="A192" s="35">
        <f t="shared" si="5"/>
        <v>189</v>
      </c>
      <c r="B192" s="36" t="s">
        <v>1157</v>
      </c>
      <c r="C192" s="36" t="s">
        <v>1158</v>
      </c>
      <c r="D192" s="36" t="s">
        <v>10</v>
      </c>
      <c r="E192" s="37"/>
      <c r="F192" s="40"/>
      <c r="G192" s="40"/>
      <c r="H192" s="40"/>
    </row>
    <row r="193" spans="1:8" x14ac:dyDescent="0.2">
      <c r="A193" s="35">
        <f t="shared" si="5"/>
        <v>190</v>
      </c>
      <c r="B193" s="36" t="s">
        <v>1159</v>
      </c>
      <c r="C193" s="36" t="s">
        <v>1160</v>
      </c>
      <c r="D193" s="36" t="s">
        <v>5</v>
      </c>
      <c r="E193" s="37"/>
      <c r="F193" s="40"/>
      <c r="G193" s="40"/>
      <c r="H193" s="40"/>
    </row>
    <row r="194" spans="1:8" x14ac:dyDescent="0.2">
      <c r="A194" s="35">
        <f t="shared" si="5"/>
        <v>191</v>
      </c>
      <c r="B194" s="36" t="s">
        <v>1161</v>
      </c>
      <c r="C194" s="36" t="s">
        <v>1162</v>
      </c>
      <c r="D194" s="36" t="s">
        <v>10</v>
      </c>
      <c r="E194" s="37"/>
      <c r="F194" s="40"/>
      <c r="G194" s="40"/>
      <c r="H194" s="40"/>
    </row>
    <row r="195" spans="1:8" x14ac:dyDescent="0.2">
      <c r="A195" s="35">
        <f t="shared" si="5"/>
        <v>192</v>
      </c>
      <c r="B195" s="36" t="s">
        <v>1163</v>
      </c>
      <c r="C195" s="36" t="s">
        <v>1164</v>
      </c>
      <c r="D195" s="36" t="s">
        <v>31</v>
      </c>
      <c r="E195" s="37"/>
      <c r="F195" s="40"/>
      <c r="G195" s="40"/>
      <c r="H195" s="40"/>
    </row>
    <row r="196" spans="1:8" x14ac:dyDescent="0.2">
      <c r="A196" s="35">
        <f t="shared" si="5"/>
        <v>193</v>
      </c>
      <c r="B196" s="36" t="s">
        <v>1165</v>
      </c>
      <c r="C196" s="36" t="s">
        <v>1166</v>
      </c>
      <c r="D196" s="36" t="s">
        <v>31</v>
      </c>
      <c r="E196" s="37"/>
      <c r="F196" s="40"/>
      <c r="G196" s="40"/>
      <c r="H196" s="40"/>
    </row>
    <row r="197" spans="1:8" x14ac:dyDescent="0.2">
      <c r="A197" s="35">
        <f t="shared" si="5"/>
        <v>194</v>
      </c>
      <c r="B197" s="36" t="s">
        <v>1167</v>
      </c>
      <c r="C197" s="36" t="s">
        <v>1168</v>
      </c>
      <c r="D197" s="36" t="s">
        <v>2</v>
      </c>
      <c r="E197" s="37"/>
      <c r="F197" s="40"/>
      <c r="G197" s="40"/>
      <c r="H197" s="40"/>
    </row>
    <row r="198" spans="1:8" x14ac:dyDescent="0.2">
      <c r="A198" s="35">
        <f t="shared" si="5"/>
        <v>195</v>
      </c>
      <c r="B198" s="36" t="s">
        <v>1169</v>
      </c>
      <c r="C198" s="36" t="s">
        <v>1170</v>
      </c>
      <c r="D198" s="36" t="s">
        <v>47</v>
      </c>
      <c r="E198" s="37"/>
      <c r="F198" s="40"/>
      <c r="G198" s="40"/>
      <c r="H198" s="40"/>
    </row>
    <row r="199" spans="1:8" x14ac:dyDescent="0.2">
      <c r="A199" s="35">
        <f t="shared" si="5"/>
        <v>196</v>
      </c>
      <c r="B199" s="36" t="s">
        <v>1171</v>
      </c>
      <c r="C199" s="36" t="s">
        <v>1172</v>
      </c>
      <c r="D199" s="36" t="s">
        <v>2</v>
      </c>
      <c r="E199" s="37"/>
      <c r="F199" s="40"/>
      <c r="G199" s="40"/>
      <c r="H199" s="40"/>
    </row>
    <row r="200" spans="1:8" x14ac:dyDescent="0.2">
      <c r="A200" s="35">
        <f t="shared" si="5"/>
        <v>197</v>
      </c>
      <c r="B200" s="36" t="s">
        <v>1173</v>
      </c>
      <c r="C200" s="36" t="s">
        <v>1174</v>
      </c>
      <c r="D200" s="36" t="s">
        <v>10</v>
      </c>
      <c r="E200" s="37"/>
      <c r="F200" s="40"/>
      <c r="G200" s="40"/>
      <c r="H200" s="40"/>
    </row>
    <row r="201" spans="1:8" x14ac:dyDescent="0.2">
      <c r="A201" s="35">
        <f t="shared" si="5"/>
        <v>198</v>
      </c>
      <c r="B201" s="36" t="s">
        <v>1175</v>
      </c>
      <c r="C201" s="36" t="s">
        <v>1176</v>
      </c>
      <c r="D201" s="36" t="s">
        <v>31</v>
      </c>
      <c r="E201" s="37"/>
      <c r="F201" s="40"/>
      <c r="G201" s="40"/>
      <c r="H201" s="40"/>
    </row>
    <row r="202" spans="1:8" x14ac:dyDescent="0.2">
      <c r="A202" s="35">
        <f t="shared" si="5"/>
        <v>199</v>
      </c>
      <c r="B202" s="36" t="s">
        <v>1177</v>
      </c>
      <c r="C202" s="36" t="s">
        <v>1178</v>
      </c>
      <c r="D202" s="36" t="s">
        <v>2</v>
      </c>
      <c r="E202" s="37"/>
      <c r="F202" s="40"/>
      <c r="G202" s="40"/>
      <c r="H202" s="40"/>
    </row>
    <row r="203" spans="1:8" x14ac:dyDescent="0.2">
      <c r="A203" s="35">
        <f t="shared" si="5"/>
        <v>200</v>
      </c>
      <c r="B203" s="36" t="s">
        <v>1179</v>
      </c>
      <c r="C203" s="36" t="s">
        <v>1180</v>
      </c>
      <c r="D203" s="36" t="s">
        <v>993</v>
      </c>
      <c r="E203" s="37"/>
      <c r="F203" s="40"/>
      <c r="G203" s="40"/>
      <c r="H203" s="40"/>
    </row>
    <row r="204" spans="1:8" x14ac:dyDescent="0.2">
      <c r="A204" s="35">
        <f t="shared" si="5"/>
        <v>201</v>
      </c>
      <c r="B204" s="36" t="s">
        <v>1181</v>
      </c>
      <c r="C204" s="36" t="s">
        <v>1182</v>
      </c>
      <c r="D204" s="36" t="s">
        <v>2</v>
      </c>
      <c r="E204" s="37"/>
      <c r="F204" s="40"/>
      <c r="G204" s="40"/>
      <c r="H204" s="40"/>
    </row>
    <row r="205" spans="1:8" x14ac:dyDescent="0.2">
      <c r="A205" s="35">
        <f t="shared" si="5"/>
        <v>202</v>
      </c>
      <c r="B205" s="36" t="s">
        <v>1183</v>
      </c>
      <c r="C205" s="36" t="s">
        <v>1184</v>
      </c>
      <c r="D205" s="36" t="s">
        <v>2</v>
      </c>
      <c r="E205" s="37"/>
      <c r="F205" s="40"/>
      <c r="G205" s="40"/>
      <c r="H205" s="40"/>
    </row>
    <row r="206" spans="1:8" x14ac:dyDescent="0.2">
      <c r="A206" s="35">
        <f t="shared" si="5"/>
        <v>203</v>
      </c>
      <c r="B206" s="36" t="s">
        <v>1185</v>
      </c>
      <c r="C206" s="36" t="s">
        <v>1186</v>
      </c>
      <c r="D206" s="36" t="s">
        <v>186</v>
      </c>
      <c r="E206" s="37"/>
      <c r="F206" s="40"/>
      <c r="G206" s="40"/>
      <c r="H206" s="40"/>
    </row>
    <row r="207" spans="1:8" x14ac:dyDescent="0.2">
      <c r="A207" s="35">
        <f t="shared" si="5"/>
        <v>204</v>
      </c>
      <c r="B207" s="36" t="s">
        <v>1187</v>
      </c>
      <c r="C207" s="36" t="s">
        <v>1188</v>
      </c>
      <c r="D207" s="36" t="s">
        <v>73</v>
      </c>
      <c r="E207" s="37"/>
      <c r="F207" s="40"/>
      <c r="G207" s="40"/>
      <c r="H207" s="40"/>
    </row>
    <row r="208" spans="1:8" x14ac:dyDescent="0.2">
      <c r="A208" s="35">
        <f t="shared" si="5"/>
        <v>205</v>
      </c>
      <c r="B208" s="36" t="s">
        <v>1189</v>
      </c>
      <c r="C208" s="36" t="s">
        <v>1190</v>
      </c>
      <c r="D208" s="36" t="s">
        <v>166</v>
      </c>
      <c r="E208" s="37"/>
      <c r="F208" s="40"/>
      <c r="G208" s="40"/>
      <c r="H208" s="40"/>
    </row>
    <row r="209" spans="1:8" x14ac:dyDescent="0.2">
      <c r="A209" s="35">
        <f t="shared" si="5"/>
        <v>206</v>
      </c>
      <c r="B209" s="36" t="s">
        <v>1191</v>
      </c>
      <c r="C209" s="36" t="s">
        <v>1192</v>
      </c>
      <c r="D209" s="36" t="s">
        <v>2</v>
      </c>
      <c r="E209" s="37"/>
      <c r="F209" s="40"/>
      <c r="G209" s="40"/>
      <c r="H209" s="40"/>
    </row>
    <row r="210" spans="1:8" x14ac:dyDescent="0.2">
      <c r="A210" s="35">
        <f t="shared" si="5"/>
        <v>207</v>
      </c>
      <c r="B210" s="36" t="s">
        <v>1193</v>
      </c>
      <c r="C210" s="36" t="s">
        <v>1194</v>
      </c>
      <c r="D210" s="36" t="s">
        <v>5</v>
      </c>
      <c r="E210" s="37"/>
      <c r="F210" s="40"/>
      <c r="G210" s="40"/>
      <c r="H210" s="40"/>
    </row>
    <row r="211" spans="1:8" x14ac:dyDescent="0.2">
      <c r="A211" s="35">
        <f t="shared" si="5"/>
        <v>208</v>
      </c>
      <c r="B211" s="36" t="s">
        <v>1195</v>
      </c>
      <c r="C211" s="36" t="s">
        <v>1196</v>
      </c>
      <c r="D211" s="36" t="s">
        <v>2</v>
      </c>
      <c r="E211" s="37"/>
      <c r="F211" s="40"/>
      <c r="G211" s="40"/>
      <c r="H211" s="40"/>
    </row>
    <row r="212" spans="1:8" x14ac:dyDescent="0.2">
      <c r="A212" s="35">
        <f t="shared" si="5"/>
        <v>209</v>
      </c>
      <c r="B212" s="36" t="s">
        <v>1197</v>
      </c>
      <c r="C212" s="36" t="s">
        <v>1198</v>
      </c>
      <c r="D212" s="36" t="s">
        <v>2</v>
      </c>
      <c r="E212" s="37"/>
      <c r="F212" s="40"/>
      <c r="G212" s="40"/>
      <c r="H212" s="40"/>
    </row>
    <row r="213" spans="1:8" x14ac:dyDescent="0.2">
      <c r="A213" s="35">
        <f t="shared" si="5"/>
        <v>210</v>
      </c>
      <c r="B213" s="36" t="s">
        <v>1199</v>
      </c>
      <c r="C213" s="36" t="s">
        <v>1200</v>
      </c>
      <c r="D213" s="36" t="s">
        <v>186</v>
      </c>
      <c r="E213" s="37"/>
      <c r="F213" s="40"/>
      <c r="G213" s="40"/>
      <c r="H213" s="40"/>
    </row>
    <row r="214" spans="1:8" x14ac:dyDescent="0.2">
      <c r="A214" s="35">
        <f t="shared" si="5"/>
        <v>211</v>
      </c>
      <c r="B214" s="36" t="s">
        <v>1201</v>
      </c>
      <c r="C214" s="36" t="s">
        <v>1202</v>
      </c>
      <c r="D214" s="36" t="s">
        <v>73</v>
      </c>
      <c r="E214" s="37"/>
      <c r="F214" s="40"/>
      <c r="G214" s="40"/>
      <c r="H214" s="40"/>
    </row>
    <row r="215" spans="1:8" x14ac:dyDescent="0.2">
      <c r="A215" s="35">
        <f t="shared" si="5"/>
        <v>212</v>
      </c>
      <c r="B215" s="36" t="s">
        <v>1203</v>
      </c>
      <c r="C215" s="36" t="s">
        <v>1204</v>
      </c>
      <c r="D215" s="36" t="s">
        <v>2</v>
      </c>
      <c r="E215" s="37"/>
      <c r="F215" s="40"/>
      <c r="G215" s="40"/>
      <c r="H215" s="40"/>
    </row>
    <row r="216" spans="1:8" x14ac:dyDescent="0.2">
      <c r="A216" s="35">
        <f t="shared" si="5"/>
        <v>213</v>
      </c>
      <c r="B216" s="36" t="s">
        <v>1205</v>
      </c>
      <c r="C216" s="36" t="s">
        <v>1206</v>
      </c>
      <c r="D216" s="36" t="s">
        <v>47</v>
      </c>
      <c r="E216" s="37"/>
      <c r="F216" s="40"/>
      <c r="G216" s="40"/>
      <c r="H216" s="40"/>
    </row>
    <row r="217" spans="1:8" x14ac:dyDescent="0.2">
      <c r="A217" s="35">
        <f t="shared" si="5"/>
        <v>214</v>
      </c>
      <c r="B217" s="36" t="s">
        <v>1207</v>
      </c>
      <c r="C217" s="36" t="s">
        <v>1208</v>
      </c>
      <c r="D217" s="36" t="s">
        <v>31</v>
      </c>
      <c r="E217" s="37"/>
      <c r="F217" s="40"/>
      <c r="G217" s="40"/>
      <c r="H217" s="40"/>
    </row>
    <row r="218" spans="1:8" x14ac:dyDescent="0.2">
      <c r="A218" s="35">
        <f t="shared" si="5"/>
        <v>215</v>
      </c>
      <c r="B218" s="36" t="s">
        <v>1209</v>
      </c>
      <c r="C218" s="36" t="s">
        <v>1210</v>
      </c>
      <c r="D218" s="36" t="s">
        <v>186</v>
      </c>
      <c r="E218" s="37"/>
      <c r="F218" s="40"/>
      <c r="G218" s="40"/>
      <c r="H218" s="40"/>
    </row>
    <row r="219" spans="1:8" x14ac:dyDescent="0.2">
      <c r="A219" s="35">
        <f t="shared" si="5"/>
        <v>216</v>
      </c>
      <c r="B219" s="36" t="s">
        <v>1211</v>
      </c>
      <c r="C219" s="36" t="s">
        <v>1212</v>
      </c>
      <c r="D219" s="36" t="s">
        <v>10</v>
      </c>
      <c r="E219" s="37"/>
      <c r="F219" s="40"/>
      <c r="G219" s="40"/>
      <c r="H219" s="40"/>
    </row>
    <row r="220" spans="1:8" x14ac:dyDescent="0.2">
      <c r="A220" s="35">
        <f t="shared" si="5"/>
        <v>217</v>
      </c>
      <c r="B220" s="36" t="s">
        <v>1213</v>
      </c>
      <c r="C220" s="36" t="s">
        <v>1214</v>
      </c>
      <c r="D220" s="36" t="s">
        <v>61</v>
      </c>
      <c r="E220" s="37"/>
      <c r="F220" s="40"/>
      <c r="G220" s="40"/>
      <c r="H220" s="40"/>
    </row>
    <row r="221" spans="1:8" x14ac:dyDescent="0.2">
      <c r="A221" s="35">
        <f t="shared" si="5"/>
        <v>218</v>
      </c>
      <c r="B221" s="36" t="s">
        <v>1215</v>
      </c>
      <c r="C221" s="36" t="s">
        <v>1216</v>
      </c>
      <c r="D221" s="36" t="s">
        <v>78</v>
      </c>
      <c r="E221" s="37"/>
      <c r="F221" s="40"/>
      <c r="G221" s="40"/>
      <c r="H221" s="40"/>
    </row>
    <row r="222" spans="1:8" x14ac:dyDescent="0.2">
      <c r="A222" s="35">
        <f t="shared" si="5"/>
        <v>219</v>
      </c>
      <c r="B222" s="36" t="s">
        <v>1217</v>
      </c>
      <c r="C222" s="36" t="s">
        <v>1218</v>
      </c>
      <c r="D222" s="36" t="s">
        <v>10</v>
      </c>
      <c r="E222" s="37"/>
      <c r="F222" s="40"/>
      <c r="G222" s="40"/>
      <c r="H222" s="40"/>
    </row>
    <row r="223" spans="1:8" x14ac:dyDescent="0.2">
      <c r="A223" s="35">
        <f t="shared" si="5"/>
        <v>220</v>
      </c>
      <c r="B223" s="36" t="s">
        <v>1219</v>
      </c>
      <c r="C223" s="36" t="s">
        <v>1220</v>
      </c>
      <c r="D223" s="36" t="s">
        <v>47</v>
      </c>
      <c r="E223" s="37"/>
      <c r="F223" s="40"/>
      <c r="G223" s="40"/>
      <c r="H223" s="40"/>
    </row>
    <row r="224" spans="1:8" x14ac:dyDescent="0.2">
      <c r="A224" s="35">
        <f t="shared" si="5"/>
        <v>221</v>
      </c>
      <c r="B224" s="36" t="s">
        <v>281</v>
      </c>
      <c r="C224" s="36" t="s">
        <v>282</v>
      </c>
      <c r="D224" s="36" t="s">
        <v>10</v>
      </c>
      <c r="E224" s="37"/>
      <c r="F224" s="40"/>
      <c r="G224" s="40"/>
      <c r="H224" s="40"/>
    </row>
    <row r="225" spans="1:8" x14ac:dyDescent="0.2">
      <c r="A225" s="35">
        <f t="shared" si="5"/>
        <v>222</v>
      </c>
      <c r="B225" s="36" t="s">
        <v>1221</v>
      </c>
      <c r="C225" s="36" t="s">
        <v>1222</v>
      </c>
      <c r="D225" s="36" t="s">
        <v>1223</v>
      </c>
      <c r="E225" s="37"/>
      <c r="F225" s="40"/>
      <c r="G225" s="40"/>
      <c r="H225" s="40"/>
    </row>
    <row r="226" spans="1:8" x14ac:dyDescent="0.2">
      <c r="A226" s="35">
        <f t="shared" si="5"/>
        <v>223</v>
      </c>
      <c r="B226" s="36" t="s">
        <v>1224</v>
      </c>
      <c r="C226" s="36" t="s">
        <v>1225</v>
      </c>
      <c r="D226" s="36" t="s">
        <v>10</v>
      </c>
      <c r="E226" s="37"/>
      <c r="F226" s="40"/>
      <c r="G226" s="40"/>
      <c r="H226" s="40"/>
    </row>
    <row r="227" spans="1:8" x14ac:dyDescent="0.2">
      <c r="A227" s="35">
        <f t="shared" si="5"/>
        <v>224</v>
      </c>
      <c r="B227" s="36" t="s">
        <v>291</v>
      </c>
      <c r="C227" s="36" t="s">
        <v>292</v>
      </c>
      <c r="D227" s="36" t="s">
        <v>10</v>
      </c>
      <c r="E227" s="37"/>
      <c r="F227" s="40"/>
      <c r="G227" s="40"/>
      <c r="H227" s="40"/>
    </row>
    <row r="228" spans="1:8" x14ac:dyDescent="0.2">
      <c r="A228" s="35">
        <f t="shared" si="5"/>
        <v>225</v>
      </c>
      <c r="B228" s="36" t="s">
        <v>1226</v>
      </c>
      <c r="C228" s="36" t="s">
        <v>1227</v>
      </c>
      <c r="D228" s="36" t="s">
        <v>186</v>
      </c>
      <c r="E228" s="37"/>
      <c r="F228" s="40"/>
      <c r="G228" s="40"/>
      <c r="H228" s="40"/>
    </row>
    <row r="229" spans="1:8" x14ac:dyDescent="0.2">
      <c r="A229" s="35">
        <f t="shared" ref="A229:A292" si="6">+A228+1</f>
        <v>226</v>
      </c>
      <c r="B229" s="36" t="s">
        <v>1228</v>
      </c>
      <c r="C229" s="36" t="s">
        <v>1229</v>
      </c>
      <c r="D229" s="36" t="s">
        <v>10</v>
      </c>
      <c r="E229" s="37"/>
      <c r="F229" s="40"/>
      <c r="G229" s="40"/>
      <c r="H229" s="40"/>
    </row>
    <row r="230" spans="1:8" x14ac:dyDescent="0.2">
      <c r="A230" s="35">
        <f t="shared" si="6"/>
        <v>227</v>
      </c>
      <c r="B230" s="36" t="s">
        <v>1230</v>
      </c>
      <c r="C230" s="36" t="s">
        <v>1231</v>
      </c>
      <c r="D230" s="36" t="s">
        <v>179</v>
      </c>
      <c r="E230" s="37"/>
      <c r="F230" s="40"/>
      <c r="G230" s="40"/>
      <c r="H230" s="40"/>
    </row>
    <row r="231" spans="1:8" x14ac:dyDescent="0.2">
      <c r="A231" s="35">
        <f t="shared" si="6"/>
        <v>228</v>
      </c>
      <c r="B231" s="36" t="s">
        <v>1232</v>
      </c>
      <c r="C231" s="36" t="s">
        <v>1233</v>
      </c>
      <c r="D231" s="36" t="s">
        <v>2</v>
      </c>
      <c r="E231" s="37"/>
      <c r="F231" s="40"/>
      <c r="G231" s="40"/>
      <c r="H231" s="40"/>
    </row>
    <row r="232" spans="1:8" x14ac:dyDescent="0.2">
      <c r="A232" s="35">
        <f t="shared" si="6"/>
        <v>229</v>
      </c>
      <c r="B232" s="36" t="s">
        <v>1234</v>
      </c>
      <c r="C232" s="36" t="s">
        <v>1235</v>
      </c>
      <c r="D232" s="36" t="s">
        <v>2</v>
      </c>
      <c r="E232" s="37"/>
      <c r="F232" s="40"/>
      <c r="G232" s="40"/>
      <c r="H232" s="40"/>
    </row>
    <row r="233" spans="1:8" x14ac:dyDescent="0.2">
      <c r="A233" s="35">
        <f t="shared" si="6"/>
        <v>230</v>
      </c>
      <c r="B233" s="36" t="s">
        <v>1236</v>
      </c>
      <c r="C233" s="36" t="s">
        <v>1237</v>
      </c>
      <c r="D233" s="36" t="s">
        <v>193</v>
      </c>
      <c r="E233" s="37"/>
      <c r="F233" s="40"/>
      <c r="G233" s="40"/>
      <c r="H233" s="40"/>
    </row>
    <row r="234" spans="1:8" x14ac:dyDescent="0.2">
      <c r="A234" s="35">
        <f t="shared" si="6"/>
        <v>231</v>
      </c>
      <c r="B234" s="36" t="s">
        <v>1238</v>
      </c>
      <c r="C234" s="36" t="s">
        <v>1239</v>
      </c>
      <c r="D234" s="36" t="s">
        <v>2</v>
      </c>
      <c r="E234" s="37"/>
      <c r="F234" s="40"/>
      <c r="G234" s="40"/>
      <c r="H234" s="40"/>
    </row>
    <row r="235" spans="1:8" x14ac:dyDescent="0.2">
      <c r="A235" s="35">
        <f t="shared" si="6"/>
        <v>232</v>
      </c>
      <c r="B235" s="36" t="s">
        <v>1240</v>
      </c>
      <c r="C235" s="36" t="s">
        <v>1241</v>
      </c>
      <c r="D235" s="36" t="s">
        <v>10</v>
      </c>
      <c r="E235" s="37"/>
      <c r="F235" s="40"/>
      <c r="G235" s="40"/>
      <c r="H235" s="40"/>
    </row>
    <row r="236" spans="1:8" x14ac:dyDescent="0.2">
      <c r="A236" s="35">
        <f t="shared" si="6"/>
        <v>233</v>
      </c>
      <c r="B236" s="36" t="s">
        <v>1242</v>
      </c>
      <c r="C236" s="36" t="s">
        <v>1243</v>
      </c>
      <c r="D236" s="36" t="s">
        <v>10</v>
      </c>
      <c r="E236" s="37"/>
      <c r="F236" s="40"/>
      <c r="G236" s="40"/>
      <c r="H236" s="40"/>
    </row>
    <row r="237" spans="1:8" x14ac:dyDescent="0.2">
      <c r="A237" s="35">
        <f t="shared" si="6"/>
        <v>234</v>
      </c>
      <c r="B237" s="36" t="s">
        <v>1244</v>
      </c>
      <c r="C237" s="36" t="s">
        <v>1245</v>
      </c>
      <c r="D237" s="36" t="s">
        <v>2</v>
      </c>
      <c r="E237" s="37"/>
      <c r="F237" s="40"/>
      <c r="G237" s="40"/>
      <c r="H237" s="40"/>
    </row>
    <row r="238" spans="1:8" x14ac:dyDescent="0.2">
      <c r="A238" s="35">
        <f t="shared" si="6"/>
        <v>235</v>
      </c>
      <c r="B238" s="36" t="s">
        <v>1246</v>
      </c>
      <c r="C238" s="36" t="s">
        <v>1247</v>
      </c>
      <c r="D238" s="36" t="s">
        <v>10</v>
      </c>
      <c r="E238" s="37"/>
      <c r="F238" s="40"/>
      <c r="G238" s="40"/>
      <c r="H238" s="40"/>
    </row>
    <row r="239" spans="1:8" x14ac:dyDescent="0.2">
      <c r="A239" s="35">
        <f t="shared" si="6"/>
        <v>236</v>
      </c>
      <c r="B239" s="36" t="s">
        <v>1248</v>
      </c>
      <c r="C239" s="36" t="s">
        <v>1249</v>
      </c>
      <c r="D239" s="36" t="s">
        <v>61</v>
      </c>
      <c r="E239" s="37"/>
      <c r="F239" s="40"/>
      <c r="G239" s="40"/>
      <c r="H239" s="40"/>
    </row>
    <row r="240" spans="1:8" x14ac:dyDescent="0.2">
      <c r="A240" s="35">
        <f t="shared" si="6"/>
        <v>237</v>
      </c>
      <c r="B240" s="36" t="s">
        <v>1250</v>
      </c>
      <c r="C240" s="36" t="s">
        <v>1251</v>
      </c>
      <c r="D240" s="36" t="s">
        <v>2</v>
      </c>
      <c r="E240" s="37"/>
      <c r="F240" s="40"/>
      <c r="G240" s="40"/>
      <c r="H240" s="40"/>
    </row>
    <row r="241" spans="1:8" x14ac:dyDescent="0.2">
      <c r="A241" s="35">
        <f t="shared" si="6"/>
        <v>238</v>
      </c>
      <c r="B241" s="36" t="s">
        <v>1252</v>
      </c>
      <c r="C241" s="36" t="s">
        <v>1253</v>
      </c>
      <c r="D241" s="36" t="s">
        <v>266</v>
      </c>
      <c r="E241" s="37"/>
      <c r="F241" s="40"/>
      <c r="G241" s="40"/>
      <c r="H241" s="40"/>
    </row>
    <row r="242" spans="1:8" x14ac:dyDescent="0.2">
      <c r="A242" s="35">
        <f t="shared" si="6"/>
        <v>239</v>
      </c>
      <c r="B242" s="36" t="s">
        <v>1254</v>
      </c>
      <c r="C242" s="36" t="s">
        <v>1255</v>
      </c>
      <c r="D242" s="36" t="s">
        <v>47</v>
      </c>
      <c r="E242" s="37"/>
      <c r="F242" s="40"/>
      <c r="G242" s="40"/>
      <c r="H242" s="40"/>
    </row>
    <row r="243" spans="1:8" x14ac:dyDescent="0.2">
      <c r="A243" s="35">
        <f t="shared" si="6"/>
        <v>240</v>
      </c>
      <c r="B243" s="36" t="s">
        <v>1256</v>
      </c>
      <c r="C243" s="36" t="s">
        <v>1257</v>
      </c>
      <c r="D243" s="36" t="s">
        <v>179</v>
      </c>
      <c r="E243" s="37"/>
      <c r="F243" s="40"/>
      <c r="G243" s="40"/>
      <c r="H243" s="40"/>
    </row>
    <row r="244" spans="1:8" x14ac:dyDescent="0.2">
      <c r="A244" s="35">
        <f t="shared" si="6"/>
        <v>241</v>
      </c>
      <c r="B244" s="36" t="s">
        <v>1258</v>
      </c>
      <c r="C244" s="36" t="s">
        <v>1259</v>
      </c>
      <c r="D244" s="36" t="s">
        <v>10</v>
      </c>
      <c r="E244" s="37"/>
      <c r="F244" s="40"/>
      <c r="G244" s="40"/>
      <c r="H244" s="40"/>
    </row>
    <row r="245" spans="1:8" x14ac:dyDescent="0.2">
      <c r="A245" s="35">
        <f t="shared" si="6"/>
        <v>242</v>
      </c>
      <c r="B245" s="36" t="s">
        <v>1260</v>
      </c>
      <c r="C245" s="36" t="s">
        <v>1261</v>
      </c>
      <c r="D245" s="36" t="s">
        <v>47</v>
      </c>
      <c r="E245" s="37"/>
      <c r="F245" s="40"/>
      <c r="G245" s="40"/>
      <c r="H245" s="40"/>
    </row>
    <row r="246" spans="1:8" x14ac:dyDescent="0.2">
      <c r="A246" s="35">
        <f t="shared" si="6"/>
        <v>243</v>
      </c>
      <c r="B246" s="36" t="s">
        <v>1262</v>
      </c>
      <c r="C246" s="36" t="s">
        <v>1263</v>
      </c>
      <c r="D246" s="36" t="s">
        <v>10</v>
      </c>
      <c r="E246" s="37"/>
      <c r="F246" s="40"/>
      <c r="G246" s="40"/>
      <c r="H246" s="40"/>
    </row>
    <row r="247" spans="1:8" x14ac:dyDescent="0.2">
      <c r="A247" s="35">
        <f t="shared" si="6"/>
        <v>244</v>
      </c>
      <c r="B247" s="36" t="s">
        <v>1264</v>
      </c>
      <c r="C247" s="36" t="s">
        <v>1265</v>
      </c>
      <c r="D247" s="36" t="s">
        <v>10</v>
      </c>
      <c r="E247" s="37"/>
      <c r="F247" s="40"/>
      <c r="G247" s="40"/>
      <c r="H247" s="40"/>
    </row>
    <row r="248" spans="1:8" x14ac:dyDescent="0.2">
      <c r="A248" s="35">
        <f t="shared" si="6"/>
        <v>245</v>
      </c>
      <c r="B248" s="36" t="s">
        <v>1266</v>
      </c>
      <c r="C248" s="36" t="s">
        <v>1267</v>
      </c>
      <c r="D248" s="36" t="s">
        <v>2</v>
      </c>
      <c r="E248" s="37"/>
      <c r="F248" s="40"/>
      <c r="G248" s="40"/>
      <c r="H248" s="40"/>
    </row>
    <row r="249" spans="1:8" x14ac:dyDescent="0.2">
      <c r="A249" s="35">
        <f t="shared" si="6"/>
        <v>246</v>
      </c>
      <c r="B249" s="36" t="s">
        <v>1268</v>
      </c>
      <c r="C249" s="36" t="s">
        <v>1269</v>
      </c>
      <c r="D249" s="36" t="s">
        <v>10</v>
      </c>
      <c r="E249" s="37"/>
      <c r="F249" s="40"/>
      <c r="G249" s="40"/>
      <c r="H249" s="40"/>
    </row>
    <row r="250" spans="1:8" x14ac:dyDescent="0.2">
      <c r="A250" s="35">
        <f t="shared" si="6"/>
        <v>247</v>
      </c>
      <c r="B250" s="36" t="s">
        <v>1270</v>
      </c>
      <c r="C250" s="36" t="s">
        <v>1271</v>
      </c>
      <c r="D250" s="36" t="s">
        <v>166</v>
      </c>
      <c r="E250" s="37"/>
      <c r="F250" s="40"/>
      <c r="G250" s="40"/>
      <c r="H250" s="40"/>
    </row>
    <row r="251" spans="1:8" x14ac:dyDescent="0.2">
      <c r="A251" s="35">
        <f t="shared" si="6"/>
        <v>248</v>
      </c>
      <c r="B251" s="36" t="s">
        <v>1272</v>
      </c>
      <c r="C251" s="36" t="s">
        <v>1273</v>
      </c>
      <c r="D251" s="36" t="s">
        <v>10</v>
      </c>
      <c r="E251" s="37"/>
      <c r="F251" s="40"/>
      <c r="G251" s="40"/>
      <c r="H251" s="40"/>
    </row>
    <row r="252" spans="1:8" x14ac:dyDescent="0.2">
      <c r="A252" s="35">
        <f t="shared" si="6"/>
        <v>249</v>
      </c>
      <c r="B252" s="36" t="s">
        <v>1274</v>
      </c>
      <c r="C252" s="36" t="s">
        <v>1275</v>
      </c>
      <c r="D252" s="36" t="s">
        <v>989</v>
      </c>
      <c r="E252" s="37"/>
      <c r="F252" s="40"/>
      <c r="G252" s="40"/>
      <c r="H252" s="40"/>
    </row>
    <row r="253" spans="1:8" x14ac:dyDescent="0.2">
      <c r="A253" s="35">
        <f t="shared" si="6"/>
        <v>250</v>
      </c>
      <c r="B253" s="36" t="s">
        <v>1276</v>
      </c>
      <c r="C253" s="36" t="s">
        <v>1277</v>
      </c>
      <c r="D253" s="36" t="s">
        <v>186</v>
      </c>
      <c r="E253" s="37"/>
      <c r="F253" s="40"/>
      <c r="G253" s="40"/>
      <c r="H253" s="40"/>
    </row>
    <row r="254" spans="1:8" x14ac:dyDescent="0.2">
      <c r="A254" s="35">
        <f t="shared" si="6"/>
        <v>251</v>
      </c>
      <c r="B254" s="36" t="s">
        <v>1278</v>
      </c>
      <c r="C254" s="36" t="s">
        <v>1279</v>
      </c>
      <c r="D254" s="36" t="s">
        <v>975</v>
      </c>
      <c r="E254" s="37"/>
      <c r="F254" s="40"/>
      <c r="G254" s="40"/>
      <c r="H254" s="40"/>
    </row>
    <row r="255" spans="1:8" x14ac:dyDescent="0.2">
      <c r="A255" s="35">
        <f t="shared" si="6"/>
        <v>252</v>
      </c>
      <c r="B255" s="36" t="s">
        <v>1280</v>
      </c>
      <c r="C255" s="36" t="s">
        <v>1281</v>
      </c>
      <c r="D255" s="36" t="s">
        <v>10</v>
      </c>
      <c r="E255" s="37"/>
      <c r="F255" s="40"/>
      <c r="G255" s="40"/>
      <c r="H255" s="40"/>
    </row>
    <row r="256" spans="1:8" x14ac:dyDescent="0.2">
      <c r="A256" s="35">
        <f t="shared" si="6"/>
        <v>253</v>
      </c>
      <c r="B256" s="36" t="s">
        <v>1282</v>
      </c>
      <c r="C256" s="36" t="s">
        <v>1283</v>
      </c>
      <c r="D256" s="36" t="s">
        <v>2</v>
      </c>
      <c r="E256" s="37"/>
      <c r="F256" s="40"/>
      <c r="G256" s="40"/>
      <c r="H256" s="40"/>
    </row>
    <row r="257" spans="1:8" x14ac:dyDescent="0.2">
      <c r="A257" s="35">
        <f t="shared" si="6"/>
        <v>254</v>
      </c>
      <c r="B257" s="36" t="s">
        <v>1284</v>
      </c>
      <c r="C257" s="36" t="s">
        <v>1285</v>
      </c>
      <c r="D257" s="36" t="s">
        <v>47</v>
      </c>
      <c r="E257" s="37"/>
      <c r="F257" s="40"/>
      <c r="G257" s="40"/>
      <c r="H257" s="40"/>
    </row>
    <row r="258" spans="1:8" x14ac:dyDescent="0.2">
      <c r="A258" s="35">
        <f t="shared" si="6"/>
        <v>255</v>
      </c>
      <c r="B258" s="36" t="s">
        <v>1286</v>
      </c>
      <c r="C258" s="36" t="s">
        <v>1287</v>
      </c>
      <c r="D258" s="36" t="s">
        <v>119</v>
      </c>
      <c r="E258" s="37"/>
      <c r="F258" s="40"/>
      <c r="G258" s="40"/>
      <c r="H258" s="40"/>
    </row>
    <row r="259" spans="1:8" x14ac:dyDescent="0.2">
      <c r="A259" s="35">
        <f t="shared" si="6"/>
        <v>256</v>
      </c>
      <c r="B259" s="36" t="s">
        <v>1288</v>
      </c>
      <c r="C259" s="36" t="s">
        <v>1289</v>
      </c>
      <c r="D259" s="36" t="s">
        <v>47</v>
      </c>
      <c r="E259" s="37"/>
      <c r="F259" s="40"/>
      <c r="G259" s="40"/>
      <c r="H259" s="40"/>
    </row>
    <row r="260" spans="1:8" x14ac:dyDescent="0.2">
      <c r="A260" s="35">
        <f t="shared" si="6"/>
        <v>257</v>
      </c>
      <c r="B260" s="36" t="s">
        <v>1290</v>
      </c>
      <c r="C260" s="36" t="s">
        <v>1291</v>
      </c>
      <c r="D260" s="36" t="s">
        <v>56</v>
      </c>
      <c r="E260" s="37"/>
      <c r="F260" s="40"/>
      <c r="G260" s="40"/>
      <c r="H260" s="40"/>
    </row>
    <row r="261" spans="1:8" x14ac:dyDescent="0.2">
      <c r="A261" s="35">
        <f t="shared" si="6"/>
        <v>258</v>
      </c>
      <c r="B261" s="36" t="s">
        <v>1292</v>
      </c>
      <c r="C261" s="36" t="s">
        <v>1293</v>
      </c>
      <c r="D261" s="36" t="s">
        <v>10</v>
      </c>
      <c r="E261" s="37"/>
      <c r="F261" s="40"/>
      <c r="G261" s="40"/>
      <c r="H261" s="40"/>
    </row>
    <row r="262" spans="1:8" x14ac:dyDescent="0.2">
      <c r="A262" s="35">
        <f t="shared" si="6"/>
        <v>259</v>
      </c>
      <c r="B262" s="36" t="s">
        <v>1294</v>
      </c>
      <c r="C262" s="36" t="s">
        <v>1295</v>
      </c>
      <c r="D262" s="36" t="s">
        <v>13</v>
      </c>
      <c r="E262" s="37"/>
      <c r="F262" s="40"/>
      <c r="G262" s="40"/>
      <c r="H262" s="40"/>
    </row>
    <row r="263" spans="1:8" x14ac:dyDescent="0.2">
      <c r="A263" s="35">
        <f t="shared" si="6"/>
        <v>260</v>
      </c>
      <c r="B263" s="36" t="s">
        <v>1296</v>
      </c>
      <c r="C263" s="36" t="s">
        <v>1297</v>
      </c>
      <c r="D263" s="36" t="s">
        <v>2</v>
      </c>
      <c r="E263" s="37"/>
      <c r="F263" s="40"/>
      <c r="G263" s="40"/>
      <c r="H263" s="40"/>
    </row>
    <row r="264" spans="1:8" x14ac:dyDescent="0.2">
      <c r="A264" s="35">
        <f t="shared" si="6"/>
        <v>261</v>
      </c>
      <c r="B264" s="36" t="s">
        <v>1298</v>
      </c>
      <c r="C264" s="36" t="s">
        <v>1299</v>
      </c>
      <c r="D264" s="36" t="s">
        <v>10</v>
      </c>
      <c r="E264" s="37"/>
      <c r="F264" s="40"/>
      <c r="G264" s="40"/>
      <c r="H264" s="40"/>
    </row>
    <row r="265" spans="1:8" x14ac:dyDescent="0.2">
      <c r="A265" s="35">
        <f t="shared" si="6"/>
        <v>262</v>
      </c>
      <c r="B265" s="36" t="s">
        <v>1300</v>
      </c>
      <c r="C265" s="36" t="s">
        <v>1301</v>
      </c>
      <c r="D265" s="36" t="s">
        <v>56</v>
      </c>
      <c r="E265" s="37"/>
      <c r="F265" s="40"/>
      <c r="G265" s="40"/>
      <c r="H265" s="40"/>
    </row>
    <row r="266" spans="1:8" x14ac:dyDescent="0.2">
      <c r="A266" s="35">
        <f t="shared" si="6"/>
        <v>263</v>
      </c>
      <c r="B266" s="36" t="s">
        <v>1302</v>
      </c>
      <c r="C266" s="36" t="s">
        <v>1303</v>
      </c>
      <c r="D266" s="36" t="s">
        <v>10</v>
      </c>
      <c r="E266" s="37"/>
      <c r="F266" s="40"/>
      <c r="G266" s="40"/>
      <c r="H266" s="40"/>
    </row>
    <row r="267" spans="1:8" x14ac:dyDescent="0.2">
      <c r="A267" s="35">
        <f t="shared" si="6"/>
        <v>264</v>
      </c>
      <c r="B267" s="36" t="s">
        <v>1304</v>
      </c>
      <c r="C267" s="36" t="s">
        <v>1305</v>
      </c>
      <c r="D267" s="36" t="s">
        <v>2</v>
      </c>
      <c r="E267" s="37"/>
      <c r="F267" s="40"/>
      <c r="G267" s="40"/>
      <c r="H267" s="40"/>
    </row>
    <row r="268" spans="1:8" x14ac:dyDescent="0.2">
      <c r="A268" s="35">
        <f t="shared" si="6"/>
        <v>265</v>
      </c>
      <c r="B268" s="36" t="s">
        <v>1306</v>
      </c>
      <c r="C268" s="36" t="s">
        <v>1307</v>
      </c>
      <c r="D268" s="36" t="s">
        <v>2</v>
      </c>
      <c r="E268" s="37"/>
      <c r="F268" s="40"/>
      <c r="G268" s="40"/>
      <c r="H268" s="40"/>
    </row>
    <row r="269" spans="1:8" x14ac:dyDescent="0.2">
      <c r="A269" s="35">
        <f t="shared" si="6"/>
        <v>266</v>
      </c>
      <c r="B269" s="36" t="s">
        <v>1308</v>
      </c>
      <c r="C269" s="36" t="s">
        <v>1309</v>
      </c>
      <c r="D269" s="36" t="s">
        <v>5</v>
      </c>
      <c r="E269" s="37"/>
      <c r="F269" s="40"/>
      <c r="G269" s="40"/>
      <c r="H269" s="40"/>
    </row>
    <row r="270" spans="1:8" x14ac:dyDescent="0.2">
      <c r="A270" s="35">
        <f t="shared" si="6"/>
        <v>267</v>
      </c>
      <c r="B270" s="36" t="s">
        <v>1310</v>
      </c>
      <c r="C270" s="36" t="s">
        <v>1311</v>
      </c>
      <c r="D270" s="36" t="s">
        <v>10</v>
      </c>
      <c r="E270" s="37"/>
      <c r="F270" s="40"/>
      <c r="G270" s="40"/>
      <c r="H270" s="40"/>
    </row>
    <row r="271" spans="1:8" x14ac:dyDescent="0.2">
      <c r="A271" s="35">
        <f t="shared" si="6"/>
        <v>268</v>
      </c>
      <c r="B271" s="36" t="s">
        <v>1312</v>
      </c>
      <c r="C271" s="36" t="s">
        <v>1313</v>
      </c>
      <c r="D271" s="36" t="s">
        <v>31</v>
      </c>
      <c r="E271" s="37"/>
      <c r="F271" s="40"/>
      <c r="G271" s="40"/>
      <c r="H271" s="40"/>
    </row>
    <row r="272" spans="1:8" x14ac:dyDescent="0.2">
      <c r="A272" s="35">
        <f t="shared" si="6"/>
        <v>269</v>
      </c>
      <c r="B272" s="36" t="s">
        <v>1314</v>
      </c>
      <c r="C272" s="36" t="s">
        <v>1315</v>
      </c>
      <c r="D272" s="36" t="s">
        <v>31</v>
      </c>
      <c r="E272" s="37"/>
      <c r="F272" s="40"/>
      <c r="G272" s="40"/>
      <c r="H272" s="40"/>
    </row>
    <row r="273" spans="1:8" x14ac:dyDescent="0.2">
      <c r="A273" s="35">
        <f t="shared" si="6"/>
        <v>270</v>
      </c>
      <c r="B273" s="36" t="s">
        <v>1316</v>
      </c>
      <c r="C273" s="36" t="s">
        <v>1317</v>
      </c>
      <c r="D273" s="36" t="s">
        <v>10</v>
      </c>
      <c r="E273" s="37"/>
      <c r="F273" s="40"/>
      <c r="G273" s="40"/>
      <c r="H273" s="40"/>
    </row>
    <row r="274" spans="1:8" x14ac:dyDescent="0.2">
      <c r="A274" s="35">
        <f t="shared" si="6"/>
        <v>271</v>
      </c>
      <c r="B274" s="36" t="s">
        <v>1318</v>
      </c>
      <c r="C274" s="36" t="s">
        <v>1319</v>
      </c>
      <c r="D274" s="36" t="s">
        <v>2</v>
      </c>
      <c r="E274" s="37"/>
      <c r="F274" s="40"/>
      <c r="G274" s="40"/>
      <c r="H274" s="40"/>
    </row>
    <row r="275" spans="1:8" x14ac:dyDescent="0.2">
      <c r="A275" s="35">
        <f t="shared" si="6"/>
        <v>272</v>
      </c>
      <c r="B275" s="36" t="s">
        <v>1320</v>
      </c>
      <c r="C275" s="36" t="s">
        <v>1321</v>
      </c>
      <c r="D275" s="36" t="s">
        <v>10</v>
      </c>
      <c r="E275" s="37"/>
      <c r="F275" s="40"/>
      <c r="G275" s="40"/>
      <c r="H275" s="40"/>
    </row>
    <row r="276" spans="1:8" x14ac:dyDescent="0.2">
      <c r="A276" s="35">
        <f t="shared" si="6"/>
        <v>273</v>
      </c>
      <c r="B276" s="36" t="s">
        <v>1322</v>
      </c>
      <c r="C276" s="36" t="s">
        <v>1323</v>
      </c>
      <c r="D276" s="36" t="s">
        <v>47</v>
      </c>
      <c r="E276" s="37"/>
      <c r="F276" s="40"/>
      <c r="G276" s="40"/>
      <c r="H276" s="40"/>
    </row>
    <row r="277" spans="1:8" x14ac:dyDescent="0.2">
      <c r="A277" s="35">
        <f t="shared" si="6"/>
        <v>274</v>
      </c>
      <c r="B277" s="36" t="s">
        <v>1324</v>
      </c>
      <c r="C277" s="36" t="s">
        <v>1325</v>
      </c>
      <c r="D277" s="36" t="s">
        <v>10</v>
      </c>
      <c r="E277" s="37"/>
      <c r="F277" s="40"/>
      <c r="G277" s="40"/>
      <c r="H277" s="40"/>
    </row>
    <row r="278" spans="1:8" x14ac:dyDescent="0.2">
      <c r="A278" s="35">
        <f t="shared" si="6"/>
        <v>275</v>
      </c>
      <c r="B278" s="36" t="s">
        <v>1326</v>
      </c>
      <c r="C278" s="36" t="s">
        <v>1327</v>
      </c>
      <c r="D278" s="36" t="s">
        <v>56</v>
      </c>
      <c r="E278" s="37"/>
      <c r="F278" s="40"/>
      <c r="G278" s="40"/>
      <c r="H278" s="40"/>
    </row>
    <row r="279" spans="1:8" x14ac:dyDescent="0.2">
      <c r="A279" s="35">
        <f t="shared" si="6"/>
        <v>276</v>
      </c>
      <c r="B279" s="36" t="s">
        <v>1328</v>
      </c>
      <c r="C279" s="36" t="s">
        <v>1329</v>
      </c>
      <c r="D279" s="36" t="s">
        <v>10</v>
      </c>
      <c r="E279" s="37"/>
      <c r="F279" s="40"/>
      <c r="G279" s="40"/>
      <c r="H279" s="40"/>
    </row>
    <row r="280" spans="1:8" x14ac:dyDescent="0.2">
      <c r="A280" s="35">
        <f t="shared" si="6"/>
        <v>277</v>
      </c>
      <c r="B280" s="36" t="s">
        <v>1330</v>
      </c>
      <c r="C280" s="36" t="s">
        <v>1331</v>
      </c>
      <c r="D280" s="36" t="s">
        <v>266</v>
      </c>
      <c r="E280" s="37"/>
      <c r="F280" s="40"/>
      <c r="G280" s="40"/>
      <c r="H280" s="40"/>
    </row>
    <row r="281" spans="1:8" x14ac:dyDescent="0.2">
      <c r="A281" s="35">
        <f t="shared" si="6"/>
        <v>278</v>
      </c>
      <c r="B281" s="36" t="s">
        <v>1332</v>
      </c>
      <c r="C281" s="36" t="s">
        <v>288</v>
      </c>
      <c r="D281" s="36" t="s">
        <v>266</v>
      </c>
      <c r="E281" s="37"/>
      <c r="F281" s="40"/>
      <c r="G281" s="40"/>
      <c r="H281" s="40"/>
    </row>
    <row r="282" spans="1:8" x14ac:dyDescent="0.2">
      <c r="A282" s="35">
        <f t="shared" si="6"/>
        <v>279</v>
      </c>
      <c r="B282" s="36" t="s">
        <v>1333</v>
      </c>
      <c r="C282" s="36" t="s">
        <v>1334</v>
      </c>
      <c r="D282" s="36" t="s">
        <v>10</v>
      </c>
      <c r="E282" s="37"/>
      <c r="F282" s="40"/>
      <c r="G282" s="40"/>
      <c r="H282" s="40"/>
    </row>
    <row r="283" spans="1:8" x14ac:dyDescent="0.2">
      <c r="A283" s="35">
        <f t="shared" si="6"/>
        <v>280</v>
      </c>
      <c r="B283" s="36" t="s">
        <v>1335</v>
      </c>
      <c r="C283" s="36" t="s">
        <v>1336</v>
      </c>
      <c r="D283" s="36" t="s">
        <v>166</v>
      </c>
      <c r="E283" s="37"/>
      <c r="F283" s="40"/>
      <c r="G283" s="40"/>
      <c r="H283" s="40"/>
    </row>
    <row r="284" spans="1:8" x14ac:dyDescent="0.2">
      <c r="A284" s="35">
        <f t="shared" si="6"/>
        <v>281</v>
      </c>
      <c r="B284" s="36" t="s">
        <v>1337</v>
      </c>
      <c r="C284" s="36" t="s">
        <v>1338</v>
      </c>
      <c r="D284" s="36" t="s">
        <v>975</v>
      </c>
      <c r="E284" s="37"/>
      <c r="F284" s="40"/>
      <c r="G284" s="40"/>
      <c r="H284" s="40"/>
    </row>
    <row r="285" spans="1:8" x14ac:dyDescent="0.2">
      <c r="A285" s="35">
        <f t="shared" si="6"/>
        <v>282</v>
      </c>
      <c r="B285" s="36" t="s">
        <v>1339</v>
      </c>
      <c r="C285" s="36" t="s">
        <v>1340</v>
      </c>
      <c r="D285" s="36" t="s">
        <v>2</v>
      </c>
      <c r="E285" s="37"/>
      <c r="F285" s="40"/>
      <c r="G285" s="40"/>
      <c r="H285" s="40"/>
    </row>
    <row r="286" spans="1:8" x14ac:dyDescent="0.2">
      <c r="A286" s="35">
        <f t="shared" si="6"/>
        <v>283</v>
      </c>
      <c r="B286" s="36" t="s">
        <v>1341</v>
      </c>
      <c r="C286" s="36" t="s">
        <v>1342</v>
      </c>
      <c r="D286" s="36" t="s">
        <v>10</v>
      </c>
      <c r="E286" s="37"/>
      <c r="F286" s="40"/>
      <c r="G286" s="40"/>
      <c r="H286" s="40"/>
    </row>
    <row r="287" spans="1:8" x14ac:dyDescent="0.2">
      <c r="A287" s="35">
        <f t="shared" si="6"/>
        <v>284</v>
      </c>
      <c r="B287" s="36" t="s">
        <v>1343</v>
      </c>
      <c r="C287" s="36" t="s">
        <v>1344</v>
      </c>
      <c r="D287" s="36" t="s">
        <v>186</v>
      </c>
      <c r="E287" s="37"/>
      <c r="F287" s="40"/>
      <c r="G287" s="40"/>
      <c r="H287" s="40"/>
    </row>
    <row r="288" spans="1:8" x14ac:dyDescent="0.2">
      <c r="A288" s="35">
        <f t="shared" si="6"/>
        <v>285</v>
      </c>
      <c r="B288" s="36" t="s">
        <v>1345</v>
      </c>
      <c r="C288" s="36" t="s">
        <v>1346</v>
      </c>
      <c r="D288" s="36" t="s">
        <v>179</v>
      </c>
      <c r="E288" s="37"/>
      <c r="F288" s="40"/>
      <c r="G288" s="40"/>
      <c r="H288" s="40"/>
    </row>
    <row r="289" spans="1:8" x14ac:dyDescent="0.2">
      <c r="A289" s="35">
        <f t="shared" si="6"/>
        <v>286</v>
      </c>
      <c r="B289" s="36" t="s">
        <v>1347</v>
      </c>
      <c r="C289" s="36" t="s">
        <v>1348</v>
      </c>
      <c r="D289" s="36" t="s">
        <v>2</v>
      </c>
      <c r="E289" s="37"/>
      <c r="F289" s="40"/>
      <c r="G289" s="40"/>
      <c r="H289" s="40"/>
    </row>
    <row r="290" spans="1:8" x14ac:dyDescent="0.2">
      <c r="A290" s="35">
        <f t="shared" si="6"/>
        <v>287</v>
      </c>
      <c r="B290" s="36" t="s">
        <v>1349</v>
      </c>
      <c r="C290" s="36" t="s">
        <v>1350</v>
      </c>
      <c r="D290" s="36" t="s">
        <v>2</v>
      </c>
      <c r="E290" s="37"/>
      <c r="F290" s="40"/>
      <c r="G290" s="40"/>
      <c r="H290" s="40"/>
    </row>
    <row r="291" spans="1:8" x14ac:dyDescent="0.2">
      <c r="A291" s="35">
        <f t="shared" si="6"/>
        <v>288</v>
      </c>
      <c r="B291" s="36" t="s">
        <v>1351</v>
      </c>
      <c r="C291" s="36" t="s">
        <v>1352</v>
      </c>
      <c r="D291" s="36" t="s">
        <v>47</v>
      </c>
      <c r="E291" s="37"/>
      <c r="F291" s="40"/>
      <c r="G291" s="40"/>
      <c r="H291" s="40"/>
    </row>
    <row r="292" spans="1:8" x14ac:dyDescent="0.2">
      <c r="A292" s="35">
        <f t="shared" si="6"/>
        <v>289</v>
      </c>
      <c r="B292" s="36" t="s">
        <v>1353</v>
      </c>
      <c r="C292" s="36" t="s">
        <v>1354</v>
      </c>
      <c r="D292" s="36" t="s">
        <v>10</v>
      </c>
      <c r="E292" s="37"/>
      <c r="F292" s="40"/>
      <c r="G292" s="40"/>
      <c r="H292" s="40"/>
    </row>
    <row r="293" spans="1:8" x14ac:dyDescent="0.2">
      <c r="A293" s="35">
        <f t="shared" ref="A293:A356" si="7">+A292+1</f>
        <v>290</v>
      </c>
      <c r="B293" s="36" t="s">
        <v>1355</v>
      </c>
      <c r="C293" s="36" t="s">
        <v>1356</v>
      </c>
      <c r="D293" s="36" t="s">
        <v>10</v>
      </c>
      <c r="E293" s="37"/>
      <c r="F293" s="40"/>
      <c r="G293" s="40"/>
      <c r="H293" s="40"/>
    </row>
    <row r="294" spans="1:8" x14ac:dyDescent="0.2">
      <c r="A294" s="35">
        <f t="shared" si="7"/>
        <v>291</v>
      </c>
      <c r="B294" s="36" t="s">
        <v>1357</v>
      </c>
      <c r="C294" s="36" t="s">
        <v>1358</v>
      </c>
      <c r="D294" s="36" t="s">
        <v>10</v>
      </c>
      <c r="E294" s="37"/>
      <c r="F294" s="40"/>
      <c r="G294" s="40"/>
      <c r="H294" s="40"/>
    </row>
    <row r="295" spans="1:8" x14ac:dyDescent="0.2">
      <c r="A295" s="35">
        <f t="shared" si="7"/>
        <v>292</v>
      </c>
      <c r="B295" s="36" t="s">
        <v>1359</v>
      </c>
      <c r="C295" s="36" t="s">
        <v>1360</v>
      </c>
      <c r="D295" s="36" t="s">
        <v>10</v>
      </c>
      <c r="E295" s="37"/>
      <c r="F295" s="40"/>
      <c r="G295" s="40"/>
      <c r="H295" s="40"/>
    </row>
    <row r="296" spans="1:8" x14ac:dyDescent="0.2">
      <c r="A296" s="35">
        <f t="shared" si="7"/>
        <v>293</v>
      </c>
      <c r="B296" s="36" t="s">
        <v>1361</v>
      </c>
      <c r="C296" s="36" t="s">
        <v>1362</v>
      </c>
      <c r="D296" s="36" t="s">
        <v>2</v>
      </c>
      <c r="E296" s="37"/>
      <c r="F296" s="40"/>
      <c r="G296" s="40"/>
      <c r="H296" s="40"/>
    </row>
    <row r="297" spans="1:8" x14ac:dyDescent="0.2">
      <c r="A297" s="35">
        <f t="shared" si="7"/>
        <v>294</v>
      </c>
      <c r="B297" s="36" t="s">
        <v>1363</v>
      </c>
      <c r="C297" s="36" t="s">
        <v>1364</v>
      </c>
      <c r="D297" s="36" t="s">
        <v>10</v>
      </c>
      <c r="E297" s="37"/>
      <c r="F297" s="40"/>
      <c r="G297" s="40"/>
      <c r="H297" s="40"/>
    </row>
    <row r="298" spans="1:8" x14ac:dyDescent="0.2">
      <c r="A298" s="35">
        <f t="shared" si="7"/>
        <v>295</v>
      </c>
      <c r="B298" s="36" t="s">
        <v>1365</v>
      </c>
      <c r="C298" s="36" t="s">
        <v>1366</v>
      </c>
      <c r="D298" s="36" t="s">
        <v>987</v>
      </c>
      <c r="E298" s="37"/>
      <c r="F298" s="40"/>
      <c r="G298" s="40"/>
      <c r="H298" s="40"/>
    </row>
    <row r="299" spans="1:8" x14ac:dyDescent="0.2">
      <c r="A299" s="35">
        <f t="shared" si="7"/>
        <v>296</v>
      </c>
      <c r="B299" s="36" t="s">
        <v>1367</v>
      </c>
      <c r="C299" s="36" t="s">
        <v>1368</v>
      </c>
      <c r="D299" s="36" t="s">
        <v>2</v>
      </c>
      <c r="E299" s="37"/>
      <c r="F299" s="40"/>
      <c r="G299" s="40"/>
      <c r="H299" s="40"/>
    </row>
    <row r="300" spans="1:8" x14ac:dyDescent="0.2">
      <c r="A300" s="35">
        <f t="shared" si="7"/>
        <v>297</v>
      </c>
      <c r="B300" s="36" t="s">
        <v>1369</v>
      </c>
      <c r="C300" s="36" t="s">
        <v>1370</v>
      </c>
      <c r="D300" s="36" t="s">
        <v>179</v>
      </c>
      <c r="E300" s="37"/>
      <c r="F300" s="40"/>
      <c r="G300" s="40"/>
      <c r="H300" s="40"/>
    </row>
    <row r="301" spans="1:8" x14ac:dyDescent="0.2">
      <c r="A301" s="35">
        <f t="shared" si="7"/>
        <v>298</v>
      </c>
      <c r="B301" s="36" t="s">
        <v>1371</v>
      </c>
      <c r="C301" s="36" t="s">
        <v>1372</v>
      </c>
      <c r="D301" s="36" t="s">
        <v>47</v>
      </c>
      <c r="E301" s="37"/>
      <c r="F301" s="40"/>
      <c r="G301" s="40"/>
      <c r="H301" s="40"/>
    </row>
    <row r="302" spans="1:8" x14ac:dyDescent="0.2">
      <c r="A302" s="35">
        <f t="shared" si="7"/>
        <v>299</v>
      </c>
      <c r="B302" s="36" t="s">
        <v>1373</v>
      </c>
      <c r="C302" s="36" t="s">
        <v>1374</v>
      </c>
      <c r="D302" s="36" t="s">
        <v>10</v>
      </c>
      <c r="E302" s="37"/>
      <c r="F302" s="40"/>
      <c r="G302" s="40"/>
      <c r="H302" s="40"/>
    </row>
    <row r="303" spans="1:8" x14ac:dyDescent="0.2">
      <c r="A303" s="35">
        <f t="shared" si="7"/>
        <v>300</v>
      </c>
      <c r="B303" s="36" t="s">
        <v>1375</v>
      </c>
      <c r="C303" s="36" t="s">
        <v>1376</v>
      </c>
      <c r="D303" s="36" t="s">
        <v>10</v>
      </c>
      <c r="E303" s="37"/>
      <c r="F303" s="40"/>
      <c r="G303" s="40"/>
      <c r="H303" s="40"/>
    </row>
    <row r="304" spans="1:8" x14ac:dyDescent="0.2">
      <c r="A304" s="35">
        <f t="shared" si="7"/>
        <v>301</v>
      </c>
      <c r="B304" s="36" t="s">
        <v>1377</v>
      </c>
      <c r="C304" s="36" t="s">
        <v>1378</v>
      </c>
      <c r="D304" s="36" t="s">
        <v>10</v>
      </c>
      <c r="E304" s="37"/>
      <c r="F304" s="40"/>
      <c r="G304" s="40"/>
      <c r="H304" s="40"/>
    </row>
    <row r="305" spans="1:8" x14ac:dyDescent="0.2">
      <c r="A305" s="35">
        <f t="shared" si="7"/>
        <v>302</v>
      </c>
      <c r="B305" s="36" t="s">
        <v>1379</v>
      </c>
      <c r="C305" s="36" t="s">
        <v>1380</v>
      </c>
      <c r="D305" s="36" t="s">
        <v>31</v>
      </c>
      <c r="E305" s="37"/>
      <c r="F305" s="40"/>
      <c r="G305" s="40"/>
      <c r="H305" s="40"/>
    </row>
    <row r="306" spans="1:8" x14ac:dyDescent="0.2">
      <c r="A306" s="35">
        <f t="shared" si="7"/>
        <v>303</v>
      </c>
      <c r="B306" s="36" t="s">
        <v>1381</v>
      </c>
      <c r="C306" s="36" t="s">
        <v>1382</v>
      </c>
      <c r="D306" s="36" t="s">
        <v>56</v>
      </c>
      <c r="E306" s="37"/>
      <c r="F306" s="40"/>
      <c r="G306" s="40"/>
      <c r="H306" s="40"/>
    </row>
    <row r="307" spans="1:8" x14ac:dyDescent="0.2">
      <c r="A307" s="35">
        <f t="shared" si="7"/>
        <v>304</v>
      </c>
      <c r="B307" s="36" t="s">
        <v>1383</v>
      </c>
      <c r="C307" s="36" t="s">
        <v>1384</v>
      </c>
      <c r="D307" s="36" t="s">
        <v>2</v>
      </c>
      <c r="E307" s="37"/>
      <c r="F307" s="40"/>
      <c r="G307" s="40"/>
      <c r="H307" s="40"/>
    </row>
    <row r="308" spans="1:8" x14ac:dyDescent="0.2">
      <c r="A308" s="35">
        <f t="shared" si="7"/>
        <v>305</v>
      </c>
      <c r="B308" s="36" t="s">
        <v>1385</v>
      </c>
      <c r="C308" s="36" t="s">
        <v>1386</v>
      </c>
      <c r="D308" s="36" t="s">
        <v>2</v>
      </c>
      <c r="E308" s="37"/>
      <c r="F308" s="40"/>
      <c r="G308" s="40"/>
      <c r="H308" s="40"/>
    </row>
    <row r="309" spans="1:8" x14ac:dyDescent="0.2">
      <c r="A309" s="35">
        <f t="shared" si="7"/>
        <v>306</v>
      </c>
      <c r="B309" s="36" t="s">
        <v>1387</v>
      </c>
      <c r="C309" s="36" t="s">
        <v>1388</v>
      </c>
      <c r="D309" s="36" t="s">
        <v>10</v>
      </c>
      <c r="E309" s="37"/>
      <c r="F309" s="40"/>
      <c r="G309" s="40"/>
      <c r="H309" s="40"/>
    </row>
    <row r="310" spans="1:8" x14ac:dyDescent="0.2">
      <c r="A310" s="35">
        <f t="shared" si="7"/>
        <v>307</v>
      </c>
      <c r="B310" s="36" t="s">
        <v>1389</v>
      </c>
      <c r="C310" s="36" t="s">
        <v>1390</v>
      </c>
      <c r="D310" s="36" t="s">
        <v>56</v>
      </c>
      <c r="E310" s="37"/>
      <c r="F310" s="40"/>
      <c r="G310" s="40"/>
      <c r="H310" s="40"/>
    </row>
    <row r="311" spans="1:8" x14ac:dyDescent="0.2">
      <c r="A311" s="35">
        <f t="shared" si="7"/>
        <v>308</v>
      </c>
      <c r="B311" s="36" t="s">
        <v>1391</v>
      </c>
      <c r="C311" s="36" t="s">
        <v>1392</v>
      </c>
      <c r="D311" s="36" t="s">
        <v>2</v>
      </c>
      <c r="E311" s="37"/>
      <c r="F311" s="40"/>
      <c r="G311" s="40"/>
      <c r="H311" s="40"/>
    </row>
    <row r="312" spans="1:8" x14ac:dyDescent="0.2">
      <c r="A312" s="35">
        <f t="shared" si="7"/>
        <v>309</v>
      </c>
      <c r="B312" s="36" t="s">
        <v>1393</v>
      </c>
      <c r="C312" s="36" t="s">
        <v>1394</v>
      </c>
      <c r="D312" s="36" t="s">
        <v>2</v>
      </c>
      <c r="E312" s="37"/>
      <c r="F312" s="40"/>
      <c r="G312" s="40"/>
      <c r="H312" s="40"/>
    </row>
    <row r="313" spans="1:8" x14ac:dyDescent="0.2">
      <c r="A313" s="35">
        <f t="shared" si="7"/>
        <v>310</v>
      </c>
      <c r="B313" s="36" t="s">
        <v>1395</v>
      </c>
      <c r="C313" s="36" t="s">
        <v>1396</v>
      </c>
      <c r="D313" s="36" t="s">
        <v>977</v>
      </c>
      <c r="E313" s="37"/>
      <c r="F313" s="40"/>
      <c r="G313" s="40"/>
      <c r="H313" s="40"/>
    </row>
    <row r="314" spans="1:8" x14ac:dyDescent="0.2">
      <c r="A314" s="35">
        <f t="shared" si="7"/>
        <v>311</v>
      </c>
      <c r="B314" s="36" t="s">
        <v>1397</v>
      </c>
      <c r="C314" s="36" t="s">
        <v>1398</v>
      </c>
      <c r="D314" s="36" t="s">
        <v>2</v>
      </c>
      <c r="E314" s="37"/>
      <c r="F314" s="40"/>
      <c r="G314" s="40"/>
      <c r="H314" s="40"/>
    </row>
    <row r="315" spans="1:8" x14ac:dyDescent="0.2">
      <c r="A315" s="35">
        <f t="shared" si="7"/>
        <v>312</v>
      </c>
      <c r="B315" s="36" t="s">
        <v>1399</v>
      </c>
      <c r="C315" s="36" t="s">
        <v>1400</v>
      </c>
      <c r="D315" s="36" t="s">
        <v>31</v>
      </c>
      <c r="E315" s="37"/>
      <c r="F315" s="40"/>
      <c r="G315" s="40"/>
      <c r="H315" s="40"/>
    </row>
    <row r="316" spans="1:8" x14ac:dyDescent="0.2">
      <c r="A316" s="35">
        <f t="shared" si="7"/>
        <v>313</v>
      </c>
      <c r="B316" s="36" t="s">
        <v>1401</v>
      </c>
      <c r="C316" s="36" t="s">
        <v>1402</v>
      </c>
      <c r="D316" s="36" t="s">
        <v>10</v>
      </c>
      <c r="E316" s="37"/>
      <c r="F316" s="40"/>
      <c r="G316" s="40"/>
      <c r="H316" s="40"/>
    </row>
    <row r="317" spans="1:8" x14ac:dyDescent="0.2">
      <c r="A317" s="35">
        <f t="shared" si="7"/>
        <v>314</v>
      </c>
      <c r="B317" s="36" t="s">
        <v>1403</v>
      </c>
      <c r="C317" s="36" t="s">
        <v>1404</v>
      </c>
      <c r="D317" s="36" t="s">
        <v>47</v>
      </c>
      <c r="E317" s="37"/>
      <c r="F317" s="40"/>
      <c r="G317" s="40"/>
      <c r="H317" s="40"/>
    </row>
    <row r="318" spans="1:8" x14ac:dyDescent="0.2">
      <c r="A318" s="35">
        <f t="shared" si="7"/>
        <v>315</v>
      </c>
      <c r="B318" s="36" t="s">
        <v>1405</v>
      </c>
      <c r="C318" s="36" t="s">
        <v>1406</v>
      </c>
      <c r="D318" s="36" t="s">
        <v>47</v>
      </c>
      <c r="E318" s="37"/>
      <c r="F318" s="40"/>
      <c r="G318" s="40"/>
      <c r="H318" s="40"/>
    </row>
    <row r="319" spans="1:8" x14ac:dyDescent="0.2">
      <c r="A319" s="35">
        <f t="shared" si="7"/>
        <v>316</v>
      </c>
      <c r="B319" s="36" t="s">
        <v>1407</v>
      </c>
      <c r="C319" s="36" t="s">
        <v>1408</v>
      </c>
      <c r="D319" s="36" t="s">
        <v>193</v>
      </c>
      <c r="E319" s="37"/>
      <c r="F319" s="40"/>
      <c r="G319" s="40"/>
      <c r="H319" s="40"/>
    </row>
    <row r="320" spans="1:8" x14ac:dyDescent="0.2">
      <c r="A320" s="35">
        <f t="shared" si="7"/>
        <v>317</v>
      </c>
      <c r="B320" s="36" t="s">
        <v>1409</v>
      </c>
      <c r="C320" s="36" t="s">
        <v>1410</v>
      </c>
      <c r="D320" s="36" t="s">
        <v>2</v>
      </c>
      <c r="E320" s="37"/>
      <c r="F320" s="40"/>
      <c r="G320" s="40"/>
      <c r="H320" s="40"/>
    </row>
    <row r="321" spans="1:8" x14ac:dyDescent="0.2">
      <c r="A321" s="35">
        <f t="shared" si="7"/>
        <v>318</v>
      </c>
      <c r="B321" s="36" t="s">
        <v>1411</v>
      </c>
      <c r="C321" s="36" t="s">
        <v>1412</v>
      </c>
      <c r="D321" s="36" t="s">
        <v>119</v>
      </c>
      <c r="E321" s="37"/>
      <c r="F321" s="40"/>
      <c r="G321" s="40"/>
      <c r="H321" s="40"/>
    </row>
    <row r="322" spans="1:8" x14ac:dyDescent="0.2">
      <c r="A322" s="35">
        <f t="shared" si="7"/>
        <v>319</v>
      </c>
      <c r="B322" s="36" t="s">
        <v>1413</v>
      </c>
      <c r="C322" s="36" t="s">
        <v>1414</v>
      </c>
      <c r="D322" s="36" t="s">
        <v>31</v>
      </c>
      <c r="E322" s="37"/>
      <c r="F322" s="40"/>
      <c r="G322" s="40"/>
      <c r="H322" s="40"/>
    </row>
    <row r="323" spans="1:8" x14ac:dyDescent="0.2">
      <c r="A323" s="35">
        <f t="shared" si="7"/>
        <v>320</v>
      </c>
      <c r="B323" s="36" t="s">
        <v>1415</v>
      </c>
      <c r="C323" s="36" t="s">
        <v>1416</v>
      </c>
      <c r="D323" s="36" t="s">
        <v>10</v>
      </c>
      <c r="E323" s="37"/>
      <c r="F323" s="40"/>
      <c r="G323" s="40"/>
      <c r="H323" s="40"/>
    </row>
    <row r="324" spans="1:8" x14ac:dyDescent="0.2">
      <c r="A324" s="35">
        <f t="shared" si="7"/>
        <v>321</v>
      </c>
      <c r="B324" s="36" t="s">
        <v>1417</v>
      </c>
      <c r="C324" s="36" t="s">
        <v>1418</v>
      </c>
      <c r="D324" s="36" t="s">
        <v>2</v>
      </c>
      <c r="E324" s="37"/>
      <c r="F324" s="40"/>
      <c r="G324" s="40"/>
      <c r="H324" s="40"/>
    </row>
    <row r="325" spans="1:8" x14ac:dyDescent="0.2">
      <c r="A325" s="35">
        <f t="shared" si="7"/>
        <v>322</v>
      </c>
      <c r="B325" s="36" t="s">
        <v>1419</v>
      </c>
      <c r="C325" s="36" t="s">
        <v>1420</v>
      </c>
      <c r="D325" s="36" t="s">
        <v>47</v>
      </c>
      <c r="E325" s="37"/>
      <c r="F325" s="40"/>
      <c r="G325" s="40"/>
      <c r="H325" s="40"/>
    </row>
    <row r="326" spans="1:8" x14ac:dyDescent="0.2">
      <c r="A326" s="35">
        <f t="shared" si="7"/>
        <v>323</v>
      </c>
      <c r="B326" s="36" t="s">
        <v>1421</v>
      </c>
      <c r="C326" s="36" t="s">
        <v>1422</v>
      </c>
      <c r="D326" s="36" t="s">
        <v>1223</v>
      </c>
      <c r="E326" s="37"/>
      <c r="F326" s="40"/>
      <c r="G326" s="40"/>
      <c r="H326" s="40"/>
    </row>
    <row r="327" spans="1:8" x14ac:dyDescent="0.2">
      <c r="A327" s="35">
        <f t="shared" si="7"/>
        <v>324</v>
      </c>
      <c r="B327" s="36" t="s">
        <v>1423</v>
      </c>
      <c r="C327" s="36" t="s">
        <v>1424</v>
      </c>
      <c r="D327" s="36" t="s">
        <v>2</v>
      </c>
      <c r="E327" s="37"/>
      <c r="F327" s="40"/>
      <c r="G327" s="40"/>
      <c r="H327" s="40"/>
    </row>
    <row r="328" spans="1:8" x14ac:dyDescent="0.2">
      <c r="A328" s="35">
        <f t="shared" si="7"/>
        <v>325</v>
      </c>
      <c r="B328" s="36" t="s">
        <v>1425</v>
      </c>
      <c r="C328" s="36" t="s">
        <v>1426</v>
      </c>
      <c r="D328" s="36" t="s">
        <v>186</v>
      </c>
      <c r="E328" s="37"/>
      <c r="F328" s="40"/>
      <c r="G328" s="40"/>
      <c r="H328" s="40"/>
    </row>
    <row r="329" spans="1:8" x14ac:dyDescent="0.2">
      <c r="A329" s="35">
        <f t="shared" si="7"/>
        <v>326</v>
      </c>
      <c r="B329" s="36" t="s">
        <v>1427</v>
      </c>
      <c r="C329" s="36" t="s">
        <v>1428</v>
      </c>
      <c r="D329" s="36" t="s">
        <v>10</v>
      </c>
      <c r="E329" s="37"/>
      <c r="F329" s="40"/>
      <c r="G329" s="40"/>
      <c r="H329" s="40"/>
    </row>
    <row r="330" spans="1:8" x14ac:dyDescent="0.2">
      <c r="A330" s="35">
        <f t="shared" si="7"/>
        <v>327</v>
      </c>
      <c r="B330" s="36" t="s">
        <v>1429</v>
      </c>
      <c r="C330" s="36" t="s">
        <v>1430</v>
      </c>
      <c r="D330" s="36" t="s">
        <v>2</v>
      </c>
      <c r="E330" s="37"/>
      <c r="F330" s="40"/>
      <c r="G330" s="40"/>
      <c r="H330" s="40"/>
    </row>
    <row r="331" spans="1:8" x14ac:dyDescent="0.2">
      <c r="A331" s="35">
        <f t="shared" si="7"/>
        <v>328</v>
      </c>
      <c r="B331" s="36" t="s">
        <v>1431</v>
      </c>
      <c r="C331" s="36" t="s">
        <v>1432</v>
      </c>
      <c r="D331" s="36" t="s">
        <v>78</v>
      </c>
      <c r="E331" s="37"/>
      <c r="F331" s="40"/>
      <c r="G331" s="40"/>
      <c r="H331" s="40"/>
    </row>
    <row r="332" spans="1:8" x14ac:dyDescent="0.2">
      <c r="A332" s="35">
        <f t="shared" si="7"/>
        <v>329</v>
      </c>
      <c r="B332" s="36" t="s">
        <v>1433</v>
      </c>
      <c r="C332" s="36" t="s">
        <v>1434</v>
      </c>
      <c r="D332" s="36" t="s">
        <v>10</v>
      </c>
      <c r="E332" s="37"/>
      <c r="F332" s="40"/>
      <c r="G332" s="40"/>
      <c r="H332" s="40"/>
    </row>
    <row r="333" spans="1:8" x14ac:dyDescent="0.2">
      <c r="A333" s="35">
        <f t="shared" si="7"/>
        <v>330</v>
      </c>
      <c r="B333" s="36" t="s">
        <v>1435</v>
      </c>
      <c r="C333" s="36" t="s">
        <v>1436</v>
      </c>
      <c r="D333" s="36" t="s">
        <v>56</v>
      </c>
      <c r="E333" s="37"/>
      <c r="F333" s="40"/>
      <c r="G333" s="40"/>
      <c r="H333" s="40"/>
    </row>
    <row r="334" spans="1:8" x14ac:dyDescent="0.2">
      <c r="A334" s="35">
        <f t="shared" si="7"/>
        <v>331</v>
      </c>
      <c r="B334" s="36" t="s">
        <v>1437</v>
      </c>
      <c r="C334" s="36" t="s">
        <v>1438</v>
      </c>
      <c r="D334" s="36" t="s">
        <v>977</v>
      </c>
      <c r="E334" s="37"/>
      <c r="F334" s="40"/>
      <c r="G334" s="40"/>
      <c r="H334" s="40"/>
    </row>
    <row r="335" spans="1:8" x14ac:dyDescent="0.2">
      <c r="A335" s="35">
        <f t="shared" si="7"/>
        <v>332</v>
      </c>
      <c r="B335" s="36" t="s">
        <v>1439</v>
      </c>
      <c r="C335" s="36" t="s">
        <v>1440</v>
      </c>
      <c r="D335" s="36" t="s">
        <v>10</v>
      </c>
      <c r="E335" s="37"/>
      <c r="F335" s="40"/>
      <c r="G335" s="40"/>
      <c r="H335" s="40"/>
    </row>
    <row r="336" spans="1:8" x14ac:dyDescent="0.2">
      <c r="A336" s="35">
        <f t="shared" si="7"/>
        <v>333</v>
      </c>
      <c r="B336" s="36" t="s">
        <v>1441</v>
      </c>
      <c r="C336" s="36" t="s">
        <v>1442</v>
      </c>
      <c r="D336" s="36" t="s">
        <v>166</v>
      </c>
      <c r="E336" s="37"/>
      <c r="F336" s="40"/>
      <c r="G336" s="40"/>
      <c r="H336" s="40"/>
    </row>
    <row r="337" spans="1:8" x14ac:dyDescent="0.2">
      <c r="A337" s="35">
        <f t="shared" si="7"/>
        <v>334</v>
      </c>
      <c r="B337" s="36" t="s">
        <v>1443</v>
      </c>
      <c r="C337" s="36" t="s">
        <v>1444</v>
      </c>
      <c r="D337" s="36" t="s">
        <v>166</v>
      </c>
      <c r="E337" s="37"/>
      <c r="F337" s="40"/>
      <c r="G337" s="40"/>
      <c r="H337" s="40"/>
    </row>
    <row r="338" spans="1:8" x14ac:dyDescent="0.2">
      <c r="A338" s="35">
        <f t="shared" si="7"/>
        <v>335</v>
      </c>
      <c r="B338" s="36" t="s">
        <v>1445</v>
      </c>
      <c r="C338" s="36" t="s">
        <v>1446</v>
      </c>
      <c r="D338" s="36" t="s">
        <v>78</v>
      </c>
      <c r="E338" s="37"/>
      <c r="F338" s="40"/>
      <c r="G338" s="40"/>
      <c r="H338" s="40"/>
    </row>
    <row r="339" spans="1:8" x14ac:dyDescent="0.2">
      <c r="A339" s="35">
        <f t="shared" si="7"/>
        <v>336</v>
      </c>
      <c r="B339" s="36" t="s">
        <v>1447</v>
      </c>
      <c r="C339" s="36" t="s">
        <v>1448</v>
      </c>
      <c r="D339" s="36" t="s">
        <v>2</v>
      </c>
      <c r="E339" s="37"/>
      <c r="F339" s="40"/>
      <c r="G339" s="40"/>
      <c r="H339" s="40"/>
    </row>
    <row r="340" spans="1:8" x14ac:dyDescent="0.2">
      <c r="A340" s="35">
        <f t="shared" si="7"/>
        <v>337</v>
      </c>
      <c r="B340" s="36" t="s">
        <v>1449</v>
      </c>
      <c r="C340" s="36" t="s">
        <v>1450</v>
      </c>
      <c r="D340" s="36" t="s">
        <v>193</v>
      </c>
      <c r="E340" s="37"/>
      <c r="F340" s="40"/>
      <c r="G340" s="40"/>
      <c r="H340" s="40"/>
    </row>
    <row r="341" spans="1:8" x14ac:dyDescent="0.2">
      <c r="A341" s="35">
        <f t="shared" si="7"/>
        <v>338</v>
      </c>
      <c r="B341" s="36" t="s">
        <v>1451</v>
      </c>
      <c r="C341" s="36" t="s">
        <v>1452</v>
      </c>
      <c r="D341" s="36" t="s">
        <v>975</v>
      </c>
      <c r="E341" s="37"/>
      <c r="F341" s="40"/>
      <c r="G341" s="40"/>
      <c r="H341" s="40"/>
    </row>
    <row r="342" spans="1:8" x14ac:dyDescent="0.2">
      <c r="A342" s="35">
        <f t="shared" si="7"/>
        <v>339</v>
      </c>
      <c r="B342" s="36" t="s">
        <v>308</v>
      </c>
      <c r="C342" s="36" t="s">
        <v>309</v>
      </c>
      <c r="D342" s="36" t="s">
        <v>47</v>
      </c>
      <c r="E342" s="37"/>
      <c r="F342" s="40"/>
      <c r="G342" s="40"/>
      <c r="H342" s="40"/>
    </row>
    <row r="343" spans="1:8" x14ac:dyDescent="0.2">
      <c r="A343" s="35">
        <f t="shared" si="7"/>
        <v>340</v>
      </c>
      <c r="B343" s="36" t="s">
        <v>1453</v>
      </c>
      <c r="C343" s="36" t="s">
        <v>1454</v>
      </c>
      <c r="D343" s="36" t="s">
        <v>47</v>
      </c>
      <c r="E343" s="37"/>
      <c r="F343" s="40"/>
      <c r="G343" s="40"/>
      <c r="H343" s="40"/>
    </row>
    <row r="344" spans="1:8" x14ac:dyDescent="0.2">
      <c r="A344" s="35">
        <f t="shared" si="7"/>
        <v>341</v>
      </c>
      <c r="B344" s="36" t="s">
        <v>1455</v>
      </c>
      <c r="C344" s="36" t="s">
        <v>1456</v>
      </c>
      <c r="D344" s="36" t="s">
        <v>2</v>
      </c>
      <c r="E344" s="37"/>
      <c r="F344" s="40"/>
      <c r="G344" s="40"/>
      <c r="H344" s="40"/>
    </row>
    <row r="345" spans="1:8" x14ac:dyDescent="0.2">
      <c r="A345" s="35">
        <f t="shared" si="7"/>
        <v>342</v>
      </c>
      <c r="B345" s="36" t="s">
        <v>1457</v>
      </c>
      <c r="C345" s="36" t="s">
        <v>1458</v>
      </c>
      <c r="D345" s="36" t="s">
        <v>2</v>
      </c>
      <c r="E345" s="37"/>
      <c r="F345" s="40"/>
      <c r="G345" s="40"/>
      <c r="H345" s="40"/>
    </row>
    <row r="346" spans="1:8" x14ac:dyDescent="0.2">
      <c r="A346" s="35">
        <f t="shared" si="7"/>
        <v>343</v>
      </c>
      <c r="B346" s="36" t="s">
        <v>1459</v>
      </c>
      <c r="C346" s="36" t="s">
        <v>1460</v>
      </c>
      <c r="D346" s="36" t="s">
        <v>10</v>
      </c>
      <c r="E346" s="37"/>
      <c r="F346" s="40"/>
      <c r="G346" s="40"/>
      <c r="H346" s="40"/>
    </row>
    <row r="347" spans="1:8" x14ac:dyDescent="0.2">
      <c r="A347" s="35">
        <f t="shared" si="7"/>
        <v>344</v>
      </c>
      <c r="B347" s="36" t="s">
        <v>1461</v>
      </c>
      <c r="C347" s="36" t="s">
        <v>1462</v>
      </c>
      <c r="D347" s="36" t="s">
        <v>2</v>
      </c>
      <c r="E347" s="37"/>
      <c r="F347" s="40"/>
      <c r="G347" s="40"/>
      <c r="H347" s="40"/>
    </row>
    <row r="348" spans="1:8" x14ac:dyDescent="0.2">
      <c r="A348" s="35">
        <f t="shared" si="7"/>
        <v>345</v>
      </c>
      <c r="B348" s="36" t="s">
        <v>1463</v>
      </c>
      <c r="C348" s="36" t="s">
        <v>1464</v>
      </c>
      <c r="D348" s="36" t="s">
        <v>56</v>
      </c>
      <c r="E348" s="37"/>
      <c r="F348" s="40"/>
      <c r="G348" s="40"/>
      <c r="H348" s="40"/>
    </row>
    <row r="349" spans="1:8" x14ac:dyDescent="0.2">
      <c r="A349" s="35">
        <f t="shared" si="7"/>
        <v>346</v>
      </c>
      <c r="B349" s="36" t="s">
        <v>1465</v>
      </c>
      <c r="C349" s="36" t="s">
        <v>1466</v>
      </c>
      <c r="D349" s="36" t="s">
        <v>31</v>
      </c>
      <c r="E349" s="37"/>
      <c r="F349" s="40"/>
      <c r="G349" s="40"/>
      <c r="H349" s="40"/>
    </row>
    <row r="350" spans="1:8" x14ac:dyDescent="0.2">
      <c r="A350" s="35">
        <f t="shared" si="7"/>
        <v>347</v>
      </c>
      <c r="B350" s="36" t="s">
        <v>1467</v>
      </c>
      <c r="C350" s="36" t="s">
        <v>1468</v>
      </c>
      <c r="D350" s="36" t="s">
        <v>179</v>
      </c>
      <c r="E350" s="37"/>
      <c r="F350" s="40"/>
      <c r="G350" s="40"/>
      <c r="H350" s="40"/>
    </row>
    <row r="351" spans="1:8" x14ac:dyDescent="0.2">
      <c r="A351" s="35">
        <f t="shared" si="7"/>
        <v>348</v>
      </c>
      <c r="B351" s="36" t="s">
        <v>1469</v>
      </c>
      <c r="C351" s="36" t="s">
        <v>302</v>
      </c>
      <c r="D351" s="36" t="s">
        <v>179</v>
      </c>
      <c r="E351" s="37"/>
      <c r="F351" s="40"/>
      <c r="G351" s="40"/>
      <c r="H351" s="40"/>
    </row>
    <row r="352" spans="1:8" x14ac:dyDescent="0.2">
      <c r="A352" s="35">
        <f t="shared" si="7"/>
        <v>349</v>
      </c>
      <c r="B352" s="36" t="s">
        <v>1470</v>
      </c>
      <c r="C352" s="36" t="s">
        <v>1471</v>
      </c>
      <c r="D352" s="36" t="s">
        <v>166</v>
      </c>
      <c r="E352" s="37"/>
      <c r="F352" s="40"/>
      <c r="G352" s="40"/>
      <c r="H352" s="40"/>
    </row>
    <row r="353" spans="1:8" x14ac:dyDescent="0.2">
      <c r="A353" s="35">
        <f t="shared" si="7"/>
        <v>350</v>
      </c>
      <c r="B353" s="36" t="s">
        <v>1472</v>
      </c>
      <c r="C353" s="36" t="s">
        <v>1473</v>
      </c>
      <c r="D353" s="36" t="s">
        <v>980</v>
      </c>
      <c r="E353" s="37"/>
      <c r="F353" s="40"/>
      <c r="G353" s="40"/>
      <c r="H353" s="40"/>
    </row>
    <row r="354" spans="1:8" x14ac:dyDescent="0.2">
      <c r="A354" s="35">
        <f t="shared" si="7"/>
        <v>351</v>
      </c>
      <c r="B354" s="36" t="s">
        <v>1474</v>
      </c>
      <c r="C354" s="36" t="s">
        <v>1475</v>
      </c>
      <c r="D354" s="36" t="s">
        <v>2</v>
      </c>
      <c r="E354" s="37"/>
      <c r="F354" s="40"/>
      <c r="G354" s="40"/>
      <c r="H354" s="40"/>
    </row>
    <row r="355" spans="1:8" x14ac:dyDescent="0.2">
      <c r="A355" s="35">
        <f t="shared" si="7"/>
        <v>352</v>
      </c>
      <c r="B355" s="36" t="s">
        <v>1476</v>
      </c>
      <c r="C355" s="36" t="s">
        <v>1477</v>
      </c>
      <c r="D355" s="36" t="s">
        <v>989</v>
      </c>
      <c r="E355" s="37"/>
      <c r="F355" s="40"/>
      <c r="G355" s="40"/>
      <c r="H355" s="40"/>
    </row>
    <row r="356" spans="1:8" x14ac:dyDescent="0.2">
      <c r="A356" s="35">
        <f t="shared" si="7"/>
        <v>353</v>
      </c>
      <c r="B356" s="36" t="s">
        <v>1478</v>
      </c>
      <c r="C356" s="36" t="s">
        <v>1479</v>
      </c>
      <c r="D356" s="36" t="s">
        <v>987</v>
      </c>
      <c r="E356" s="37"/>
      <c r="F356" s="40"/>
      <c r="G356" s="40"/>
      <c r="H356" s="40"/>
    </row>
    <row r="357" spans="1:8" x14ac:dyDescent="0.2">
      <c r="A357" s="35">
        <f t="shared" ref="A357:A420" si="8">+A356+1</f>
        <v>354</v>
      </c>
      <c r="B357" s="36" t="s">
        <v>1480</v>
      </c>
      <c r="C357" s="36" t="s">
        <v>1481</v>
      </c>
      <c r="D357" s="36" t="s">
        <v>10</v>
      </c>
      <c r="E357" s="37"/>
      <c r="F357" s="40"/>
      <c r="G357" s="40"/>
      <c r="H357" s="40"/>
    </row>
    <row r="358" spans="1:8" x14ac:dyDescent="0.2">
      <c r="A358" s="35">
        <f t="shared" si="8"/>
        <v>355</v>
      </c>
      <c r="B358" s="36" t="s">
        <v>1482</v>
      </c>
      <c r="C358" s="36" t="s">
        <v>1483</v>
      </c>
      <c r="D358" s="36" t="s">
        <v>2</v>
      </c>
      <c r="E358" s="37"/>
      <c r="F358" s="40"/>
      <c r="G358" s="40"/>
      <c r="H358" s="40"/>
    </row>
    <row r="359" spans="1:8" x14ac:dyDescent="0.2">
      <c r="A359" s="35">
        <f t="shared" si="8"/>
        <v>356</v>
      </c>
      <c r="B359" s="36" t="s">
        <v>1484</v>
      </c>
      <c r="C359" s="36" t="s">
        <v>1485</v>
      </c>
      <c r="D359" s="36" t="s">
        <v>10</v>
      </c>
      <c r="E359" s="37"/>
      <c r="F359" s="40"/>
      <c r="G359" s="40"/>
      <c r="H359" s="40"/>
    </row>
    <row r="360" spans="1:8" x14ac:dyDescent="0.2">
      <c r="A360" s="35">
        <f t="shared" si="8"/>
        <v>357</v>
      </c>
      <c r="B360" s="36" t="s">
        <v>1486</v>
      </c>
      <c r="C360" s="36" t="s">
        <v>1487</v>
      </c>
      <c r="D360" s="36" t="s">
        <v>47</v>
      </c>
      <c r="E360" s="37"/>
      <c r="F360" s="40"/>
      <c r="G360" s="40"/>
      <c r="H360" s="40"/>
    </row>
    <row r="361" spans="1:8" x14ac:dyDescent="0.2">
      <c r="A361" s="35">
        <f t="shared" si="8"/>
        <v>358</v>
      </c>
      <c r="B361" s="36" t="s">
        <v>1488</v>
      </c>
      <c r="C361" s="36" t="s">
        <v>1489</v>
      </c>
      <c r="D361" s="36" t="s">
        <v>10</v>
      </c>
      <c r="E361" s="37"/>
      <c r="F361" s="40"/>
      <c r="G361" s="40"/>
      <c r="H361" s="40"/>
    </row>
    <row r="362" spans="1:8" x14ac:dyDescent="0.2">
      <c r="A362" s="35">
        <f t="shared" si="8"/>
        <v>359</v>
      </c>
      <c r="B362" s="36" t="s">
        <v>1490</v>
      </c>
      <c r="C362" s="36" t="s">
        <v>1491</v>
      </c>
      <c r="D362" s="36" t="s">
        <v>1492</v>
      </c>
      <c r="E362" s="37"/>
      <c r="F362" s="40"/>
      <c r="G362" s="40"/>
      <c r="H362" s="40"/>
    </row>
    <row r="363" spans="1:8" x14ac:dyDescent="0.2">
      <c r="A363" s="35">
        <f t="shared" si="8"/>
        <v>360</v>
      </c>
      <c r="B363" s="36" t="s">
        <v>1493</v>
      </c>
      <c r="C363" s="36" t="s">
        <v>1494</v>
      </c>
      <c r="D363" s="36" t="s">
        <v>186</v>
      </c>
      <c r="E363" s="37"/>
      <c r="F363" s="40"/>
      <c r="G363" s="40"/>
      <c r="H363" s="40"/>
    </row>
    <row r="364" spans="1:8" x14ac:dyDescent="0.2">
      <c r="A364" s="35">
        <f t="shared" si="8"/>
        <v>361</v>
      </c>
      <c r="B364" s="36" t="s">
        <v>1495</v>
      </c>
      <c r="C364" s="36" t="s">
        <v>1496</v>
      </c>
      <c r="D364" s="36" t="s">
        <v>193</v>
      </c>
      <c r="E364" s="37"/>
      <c r="F364" s="40"/>
      <c r="G364" s="40"/>
      <c r="H364" s="40"/>
    </row>
    <row r="365" spans="1:8" x14ac:dyDescent="0.2">
      <c r="A365" s="35">
        <f t="shared" si="8"/>
        <v>362</v>
      </c>
      <c r="B365" s="36" t="s">
        <v>1497</v>
      </c>
      <c r="C365" s="36" t="s">
        <v>1498</v>
      </c>
      <c r="D365" s="36" t="s">
        <v>2</v>
      </c>
      <c r="E365" s="37"/>
      <c r="F365" s="40"/>
      <c r="G365" s="40"/>
      <c r="H365" s="40"/>
    </row>
    <row r="366" spans="1:8" x14ac:dyDescent="0.2">
      <c r="A366" s="35">
        <f t="shared" si="8"/>
        <v>363</v>
      </c>
      <c r="B366" s="36" t="s">
        <v>1499</v>
      </c>
      <c r="C366" s="36" t="s">
        <v>1500</v>
      </c>
      <c r="D366" s="36" t="s">
        <v>10</v>
      </c>
      <c r="E366" s="37"/>
      <c r="F366" s="40"/>
      <c r="G366" s="40"/>
      <c r="H366" s="40"/>
    </row>
    <row r="367" spans="1:8" x14ac:dyDescent="0.2">
      <c r="A367" s="35">
        <f t="shared" si="8"/>
        <v>364</v>
      </c>
      <c r="B367" s="36" t="s">
        <v>1501</v>
      </c>
      <c r="C367" s="36" t="s">
        <v>1502</v>
      </c>
      <c r="D367" s="36" t="s">
        <v>991</v>
      </c>
      <c r="E367" s="37"/>
      <c r="F367" s="40"/>
      <c r="G367" s="40"/>
      <c r="H367" s="40"/>
    </row>
    <row r="368" spans="1:8" x14ac:dyDescent="0.2">
      <c r="A368" s="35">
        <f t="shared" si="8"/>
        <v>365</v>
      </c>
      <c r="B368" s="36" t="s">
        <v>1503</v>
      </c>
      <c r="C368" s="36" t="s">
        <v>1504</v>
      </c>
      <c r="D368" s="36" t="s">
        <v>2</v>
      </c>
      <c r="E368" s="37"/>
      <c r="F368" s="40"/>
      <c r="G368" s="40"/>
      <c r="H368" s="40"/>
    </row>
    <row r="369" spans="1:8" x14ac:dyDescent="0.2">
      <c r="A369" s="35">
        <f t="shared" si="8"/>
        <v>366</v>
      </c>
      <c r="B369" s="36" t="s">
        <v>1505</v>
      </c>
      <c r="C369" s="36" t="s">
        <v>1506</v>
      </c>
      <c r="D369" s="36" t="s">
        <v>10</v>
      </c>
      <c r="E369" s="37"/>
      <c r="F369" s="40"/>
      <c r="G369" s="40"/>
      <c r="H369" s="40"/>
    </row>
    <row r="370" spans="1:8" x14ac:dyDescent="0.2">
      <c r="A370" s="35">
        <f t="shared" si="8"/>
        <v>367</v>
      </c>
      <c r="B370" s="36" t="s">
        <v>1507</v>
      </c>
      <c r="C370" s="36" t="s">
        <v>1508</v>
      </c>
      <c r="D370" s="36" t="s">
        <v>10</v>
      </c>
      <c r="E370" s="37"/>
      <c r="F370" s="40"/>
      <c r="G370" s="40"/>
      <c r="H370" s="40"/>
    </row>
    <row r="371" spans="1:8" x14ac:dyDescent="0.2">
      <c r="A371" s="35">
        <f t="shared" si="8"/>
        <v>368</v>
      </c>
      <c r="B371" s="36" t="s">
        <v>1509</v>
      </c>
      <c r="C371" s="36" t="s">
        <v>1510</v>
      </c>
      <c r="D371" s="36" t="s">
        <v>401</v>
      </c>
      <c r="E371" s="37"/>
      <c r="F371" s="40"/>
      <c r="G371" s="40"/>
      <c r="H371" s="40"/>
    </row>
    <row r="372" spans="1:8" x14ac:dyDescent="0.2">
      <c r="A372" s="35">
        <f t="shared" si="8"/>
        <v>369</v>
      </c>
      <c r="B372" s="36" t="s">
        <v>1511</v>
      </c>
      <c r="C372" s="36" t="s">
        <v>1512</v>
      </c>
      <c r="D372" s="36" t="s">
        <v>10</v>
      </c>
      <c r="E372" s="37"/>
      <c r="F372" s="40"/>
      <c r="G372" s="40"/>
      <c r="H372" s="40"/>
    </row>
    <row r="373" spans="1:8" x14ac:dyDescent="0.2">
      <c r="A373" s="35">
        <f t="shared" si="8"/>
        <v>370</v>
      </c>
      <c r="B373" s="36" t="s">
        <v>1513</v>
      </c>
      <c r="C373" s="36" t="s">
        <v>1514</v>
      </c>
      <c r="D373" s="36" t="s">
        <v>10</v>
      </c>
      <c r="E373" s="37"/>
      <c r="F373" s="40"/>
      <c r="G373" s="40"/>
      <c r="H373" s="40"/>
    </row>
    <row r="374" spans="1:8" x14ac:dyDescent="0.2">
      <c r="A374" s="35">
        <f t="shared" si="8"/>
        <v>371</v>
      </c>
      <c r="B374" s="36" t="s">
        <v>1515</v>
      </c>
      <c r="C374" s="36" t="s">
        <v>1516</v>
      </c>
      <c r="D374" s="36" t="s">
        <v>179</v>
      </c>
      <c r="E374" s="37"/>
      <c r="F374" s="40"/>
      <c r="G374" s="40"/>
      <c r="H374" s="40"/>
    </row>
    <row r="375" spans="1:8" x14ac:dyDescent="0.2">
      <c r="A375" s="35">
        <f t="shared" si="8"/>
        <v>372</v>
      </c>
      <c r="B375" s="36" t="s">
        <v>1517</v>
      </c>
      <c r="C375" s="36" t="s">
        <v>1518</v>
      </c>
      <c r="D375" s="36" t="s">
        <v>2</v>
      </c>
      <c r="E375" s="37"/>
      <c r="F375" s="40"/>
      <c r="G375" s="40"/>
      <c r="H375" s="40"/>
    </row>
    <row r="376" spans="1:8" x14ac:dyDescent="0.2">
      <c r="A376" s="35">
        <f t="shared" si="8"/>
        <v>373</v>
      </c>
      <c r="B376" s="36" t="s">
        <v>1519</v>
      </c>
      <c r="C376" s="36" t="s">
        <v>1520</v>
      </c>
      <c r="D376" s="36" t="s">
        <v>401</v>
      </c>
      <c r="E376" s="37"/>
      <c r="F376" s="40"/>
      <c r="G376" s="40"/>
      <c r="H376" s="40"/>
    </row>
    <row r="377" spans="1:8" x14ac:dyDescent="0.2">
      <c r="A377" s="35">
        <f t="shared" si="8"/>
        <v>374</v>
      </c>
      <c r="B377" s="36" t="s">
        <v>1521</v>
      </c>
      <c r="C377" s="36" t="s">
        <v>1522</v>
      </c>
      <c r="D377" s="36" t="s">
        <v>10</v>
      </c>
      <c r="E377" s="37"/>
      <c r="F377" s="40"/>
      <c r="G377" s="40"/>
      <c r="H377" s="40"/>
    </row>
    <row r="378" spans="1:8" x14ac:dyDescent="0.2">
      <c r="A378" s="35">
        <f t="shared" si="8"/>
        <v>375</v>
      </c>
      <c r="B378" s="36" t="s">
        <v>1523</v>
      </c>
      <c r="C378" s="36" t="s">
        <v>1524</v>
      </c>
      <c r="D378" s="36" t="s">
        <v>10</v>
      </c>
      <c r="E378" s="37"/>
      <c r="F378" s="40"/>
      <c r="G378" s="40"/>
      <c r="H378" s="40"/>
    </row>
    <row r="379" spans="1:8" x14ac:dyDescent="0.2">
      <c r="A379" s="35">
        <f t="shared" si="8"/>
        <v>376</v>
      </c>
      <c r="B379" s="36" t="s">
        <v>1525</v>
      </c>
      <c r="C379" s="36" t="s">
        <v>1526</v>
      </c>
      <c r="D379" s="36" t="s">
        <v>47</v>
      </c>
      <c r="E379" s="37"/>
      <c r="F379" s="40"/>
      <c r="G379" s="40"/>
      <c r="H379" s="40"/>
    </row>
    <row r="380" spans="1:8" x14ac:dyDescent="0.2">
      <c r="A380" s="35">
        <f t="shared" si="8"/>
        <v>377</v>
      </c>
      <c r="B380" s="36" t="s">
        <v>1527</v>
      </c>
      <c r="C380" s="36" t="s">
        <v>1528</v>
      </c>
      <c r="D380" s="36" t="s">
        <v>10</v>
      </c>
      <c r="E380" s="37"/>
      <c r="F380" s="40"/>
      <c r="G380" s="40"/>
      <c r="H380" s="40"/>
    </row>
    <row r="381" spans="1:8" x14ac:dyDescent="0.2">
      <c r="A381" s="35">
        <f t="shared" si="8"/>
        <v>378</v>
      </c>
      <c r="B381" s="36" t="s">
        <v>1529</v>
      </c>
      <c r="C381" s="36" t="s">
        <v>1530</v>
      </c>
      <c r="D381" s="36" t="s">
        <v>975</v>
      </c>
      <c r="E381" s="37"/>
      <c r="F381" s="40"/>
      <c r="G381" s="40"/>
      <c r="H381" s="40"/>
    </row>
    <row r="382" spans="1:8" x14ac:dyDescent="0.2">
      <c r="A382" s="35">
        <f t="shared" si="8"/>
        <v>379</v>
      </c>
      <c r="B382" s="36" t="s">
        <v>1531</v>
      </c>
      <c r="C382" s="36" t="s">
        <v>1532</v>
      </c>
      <c r="D382" s="36" t="s">
        <v>10</v>
      </c>
      <c r="E382" s="37"/>
      <c r="F382" s="40"/>
      <c r="G382" s="40"/>
      <c r="H382" s="40"/>
    </row>
    <row r="383" spans="1:8" x14ac:dyDescent="0.2">
      <c r="A383" s="35">
        <f t="shared" si="8"/>
        <v>380</v>
      </c>
      <c r="B383" s="36" t="s">
        <v>1533</v>
      </c>
      <c r="C383" s="36" t="s">
        <v>1534</v>
      </c>
      <c r="D383" s="36" t="s">
        <v>10</v>
      </c>
      <c r="E383" s="37"/>
      <c r="F383" s="40"/>
      <c r="G383" s="40"/>
      <c r="H383" s="40"/>
    </row>
    <row r="384" spans="1:8" x14ac:dyDescent="0.2">
      <c r="A384" s="35">
        <f t="shared" si="8"/>
        <v>381</v>
      </c>
      <c r="B384" s="36" t="s">
        <v>1535</v>
      </c>
      <c r="C384" s="36" t="s">
        <v>1536</v>
      </c>
      <c r="D384" s="36" t="s">
        <v>78</v>
      </c>
      <c r="E384" s="37"/>
      <c r="F384" s="40"/>
      <c r="G384" s="40"/>
      <c r="H384" s="40"/>
    </row>
    <row r="385" spans="1:8" x14ac:dyDescent="0.2">
      <c r="A385" s="35">
        <f t="shared" si="8"/>
        <v>382</v>
      </c>
      <c r="B385" s="36" t="s">
        <v>1537</v>
      </c>
      <c r="C385" s="36" t="s">
        <v>1538</v>
      </c>
      <c r="D385" s="36" t="s">
        <v>10</v>
      </c>
      <c r="E385" s="37"/>
      <c r="F385" s="40"/>
      <c r="G385" s="40"/>
      <c r="H385" s="40"/>
    </row>
    <row r="386" spans="1:8" x14ac:dyDescent="0.2">
      <c r="A386" s="35">
        <f t="shared" si="8"/>
        <v>383</v>
      </c>
      <c r="B386" s="36" t="s">
        <v>1539</v>
      </c>
      <c r="C386" s="36" t="s">
        <v>1540</v>
      </c>
      <c r="D386" s="36" t="s">
        <v>31</v>
      </c>
      <c r="E386" s="37"/>
      <c r="F386" s="40"/>
      <c r="G386" s="40"/>
      <c r="H386" s="40"/>
    </row>
    <row r="387" spans="1:8" x14ac:dyDescent="0.2">
      <c r="A387" s="35">
        <f t="shared" si="8"/>
        <v>384</v>
      </c>
      <c r="B387" s="36" t="s">
        <v>1541</v>
      </c>
      <c r="C387" s="36" t="s">
        <v>1542</v>
      </c>
      <c r="D387" s="36" t="s">
        <v>31</v>
      </c>
      <c r="E387" s="37"/>
      <c r="F387" s="40"/>
      <c r="G387" s="40"/>
      <c r="H387" s="40"/>
    </row>
    <row r="388" spans="1:8" x14ac:dyDescent="0.2">
      <c r="A388" s="35">
        <f t="shared" si="8"/>
        <v>385</v>
      </c>
      <c r="B388" s="36" t="s">
        <v>1543</v>
      </c>
      <c r="C388" s="36" t="s">
        <v>1544</v>
      </c>
      <c r="D388" s="36" t="s">
        <v>5</v>
      </c>
      <c r="E388" s="37"/>
      <c r="F388" s="40"/>
      <c r="G388" s="40"/>
      <c r="H388" s="40"/>
    </row>
    <row r="389" spans="1:8" x14ac:dyDescent="0.2">
      <c r="A389" s="35">
        <f t="shared" si="8"/>
        <v>386</v>
      </c>
      <c r="B389" s="36" t="s">
        <v>1545</v>
      </c>
      <c r="C389" s="36" t="s">
        <v>1546</v>
      </c>
      <c r="D389" s="36" t="s">
        <v>10</v>
      </c>
      <c r="E389" s="37"/>
      <c r="F389" s="40"/>
      <c r="G389" s="40"/>
      <c r="H389" s="40"/>
    </row>
    <row r="390" spans="1:8" x14ac:dyDescent="0.2">
      <c r="A390" s="35">
        <f t="shared" si="8"/>
        <v>387</v>
      </c>
      <c r="B390" s="36" t="s">
        <v>1547</v>
      </c>
      <c r="C390" s="36" t="s">
        <v>1548</v>
      </c>
      <c r="D390" s="36" t="s">
        <v>47</v>
      </c>
      <c r="E390" s="37"/>
      <c r="F390" s="40"/>
      <c r="G390" s="40"/>
      <c r="H390" s="40"/>
    </row>
    <row r="391" spans="1:8" x14ac:dyDescent="0.2">
      <c r="A391" s="35">
        <f t="shared" si="8"/>
        <v>388</v>
      </c>
      <c r="B391" s="36" t="s">
        <v>1549</v>
      </c>
      <c r="C391" s="36" t="s">
        <v>1550</v>
      </c>
      <c r="D391" s="36" t="s">
        <v>2</v>
      </c>
      <c r="E391" s="37"/>
      <c r="F391" s="40"/>
      <c r="G391" s="40"/>
      <c r="H391" s="40"/>
    </row>
    <row r="392" spans="1:8" x14ac:dyDescent="0.2">
      <c r="A392" s="35">
        <f t="shared" si="8"/>
        <v>389</v>
      </c>
      <c r="B392" s="36" t="s">
        <v>1551</v>
      </c>
      <c r="C392" s="36" t="s">
        <v>1552</v>
      </c>
      <c r="D392" s="36" t="s">
        <v>47</v>
      </c>
      <c r="E392" s="37"/>
      <c r="F392" s="40"/>
      <c r="G392" s="40"/>
      <c r="H392" s="40"/>
    </row>
    <row r="393" spans="1:8" x14ac:dyDescent="0.2">
      <c r="A393" s="35">
        <f t="shared" si="8"/>
        <v>390</v>
      </c>
      <c r="B393" s="36" t="s">
        <v>1553</v>
      </c>
      <c r="C393" s="36" t="s">
        <v>1554</v>
      </c>
      <c r="D393" s="36" t="s">
        <v>5</v>
      </c>
      <c r="E393" s="37"/>
      <c r="F393" s="40"/>
      <c r="G393" s="40"/>
      <c r="H393" s="40"/>
    </row>
    <row r="394" spans="1:8" x14ac:dyDescent="0.2">
      <c r="A394" s="35">
        <f t="shared" si="8"/>
        <v>391</v>
      </c>
      <c r="B394" s="36" t="s">
        <v>1555</v>
      </c>
      <c r="C394" s="36" t="s">
        <v>1556</v>
      </c>
      <c r="D394" s="36" t="s">
        <v>2</v>
      </c>
      <c r="E394" s="37"/>
      <c r="F394" s="40"/>
      <c r="G394" s="40"/>
      <c r="H394" s="40"/>
    </row>
    <row r="395" spans="1:8" x14ac:dyDescent="0.2">
      <c r="A395" s="35">
        <f t="shared" si="8"/>
        <v>392</v>
      </c>
      <c r="B395" s="36" t="s">
        <v>1557</v>
      </c>
      <c r="C395" s="36" t="s">
        <v>1558</v>
      </c>
      <c r="D395" s="36" t="s">
        <v>186</v>
      </c>
      <c r="E395" s="37"/>
      <c r="F395" s="40"/>
      <c r="G395" s="40"/>
      <c r="H395" s="40"/>
    </row>
    <row r="396" spans="1:8" x14ac:dyDescent="0.2">
      <c r="A396" s="35">
        <f t="shared" si="8"/>
        <v>393</v>
      </c>
      <c r="B396" s="36" t="s">
        <v>1559</v>
      </c>
      <c r="C396" s="36" t="s">
        <v>1560</v>
      </c>
      <c r="D396" s="36" t="s">
        <v>2</v>
      </c>
      <c r="E396" s="37"/>
      <c r="F396" s="40"/>
      <c r="G396" s="40"/>
      <c r="H396" s="40"/>
    </row>
    <row r="397" spans="1:8" x14ac:dyDescent="0.2">
      <c r="A397" s="35">
        <f t="shared" si="8"/>
        <v>394</v>
      </c>
      <c r="B397" s="36" t="s">
        <v>1561</v>
      </c>
      <c r="C397" s="36" t="s">
        <v>1562</v>
      </c>
      <c r="D397" s="36" t="s">
        <v>2</v>
      </c>
      <c r="E397" s="37"/>
      <c r="F397" s="40"/>
      <c r="G397" s="40"/>
      <c r="H397" s="40"/>
    </row>
    <row r="398" spans="1:8" x14ac:dyDescent="0.2">
      <c r="A398" s="35">
        <f t="shared" si="8"/>
        <v>395</v>
      </c>
      <c r="B398" s="36" t="s">
        <v>1563</v>
      </c>
      <c r="C398" s="36" t="s">
        <v>1564</v>
      </c>
      <c r="D398" s="36" t="s">
        <v>10</v>
      </c>
      <c r="E398" s="37"/>
      <c r="F398" s="40"/>
      <c r="G398" s="40"/>
      <c r="H398" s="40"/>
    </row>
    <row r="399" spans="1:8" x14ac:dyDescent="0.2">
      <c r="A399" s="35">
        <f t="shared" si="8"/>
        <v>396</v>
      </c>
      <c r="B399" s="36" t="s">
        <v>1565</v>
      </c>
      <c r="C399" s="36" t="s">
        <v>1566</v>
      </c>
      <c r="D399" s="36" t="s">
        <v>186</v>
      </c>
      <c r="E399" s="37"/>
      <c r="F399" s="40"/>
      <c r="G399" s="40"/>
      <c r="H399" s="40"/>
    </row>
    <row r="400" spans="1:8" x14ac:dyDescent="0.2">
      <c r="A400" s="35">
        <f t="shared" si="8"/>
        <v>397</v>
      </c>
      <c r="B400" s="36" t="s">
        <v>1567</v>
      </c>
      <c r="C400" s="36" t="s">
        <v>1568</v>
      </c>
      <c r="D400" s="36" t="s">
        <v>61</v>
      </c>
      <c r="E400" s="37"/>
      <c r="F400" s="40"/>
      <c r="G400" s="40"/>
      <c r="H400" s="40"/>
    </row>
    <row r="401" spans="1:8" x14ac:dyDescent="0.2">
      <c r="A401" s="35">
        <f t="shared" si="8"/>
        <v>398</v>
      </c>
      <c r="B401" s="36" t="s">
        <v>1569</v>
      </c>
      <c r="C401" s="36" t="s">
        <v>1570</v>
      </c>
      <c r="D401" s="36" t="s">
        <v>56</v>
      </c>
      <c r="E401" s="37"/>
      <c r="F401" s="40"/>
      <c r="G401" s="40"/>
      <c r="H401" s="40"/>
    </row>
    <row r="402" spans="1:8" x14ac:dyDescent="0.2">
      <c r="A402" s="35">
        <f t="shared" si="8"/>
        <v>399</v>
      </c>
      <c r="B402" s="36" t="s">
        <v>1571</v>
      </c>
      <c r="C402" s="36" t="s">
        <v>1572</v>
      </c>
      <c r="D402" s="36" t="s">
        <v>186</v>
      </c>
      <c r="E402" s="37"/>
      <c r="F402" s="40"/>
      <c r="G402" s="40"/>
      <c r="H402" s="40"/>
    </row>
    <row r="403" spans="1:8" x14ac:dyDescent="0.2">
      <c r="A403" s="35">
        <f t="shared" si="8"/>
        <v>400</v>
      </c>
      <c r="B403" s="36" t="s">
        <v>1573</v>
      </c>
      <c r="C403" s="36" t="s">
        <v>1574</v>
      </c>
      <c r="D403" s="36" t="s">
        <v>2</v>
      </c>
      <c r="E403" s="37"/>
      <c r="F403" s="40"/>
      <c r="G403" s="40"/>
      <c r="H403" s="40"/>
    </row>
    <row r="404" spans="1:8" x14ac:dyDescent="0.2">
      <c r="A404" s="35">
        <f t="shared" si="8"/>
        <v>401</v>
      </c>
      <c r="B404" s="36" t="s">
        <v>1575</v>
      </c>
      <c r="C404" s="36" t="s">
        <v>1576</v>
      </c>
      <c r="D404" s="36" t="s">
        <v>2</v>
      </c>
      <c r="E404" s="37"/>
      <c r="F404" s="40"/>
      <c r="G404" s="40"/>
      <c r="H404" s="40"/>
    </row>
    <row r="405" spans="1:8" x14ac:dyDescent="0.2">
      <c r="A405" s="35">
        <f t="shared" si="8"/>
        <v>402</v>
      </c>
      <c r="B405" s="36" t="s">
        <v>1577</v>
      </c>
      <c r="C405" s="36" t="s">
        <v>1578</v>
      </c>
      <c r="D405" s="36" t="s">
        <v>2</v>
      </c>
      <c r="E405" s="37"/>
      <c r="F405" s="40"/>
      <c r="G405" s="40"/>
      <c r="H405" s="40"/>
    </row>
    <row r="406" spans="1:8" x14ac:dyDescent="0.2">
      <c r="A406" s="35">
        <f t="shared" si="8"/>
        <v>403</v>
      </c>
      <c r="B406" s="36" t="s">
        <v>1579</v>
      </c>
      <c r="C406" s="36" t="s">
        <v>1580</v>
      </c>
      <c r="D406" s="36" t="s">
        <v>2</v>
      </c>
      <c r="E406" s="37"/>
      <c r="F406" s="40"/>
      <c r="G406" s="40"/>
      <c r="H406" s="40"/>
    </row>
    <row r="407" spans="1:8" x14ac:dyDescent="0.2">
      <c r="A407" s="35">
        <f t="shared" si="8"/>
        <v>404</v>
      </c>
      <c r="B407" s="36" t="s">
        <v>1581</v>
      </c>
      <c r="C407" s="36" t="s">
        <v>1582</v>
      </c>
      <c r="D407" s="36" t="s">
        <v>10</v>
      </c>
      <c r="E407" s="37"/>
      <c r="F407" s="40"/>
      <c r="G407" s="40"/>
      <c r="H407" s="40"/>
    </row>
    <row r="408" spans="1:8" x14ac:dyDescent="0.2">
      <c r="A408" s="35">
        <f t="shared" si="8"/>
        <v>405</v>
      </c>
      <c r="B408" s="36" t="s">
        <v>1583</v>
      </c>
      <c r="C408" s="36" t="s">
        <v>1584</v>
      </c>
      <c r="D408" s="36" t="s">
        <v>989</v>
      </c>
      <c r="E408" s="37"/>
      <c r="F408" s="40"/>
      <c r="G408" s="40"/>
      <c r="H408" s="40"/>
    </row>
    <row r="409" spans="1:8" x14ac:dyDescent="0.2">
      <c r="A409" s="35">
        <f t="shared" si="8"/>
        <v>406</v>
      </c>
      <c r="B409" s="36" t="s">
        <v>1585</v>
      </c>
      <c r="C409" s="36" t="s">
        <v>1586</v>
      </c>
      <c r="D409" s="36" t="s">
        <v>186</v>
      </c>
      <c r="E409" s="37"/>
      <c r="F409" s="40"/>
      <c r="G409" s="40"/>
      <c r="H409" s="40"/>
    </row>
    <row r="410" spans="1:8" x14ac:dyDescent="0.2">
      <c r="A410" s="35">
        <f t="shared" si="8"/>
        <v>407</v>
      </c>
      <c r="B410" s="36" t="s">
        <v>1587</v>
      </c>
      <c r="C410" s="36" t="s">
        <v>1588</v>
      </c>
      <c r="D410" s="36" t="s">
        <v>10</v>
      </c>
      <c r="E410" s="37"/>
      <c r="F410" s="40"/>
      <c r="G410" s="40"/>
      <c r="H410" s="40"/>
    </row>
    <row r="411" spans="1:8" x14ac:dyDescent="0.2">
      <c r="A411" s="35">
        <f t="shared" si="8"/>
        <v>408</v>
      </c>
      <c r="B411" s="36" t="s">
        <v>1589</v>
      </c>
      <c r="C411" s="36" t="s">
        <v>1590</v>
      </c>
      <c r="D411" s="36" t="s">
        <v>47</v>
      </c>
      <c r="E411" s="37"/>
      <c r="F411" s="40"/>
      <c r="G411" s="40"/>
      <c r="H411" s="40"/>
    </row>
    <row r="412" spans="1:8" x14ac:dyDescent="0.2">
      <c r="A412" s="35">
        <f t="shared" si="8"/>
        <v>409</v>
      </c>
      <c r="B412" s="36" t="s">
        <v>1591</v>
      </c>
      <c r="C412" s="36" t="s">
        <v>1592</v>
      </c>
      <c r="D412" s="36" t="s">
        <v>975</v>
      </c>
      <c r="E412" s="37"/>
      <c r="F412" s="40"/>
      <c r="G412" s="40"/>
      <c r="H412" s="40"/>
    </row>
    <row r="413" spans="1:8" x14ac:dyDescent="0.2">
      <c r="A413" s="35">
        <f t="shared" si="8"/>
        <v>410</v>
      </c>
      <c r="B413" s="36" t="s">
        <v>1593</v>
      </c>
      <c r="C413" s="36" t="s">
        <v>294</v>
      </c>
      <c r="D413" s="36" t="s">
        <v>5</v>
      </c>
      <c r="E413" s="37"/>
      <c r="F413" s="40"/>
      <c r="G413" s="40"/>
      <c r="H413" s="40"/>
    </row>
    <row r="414" spans="1:8" x14ac:dyDescent="0.2">
      <c r="A414" s="35">
        <f t="shared" si="8"/>
        <v>411</v>
      </c>
      <c r="B414" s="36" t="s">
        <v>1594</v>
      </c>
      <c r="C414" s="36" t="s">
        <v>1595</v>
      </c>
      <c r="D414" s="36" t="s">
        <v>31</v>
      </c>
      <c r="E414" s="37"/>
      <c r="F414" s="40"/>
      <c r="G414" s="40"/>
      <c r="H414" s="40"/>
    </row>
    <row r="415" spans="1:8" x14ac:dyDescent="0.2">
      <c r="A415" s="35">
        <f t="shared" si="8"/>
        <v>412</v>
      </c>
      <c r="B415" s="36" t="s">
        <v>1596</v>
      </c>
      <c r="C415" s="36" t="s">
        <v>1597</v>
      </c>
      <c r="D415" s="36" t="s">
        <v>10</v>
      </c>
      <c r="E415" s="37"/>
      <c r="F415" s="40"/>
      <c r="G415" s="40"/>
      <c r="H415" s="40"/>
    </row>
    <row r="416" spans="1:8" x14ac:dyDescent="0.2">
      <c r="A416" s="35">
        <f t="shared" si="8"/>
        <v>413</v>
      </c>
      <c r="B416" s="36" t="s">
        <v>1598</v>
      </c>
      <c r="C416" s="36" t="s">
        <v>1599</v>
      </c>
      <c r="D416" s="36" t="s">
        <v>47</v>
      </c>
      <c r="E416" s="37"/>
      <c r="F416" s="40"/>
      <c r="G416" s="40"/>
      <c r="H416" s="40"/>
    </row>
    <row r="417" spans="1:8" x14ac:dyDescent="0.2">
      <c r="A417" s="35">
        <f t="shared" si="8"/>
        <v>414</v>
      </c>
      <c r="B417" s="36" t="s">
        <v>1600</v>
      </c>
      <c r="C417" s="36" t="s">
        <v>1601</v>
      </c>
      <c r="D417" s="36" t="s">
        <v>10</v>
      </c>
      <c r="E417" s="37"/>
      <c r="F417" s="40"/>
      <c r="G417" s="40"/>
      <c r="H417" s="40"/>
    </row>
    <row r="418" spans="1:8" x14ac:dyDescent="0.2">
      <c r="A418" s="35">
        <f t="shared" si="8"/>
        <v>415</v>
      </c>
      <c r="B418" s="36" t="s">
        <v>1602</v>
      </c>
      <c r="C418" s="36" t="s">
        <v>1603</v>
      </c>
      <c r="D418" s="36" t="s">
        <v>412</v>
      </c>
      <c r="E418" s="37"/>
      <c r="F418" s="40"/>
      <c r="G418" s="40"/>
      <c r="H418" s="40"/>
    </row>
    <row r="419" spans="1:8" x14ac:dyDescent="0.2">
      <c r="A419" s="35">
        <f t="shared" si="8"/>
        <v>416</v>
      </c>
      <c r="B419" s="36" t="s">
        <v>1604</v>
      </c>
      <c r="C419" s="36" t="s">
        <v>1605</v>
      </c>
      <c r="D419" s="36" t="s">
        <v>56</v>
      </c>
      <c r="E419" s="37"/>
      <c r="F419" s="40"/>
      <c r="G419" s="40"/>
      <c r="H419" s="40"/>
    </row>
    <row r="420" spans="1:8" x14ac:dyDescent="0.2">
      <c r="A420" s="35">
        <f t="shared" si="8"/>
        <v>417</v>
      </c>
      <c r="B420" s="36" t="s">
        <v>1606</v>
      </c>
      <c r="C420" s="36" t="s">
        <v>1607</v>
      </c>
      <c r="D420" s="36" t="s">
        <v>56</v>
      </c>
      <c r="E420" s="37"/>
      <c r="F420" s="40"/>
      <c r="G420" s="40"/>
      <c r="H420" s="40"/>
    </row>
    <row r="421" spans="1:8" x14ac:dyDescent="0.2">
      <c r="A421" s="35">
        <f t="shared" ref="A421:A484" si="9">+A420+1</f>
        <v>418</v>
      </c>
      <c r="B421" s="36" t="s">
        <v>1608</v>
      </c>
      <c r="C421" s="36" t="s">
        <v>1609</v>
      </c>
      <c r="D421" s="36" t="s">
        <v>984</v>
      </c>
      <c r="E421" s="37"/>
      <c r="F421" s="40"/>
      <c r="G421" s="40"/>
      <c r="H421" s="40"/>
    </row>
    <row r="422" spans="1:8" x14ac:dyDescent="0.2">
      <c r="A422" s="35">
        <f t="shared" si="9"/>
        <v>419</v>
      </c>
      <c r="B422" s="36" t="s">
        <v>1610</v>
      </c>
      <c r="C422" s="36" t="s">
        <v>1611</v>
      </c>
      <c r="D422" s="36" t="s">
        <v>2</v>
      </c>
      <c r="E422" s="37"/>
      <c r="F422" s="40"/>
      <c r="G422" s="40"/>
      <c r="H422" s="40"/>
    </row>
    <row r="423" spans="1:8" x14ac:dyDescent="0.2">
      <c r="A423" s="35">
        <f t="shared" si="9"/>
        <v>420</v>
      </c>
      <c r="B423" s="36" t="s">
        <v>1612</v>
      </c>
      <c r="C423" s="36" t="s">
        <v>1613</v>
      </c>
      <c r="D423" s="36" t="s">
        <v>10</v>
      </c>
      <c r="E423" s="37"/>
      <c r="F423" s="40"/>
      <c r="G423" s="40"/>
      <c r="H423" s="40"/>
    </row>
    <row r="424" spans="1:8" x14ac:dyDescent="0.2">
      <c r="A424" s="35">
        <f t="shared" si="9"/>
        <v>421</v>
      </c>
      <c r="B424" s="36" t="s">
        <v>1614</v>
      </c>
      <c r="C424" s="36" t="s">
        <v>1615</v>
      </c>
      <c r="D424" s="36" t="s">
        <v>28</v>
      </c>
      <c r="E424" s="37"/>
      <c r="F424" s="40"/>
      <c r="G424" s="40"/>
      <c r="H424" s="40"/>
    </row>
    <row r="425" spans="1:8" x14ac:dyDescent="0.2">
      <c r="A425" s="35">
        <f t="shared" si="9"/>
        <v>422</v>
      </c>
      <c r="B425" s="36" t="s">
        <v>1616</v>
      </c>
      <c r="C425" s="36" t="s">
        <v>1617</v>
      </c>
      <c r="D425" s="36" t="s">
        <v>975</v>
      </c>
      <c r="E425" s="37"/>
      <c r="F425" s="40"/>
      <c r="G425" s="40"/>
      <c r="H425" s="40"/>
    </row>
    <row r="426" spans="1:8" x14ac:dyDescent="0.2">
      <c r="A426" s="35">
        <f t="shared" si="9"/>
        <v>423</v>
      </c>
      <c r="B426" s="36" t="s">
        <v>1618</v>
      </c>
      <c r="C426" s="36" t="s">
        <v>1619</v>
      </c>
      <c r="D426" s="36" t="s">
        <v>166</v>
      </c>
      <c r="E426" s="37"/>
      <c r="F426" s="40"/>
      <c r="G426" s="40"/>
      <c r="H426" s="40"/>
    </row>
    <row r="427" spans="1:8" x14ac:dyDescent="0.2">
      <c r="A427" s="35">
        <f t="shared" si="9"/>
        <v>424</v>
      </c>
      <c r="B427" s="36" t="s">
        <v>1620</v>
      </c>
      <c r="C427" s="36" t="s">
        <v>1621</v>
      </c>
      <c r="D427" s="36" t="s">
        <v>980</v>
      </c>
      <c r="E427" s="37"/>
      <c r="F427" s="40"/>
      <c r="G427" s="40"/>
      <c r="H427" s="40"/>
    </row>
    <row r="428" spans="1:8" x14ac:dyDescent="0.2">
      <c r="A428" s="35">
        <f t="shared" si="9"/>
        <v>425</v>
      </c>
      <c r="B428" s="36" t="s">
        <v>1622</v>
      </c>
      <c r="C428" s="36" t="s">
        <v>1623</v>
      </c>
      <c r="D428" s="36" t="s">
        <v>980</v>
      </c>
      <c r="E428" s="37"/>
      <c r="F428" s="40"/>
      <c r="G428" s="40"/>
      <c r="H428" s="40"/>
    </row>
    <row r="429" spans="1:8" x14ac:dyDescent="0.2">
      <c r="A429" s="35">
        <f t="shared" si="9"/>
        <v>426</v>
      </c>
      <c r="B429" s="36" t="s">
        <v>1624</v>
      </c>
      <c r="C429" s="36" t="s">
        <v>1625</v>
      </c>
      <c r="D429" s="36" t="s">
        <v>186</v>
      </c>
      <c r="E429" s="37"/>
      <c r="F429" s="40"/>
      <c r="G429" s="40"/>
      <c r="H429" s="40"/>
    </row>
    <row r="430" spans="1:8" x14ac:dyDescent="0.2">
      <c r="A430" s="35">
        <f t="shared" si="9"/>
        <v>427</v>
      </c>
      <c r="B430" s="36" t="s">
        <v>1626</v>
      </c>
      <c r="C430" s="36" t="s">
        <v>1627</v>
      </c>
      <c r="D430" s="36" t="s">
        <v>401</v>
      </c>
      <c r="E430" s="37"/>
      <c r="F430" s="40"/>
      <c r="G430" s="40"/>
      <c r="H430" s="40"/>
    </row>
    <row r="431" spans="1:8" x14ac:dyDescent="0.2">
      <c r="A431" s="35">
        <f t="shared" si="9"/>
        <v>428</v>
      </c>
      <c r="B431" s="36" t="s">
        <v>1628</v>
      </c>
      <c r="C431" s="36" t="s">
        <v>1629</v>
      </c>
      <c r="D431" s="36" t="s">
        <v>5</v>
      </c>
      <c r="E431" s="37"/>
      <c r="F431" s="40"/>
      <c r="G431" s="40"/>
      <c r="H431" s="40"/>
    </row>
    <row r="432" spans="1:8" x14ac:dyDescent="0.2">
      <c r="A432" s="35">
        <f t="shared" si="9"/>
        <v>429</v>
      </c>
      <c r="B432" s="36" t="s">
        <v>1630</v>
      </c>
      <c r="C432" s="36" t="s">
        <v>1631</v>
      </c>
      <c r="D432" s="36" t="s">
        <v>2</v>
      </c>
      <c r="E432" s="37"/>
      <c r="F432" s="40"/>
      <c r="G432" s="40"/>
      <c r="H432" s="40"/>
    </row>
    <row r="433" spans="1:8" x14ac:dyDescent="0.2">
      <c r="A433" s="35">
        <f t="shared" si="9"/>
        <v>430</v>
      </c>
      <c r="B433" s="36" t="s">
        <v>1632</v>
      </c>
      <c r="C433" s="36" t="s">
        <v>1633</v>
      </c>
      <c r="D433" s="36" t="s">
        <v>166</v>
      </c>
      <c r="E433" s="37"/>
      <c r="F433" s="40"/>
      <c r="G433" s="40"/>
      <c r="H433" s="40"/>
    </row>
    <row r="434" spans="1:8" x14ac:dyDescent="0.2">
      <c r="A434" s="35">
        <f t="shared" si="9"/>
        <v>431</v>
      </c>
      <c r="B434" s="36" t="s">
        <v>1634</v>
      </c>
      <c r="C434" s="36" t="s">
        <v>1635</v>
      </c>
      <c r="D434" s="36" t="s">
        <v>10</v>
      </c>
      <c r="E434" s="37"/>
      <c r="F434" s="40"/>
      <c r="G434" s="40"/>
      <c r="H434" s="40"/>
    </row>
    <row r="435" spans="1:8" x14ac:dyDescent="0.2">
      <c r="A435" s="35">
        <f t="shared" si="9"/>
        <v>432</v>
      </c>
      <c r="B435" s="36" t="s">
        <v>1636</v>
      </c>
      <c r="C435" s="36" t="s">
        <v>1637</v>
      </c>
      <c r="D435" s="36" t="s">
        <v>193</v>
      </c>
      <c r="E435" s="37"/>
      <c r="F435" s="40"/>
      <c r="G435" s="40"/>
      <c r="H435" s="40"/>
    </row>
    <row r="436" spans="1:8" x14ac:dyDescent="0.2">
      <c r="A436" s="35">
        <f t="shared" si="9"/>
        <v>433</v>
      </c>
      <c r="B436" s="36" t="s">
        <v>1638</v>
      </c>
      <c r="C436" s="36" t="s">
        <v>1639</v>
      </c>
      <c r="D436" s="36" t="s">
        <v>10</v>
      </c>
      <c r="E436" s="37"/>
      <c r="F436" s="40"/>
      <c r="G436" s="40"/>
      <c r="H436" s="40"/>
    </row>
    <row r="437" spans="1:8" x14ac:dyDescent="0.2">
      <c r="A437" s="35">
        <f t="shared" si="9"/>
        <v>434</v>
      </c>
      <c r="B437" s="36" t="s">
        <v>1640</v>
      </c>
      <c r="C437" s="36" t="s">
        <v>1641</v>
      </c>
      <c r="D437" s="36" t="s">
        <v>975</v>
      </c>
      <c r="E437" s="37"/>
      <c r="F437" s="40"/>
      <c r="G437" s="40"/>
      <c r="H437" s="40"/>
    </row>
    <row r="438" spans="1:8" x14ac:dyDescent="0.2">
      <c r="A438" s="35">
        <f t="shared" si="9"/>
        <v>435</v>
      </c>
      <c r="B438" s="36" t="s">
        <v>1642</v>
      </c>
      <c r="C438" s="36" t="s">
        <v>1643</v>
      </c>
      <c r="D438" s="36" t="s">
        <v>980</v>
      </c>
      <c r="E438" s="37"/>
      <c r="F438" s="40"/>
      <c r="G438" s="40"/>
      <c r="H438" s="40"/>
    </row>
    <row r="439" spans="1:8" x14ac:dyDescent="0.2">
      <c r="A439" s="35">
        <f t="shared" si="9"/>
        <v>436</v>
      </c>
      <c r="B439" s="36" t="s">
        <v>1644</v>
      </c>
      <c r="C439" s="36" t="s">
        <v>1645</v>
      </c>
      <c r="D439" s="36" t="s">
        <v>47</v>
      </c>
      <c r="E439" s="37"/>
      <c r="F439" s="40"/>
      <c r="G439" s="40"/>
      <c r="H439" s="40"/>
    </row>
    <row r="440" spans="1:8" x14ac:dyDescent="0.2">
      <c r="A440" s="35">
        <f t="shared" si="9"/>
        <v>437</v>
      </c>
      <c r="B440" s="36" t="s">
        <v>1646</v>
      </c>
      <c r="C440" s="36" t="s">
        <v>1647</v>
      </c>
      <c r="D440" s="36" t="s">
        <v>980</v>
      </c>
      <c r="E440" s="37"/>
      <c r="F440" s="40"/>
      <c r="G440" s="40"/>
      <c r="H440" s="40"/>
    </row>
    <row r="441" spans="1:8" x14ac:dyDescent="0.2">
      <c r="A441" s="35">
        <f t="shared" si="9"/>
        <v>438</v>
      </c>
      <c r="B441" s="36" t="s">
        <v>1648</v>
      </c>
      <c r="C441" s="36" t="s">
        <v>1649</v>
      </c>
      <c r="D441" s="36" t="s">
        <v>56</v>
      </c>
      <c r="E441" s="37"/>
      <c r="F441" s="40"/>
      <c r="G441" s="40"/>
      <c r="H441" s="40"/>
    </row>
    <row r="442" spans="1:8" x14ac:dyDescent="0.2">
      <c r="A442" s="35">
        <f t="shared" si="9"/>
        <v>439</v>
      </c>
      <c r="B442" s="36" t="s">
        <v>1650</v>
      </c>
      <c r="C442" s="36" t="s">
        <v>1651</v>
      </c>
      <c r="D442" s="36" t="s">
        <v>56</v>
      </c>
      <c r="E442" s="37"/>
      <c r="F442" s="40"/>
      <c r="G442" s="40"/>
      <c r="H442" s="40"/>
    </row>
    <row r="443" spans="1:8" x14ac:dyDescent="0.2">
      <c r="A443" s="35">
        <f t="shared" si="9"/>
        <v>440</v>
      </c>
      <c r="B443" s="36" t="s">
        <v>1652</v>
      </c>
      <c r="C443" s="36" t="s">
        <v>1653</v>
      </c>
      <c r="D443" s="36" t="s">
        <v>10</v>
      </c>
      <c r="E443" s="37"/>
      <c r="F443" s="40"/>
      <c r="G443" s="40"/>
      <c r="H443" s="40"/>
    </row>
    <row r="444" spans="1:8" x14ac:dyDescent="0.2">
      <c r="A444" s="35">
        <f t="shared" si="9"/>
        <v>441</v>
      </c>
      <c r="B444" s="36" t="s">
        <v>1654</v>
      </c>
      <c r="C444" s="36" t="s">
        <v>1655</v>
      </c>
      <c r="D444" s="36" t="s">
        <v>977</v>
      </c>
      <c r="E444" s="37"/>
      <c r="F444" s="40"/>
      <c r="G444" s="40"/>
      <c r="H444" s="40"/>
    </row>
    <row r="445" spans="1:8" x14ac:dyDescent="0.2">
      <c r="A445" s="35">
        <f t="shared" si="9"/>
        <v>442</v>
      </c>
      <c r="B445" s="36" t="s">
        <v>1656</v>
      </c>
      <c r="C445" s="36" t="s">
        <v>1657</v>
      </c>
      <c r="D445" s="36" t="s">
        <v>28</v>
      </c>
      <c r="E445" s="37"/>
      <c r="F445" s="40"/>
      <c r="G445" s="40"/>
      <c r="H445" s="40"/>
    </row>
    <row r="446" spans="1:8" x14ac:dyDescent="0.2">
      <c r="A446" s="35">
        <f t="shared" si="9"/>
        <v>443</v>
      </c>
      <c r="B446" s="36" t="s">
        <v>1658</v>
      </c>
      <c r="C446" s="36" t="s">
        <v>1659</v>
      </c>
      <c r="D446" s="36" t="s">
        <v>47</v>
      </c>
      <c r="E446" s="37"/>
      <c r="F446" s="40"/>
      <c r="G446" s="40"/>
      <c r="H446" s="40"/>
    </row>
    <row r="447" spans="1:8" x14ac:dyDescent="0.2">
      <c r="A447" s="35">
        <f t="shared" si="9"/>
        <v>444</v>
      </c>
      <c r="B447" s="36" t="s">
        <v>1660</v>
      </c>
      <c r="C447" s="36" t="s">
        <v>1661</v>
      </c>
      <c r="D447" s="36" t="s">
        <v>10</v>
      </c>
      <c r="E447" s="37"/>
      <c r="F447" s="40"/>
      <c r="G447" s="40"/>
      <c r="H447" s="40"/>
    </row>
    <row r="448" spans="1:8" x14ac:dyDescent="0.2">
      <c r="A448" s="35">
        <f t="shared" si="9"/>
        <v>445</v>
      </c>
      <c r="B448" s="36" t="s">
        <v>1662</v>
      </c>
      <c r="C448" s="36" t="s">
        <v>1663</v>
      </c>
      <c r="D448" s="36" t="s">
        <v>47</v>
      </c>
      <c r="E448" s="37"/>
      <c r="F448" s="40"/>
      <c r="G448" s="40"/>
      <c r="H448" s="40"/>
    </row>
    <row r="449" spans="1:8" x14ac:dyDescent="0.2">
      <c r="A449" s="35">
        <f t="shared" si="9"/>
        <v>446</v>
      </c>
      <c r="B449" s="36" t="s">
        <v>1664</v>
      </c>
      <c r="C449" s="36" t="s">
        <v>1665</v>
      </c>
      <c r="D449" s="36" t="s">
        <v>47</v>
      </c>
      <c r="E449" s="37"/>
      <c r="F449" s="40"/>
      <c r="G449" s="40"/>
      <c r="H449" s="40"/>
    </row>
    <row r="450" spans="1:8" x14ac:dyDescent="0.2">
      <c r="A450" s="35">
        <f t="shared" si="9"/>
        <v>447</v>
      </c>
      <c r="B450" s="36" t="s">
        <v>1666</v>
      </c>
      <c r="C450" s="36" t="s">
        <v>1667</v>
      </c>
      <c r="D450" s="36" t="s">
        <v>68</v>
      </c>
      <c r="E450" s="37"/>
      <c r="F450" s="40"/>
      <c r="G450" s="40"/>
      <c r="H450" s="40"/>
    </row>
    <row r="451" spans="1:8" x14ac:dyDescent="0.2">
      <c r="A451" s="35">
        <f t="shared" si="9"/>
        <v>448</v>
      </c>
      <c r="B451" s="36" t="s">
        <v>1668</v>
      </c>
      <c r="C451" s="36" t="s">
        <v>1669</v>
      </c>
      <c r="D451" s="36" t="s">
        <v>56</v>
      </c>
      <c r="E451" s="37"/>
      <c r="F451" s="40"/>
      <c r="G451" s="40"/>
      <c r="H451" s="40"/>
    </row>
    <row r="452" spans="1:8" x14ac:dyDescent="0.2">
      <c r="A452" s="35">
        <f t="shared" si="9"/>
        <v>449</v>
      </c>
      <c r="B452" s="36" t="s">
        <v>1670</v>
      </c>
      <c r="C452" s="36" t="s">
        <v>1671</v>
      </c>
      <c r="D452" s="36" t="s">
        <v>10</v>
      </c>
      <c r="E452" s="37"/>
      <c r="F452" s="40"/>
      <c r="G452" s="40"/>
      <c r="H452" s="40"/>
    </row>
    <row r="453" spans="1:8" x14ac:dyDescent="0.2">
      <c r="A453" s="35">
        <f t="shared" si="9"/>
        <v>450</v>
      </c>
      <c r="B453" s="36" t="s">
        <v>1672</v>
      </c>
      <c r="C453" s="36" t="s">
        <v>1673</v>
      </c>
      <c r="D453" s="36" t="s">
        <v>10</v>
      </c>
      <c r="E453" s="37"/>
      <c r="F453" s="40"/>
      <c r="G453" s="40"/>
      <c r="H453" s="40"/>
    </row>
    <row r="454" spans="1:8" x14ac:dyDescent="0.2">
      <c r="A454" s="35">
        <f t="shared" si="9"/>
        <v>451</v>
      </c>
      <c r="B454" s="36" t="s">
        <v>1674</v>
      </c>
      <c r="C454" s="36" t="s">
        <v>1675</v>
      </c>
      <c r="D454" s="36" t="s">
        <v>10</v>
      </c>
      <c r="E454" s="37"/>
      <c r="F454" s="40"/>
      <c r="G454" s="40"/>
      <c r="H454" s="40"/>
    </row>
    <row r="455" spans="1:8" x14ac:dyDescent="0.2">
      <c r="A455" s="35">
        <f t="shared" si="9"/>
        <v>452</v>
      </c>
      <c r="B455" s="36" t="s">
        <v>1676</v>
      </c>
      <c r="C455" s="36" t="s">
        <v>1677</v>
      </c>
      <c r="D455" s="36" t="s">
        <v>2</v>
      </c>
      <c r="E455" s="37"/>
      <c r="F455" s="40"/>
      <c r="G455" s="40"/>
      <c r="H455" s="40"/>
    </row>
    <row r="456" spans="1:8" x14ac:dyDescent="0.2">
      <c r="A456" s="35">
        <f t="shared" si="9"/>
        <v>453</v>
      </c>
      <c r="B456" s="36" t="s">
        <v>1678</v>
      </c>
      <c r="C456" s="36" t="s">
        <v>1679</v>
      </c>
      <c r="D456" s="36" t="s">
        <v>10</v>
      </c>
      <c r="E456" s="37"/>
      <c r="F456" s="40"/>
      <c r="G456" s="40"/>
      <c r="H456" s="40"/>
    </row>
    <row r="457" spans="1:8" x14ac:dyDescent="0.2">
      <c r="A457" s="35">
        <f t="shared" si="9"/>
        <v>454</v>
      </c>
      <c r="B457" s="36" t="s">
        <v>1680</v>
      </c>
      <c r="C457" s="36" t="s">
        <v>1681</v>
      </c>
      <c r="D457" s="36" t="s">
        <v>10</v>
      </c>
      <c r="E457" s="37"/>
      <c r="F457" s="40"/>
      <c r="G457" s="40"/>
      <c r="H457" s="40"/>
    </row>
    <row r="458" spans="1:8" x14ac:dyDescent="0.2">
      <c r="A458" s="35">
        <f t="shared" si="9"/>
        <v>455</v>
      </c>
      <c r="B458" s="36" t="s">
        <v>1682</v>
      </c>
      <c r="C458" s="36" t="s">
        <v>1683</v>
      </c>
      <c r="D458" s="36" t="s">
        <v>56</v>
      </c>
      <c r="E458" s="37"/>
      <c r="F458" s="40"/>
      <c r="G458" s="40"/>
      <c r="H458" s="40"/>
    </row>
    <row r="459" spans="1:8" x14ac:dyDescent="0.2">
      <c r="A459" s="35">
        <f t="shared" si="9"/>
        <v>456</v>
      </c>
      <c r="B459" s="36" t="s">
        <v>1684</v>
      </c>
      <c r="C459" s="36" t="s">
        <v>1685</v>
      </c>
      <c r="D459" s="36" t="s">
        <v>47</v>
      </c>
      <c r="E459" s="37"/>
      <c r="F459" s="40"/>
      <c r="G459" s="40"/>
      <c r="H459" s="40"/>
    </row>
    <row r="460" spans="1:8" x14ac:dyDescent="0.2">
      <c r="A460" s="35">
        <f t="shared" si="9"/>
        <v>457</v>
      </c>
      <c r="B460" s="36" t="s">
        <v>1686</v>
      </c>
      <c r="C460" s="36" t="s">
        <v>1687</v>
      </c>
      <c r="D460" s="36" t="s">
        <v>10</v>
      </c>
      <c r="E460" s="37"/>
      <c r="F460" s="40"/>
      <c r="G460" s="40"/>
      <c r="H460" s="40"/>
    </row>
    <row r="461" spans="1:8" x14ac:dyDescent="0.2">
      <c r="A461" s="35">
        <f t="shared" si="9"/>
        <v>458</v>
      </c>
      <c r="B461" s="36" t="s">
        <v>1688</v>
      </c>
      <c r="C461" s="36" t="s">
        <v>1689</v>
      </c>
      <c r="D461" s="36" t="s">
        <v>10</v>
      </c>
      <c r="E461" s="37"/>
      <c r="F461" s="40"/>
      <c r="G461" s="40"/>
      <c r="H461" s="40"/>
    </row>
    <row r="462" spans="1:8" x14ac:dyDescent="0.2">
      <c r="A462" s="35">
        <f t="shared" si="9"/>
        <v>459</v>
      </c>
      <c r="B462" s="36" t="s">
        <v>1690</v>
      </c>
      <c r="C462" s="36" t="s">
        <v>1691</v>
      </c>
      <c r="D462" s="36" t="s">
        <v>10</v>
      </c>
      <c r="E462" s="37"/>
      <c r="F462" s="40"/>
      <c r="G462" s="40"/>
      <c r="H462" s="40"/>
    </row>
    <row r="463" spans="1:8" x14ac:dyDescent="0.2">
      <c r="A463" s="35">
        <f t="shared" si="9"/>
        <v>460</v>
      </c>
      <c r="B463" s="36" t="s">
        <v>1692</v>
      </c>
      <c r="C463" s="36" t="s">
        <v>1693</v>
      </c>
      <c r="D463" s="36" t="s">
        <v>31</v>
      </c>
      <c r="E463" s="37"/>
      <c r="F463" s="40"/>
      <c r="G463" s="40"/>
      <c r="H463" s="40"/>
    </row>
    <row r="464" spans="1:8" x14ac:dyDescent="0.2">
      <c r="A464" s="35">
        <f t="shared" si="9"/>
        <v>461</v>
      </c>
      <c r="B464" s="36" t="s">
        <v>1694</v>
      </c>
      <c r="C464" s="36" t="s">
        <v>1695</v>
      </c>
      <c r="D464" s="36" t="s">
        <v>2</v>
      </c>
      <c r="E464" s="37"/>
      <c r="F464" s="40"/>
      <c r="G464" s="40"/>
      <c r="H464" s="40"/>
    </row>
    <row r="465" spans="1:8" x14ac:dyDescent="0.2">
      <c r="A465" s="35">
        <f t="shared" si="9"/>
        <v>462</v>
      </c>
      <c r="B465" s="36" t="s">
        <v>1696</v>
      </c>
      <c r="C465" s="36" t="s">
        <v>1697</v>
      </c>
      <c r="D465" s="36" t="s">
        <v>2</v>
      </c>
      <c r="E465" s="37"/>
      <c r="F465" s="40"/>
      <c r="G465" s="40"/>
      <c r="H465" s="40"/>
    </row>
    <row r="466" spans="1:8" x14ac:dyDescent="0.2">
      <c r="A466" s="35">
        <f t="shared" si="9"/>
        <v>463</v>
      </c>
      <c r="B466" s="36" t="s">
        <v>1698</v>
      </c>
      <c r="C466" s="36" t="s">
        <v>1699</v>
      </c>
      <c r="D466" s="36" t="s">
        <v>995</v>
      </c>
      <c r="E466" s="37"/>
      <c r="F466" s="40"/>
      <c r="G466" s="40"/>
      <c r="H466" s="40"/>
    </row>
    <row r="467" spans="1:8" x14ac:dyDescent="0.2">
      <c r="A467" s="35">
        <f t="shared" si="9"/>
        <v>464</v>
      </c>
      <c r="B467" s="36" t="s">
        <v>1700</v>
      </c>
      <c r="C467" s="36" t="s">
        <v>1701</v>
      </c>
      <c r="D467" s="36" t="s">
        <v>989</v>
      </c>
      <c r="E467" s="37"/>
      <c r="F467" s="40"/>
      <c r="G467" s="40"/>
      <c r="H467" s="40"/>
    </row>
    <row r="468" spans="1:8" x14ac:dyDescent="0.2">
      <c r="A468" s="35">
        <f t="shared" si="9"/>
        <v>465</v>
      </c>
      <c r="B468" s="36" t="s">
        <v>404</v>
      </c>
      <c r="C468" s="36" t="s">
        <v>405</v>
      </c>
      <c r="D468" s="36" t="s">
        <v>193</v>
      </c>
      <c r="E468" s="37"/>
      <c r="F468" s="40"/>
      <c r="G468" s="40"/>
      <c r="H468" s="40"/>
    </row>
    <row r="469" spans="1:8" x14ac:dyDescent="0.2">
      <c r="A469" s="35">
        <f t="shared" si="9"/>
        <v>466</v>
      </c>
      <c r="B469" s="36" t="s">
        <v>1702</v>
      </c>
      <c r="C469" s="36" t="s">
        <v>1703</v>
      </c>
      <c r="D469" s="36" t="s">
        <v>2</v>
      </c>
      <c r="E469" s="37"/>
      <c r="F469" s="40"/>
      <c r="G469" s="40"/>
      <c r="H469" s="40"/>
    </row>
    <row r="470" spans="1:8" x14ac:dyDescent="0.2">
      <c r="A470" s="35">
        <f t="shared" si="9"/>
        <v>467</v>
      </c>
      <c r="B470" s="36" t="s">
        <v>1704</v>
      </c>
      <c r="C470" s="36" t="s">
        <v>1705</v>
      </c>
      <c r="D470" s="36" t="s">
        <v>78</v>
      </c>
      <c r="E470" s="37"/>
      <c r="F470" s="40"/>
      <c r="G470" s="40"/>
      <c r="H470" s="40"/>
    </row>
    <row r="471" spans="1:8" x14ac:dyDescent="0.2">
      <c r="A471" s="35">
        <f t="shared" si="9"/>
        <v>468</v>
      </c>
      <c r="B471" s="36" t="s">
        <v>1706</v>
      </c>
      <c r="C471" s="36" t="s">
        <v>1707</v>
      </c>
      <c r="D471" s="36" t="s">
        <v>2</v>
      </c>
      <c r="E471" s="37"/>
      <c r="F471" s="40"/>
      <c r="G471" s="40"/>
      <c r="H471" s="40"/>
    </row>
    <row r="472" spans="1:8" x14ac:dyDescent="0.2">
      <c r="A472" s="35">
        <f t="shared" si="9"/>
        <v>469</v>
      </c>
      <c r="B472" s="36" t="s">
        <v>1708</v>
      </c>
      <c r="C472" s="36" t="s">
        <v>1709</v>
      </c>
      <c r="D472" s="36" t="s">
        <v>31</v>
      </c>
      <c r="E472" s="37"/>
      <c r="F472" s="40"/>
      <c r="G472" s="40"/>
      <c r="H472" s="40"/>
    </row>
    <row r="473" spans="1:8" x14ac:dyDescent="0.2">
      <c r="A473" s="35">
        <f t="shared" si="9"/>
        <v>470</v>
      </c>
      <c r="B473" s="36" t="s">
        <v>1710</v>
      </c>
      <c r="C473" s="36" t="s">
        <v>1711</v>
      </c>
      <c r="D473" s="36" t="s">
        <v>10</v>
      </c>
      <c r="E473" s="37"/>
      <c r="F473" s="40"/>
      <c r="G473" s="40"/>
      <c r="H473" s="40"/>
    </row>
    <row r="474" spans="1:8" x14ac:dyDescent="0.2">
      <c r="A474" s="35">
        <f t="shared" si="9"/>
        <v>471</v>
      </c>
      <c r="B474" s="36" t="s">
        <v>1712</v>
      </c>
      <c r="C474" s="36" t="s">
        <v>1713</v>
      </c>
      <c r="D474" s="36" t="s">
        <v>73</v>
      </c>
      <c r="E474" s="37"/>
      <c r="F474" s="40"/>
      <c r="G474" s="40"/>
      <c r="H474" s="40"/>
    </row>
    <row r="475" spans="1:8" x14ac:dyDescent="0.2">
      <c r="A475" s="35">
        <f t="shared" si="9"/>
        <v>472</v>
      </c>
      <c r="B475" s="36" t="s">
        <v>1714</v>
      </c>
      <c r="C475" s="36" t="s">
        <v>1715</v>
      </c>
      <c r="D475" s="36" t="s">
        <v>10</v>
      </c>
      <c r="E475" s="37"/>
      <c r="F475" s="40"/>
      <c r="G475" s="40"/>
      <c r="H475" s="40"/>
    </row>
    <row r="476" spans="1:8" x14ac:dyDescent="0.2">
      <c r="A476" s="35">
        <f t="shared" si="9"/>
        <v>473</v>
      </c>
      <c r="B476" s="36" t="s">
        <v>1716</v>
      </c>
      <c r="C476" s="36" t="s">
        <v>1717</v>
      </c>
      <c r="D476" s="36" t="s">
        <v>56</v>
      </c>
      <c r="E476" s="37"/>
      <c r="F476" s="40"/>
      <c r="G476" s="40"/>
      <c r="H476" s="40"/>
    </row>
    <row r="477" spans="1:8" x14ac:dyDescent="0.2">
      <c r="A477" s="35">
        <f t="shared" si="9"/>
        <v>474</v>
      </c>
      <c r="B477" s="36" t="s">
        <v>1718</v>
      </c>
      <c r="C477" s="36" t="s">
        <v>1719</v>
      </c>
      <c r="D477" s="36" t="s">
        <v>31</v>
      </c>
      <c r="E477" s="37"/>
      <c r="F477" s="40"/>
      <c r="G477" s="40"/>
      <c r="H477" s="40"/>
    </row>
    <row r="478" spans="1:8" x14ac:dyDescent="0.2">
      <c r="A478" s="35">
        <f t="shared" si="9"/>
        <v>475</v>
      </c>
      <c r="B478" s="36" t="s">
        <v>1720</v>
      </c>
      <c r="C478" s="36" t="s">
        <v>1721</v>
      </c>
      <c r="D478" s="36" t="s">
        <v>10</v>
      </c>
      <c r="E478" s="37"/>
      <c r="F478" s="40"/>
      <c r="G478" s="40"/>
      <c r="H478" s="40"/>
    </row>
    <row r="479" spans="1:8" x14ac:dyDescent="0.2">
      <c r="A479" s="35">
        <f t="shared" si="9"/>
        <v>476</v>
      </c>
      <c r="B479" s="36" t="s">
        <v>1722</v>
      </c>
      <c r="C479" s="36" t="s">
        <v>1723</v>
      </c>
      <c r="D479" s="36" t="s">
        <v>10</v>
      </c>
      <c r="E479" s="37"/>
      <c r="F479" s="40"/>
      <c r="G479" s="40"/>
      <c r="H479" s="40"/>
    </row>
    <row r="480" spans="1:8" x14ac:dyDescent="0.2">
      <c r="A480" s="35">
        <f t="shared" si="9"/>
        <v>477</v>
      </c>
      <c r="B480" s="36" t="s">
        <v>1724</v>
      </c>
      <c r="C480" s="36" t="s">
        <v>1725</v>
      </c>
      <c r="D480" s="36" t="s">
        <v>10</v>
      </c>
      <c r="E480" s="37"/>
      <c r="F480" s="40"/>
      <c r="G480" s="40"/>
      <c r="H480" s="40"/>
    </row>
    <row r="481" spans="1:8" x14ac:dyDescent="0.2">
      <c r="A481" s="35">
        <f t="shared" si="9"/>
        <v>478</v>
      </c>
      <c r="B481" s="36" t="s">
        <v>1726</v>
      </c>
      <c r="C481" s="36" t="s">
        <v>1727</v>
      </c>
      <c r="D481" s="36" t="s">
        <v>166</v>
      </c>
      <c r="E481" s="37"/>
      <c r="F481" s="40"/>
      <c r="G481" s="40"/>
      <c r="H481" s="40"/>
    </row>
    <row r="482" spans="1:8" x14ac:dyDescent="0.2">
      <c r="A482" s="35">
        <f t="shared" si="9"/>
        <v>479</v>
      </c>
      <c r="B482" s="36" t="s">
        <v>1728</v>
      </c>
      <c r="C482" s="36" t="s">
        <v>1729</v>
      </c>
      <c r="D482" s="36" t="s">
        <v>2</v>
      </c>
      <c r="E482" s="37"/>
      <c r="F482" s="40"/>
      <c r="G482" s="40"/>
      <c r="H482" s="40"/>
    </row>
    <row r="483" spans="1:8" x14ac:dyDescent="0.2">
      <c r="A483" s="35">
        <f t="shared" si="9"/>
        <v>480</v>
      </c>
      <c r="B483" s="36" t="s">
        <v>1730</v>
      </c>
      <c r="C483" s="36" t="s">
        <v>1731</v>
      </c>
      <c r="D483" s="36" t="s">
        <v>2</v>
      </c>
      <c r="E483" s="37"/>
      <c r="F483" s="40"/>
      <c r="G483" s="40"/>
      <c r="H483" s="40"/>
    </row>
    <row r="484" spans="1:8" x14ac:dyDescent="0.2">
      <c r="A484" s="35">
        <f t="shared" si="9"/>
        <v>481</v>
      </c>
      <c r="B484" s="36" t="s">
        <v>1732</v>
      </c>
      <c r="C484" s="36" t="s">
        <v>1733</v>
      </c>
      <c r="D484" s="36" t="s">
        <v>987</v>
      </c>
      <c r="E484" s="37"/>
      <c r="F484" s="40"/>
      <c r="G484" s="40"/>
      <c r="H484" s="40"/>
    </row>
    <row r="485" spans="1:8" x14ac:dyDescent="0.2">
      <c r="A485" s="35">
        <f t="shared" ref="A485:A548" si="10">+A484+1</f>
        <v>482</v>
      </c>
      <c r="B485" s="36" t="s">
        <v>1734</v>
      </c>
      <c r="C485" s="36" t="s">
        <v>1735</v>
      </c>
      <c r="D485" s="36" t="s">
        <v>975</v>
      </c>
      <c r="E485" s="37"/>
      <c r="F485" s="40"/>
      <c r="G485" s="40"/>
      <c r="H485" s="40"/>
    </row>
    <row r="486" spans="1:8" x14ac:dyDescent="0.2">
      <c r="A486" s="35">
        <f t="shared" si="10"/>
        <v>483</v>
      </c>
      <c r="B486" s="36" t="s">
        <v>1736</v>
      </c>
      <c r="C486" s="36" t="s">
        <v>1737</v>
      </c>
      <c r="D486" s="36" t="s">
        <v>89</v>
      </c>
      <c r="E486" s="37"/>
      <c r="F486" s="40"/>
      <c r="G486" s="40"/>
      <c r="H486" s="40"/>
    </row>
    <row r="487" spans="1:8" x14ac:dyDescent="0.2">
      <c r="A487" s="35">
        <f t="shared" si="10"/>
        <v>484</v>
      </c>
      <c r="B487" s="36" t="s">
        <v>1738</v>
      </c>
      <c r="C487" s="36" t="s">
        <v>1739</v>
      </c>
      <c r="D487" s="36" t="s">
        <v>47</v>
      </c>
      <c r="E487" s="37"/>
      <c r="F487" s="40"/>
      <c r="G487" s="40"/>
      <c r="H487" s="40"/>
    </row>
    <row r="488" spans="1:8" x14ac:dyDescent="0.2">
      <c r="A488" s="35">
        <f t="shared" si="10"/>
        <v>485</v>
      </c>
      <c r="B488" s="36" t="s">
        <v>1740</v>
      </c>
      <c r="C488" s="36" t="s">
        <v>1741</v>
      </c>
      <c r="D488" s="36" t="s">
        <v>981</v>
      </c>
      <c r="E488" s="37"/>
      <c r="F488" s="40"/>
      <c r="G488" s="40"/>
      <c r="H488" s="40"/>
    </row>
    <row r="489" spans="1:8" x14ac:dyDescent="0.2">
      <c r="A489" s="35">
        <f t="shared" si="10"/>
        <v>486</v>
      </c>
      <c r="B489" s="36" t="s">
        <v>1742</v>
      </c>
      <c r="C489" s="36" t="s">
        <v>1743</v>
      </c>
      <c r="D489" s="36" t="s">
        <v>10</v>
      </c>
      <c r="E489" s="37"/>
      <c r="F489" s="40"/>
      <c r="G489" s="40"/>
      <c r="H489" s="40"/>
    </row>
    <row r="490" spans="1:8" x14ac:dyDescent="0.2">
      <c r="A490" s="35">
        <f t="shared" si="10"/>
        <v>487</v>
      </c>
      <c r="B490" s="36" t="s">
        <v>1744</v>
      </c>
      <c r="C490" s="36" t="s">
        <v>1745</v>
      </c>
      <c r="D490" s="36" t="s">
        <v>2</v>
      </c>
      <c r="E490" s="37"/>
      <c r="F490" s="40"/>
      <c r="G490" s="40"/>
      <c r="H490" s="40"/>
    </row>
    <row r="491" spans="1:8" x14ac:dyDescent="0.2">
      <c r="A491" s="35">
        <f t="shared" si="10"/>
        <v>488</v>
      </c>
      <c r="B491" s="36" t="s">
        <v>1746</v>
      </c>
      <c r="C491" s="36" t="s">
        <v>1747</v>
      </c>
      <c r="D491" s="36" t="s">
        <v>988</v>
      </c>
      <c r="E491" s="37"/>
      <c r="F491" s="40"/>
      <c r="G491" s="40"/>
      <c r="H491" s="40"/>
    </row>
    <row r="492" spans="1:8" x14ac:dyDescent="0.2">
      <c r="A492" s="35">
        <f t="shared" si="10"/>
        <v>489</v>
      </c>
      <c r="B492" s="36" t="s">
        <v>1748</v>
      </c>
      <c r="C492" s="36" t="s">
        <v>1749</v>
      </c>
      <c r="D492" s="36" t="s">
        <v>186</v>
      </c>
      <c r="E492" s="37"/>
      <c r="F492" s="40"/>
      <c r="G492" s="40"/>
      <c r="H492" s="40"/>
    </row>
    <row r="493" spans="1:8" x14ac:dyDescent="0.2">
      <c r="A493" s="35">
        <f t="shared" si="10"/>
        <v>490</v>
      </c>
      <c r="B493" s="36" t="s">
        <v>1750</v>
      </c>
      <c r="C493" s="36" t="s">
        <v>1751</v>
      </c>
      <c r="D493" s="36" t="s">
        <v>10</v>
      </c>
      <c r="E493" s="37"/>
      <c r="F493" s="40"/>
      <c r="G493" s="40"/>
      <c r="H493" s="40"/>
    </row>
    <row r="494" spans="1:8" x14ac:dyDescent="0.2">
      <c r="A494" s="35">
        <f t="shared" si="10"/>
        <v>491</v>
      </c>
      <c r="B494" s="36" t="s">
        <v>1752</v>
      </c>
      <c r="C494" s="36" t="s">
        <v>1753</v>
      </c>
      <c r="D494" s="36" t="s">
        <v>10</v>
      </c>
      <c r="E494" s="37"/>
      <c r="F494" s="40"/>
      <c r="G494" s="40"/>
      <c r="H494" s="40"/>
    </row>
    <row r="495" spans="1:8" x14ac:dyDescent="0.2">
      <c r="A495" s="35">
        <f t="shared" si="10"/>
        <v>492</v>
      </c>
      <c r="B495" s="36" t="s">
        <v>1754</v>
      </c>
      <c r="C495" s="36" t="s">
        <v>1755</v>
      </c>
      <c r="D495" s="36" t="s">
        <v>987</v>
      </c>
      <c r="E495" s="37"/>
      <c r="F495" s="40"/>
      <c r="G495" s="40"/>
      <c r="H495" s="40"/>
    </row>
    <row r="496" spans="1:8" x14ac:dyDescent="0.2">
      <c r="A496" s="35">
        <f t="shared" si="10"/>
        <v>493</v>
      </c>
      <c r="B496" s="36" t="s">
        <v>1756</v>
      </c>
      <c r="C496" s="36" t="s">
        <v>1757</v>
      </c>
      <c r="D496" s="36" t="s">
        <v>2</v>
      </c>
      <c r="E496" s="37"/>
      <c r="F496" s="40"/>
      <c r="G496" s="40"/>
      <c r="H496" s="40"/>
    </row>
    <row r="497" spans="1:8" x14ac:dyDescent="0.2">
      <c r="A497" s="35">
        <f t="shared" si="10"/>
        <v>494</v>
      </c>
      <c r="B497" s="36" t="s">
        <v>1758</v>
      </c>
      <c r="C497" s="36" t="s">
        <v>1759</v>
      </c>
      <c r="D497" s="36" t="s">
        <v>2</v>
      </c>
      <c r="E497" s="37"/>
      <c r="F497" s="40"/>
      <c r="G497" s="40"/>
      <c r="H497" s="40"/>
    </row>
    <row r="498" spans="1:8" x14ac:dyDescent="0.2">
      <c r="A498" s="35">
        <f t="shared" si="10"/>
        <v>495</v>
      </c>
      <c r="B498" s="36" t="s">
        <v>1760</v>
      </c>
      <c r="C498" s="36" t="s">
        <v>1761</v>
      </c>
      <c r="D498" s="36" t="s">
        <v>10</v>
      </c>
      <c r="E498" s="37"/>
      <c r="F498" s="40"/>
      <c r="G498" s="40"/>
      <c r="H498" s="40"/>
    </row>
    <row r="499" spans="1:8" x14ac:dyDescent="0.2">
      <c r="A499" s="35">
        <f t="shared" si="10"/>
        <v>496</v>
      </c>
      <c r="B499" s="36" t="s">
        <v>1762</v>
      </c>
      <c r="C499" s="36" t="s">
        <v>1763</v>
      </c>
      <c r="D499" s="36" t="s">
        <v>975</v>
      </c>
      <c r="E499" s="37"/>
      <c r="F499" s="40"/>
      <c r="G499" s="40"/>
      <c r="H499" s="40"/>
    </row>
    <row r="500" spans="1:8" x14ac:dyDescent="0.2">
      <c r="A500" s="35">
        <f t="shared" si="10"/>
        <v>497</v>
      </c>
      <c r="B500" s="36" t="s">
        <v>1764</v>
      </c>
      <c r="C500" s="36" t="s">
        <v>1765</v>
      </c>
      <c r="D500" s="36" t="s">
        <v>1766</v>
      </c>
      <c r="E500" s="37"/>
      <c r="F500" s="40"/>
      <c r="G500" s="40"/>
      <c r="H500" s="40"/>
    </row>
    <row r="501" spans="1:8" x14ac:dyDescent="0.2">
      <c r="A501" s="35">
        <f t="shared" si="10"/>
        <v>498</v>
      </c>
      <c r="B501" s="36" t="s">
        <v>1767</v>
      </c>
      <c r="C501" s="36" t="s">
        <v>1768</v>
      </c>
      <c r="D501" s="36" t="s">
        <v>10</v>
      </c>
      <c r="E501" s="37"/>
      <c r="F501" s="40"/>
      <c r="G501" s="40"/>
      <c r="H501" s="40"/>
    </row>
    <row r="502" spans="1:8" x14ac:dyDescent="0.2">
      <c r="A502" s="35">
        <f t="shared" si="10"/>
        <v>499</v>
      </c>
      <c r="B502" s="36" t="s">
        <v>1769</v>
      </c>
      <c r="C502" s="36" t="s">
        <v>1770</v>
      </c>
      <c r="D502" s="36" t="s">
        <v>1223</v>
      </c>
      <c r="E502" s="37"/>
      <c r="F502" s="40"/>
      <c r="G502" s="40"/>
      <c r="H502" s="40"/>
    </row>
    <row r="503" spans="1:8" x14ac:dyDescent="0.2">
      <c r="A503" s="35">
        <f t="shared" si="10"/>
        <v>500</v>
      </c>
      <c r="B503" s="36" t="s">
        <v>1771</v>
      </c>
      <c r="C503" s="36" t="s">
        <v>1772</v>
      </c>
      <c r="D503" s="36" t="s">
        <v>1766</v>
      </c>
      <c r="E503" s="37"/>
      <c r="F503" s="40"/>
      <c r="G503" s="40"/>
      <c r="H503" s="40"/>
    </row>
    <row r="504" spans="1:8" x14ac:dyDescent="0.2">
      <c r="A504" s="35">
        <f t="shared" si="10"/>
        <v>501</v>
      </c>
      <c r="B504" s="36" t="s">
        <v>1773</v>
      </c>
      <c r="C504" s="36" t="s">
        <v>1774</v>
      </c>
      <c r="D504" s="36" t="s">
        <v>10</v>
      </c>
      <c r="E504" s="37"/>
      <c r="F504" s="40"/>
      <c r="G504" s="40"/>
      <c r="H504" s="40"/>
    </row>
    <row r="505" spans="1:8" x14ac:dyDescent="0.2">
      <c r="A505" s="35">
        <f t="shared" si="10"/>
        <v>502</v>
      </c>
      <c r="B505" s="36" t="s">
        <v>1775</v>
      </c>
      <c r="C505" s="36" t="s">
        <v>1776</v>
      </c>
      <c r="D505" s="36" t="s">
        <v>1777</v>
      </c>
      <c r="E505" s="37"/>
      <c r="F505" s="40"/>
      <c r="G505" s="40"/>
      <c r="H505" s="40"/>
    </row>
    <row r="506" spans="1:8" x14ac:dyDescent="0.2">
      <c r="A506" s="35">
        <f t="shared" si="10"/>
        <v>503</v>
      </c>
      <c r="B506" s="36" t="s">
        <v>1778</v>
      </c>
      <c r="C506" s="36" t="s">
        <v>1779</v>
      </c>
      <c r="D506" s="36" t="s">
        <v>980</v>
      </c>
      <c r="E506" s="37"/>
      <c r="F506" s="40"/>
      <c r="G506" s="40"/>
      <c r="H506" s="40"/>
    </row>
    <row r="507" spans="1:8" x14ac:dyDescent="0.2">
      <c r="A507" s="35">
        <f t="shared" si="10"/>
        <v>504</v>
      </c>
      <c r="B507" s="36" t="s">
        <v>1780</v>
      </c>
      <c r="C507" s="36" t="s">
        <v>1781</v>
      </c>
      <c r="D507" s="36" t="s">
        <v>412</v>
      </c>
      <c r="E507" s="37"/>
      <c r="F507" s="40"/>
      <c r="G507" s="40"/>
      <c r="H507" s="40"/>
    </row>
    <row r="508" spans="1:8" x14ac:dyDescent="0.2">
      <c r="A508" s="35">
        <f t="shared" si="10"/>
        <v>505</v>
      </c>
      <c r="B508" s="36" t="s">
        <v>1782</v>
      </c>
      <c r="C508" s="36" t="s">
        <v>1783</v>
      </c>
      <c r="D508" s="36" t="s">
        <v>47</v>
      </c>
      <c r="E508" s="37"/>
      <c r="F508" s="40"/>
      <c r="G508" s="40"/>
      <c r="H508" s="40"/>
    </row>
    <row r="509" spans="1:8" x14ac:dyDescent="0.2">
      <c r="A509" s="35">
        <f t="shared" si="10"/>
        <v>506</v>
      </c>
      <c r="B509" s="36" t="s">
        <v>1784</v>
      </c>
      <c r="C509" s="36" t="s">
        <v>1785</v>
      </c>
      <c r="D509" s="36" t="s">
        <v>2</v>
      </c>
      <c r="E509" s="37"/>
      <c r="F509" s="40"/>
      <c r="G509" s="40"/>
      <c r="H509" s="40"/>
    </row>
    <row r="510" spans="1:8" x14ac:dyDescent="0.2">
      <c r="A510" s="35">
        <f t="shared" si="10"/>
        <v>507</v>
      </c>
      <c r="B510" s="36" t="s">
        <v>1786</v>
      </c>
      <c r="C510" s="36" t="s">
        <v>1787</v>
      </c>
      <c r="D510" s="36" t="s">
        <v>980</v>
      </c>
      <c r="E510" s="37"/>
      <c r="F510" s="40"/>
      <c r="G510" s="40"/>
      <c r="H510" s="40"/>
    </row>
    <row r="511" spans="1:8" x14ac:dyDescent="0.2">
      <c r="A511" s="35">
        <f t="shared" si="10"/>
        <v>508</v>
      </c>
      <c r="B511" s="36" t="s">
        <v>1788</v>
      </c>
      <c r="C511" s="36" t="s">
        <v>1789</v>
      </c>
      <c r="D511" s="36" t="s">
        <v>2</v>
      </c>
      <c r="E511" s="37"/>
      <c r="F511" s="40"/>
      <c r="G511" s="40"/>
      <c r="H511" s="40"/>
    </row>
    <row r="512" spans="1:8" x14ac:dyDescent="0.2">
      <c r="A512" s="35">
        <f t="shared" si="10"/>
        <v>509</v>
      </c>
      <c r="B512" s="36" t="s">
        <v>1790</v>
      </c>
      <c r="C512" s="36" t="s">
        <v>1791</v>
      </c>
      <c r="D512" s="36" t="s">
        <v>10</v>
      </c>
      <c r="E512" s="37"/>
      <c r="F512" s="40"/>
      <c r="G512" s="40"/>
      <c r="H512" s="40"/>
    </row>
    <row r="513" spans="1:8" x14ac:dyDescent="0.2">
      <c r="A513" s="35">
        <f t="shared" si="10"/>
        <v>510</v>
      </c>
      <c r="B513" s="36" t="s">
        <v>1792</v>
      </c>
      <c r="C513" s="36" t="s">
        <v>1793</v>
      </c>
      <c r="D513" s="36" t="s">
        <v>31</v>
      </c>
      <c r="E513" s="37"/>
      <c r="F513" s="40"/>
      <c r="G513" s="40"/>
      <c r="H513" s="40"/>
    </row>
    <row r="514" spans="1:8" x14ac:dyDescent="0.2">
      <c r="A514" s="35">
        <f t="shared" si="10"/>
        <v>511</v>
      </c>
      <c r="B514" s="36" t="s">
        <v>1794</v>
      </c>
      <c r="C514" s="36" t="s">
        <v>1795</v>
      </c>
      <c r="D514" s="36" t="s">
        <v>61</v>
      </c>
      <c r="E514" s="37"/>
      <c r="F514" s="40"/>
      <c r="G514" s="40"/>
      <c r="H514" s="40"/>
    </row>
    <row r="515" spans="1:8" x14ac:dyDescent="0.2">
      <c r="A515" s="35">
        <f t="shared" si="10"/>
        <v>512</v>
      </c>
      <c r="B515" s="36" t="s">
        <v>1796</v>
      </c>
      <c r="C515" s="36" t="s">
        <v>1797</v>
      </c>
      <c r="D515" s="36" t="s">
        <v>975</v>
      </c>
      <c r="E515" s="37"/>
      <c r="F515" s="40"/>
      <c r="G515" s="40"/>
      <c r="H515" s="40"/>
    </row>
    <row r="516" spans="1:8" x14ac:dyDescent="0.2">
      <c r="A516" s="35">
        <f t="shared" si="10"/>
        <v>513</v>
      </c>
      <c r="B516" s="36" t="s">
        <v>1798</v>
      </c>
      <c r="C516" s="36" t="s">
        <v>1799</v>
      </c>
      <c r="D516" s="36" t="s">
        <v>56</v>
      </c>
      <c r="E516" s="37"/>
      <c r="F516" s="40"/>
      <c r="G516" s="40"/>
      <c r="H516" s="40"/>
    </row>
    <row r="517" spans="1:8" x14ac:dyDescent="0.2">
      <c r="A517" s="35">
        <f t="shared" si="10"/>
        <v>514</v>
      </c>
      <c r="B517" s="36" t="s">
        <v>1800</v>
      </c>
      <c r="C517" s="36" t="s">
        <v>1801</v>
      </c>
      <c r="D517" s="36" t="s">
        <v>980</v>
      </c>
      <c r="E517" s="37"/>
      <c r="F517" s="40"/>
      <c r="G517" s="40"/>
      <c r="H517" s="40"/>
    </row>
    <row r="518" spans="1:8" x14ac:dyDescent="0.2">
      <c r="A518" s="35">
        <f t="shared" si="10"/>
        <v>515</v>
      </c>
      <c r="B518" s="36" t="s">
        <v>1802</v>
      </c>
      <c r="C518" s="36" t="s">
        <v>1803</v>
      </c>
      <c r="D518" s="36" t="s">
        <v>28</v>
      </c>
      <c r="E518" s="37"/>
      <c r="F518" s="40"/>
      <c r="G518" s="40"/>
      <c r="H518" s="40"/>
    </row>
    <row r="519" spans="1:8" x14ac:dyDescent="0.2">
      <c r="A519" s="35">
        <f t="shared" si="10"/>
        <v>516</v>
      </c>
      <c r="B519" s="36" t="s">
        <v>1804</v>
      </c>
      <c r="C519" s="36" t="s">
        <v>1805</v>
      </c>
      <c r="D519" s="36" t="s">
        <v>56</v>
      </c>
      <c r="E519" s="37"/>
      <c r="F519" s="40"/>
      <c r="G519" s="40"/>
      <c r="H519" s="40"/>
    </row>
    <row r="520" spans="1:8" x14ac:dyDescent="0.2">
      <c r="A520" s="35">
        <f t="shared" si="10"/>
        <v>517</v>
      </c>
      <c r="B520" s="36" t="s">
        <v>1806</v>
      </c>
      <c r="C520" s="36" t="s">
        <v>1807</v>
      </c>
      <c r="D520" s="36" t="s">
        <v>10</v>
      </c>
      <c r="E520" s="37"/>
      <c r="F520" s="40"/>
      <c r="G520" s="40"/>
      <c r="H520" s="40"/>
    </row>
    <row r="521" spans="1:8" x14ac:dyDescent="0.2">
      <c r="A521" s="35">
        <f t="shared" si="10"/>
        <v>518</v>
      </c>
      <c r="B521" s="36" t="s">
        <v>1808</v>
      </c>
      <c r="C521" s="36" t="s">
        <v>1809</v>
      </c>
      <c r="D521" s="36" t="s">
        <v>2</v>
      </c>
      <c r="E521" s="37"/>
      <c r="F521" s="40"/>
      <c r="G521" s="40"/>
      <c r="H521" s="40"/>
    </row>
    <row r="522" spans="1:8" x14ac:dyDescent="0.2">
      <c r="A522" s="35">
        <f t="shared" si="10"/>
        <v>519</v>
      </c>
      <c r="B522" s="36" t="s">
        <v>1810</v>
      </c>
      <c r="C522" s="36" t="s">
        <v>1811</v>
      </c>
      <c r="D522" s="36" t="s">
        <v>31</v>
      </c>
      <c r="E522" s="37"/>
      <c r="F522" s="40"/>
      <c r="G522" s="40"/>
      <c r="H522" s="40"/>
    </row>
    <row r="523" spans="1:8" x14ac:dyDescent="0.2">
      <c r="A523" s="35">
        <f t="shared" si="10"/>
        <v>520</v>
      </c>
      <c r="B523" s="36" t="s">
        <v>1812</v>
      </c>
      <c r="C523" s="36" t="s">
        <v>1813</v>
      </c>
      <c r="D523" s="36" t="s">
        <v>2</v>
      </c>
      <c r="E523" s="37"/>
      <c r="F523" s="40"/>
      <c r="G523" s="40"/>
      <c r="H523" s="40"/>
    </row>
    <row r="524" spans="1:8" x14ac:dyDescent="0.2">
      <c r="A524" s="35">
        <f t="shared" si="10"/>
        <v>521</v>
      </c>
      <c r="B524" s="36" t="s">
        <v>1814</v>
      </c>
      <c r="C524" s="36" t="s">
        <v>1815</v>
      </c>
      <c r="D524" s="36" t="s">
        <v>987</v>
      </c>
      <c r="E524" s="37"/>
      <c r="F524" s="40"/>
      <c r="G524" s="40"/>
      <c r="H524" s="40"/>
    </row>
    <row r="525" spans="1:8" x14ac:dyDescent="0.2">
      <c r="A525" s="35">
        <f t="shared" si="10"/>
        <v>522</v>
      </c>
      <c r="B525" s="36" t="s">
        <v>1816</v>
      </c>
      <c r="C525" s="36" t="s">
        <v>1817</v>
      </c>
      <c r="D525" s="36" t="s">
        <v>186</v>
      </c>
      <c r="E525" s="37"/>
      <c r="F525" s="40"/>
      <c r="G525" s="40"/>
      <c r="H525" s="40"/>
    </row>
    <row r="526" spans="1:8" x14ac:dyDescent="0.2">
      <c r="A526" s="35">
        <f t="shared" si="10"/>
        <v>523</v>
      </c>
      <c r="B526" s="36" t="s">
        <v>1818</v>
      </c>
      <c r="C526" s="36" t="s">
        <v>1819</v>
      </c>
      <c r="D526" s="36" t="s">
        <v>980</v>
      </c>
      <c r="E526" s="37"/>
      <c r="F526" s="40"/>
      <c r="G526" s="40"/>
      <c r="H526" s="40"/>
    </row>
    <row r="527" spans="1:8" x14ac:dyDescent="0.2">
      <c r="A527" s="35">
        <f t="shared" si="10"/>
        <v>524</v>
      </c>
      <c r="B527" s="36" t="s">
        <v>1820</v>
      </c>
      <c r="C527" s="36" t="s">
        <v>1821</v>
      </c>
      <c r="D527" s="36" t="s">
        <v>204</v>
      </c>
      <c r="E527" s="37"/>
      <c r="F527" s="40"/>
      <c r="G527" s="40"/>
      <c r="H527" s="40"/>
    </row>
    <row r="528" spans="1:8" x14ac:dyDescent="0.2">
      <c r="A528" s="35">
        <f t="shared" si="10"/>
        <v>525</v>
      </c>
      <c r="B528" s="36" t="s">
        <v>1822</v>
      </c>
      <c r="C528" s="36" t="s">
        <v>1823</v>
      </c>
      <c r="D528" s="36" t="s">
        <v>56</v>
      </c>
      <c r="E528" s="37"/>
      <c r="F528" s="40"/>
      <c r="G528" s="40"/>
      <c r="H528" s="40"/>
    </row>
    <row r="529" spans="1:8" x14ac:dyDescent="0.2">
      <c r="A529" s="35">
        <f t="shared" si="10"/>
        <v>526</v>
      </c>
      <c r="B529" s="36" t="s">
        <v>1824</v>
      </c>
      <c r="C529" s="36" t="s">
        <v>1825</v>
      </c>
      <c r="D529" s="36" t="s">
        <v>10</v>
      </c>
      <c r="E529" s="37"/>
      <c r="F529" s="40"/>
      <c r="G529" s="40"/>
      <c r="H529" s="40"/>
    </row>
    <row r="530" spans="1:8" x14ac:dyDescent="0.2">
      <c r="A530" s="35">
        <f t="shared" si="10"/>
        <v>527</v>
      </c>
      <c r="B530" s="36" t="s">
        <v>1826</v>
      </c>
      <c r="C530" s="36" t="s">
        <v>1827</v>
      </c>
      <c r="D530" s="36" t="s">
        <v>401</v>
      </c>
      <c r="E530" s="37"/>
      <c r="F530" s="40"/>
      <c r="G530" s="40"/>
      <c r="H530" s="40"/>
    </row>
    <row r="531" spans="1:8" x14ac:dyDescent="0.2">
      <c r="A531" s="35">
        <f t="shared" si="10"/>
        <v>528</v>
      </c>
      <c r="B531" s="36" t="s">
        <v>1828</v>
      </c>
      <c r="C531" s="36" t="s">
        <v>1829</v>
      </c>
      <c r="D531" s="36" t="s">
        <v>401</v>
      </c>
      <c r="E531" s="37"/>
      <c r="F531" s="40"/>
      <c r="G531" s="40"/>
      <c r="H531" s="40"/>
    </row>
    <row r="532" spans="1:8" x14ac:dyDescent="0.2">
      <c r="A532" s="35">
        <f t="shared" si="10"/>
        <v>529</v>
      </c>
      <c r="B532" s="36" t="s">
        <v>1830</v>
      </c>
      <c r="C532" s="36" t="s">
        <v>1831</v>
      </c>
      <c r="D532" s="36" t="s">
        <v>193</v>
      </c>
      <c r="E532" s="37"/>
      <c r="F532" s="40"/>
      <c r="G532" s="40"/>
      <c r="H532" s="40"/>
    </row>
    <row r="533" spans="1:8" x14ac:dyDescent="0.2">
      <c r="A533" s="35">
        <f t="shared" si="10"/>
        <v>530</v>
      </c>
      <c r="B533" s="36" t="s">
        <v>1832</v>
      </c>
      <c r="C533" s="36" t="s">
        <v>1833</v>
      </c>
      <c r="D533" s="36" t="s">
        <v>2</v>
      </c>
      <c r="E533" s="37"/>
      <c r="F533" s="40"/>
      <c r="G533" s="40"/>
      <c r="H533" s="40"/>
    </row>
    <row r="534" spans="1:8" x14ac:dyDescent="0.2">
      <c r="A534" s="35">
        <f t="shared" si="10"/>
        <v>531</v>
      </c>
      <c r="B534" s="36" t="s">
        <v>1834</v>
      </c>
      <c r="C534" s="36" t="s">
        <v>1835</v>
      </c>
      <c r="D534" s="36" t="s">
        <v>47</v>
      </c>
      <c r="E534" s="37"/>
      <c r="F534" s="40"/>
      <c r="G534" s="40"/>
      <c r="H534" s="40"/>
    </row>
    <row r="535" spans="1:8" x14ac:dyDescent="0.2">
      <c r="A535" s="35">
        <f t="shared" si="10"/>
        <v>532</v>
      </c>
      <c r="B535" s="36" t="s">
        <v>1836</v>
      </c>
      <c r="C535" s="36" t="s">
        <v>1837</v>
      </c>
      <c r="D535" s="36" t="s">
        <v>28</v>
      </c>
      <c r="E535" s="37"/>
      <c r="F535" s="40"/>
      <c r="G535" s="40"/>
      <c r="H535" s="40"/>
    </row>
    <row r="536" spans="1:8" x14ac:dyDescent="0.2">
      <c r="A536" s="35">
        <f t="shared" si="10"/>
        <v>533</v>
      </c>
      <c r="B536" s="36" t="s">
        <v>1838</v>
      </c>
      <c r="C536" s="36" t="s">
        <v>1839</v>
      </c>
      <c r="D536" s="36" t="s">
        <v>78</v>
      </c>
      <c r="E536" s="37"/>
      <c r="F536" s="40"/>
      <c r="G536" s="40"/>
      <c r="H536" s="40"/>
    </row>
    <row r="537" spans="1:8" x14ac:dyDescent="0.2">
      <c r="A537" s="35">
        <f t="shared" si="10"/>
        <v>534</v>
      </c>
      <c r="B537" s="36" t="s">
        <v>1840</v>
      </c>
      <c r="C537" s="36" t="s">
        <v>1841</v>
      </c>
      <c r="D537" s="36" t="s">
        <v>367</v>
      </c>
      <c r="E537" s="37"/>
      <c r="F537" s="40"/>
      <c r="G537" s="40"/>
      <c r="H537" s="40"/>
    </row>
    <row r="538" spans="1:8" x14ac:dyDescent="0.2">
      <c r="A538" s="35">
        <f t="shared" si="10"/>
        <v>535</v>
      </c>
      <c r="B538" s="36" t="s">
        <v>1842</v>
      </c>
      <c r="C538" s="36" t="s">
        <v>1843</v>
      </c>
      <c r="D538" s="36" t="s">
        <v>2</v>
      </c>
      <c r="E538" s="37"/>
      <c r="F538" s="40"/>
      <c r="G538" s="40"/>
      <c r="H538" s="40"/>
    </row>
    <row r="539" spans="1:8" x14ac:dyDescent="0.2">
      <c r="A539" s="35">
        <f t="shared" si="10"/>
        <v>536</v>
      </c>
      <c r="B539" s="36" t="s">
        <v>1844</v>
      </c>
      <c r="C539" s="36" t="s">
        <v>1845</v>
      </c>
      <c r="D539" s="36" t="s">
        <v>2</v>
      </c>
      <c r="E539" s="37"/>
      <c r="F539" s="40"/>
      <c r="G539" s="40"/>
      <c r="H539" s="40"/>
    </row>
    <row r="540" spans="1:8" x14ac:dyDescent="0.2">
      <c r="A540" s="35">
        <f t="shared" si="10"/>
        <v>537</v>
      </c>
      <c r="B540" s="36" t="s">
        <v>1846</v>
      </c>
      <c r="C540" s="36" t="s">
        <v>1847</v>
      </c>
      <c r="D540" s="36" t="s">
        <v>2</v>
      </c>
      <c r="E540" s="37"/>
      <c r="F540" s="40"/>
      <c r="G540" s="40"/>
      <c r="H540" s="40"/>
    </row>
    <row r="541" spans="1:8" x14ac:dyDescent="0.2">
      <c r="A541" s="35">
        <f t="shared" si="10"/>
        <v>538</v>
      </c>
      <c r="B541" s="36" t="s">
        <v>1848</v>
      </c>
      <c r="C541" s="36" t="s">
        <v>1849</v>
      </c>
      <c r="D541" s="36" t="s">
        <v>193</v>
      </c>
      <c r="E541" s="37"/>
      <c r="F541" s="40"/>
      <c r="G541" s="40"/>
      <c r="H541" s="40"/>
    </row>
    <row r="542" spans="1:8" x14ac:dyDescent="0.2">
      <c r="A542" s="35">
        <f t="shared" si="10"/>
        <v>539</v>
      </c>
      <c r="B542" s="36" t="s">
        <v>1850</v>
      </c>
      <c r="C542" s="36" t="s">
        <v>1851</v>
      </c>
      <c r="D542" s="36" t="s">
        <v>2</v>
      </c>
      <c r="E542" s="37"/>
      <c r="F542" s="40"/>
      <c r="G542" s="40"/>
      <c r="H542" s="40"/>
    </row>
    <row r="543" spans="1:8" x14ac:dyDescent="0.2">
      <c r="A543" s="35">
        <f t="shared" si="10"/>
        <v>540</v>
      </c>
      <c r="B543" s="36" t="s">
        <v>1852</v>
      </c>
      <c r="C543" s="36" t="s">
        <v>1853</v>
      </c>
      <c r="D543" s="36" t="s">
        <v>2</v>
      </c>
      <c r="E543" s="37"/>
      <c r="F543" s="40"/>
      <c r="G543" s="40"/>
      <c r="H543" s="40"/>
    </row>
    <row r="544" spans="1:8" x14ac:dyDescent="0.2">
      <c r="A544" s="35">
        <f t="shared" si="10"/>
        <v>541</v>
      </c>
      <c r="B544" s="36" t="s">
        <v>1854</v>
      </c>
      <c r="C544" s="36" t="s">
        <v>1855</v>
      </c>
      <c r="D544" s="36" t="s">
        <v>980</v>
      </c>
      <c r="E544" s="37"/>
      <c r="F544" s="40"/>
      <c r="G544" s="40"/>
      <c r="H544" s="40"/>
    </row>
    <row r="545" spans="1:8" x14ac:dyDescent="0.2">
      <c r="A545" s="35">
        <f t="shared" si="10"/>
        <v>542</v>
      </c>
      <c r="B545" s="36" t="s">
        <v>1856</v>
      </c>
      <c r="C545" s="36" t="s">
        <v>1857</v>
      </c>
      <c r="D545" s="36" t="s">
        <v>31</v>
      </c>
      <c r="E545" s="37"/>
      <c r="F545" s="40"/>
      <c r="G545" s="40"/>
      <c r="H545" s="40"/>
    </row>
    <row r="546" spans="1:8" x14ac:dyDescent="0.2">
      <c r="A546" s="35">
        <f t="shared" si="10"/>
        <v>543</v>
      </c>
      <c r="B546" s="36" t="s">
        <v>1858</v>
      </c>
      <c r="C546" s="36" t="s">
        <v>1859</v>
      </c>
      <c r="D546" s="36" t="s">
        <v>980</v>
      </c>
      <c r="E546" s="37"/>
      <c r="F546" s="40"/>
      <c r="G546" s="40"/>
      <c r="H546" s="40"/>
    </row>
    <row r="547" spans="1:8" x14ac:dyDescent="0.2">
      <c r="A547" s="35">
        <f t="shared" si="10"/>
        <v>544</v>
      </c>
      <c r="B547" s="36" t="s">
        <v>1860</v>
      </c>
      <c r="C547" s="36" t="s">
        <v>1861</v>
      </c>
      <c r="D547" s="36" t="s">
        <v>2</v>
      </c>
      <c r="E547" s="37"/>
      <c r="F547" s="40"/>
      <c r="G547" s="40"/>
      <c r="H547" s="40"/>
    </row>
    <row r="548" spans="1:8" x14ac:dyDescent="0.2">
      <c r="A548" s="35">
        <f t="shared" si="10"/>
        <v>545</v>
      </c>
      <c r="B548" s="36" t="s">
        <v>1862</v>
      </c>
      <c r="C548" s="36" t="s">
        <v>1863</v>
      </c>
      <c r="D548" s="36" t="s">
        <v>980</v>
      </c>
      <c r="E548" s="37"/>
      <c r="F548" s="40"/>
      <c r="G548" s="40"/>
      <c r="H548" s="40"/>
    </row>
    <row r="549" spans="1:8" x14ac:dyDescent="0.2">
      <c r="A549" s="35">
        <f t="shared" ref="A549:A612" si="11">+A548+1</f>
        <v>546</v>
      </c>
      <c r="B549" s="36" t="s">
        <v>1864</v>
      </c>
      <c r="C549" s="36" t="s">
        <v>1865</v>
      </c>
      <c r="D549" s="36" t="s">
        <v>47</v>
      </c>
      <c r="E549" s="37"/>
      <c r="F549" s="40"/>
      <c r="G549" s="40"/>
      <c r="H549" s="40"/>
    </row>
    <row r="550" spans="1:8" x14ac:dyDescent="0.2">
      <c r="A550" s="35">
        <f t="shared" si="11"/>
        <v>547</v>
      </c>
      <c r="B550" s="36" t="s">
        <v>1866</v>
      </c>
      <c r="C550" s="36" t="s">
        <v>1867</v>
      </c>
      <c r="D550" s="36" t="s">
        <v>47</v>
      </c>
      <c r="E550" s="37"/>
      <c r="F550" s="40"/>
      <c r="G550" s="40"/>
      <c r="H550" s="40"/>
    </row>
    <row r="551" spans="1:8" x14ac:dyDescent="0.2">
      <c r="A551" s="35">
        <f t="shared" si="11"/>
        <v>548</v>
      </c>
      <c r="B551" s="36" t="s">
        <v>1868</v>
      </c>
      <c r="C551" s="36" t="s">
        <v>1869</v>
      </c>
      <c r="D551" s="36" t="s">
        <v>2</v>
      </c>
      <c r="E551" s="37"/>
      <c r="F551" s="40"/>
      <c r="G551" s="40"/>
      <c r="H551" s="40"/>
    </row>
    <row r="552" spans="1:8" x14ac:dyDescent="0.2">
      <c r="A552" s="35">
        <f t="shared" si="11"/>
        <v>549</v>
      </c>
      <c r="B552" s="36" t="s">
        <v>1870</v>
      </c>
      <c r="C552" s="36" t="s">
        <v>1871</v>
      </c>
      <c r="D552" s="36" t="s">
        <v>2</v>
      </c>
      <c r="E552" s="37"/>
      <c r="F552" s="40"/>
      <c r="G552" s="40"/>
      <c r="H552" s="40"/>
    </row>
    <row r="553" spans="1:8" x14ac:dyDescent="0.2">
      <c r="A553" s="35">
        <f t="shared" si="11"/>
        <v>550</v>
      </c>
      <c r="B553" s="36" t="s">
        <v>1872</v>
      </c>
      <c r="C553" s="36" t="s">
        <v>1873</v>
      </c>
      <c r="D553" s="36" t="s">
        <v>56</v>
      </c>
      <c r="E553" s="37"/>
      <c r="F553" s="40"/>
      <c r="G553" s="40"/>
      <c r="H553" s="40"/>
    </row>
    <row r="554" spans="1:8" x14ac:dyDescent="0.2">
      <c r="A554" s="35">
        <f t="shared" si="11"/>
        <v>551</v>
      </c>
      <c r="B554" s="36" t="s">
        <v>1874</v>
      </c>
      <c r="C554" s="36" t="s">
        <v>1875</v>
      </c>
      <c r="D554" s="36" t="s">
        <v>977</v>
      </c>
      <c r="E554" s="37"/>
      <c r="F554" s="40"/>
      <c r="G554" s="40"/>
      <c r="H554" s="40"/>
    </row>
    <row r="555" spans="1:8" x14ac:dyDescent="0.2">
      <c r="A555" s="35">
        <f t="shared" si="11"/>
        <v>552</v>
      </c>
      <c r="B555" s="36" t="s">
        <v>1876</v>
      </c>
      <c r="C555" s="36" t="s">
        <v>1877</v>
      </c>
      <c r="D555" s="36" t="s">
        <v>975</v>
      </c>
      <c r="E555" s="37"/>
      <c r="F555" s="40"/>
      <c r="G555" s="40"/>
      <c r="H555" s="40"/>
    </row>
    <row r="556" spans="1:8" x14ac:dyDescent="0.2">
      <c r="A556" s="35">
        <f t="shared" si="11"/>
        <v>553</v>
      </c>
      <c r="B556" s="36" t="s">
        <v>1878</v>
      </c>
      <c r="C556" s="36" t="s">
        <v>1879</v>
      </c>
      <c r="D556" s="36" t="s">
        <v>2</v>
      </c>
      <c r="E556" s="37"/>
      <c r="F556" s="40"/>
      <c r="G556" s="40"/>
      <c r="H556" s="40"/>
    </row>
    <row r="557" spans="1:8" x14ac:dyDescent="0.2">
      <c r="A557" s="35">
        <f t="shared" si="11"/>
        <v>554</v>
      </c>
      <c r="B557" s="36" t="s">
        <v>1880</v>
      </c>
      <c r="C557" s="36" t="s">
        <v>1881</v>
      </c>
      <c r="D557" s="36" t="s">
        <v>31</v>
      </c>
      <c r="E557" s="37"/>
      <c r="F557" s="40"/>
      <c r="G557" s="40"/>
      <c r="H557" s="40"/>
    </row>
    <row r="558" spans="1:8" x14ac:dyDescent="0.2">
      <c r="A558" s="35">
        <f t="shared" si="11"/>
        <v>555</v>
      </c>
      <c r="B558" s="36" t="s">
        <v>1882</v>
      </c>
      <c r="C558" s="36" t="s">
        <v>1883</v>
      </c>
      <c r="D558" s="36" t="s">
        <v>193</v>
      </c>
      <c r="E558" s="37"/>
      <c r="F558" s="40"/>
      <c r="G558" s="40"/>
      <c r="H558" s="40"/>
    </row>
    <row r="559" spans="1:8" x14ac:dyDescent="0.2">
      <c r="A559" s="35">
        <f t="shared" si="11"/>
        <v>556</v>
      </c>
      <c r="B559" s="36" t="s">
        <v>1884</v>
      </c>
      <c r="C559" s="36" t="s">
        <v>1885</v>
      </c>
      <c r="D559" s="36" t="s">
        <v>47</v>
      </c>
      <c r="E559" s="37"/>
      <c r="F559" s="40"/>
      <c r="G559" s="40"/>
      <c r="H559" s="40"/>
    </row>
    <row r="560" spans="1:8" x14ac:dyDescent="0.2">
      <c r="A560" s="35">
        <f t="shared" si="11"/>
        <v>557</v>
      </c>
      <c r="B560" s="36" t="s">
        <v>1886</v>
      </c>
      <c r="C560" s="36" t="s">
        <v>1887</v>
      </c>
      <c r="D560" s="36" t="s">
        <v>980</v>
      </c>
      <c r="E560" s="37"/>
      <c r="F560" s="40"/>
      <c r="G560" s="40"/>
      <c r="H560" s="40"/>
    </row>
    <row r="561" spans="1:8" x14ac:dyDescent="0.2">
      <c r="A561" s="35">
        <f t="shared" si="11"/>
        <v>558</v>
      </c>
      <c r="B561" s="36" t="s">
        <v>1888</v>
      </c>
      <c r="C561" s="36" t="s">
        <v>1889</v>
      </c>
      <c r="D561" s="36" t="s">
        <v>31</v>
      </c>
      <c r="E561" s="37"/>
      <c r="F561" s="40"/>
      <c r="G561" s="40"/>
      <c r="H561" s="40"/>
    </row>
    <row r="562" spans="1:8" x14ac:dyDescent="0.2">
      <c r="A562" s="35">
        <f t="shared" si="11"/>
        <v>559</v>
      </c>
      <c r="B562" s="36" t="s">
        <v>1890</v>
      </c>
      <c r="C562" s="36" t="s">
        <v>1891</v>
      </c>
      <c r="D562" s="36" t="s">
        <v>166</v>
      </c>
      <c r="E562" s="37"/>
      <c r="F562" s="40"/>
      <c r="G562" s="40"/>
      <c r="H562" s="40"/>
    </row>
    <row r="563" spans="1:8" x14ac:dyDescent="0.2">
      <c r="A563" s="35">
        <f t="shared" si="11"/>
        <v>560</v>
      </c>
      <c r="B563" s="36" t="s">
        <v>1892</v>
      </c>
      <c r="C563" s="36" t="s">
        <v>1893</v>
      </c>
      <c r="D563" s="36" t="s">
        <v>401</v>
      </c>
      <c r="E563" s="37"/>
      <c r="F563" s="40"/>
      <c r="G563" s="40"/>
      <c r="H563" s="40"/>
    </row>
    <row r="564" spans="1:8" x14ac:dyDescent="0.2">
      <c r="A564" s="35">
        <f t="shared" si="11"/>
        <v>561</v>
      </c>
      <c r="B564" s="36" t="s">
        <v>1894</v>
      </c>
      <c r="C564" s="36" t="s">
        <v>1895</v>
      </c>
      <c r="D564" s="36" t="s">
        <v>47</v>
      </c>
      <c r="E564" s="37"/>
      <c r="F564" s="40"/>
      <c r="G564" s="40"/>
      <c r="H564" s="40"/>
    </row>
    <row r="565" spans="1:8" x14ac:dyDescent="0.2">
      <c r="A565" s="35">
        <f t="shared" si="11"/>
        <v>562</v>
      </c>
      <c r="B565" s="36" t="s">
        <v>1896</v>
      </c>
      <c r="C565" s="36" t="s">
        <v>1897</v>
      </c>
      <c r="D565" s="36" t="s">
        <v>186</v>
      </c>
      <c r="E565" s="37"/>
      <c r="F565" s="40"/>
      <c r="G565" s="40"/>
      <c r="H565" s="40"/>
    </row>
    <row r="566" spans="1:8" x14ac:dyDescent="0.2">
      <c r="A566" s="35">
        <f t="shared" si="11"/>
        <v>563</v>
      </c>
      <c r="B566" s="36" t="s">
        <v>1898</v>
      </c>
      <c r="C566" s="36" t="s">
        <v>1899</v>
      </c>
      <c r="D566" s="36" t="s">
        <v>31</v>
      </c>
      <c r="E566" s="37"/>
      <c r="F566" s="40"/>
      <c r="G566" s="40"/>
      <c r="H566" s="40"/>
    </row>
    <row r="567" spans="1:8" x14ac:dyDescent="0.2">
      <c r="A567" s="35">
        <f t="shared" si="11"/>
        <v>564</v>
      </c>
      <c r="B567" s="36" t="s">
        <v>1900</v>
      </c>
      <c r="C567" s="36" t="s">
        <v>1901</v>
      </c>
      <c r="D567" s="36" t="s">
        <v>2</v>
      </c>
      <c r="E567" s="37"/>
      <c r="F567" s="40"/>
      <c r="G567" s="40"/>
      <c r="H567" s="40"/>
    </row>
    <row r="568" spans="1:8" x14ac:dyDescent="0.2">
      <c r="A568" s="35">
        <f t="shared" si="11"/>
        <v>565</v>
      </c>
      <c r="B568" s="36" t="s">
        <v>1902</v>
      </c>
      <c r="C568" s="36" t="s">
        <v>1903</v>
      </c>
      <c r="D568" s="36" t="s">
        <v>2</v>
      </c>
      <c r="E568" s="37"/>
      <c r="F568" s="40"/>
      <c r="G568" s="40"/>
      <c r="H568" s="40"/>
    </row>
    <row r="569" spans="1:8" x14ac:dyDescent="0.2">
      <c r="A569" s="35">
        <f t="shared" si="11"/>
        <v>566</v>
      </c>
      <c r="B569" s="36" t="s">
        <v>1904</v>
      </c>
      <c r="C569" s="36" t="s">
        <v>1905</v>
      </c>
      <c r="D569" s="36" t="s">
        <v>166</v>
      </c>
      <c r="E569" s="37"/>
      <c r="F569" s="40"/>
      <c r="G569" s="40"/>
      <c r="H569" s="40"/>
    </row>
    <row r="570" spans="1:8" x14ac:dyDescent="0.2">
      <c r="A570" s="35">
        <f t="shared" si="11"/>
        <v>567</v>
      </c>
      <c r="B570" s="36" t="s">
        <v>1906</v>
      </c>
      <c r="C570" s="36" t="s">
        <v>1907</v>
      </c>
      <c r="D570" s="36" t="s">
        <v>186</v>
      </c>
      <c r="E570" s="37"/>
      <c r="F570" s="40"/>
      <c r="G570" s="40"/>
      <c r="H570" s="40"/>
    </row>
    <row r="571" spans="1:8" x14ac:dyDescent="0.2">
      <c r="A571" s="35">
        <f t="shared" si="11"/>
        <v>568</v>
      </c>
      <c r="B571" s="36" t="s">
        <v>1908</v>
      </c>
      <c r="C571" s="36" t="s">
        <v>1909</v>
      </c>
      <c r="D571" s="36" t="s">
        <v>78</v>
      </c>
      <c r="E571" s="37"/>
      <c r="F571" s="40"/>
      <c r="G571" s="40"/>
      <c r="H571" s="40"/>
    </row>
    <row r="572" spans="1:8" x14ac:dyDescent="0.2">
      <c r="A572" s="35">
        <f t="shared" si="11"/>
        <v>569</v>
      </c>
      <c r="B572" s="36" t="s">
        <v>1910</v>
      </c>
      <c r="C572" s="36" t="s">
        <v>1911</v>
      </c>
      <c r="D572" s="36" t="s">
        <v>56</v>
      </c>
      <c r="E572" s="37"/>
      <c r="F572" s="40"/>
      <c r="G572" s="40"/>
      <c r="H572" s="40"/>
    </row>
    <row r="573" spans="1:8" x14ac:dyDescent="0.2">
      <c r="A573" s="35">
        <f t="shared" si="11"/>
        <v>570</v>
      </c>
      <c r="B573" s="36" t="s">
        <v>1912</v>
      </c>
      <c r="C573" s="36" t="s">
        <v>1913</v>
      </c>
      <c r="D573" s="36" t="s">
        <v>47</v>
      </c>
      <c r="E573" s="37"/>
      <c r="F573" s="40"/>
      <c r="G573" s="40"/>
      <c r="H573" s="40"/>
    </row>
    <row r="574" spans="1:8" x14ac:dyDescent="0.2">
      <c r="A574" s="35">
        <f t="shared" si="11"/>
        <v>571</v>
      </c>
      <c r="B574" s="36" t="s">
        <v>1914</v>
      </c>
      <c r="C574" s="36" t="s">
        <v>1915</v>
      </c>
      <c r="D574" s="36" t="s">
        <v>193</v>
      </c>
      <c r="E574" s="37"/>
      <c r="F574" s="40"/>
      <c r="G574" s="40"/>
      <c r="H574" s="40"/>
    </row>
    <row r="575" spans="1:8" x14ac:dyDescent="0.2">
      <c r="A575" s="35">
        <f t="shared" si="11"/>
        <v>572</v>
      </c>
      <c r="B575" s="36" t="s">
        <v>1916</v>
      </c>
      <c r="C575" s="36" t="s">
        <v>1917</v>
      </c>
      <c r="D575" s="36" t="s">
        <v>1918</v>
      </c>
      <c r="E575" s="37"/>
      <c r="F575" s="40"/>
      <c r="G575" s="40"/>
      <c r="H575" s="40"/>
    </row>
    <row r="576" spans="1:8" x14ac:dyDescent="0.2">
      <c r="A576" s="35">
        <f t="shared" si="11"/>
        <v>573</v>
      </c>
      <c r="B576" s="36" t="s">
        <v>1919</v>
      </c>
      <c r="C576" s="36" t="s">
        <v>1920</v>
      </c>
      <c r="D576" s="36" t="s">
        <v>56</v>
      </c>
      <c r="E576" s="37"/>
      <c r="F576" s="40"/>
      <c r="G576" s="40"/>
      <c r="H576" s="40"/>
    </row>
    <row r="577" spans="1:8" x14ac:dyDescent="0.2">
      <c r="A577" s="35">
        <f t="shared" si="11"/>
        <v>574</v>
      </c>
      <c r="B577" s="36" t="s">
        <v>1921</v>
      </c>
      <c r="C577" s="36" t="s">
        <v>1922</v>
      </c>
      <c r="D577" s="36" t="s">
        <v>186</v>
      </c>
      <c r="E577" s="37"/>
      <c r="F577" s="40"/>
      <c r="G577" s="40"/>
      <c r="H577" s="40"/>
    </row>
    <row r="578" spans="1:8" x14ac:dyDescent="0.2">
      <c r="A578" s="35">
        <f t="shared" si="11"/>
        <v>575</v>
      </c>
      <c r="B578" s="36" t="s">
        <v>1923</v>
      </c>
      <c r="C578" s="36" t="s">
        <v>1924</v>
      </c>
      <c r="D578" s="36" t="s">
        <v>47</v>
      </c>
      <c r="E578" s="37"/>
      <c r="F578" s="40"/>
      <c r="G578" s="40"/>
      <c r="H578" s="40"/>
    </row>
    <row r="579" spans="1:8" x14ac:dyDescent="0.2">
      <c r="A579" s="35">
        <f t="shared" si="11"/>
        <v>576</v>
      </c>
      <c r="B579" s="36" t="s">
        <v>1925</v>
      </c>
      <c r="C579" s="36" t="s">
        <v>1926</v>
      </c>
      <c r="D579" s="36" t="s">
        <v>166</v>
      </c>
      <c r="E579" s="37"/>
      <c r="F579" s="40"/>
      <c r="G579" s="40"/>
      <c r="H579" s="40"/>
    </row>
    <row r="580" spans="1:8" x14ac:dyDescent="0.2">
      <c r="A580" s="35">
        <f t="shared" si="11"/>
        <v>577</v>
      </c>
      <c r="B580" s="36" t="s">
        <v>1927</v>
      </c>
      <c r="C580" s="36" t="s">
        <v>1928</v>
      </c>
      <c r="D580" s="36" t="s">
        <v>980</v>
      </c>
      <c r="E580" s="37"/>
      <c r="F580" s="40"/>
      <c r="G580" s="40"/>
      <c r="H580" s="40"/>
    </row>
    <row r="581" spans="1:8" x14ac:dyDescent="0.2">
      <c r="A581" s="35">
        <f t="shared" si="11"/>
        <v>578</v>
      </c>
      <c r="B581" s="36" t="s">
        <v>1929</v>
      </c>
      <c r="C581" s="36" t="s">
        <v>1930</v>
      </c>
      <c r="D581" s="36" t="s">
        <v>977</v>
      </c>
      <c r="E581" s="37"/>
      <c r="F581" s="40"/>
      <c r="G581" s="40"/>
      <c r="H581" s="40"/>
    </row>
    <row r="582" spans="1:8" x14ac:dyDescent="0.2">
      <c r="A582" s="35">
        <f t="shared" si="11"/>
        <v>579</v>
      </c>
      <c r="B582" s="36" t="s">
        <v>1931</v>
      </c>
      <c r="C582" s="36" t="s">
        <v>1932</v>
      </c>
      <c r="D582" s="36" t="s">
        <v>980</v>
      </c>
      <c r="E582" s="37"/>
      <c r="F582" s="40"/>
      <c r="G582" s="40"/>
      <c r="H582" s="40"/>
    </row>
    <row r="583" spans="1:8" x14ac:dyDescent="0.2">
      <c r="A583" s="35">
        <f t="shared" si="11"/>
        <v>580</v>
      </c>
      <c r="B583" s="36" t="s">
        <v>1933</v>
      </c>
      <c r="C583" s="36" t="s">
        <v>1934</v>
      </c>
      <c r="D583" s="36" t="s">
        <v>119</v>
      </c>
      <c r="E583" s="37"/>
      <c r="F583" s="40"/>
      <c r="G583" s="40"/>
      <c r="H583" s="40"/>
    </row>
    <row r="584" spans="1:8" x14ac:dyDescent="0.2">
      <c r="A584" s="35">
        <f t="shared" si="11"/>
        <v>581</v>
      </c>
      <c r="B584" s="36" t="s">
        <v>1935</v>
      </c>
      <c r="C584" s="36" t="s">
        <v>1936</v>
      </c>
      <c r="D584" s="36" t="s">
        <v>47</v>
      </c>
      <c r="E584" s="37"/>
      <c r="F584" s="40"/>
      <c r="G584" s="40"/>
      <c r="H584" s="40"/>
    </row>
    <row r="585" spans="1:8" x14ac:dyDescent="0.2">
      <c r="A585" s="35">
        <f t="shared" si="11"/>
        <v>582</v>
      </c>
      <c r="B585" s="36" t="s">
        <v>1937</v>
      </c>
      <c r="C585" s="36" t="s">
        <v>1938</v>
      </c>
      <c r="D585" s="36" t="s">
        <v>2</v>
      </c>
      <c r="E585" s="37"/>
      <c r="F585" s="40"/>
      <c r="G585" s="40"/>
      <c r="H585" s="40"/>
    </row>
    <row r="586" spans="1:8" x14ac:dyDescent="0.2">
      <c r="A586" s="35">
        <f t="shared" si="11"/>
        <v>583</v>
      </c>
      <c r="B586" s="36" t="s">
        <v>1939</v>
      </c>
      <c r="C586" s="36" t="s">
        <v>1940</v>
      </c>
      <c r="D586" s="36" t="s">
        <v>56</v>
      </c>
      <c r="E586" s="37"/>
      <c r="F586" s="40"/>
      <c r="G586" s="40"/>
      <c r="H586" s="40"/>
    </row>
    <row r="587" spans="1:8" x14ac:dyDescent="0.2">
      <c r="A587" s="35">
        <f t="shared" si="11"/>
        <v>584</v>
      </c>
      <c r="B587" s="36" t="s">
        <v>1941</v>
      </c>
      <c r="C587" s="36" t="s">
        <v>1942</v>
      </c>
      <c r="D587" s="36" t="s">
        <v>2</v>
      </c>
      <c r="E587" s="37"/>
      <c r="F587" s="40"/>
      <c r="G587" s="40"/>
      <c r="H587" s="40"/>
    </row>
    <row r="588" spans="1:8" x14ac:dyDescent="0.2">
      <c r="A588" s="35">
        <f t="shared" si="11"/>
        <v>585</v>
      </c>
      <c r="B588" s="36" t="s">
        <v>1943</v>
      </c>
      <c r="C588" s="36" t="s">
        <v>1944</v>
      </c>
      <c r="D588" s="36" t="s">
        <v>1223</v>
      </c>
      <c r="E588" s="37"/>
      <c r="F588" s="40"/>
      <c r="G588" s="40"/>
      <c r="H588" s="40"/>
    </row>
    <row r="589" spans="1:8" x14ac:dyDescent="0.2">
      <c r="A589" s="35">
        <f t="shared" si="11"/>
        <v>586</v>
      </c>
      <c r="B589" s="36" t="s">
        <v>1945</v>
      </c>
      <c r="C589" s="36" t="s">
        <v>1946</v>
      </c>
      <c r="D589" s="36" t="s">
        <v>2</v>
      </c>
      <c r="E589" s="37"/>
      <c r="F589" s="40"/>
      <c r="G589" s="40"/>
      <c r="H589" s="40"/>
    </row>
    <row r="590" spans="1:8" x14ac:dyDescent="0.2">
      <c r="A590" s="35">
        <f t="shared" si="11"/>
        <v>587</v>
      </c>
      <c r="B590" s="36" t="s">
        <v>1947</v>
      </c>
      <c r="C590" s="36" t="s">
        <v>1948</v>
      </c>
      <c r="D590" s="36" t="s">
        <v>166</v>
      </c>
      <c r="E590" s="37"/>
      <c r="F590" s="40"/>
      <c r="G590" s="40"/>
      <c r="H590" s="40"/>
    </row>
    <row r="591" spans="1:8" x14ac:dyDescent="0.2">
      <c r="A591" s="35">
        <f t="shared" si="11"/>
        <v>588</v>
      </c>
      <c r="B591" s="36" t="s">
        <v>1949</v>
      </c>
      <c r="C591" s="36" t="s">
        <v>1950</v>
      </c>
      <c r="D591" s="36" t="s">
        <v>31</v>
      </c>
      <c r="E591" s="37"/>
      <c r="F591" s="40"/>
      <c r="G591" s="40"/>
      <c r="H591" s="40"/>
    </row>
    <row r="592" spans="1:8" x14ac:dyDescent="0.2">
      <c r="A592" s="35">
        <f t="shared" si="11"/>
        <v>589</v>
      </c>
      <c r="B592" s="36" t="s">
        <v>1951</v>
      </c>
      <c r="C592" s="36" t="s">
        <v>1952</v>
      </c>
      <c r="D592" s="36" t="s">
        <v>987</v>
      </c>
      <c r="E592" s="37"/>
      <c r="F592" s="40"/>
      <c r="G592" s="40"/>
      <c r="H592" s="40"/>
    </row>
    <row r="593" spans="1:8" x14ac:dyDescent="0.2">
      <c r="A593" s="35">
        <f t="shared" si="11"/>
        <v>590</v>
      </c>
      <c r="B593" s="36" t="s">
        <v>1953</v>
      </c>
      <c r="C593" s="36" t="s">
        <v>1954</v>
      </c>
      <c r="D593" s="36" t="s">
        <v>166</v>
      </c>
      <c r="E593" s="37"/>
      <c r="F593" s="40"/>
      <c r="G593" s="40"/>
      <c r="H593" s="40"/>
    </row>
    <row r="594" spans="1:8" x14ac:dyDescent="0.2">
      <c r="A594" s="35">
        <f t="shared" si="11"/>
        <v>591</v>
      </c>
      <c r="B594" s="36" t="s">
        <v>1955</v>
      </c>
      <c r="C594" s="36" t="s">
        <v>1956</v>
      </c>
      <c r="D594" s="36" t="s">
        <v>2</v>
      </c>
      <c r="E594" s="37"/>
      <c r="F594" s="40"/>
      <c r="G594" s="40"/>
      <c r="H594" s="40"/>
    </row>
    <row r="595" spans="1:8" x14ac:dyDescent="0.2">
      <c r="A595" s="35">
        <f t="shared" si="11"/>
        <v>592</v>
      </c>
      <c r="B595" s="36" t="s">
        <v>1957</v>
      </c>
      <c r="C595" s="36" t="s">
        <v>1958</v>
      </c>
      <c r="D595" s="36" t="s">
        <v>31</v>
      </c>
      <c r="E595" s="37"/>
      <c r="F595" s="40"/>
      <c r="G595" s="40"/>
      <c r="H595" s="40"/>
    </row>
    <row r="596" spans="1:8" x14ac:dyDescent="0.2">
      <c r="A596" s="35">
        <f t="shared" si="11"/>
        <v>593</v>
      </c>
      <c r="B596" s="36" t="s">
        <v>1959</v>
      </c>
      <c r="C596" s="36" t="s">
        <v>1960</v>
      </c>
      <c r="D596" s="36" t="s">
        <v>1961</v>
      </c>
      <c r="E596" s="37"/>
      <c r="F596" s="40"/>
      <c r="G596" s="40"/>
      <c r="H596" s="40"/>
    </row>
    <row r="597" spans="1:8" x14ac:dyDescent="0.2">
      <c r="A597" s="35">
        <f t="shared" si="11"/>
        <v>594</v>
      </c>
      <c r="B597" s="36" t="s">
        <v>1962</v>
      </c>
      <c r="C597" s="36" t="s">
        <v>1963</v>
      </c>
      <c r="D597" s="36" t="s">
        <v>193</v>
      </c>
      <c r="E597" s="37"/>
      <c r="F597" s="40"/>
      <c r="G597" s="40"/>
      <c r="H597" s="40"/>
    </row>
    <row r="598" spans="1:8" x14ac:dyDescent="0.2">
      <c r="A598" s="35">
        <f t="shared" si="11"/>
        <v>595</v>
      </c>
      <c r="B598" s="36" t="s">
        <v>1964</v>
      </c>
      <c r="C598" s="36" t="s">
        <v>1965</v>
      </c>
      <c r="D598" s="36" t="s">
        <v>186</v>
      </c>
      <c r="E598" s="37"/>
      <c r="F598" s="40"/>
      <c r="G598" s="40"/>
      <c r="H598" s="40"/>
    </row>
    <row r="599" spans="1:8" x14ac:dyDescent="0.2">
      <c r="A599" s="35">
        <f t="shared" si="11"/>
        <v>596</v>
      </c>
      <c r="B599" s="36" t="s">
        <v>1966</v>
      </c>
      <c r="C599" s="36" t="s">
        <v>1967</v>
      </c>
      <c r="D599" s="36" t="s">
        <v>2</v>
      </c>
      <c r="E599" s="37"/>
      <c r="F599" s="40"/>
      <c r="G599" s="40"/>
      <c r="H599" s="40"/>
    </row>
    <row r="600" spans="1:8" x14ac:dyDescent="0.2">
      <c r="A600" s="35">
        <f t="shared" si="11"/>
        <v>597</v>
      </c>
      <c r="B600" s="36" t="s">
        <v>1968</v>
      </c>
      <c r="C600" s="36" t="s">
        <v>1969</v>
      </c>
      <c r="D600" s="36" t="s">
        <v>2</v>
      </c>
      <c r="E600" s="37"/>
      <c r="F600" s="40"/>
      <c r="G600" s="40"/>
      <c r="H600" s="40"/>
    </row>
    <row r="601" spans="1:8" x14ac:dyDescent="0.2">
      <c r="A601" s="35">
        <f t="shared" si="11"/>
        <v>598</v>
      </c>
      <c r="B601" s="36" t="s">
        <v>1970</v>
      </c>
      <c r="C601" s="36" t="s">
        <v>1971</v>
      </c>
      <c r="D601" s="36" t="s">
        <v>1223</v>
      </c>
      <c r="E601" s="37"/>
      <c r="F601" s="40"/>
      <c r="G601" s="40"/>
      <c r="H601" s="40"/>
    </row>
    <row r="602" spans="1:8" x14ac:dyDescent="0.2">
      <c r="A602" s="35">
        <f t="shared" si="11"/>
        <v>599</v>
      </c>
      <c r="B602" s="36" t="s">
        <v>1972</v>
      </c>
      <c r="C602" s="36" t="s">
        <v>1973</v>
      </c>
      <c r="D602" s="36" t="s">
        <v>980</v>
      </c>
      <c r="E602" s="37"/>
      <c r="F602" s="40"/>
      <c r="G602" s="40"/>
      <c r="H602" s="40"/>
    </row>
    <row r="603" spans="1:8" x14ac:dyDescent="0.2">
      <c r="A603" s="35">
        <f t="shared" si="11"/>
        <v>600</v>
      </c>
      <c r="B603" s="36" t="s">
        <v>1974</v>
      </c>
      <c r="C603" s="36" t="s">
        <v>1975</v>
      </c>
      <c r="D603" s="36" t="s">
        <v>193</v>
      </c>
      <c r="E603" s="37"/>
      <c r="F603" s="40"/>
      <c r="G603" s="40"/>
      <c r="H603" s="40"/>
    </row>
    <row r="604" spans="1:8" x14ac:dyDescent="0.2">
      <c r="A604" s="35">
        <f t="shared" si="11"/>
        <v>601</v>
      </c>
      <c r="B604" s="36" t="s">
        <v>1976</v>
      </c>
      <c r="C604" s="36" t="s">
        <v>1977</v>
      </c>
      <c r="D604" s="36" t="s">
        <v>412</v>
      </c>
      <c r="E604" s="37"/>
      <c r="F604" s="40"/>
      <c r="G604" s="40"/>
      <c r="H604" s="40"/>
    </row>
    <row r="605" spans="1:8" x14ac:dyDescent="0.2">
      <c r="A605" s="35">
        <f t="shared" si="11"/>
        <v>602</v>
      </c>
      <c r="B605" s="36" t="s">
        <v>1978</v>
      </c>
      <c r="C605" s="36" t="s">
        <v>1979</v>
      </c>
      <c r="D605" s="36" t="s">
        <v>980</v>
      </c>
      <c r="E605" s="37"/>
      <c r="F605" s="40"/>
      <c r="G605" s="40"/>
      <c r="H605" s="40"/>
    </row>
    <row r="606" spans="1:8" x14ac:dyDescent="0.2">
      <c r="A606" s="35">
        <f t="shared" si="11"/>
        <v>603</v>
      </c>
      <c r="B606" s="36" t="s">
        <v>1980</v>
      </c>
      <c r="C606" s="36" t="s">
        <v>1981</v>
      </c>
      <c r="D606" s="36" t="s">
        <v>31</v>
      </c>
      <c r="E606" s="37"/>
      <c r="F606" s="40"/>
      <c r="G606" s="40"/>
      <c r="H606" s="40"/>
    </row>
    <row r="607" spans="1:8" x14ac:dyDescent="0.2">
      <c r="A607" s="35">
        <f t="shared" si="11"/>
        <v>604</v>
      </c>
      <c r="B607" s="36" t="s">
        <v>1982</v>
      </c>
      <c r="C607" s="36" t="s">
        <v>1983</v>
      </c>
      <c r="D607" s="36" t="s">
        <v>2</v>
      </c>
      <c r="E607" s="37"/>
      <c r="F607" s="40"/>
      <c r="G607" s="40"/>
      <c r="H607" s="40"/>
    </row>
    <row r="608" spans="1:8" x14ac:dyDescent="0.2">
      <c r="A608" s="35">
        <f t="shared" si="11"/>
        <v>605</v>
      </c>
      <c r="B608" s="36" t="s">
        <v>1984</v>
      </c>
      <c r="C608" s="36" t="s">
        <v>1985</v>
      </c>
      <c r="D608" s="36" t="s">
        <v>2</v>
      </c>
      <c r="E608" s="37"/>
      <c r="F608" s="40"/>
      <c r="G608" s="40"/>
      <c r="H608" s="40"/>
    </row>
    <row r="609" spans="1:8" x14ac:dyDescent="0.2">
      <c r="A609" s="35">
        <f t="shared" si="11"/>
        <v>606</v>
      </c>
      <c r="B609" s="36" t="s">
        <v>1986</v>
      </c>
      <c r="C609" s="36" t="s">
        <v>1987</v>
      </c>
      <c r="D609" s="36" t="s">
        <v>166</v>
      </c>
      <c r="E609" s="37"/>
      <c r="F609" s="40"/>
      <c r="G609" s="40"/>
      <c r="H609" s="40"/>
    </row>
    <row r="610" spans="1:8" x14ac:dyDescent="0.2">
      <c r="A610" s="35">
        <f t="shared" si="11"/>
        <v>607</v>
      </c>
      <c r="B610" s="36" t="s">
        <v>1988</v>
      </c>
      <c r="C610" s="36" t="s">
        <v>1989</v>
      </c>
      <c r="D610" s="36" t="s">
        <v>31</v>
      </c>
      <c r="E610" s="37"/>
      <c r="F610" s="40"/>
      <c r="G610" s="40"/>
      <c r="H610" s="40"/>
    </row>
    <row r="611" spans="1:8" x14ac:dyDescent="0.2">
      <c r="A611" s="35">
        <f t="shared" si="11"/>
        <v>608</v>
      </c>
      <c r="B611" s="36" t="s">
        <v>1990</v>
      </c>
      <c r="C611" s="36" t="s">
        <v>1991</v>
      </c>
      <c r="D611" s="36" t="s">
        <v>31</v>
      </c>
      <c r="E611" s="37"/>
      <c r="F611" s="40"/>
      <c r="G611" s="40"/>
      <c r="H611" s="40"/>
    </row>
    <row r="612" spans="1:8" x14ac:dyDescent="0.2">
      <c r="A612" s="35">
        <f t="shared" si="11"/>
        <v>609</v>
      </c>
      <c r="B612" s="36" t="s">
        <v>1992</v>
      </c>
      <c r="C612" s="36" t="s">
        <v>1993</v>
      </c>
      <c r="D612" s="36" t="s">
        <v>412</v>
      </c>
      <c r="E612" s="37"/>
      <c r="F612" s="40"/>
      <c r="G612" s="40"/>
      <c r="H612" s="40"/>
    </row>
    <row r="613" spans="1:8" x14ac:dyDescent="0.2">
      <c r="A613" s="35">
        <f t="shared" ref="A613:A676" si="12">+A612+1</f>
        <v>610</v>
      </c>
      <c r="B613" s="36" t="s">
        <v>1994</v>
      </c>
      <c r="C613" s="36" t="s">
        <v>1995</v>
      </c>
      <c r="D613" s="36" t="s">
        <v>78</v>
      </c>
      <c r="E613" s="37"/>
      <c r="F613" s="40"/>
      <c r="G613" s="40"/>
      <c r="H613" s="40"/>
    </row>
    <row r="614" spans="1:8" x14ac:dyDescent="0.2">
      <c r="A614" s="35">
        <f t="shared" si="12"/>
        <v>611</v>
      </c>
      <c r="B614" s="36" t="s">
        <v>1996</v>
      </c>
      <c r="C614" s="36" t="s">
        <v>1997</v>
      </c>
      <c r="D614" s="36" t="s">
        <v>1961</v>
      </c>
      <c r="E614" s="37"/>
      <c r="F614" s="40"/>
      <c r="G614" s="40"/>
      <c r="H614" s="40"/>
    </row>
    <row r="615" spans="1:8" x14ac:dyDescent="0.2">
      <c r="A615" s="35">
        <f t="shared" si="12"/>
        <v>612</v>
      </c>
      <c r="B615" s="36" t="s">
        <v>1998</v>
      </c>
      <c r="C615" s="36" t="s">
        <v>1999</v>
      </c>
      <c r="D615" s="36" t="s">
        <v>56</v>
      </c>
      <c r="E615" s="37"/>
      <c r="F615" s="40"/>
      <c r="G615" s="40"/>
      <c r="H615" s="40"/>
    </row>
    <row r="616" spans="1:8" x14ac:dyDescent="0.2">
      <c r="A616" s="35">
        <f t="shared" si="12"/>
        <v>613</v>
      </c>
      <c r="B616" s="36" t="s">
        <v>2000</v>
      </c>
      <c r="C616" s="36" t="s">
        <v>2001</v>
      </c>
      <c r="D616" s="36" t="s">
        <v>193</v>
      </c>
      <c r="E616" s="37"/>
      <c r="F616" s="40"/>
      <c r="G616" s="40"/>
      <c r="H616" s="40"/>
    </row>
    <row r="617" spans="1:8" x14ac:dyDescent="0.2">
      <c r="A617" s="35">
        <f t="shared" si="12"/>
        <v>614</v>
      </c>
      <c r="B617" s="36" t="s">
        <v>2002</v>
      </c>
      <c r="C617" s="36" t="s">
        <v>2003</v>
      </c>
      <c r="D617" s="36" t="s">
        <v>193</v>
      </c>
      <c r="E617" s="37"/>
      <c r="F617" s="40"/>
      <c r="G617" s="40"/>
      <c r="H617" s="40"/>
    </row>
    <row r="618" spans="1:8" x14ac:dyDescent="0.2">
      <c r="A618" s="35">
        <f t="shared" si="12"/>
        <v>615</v>
      </c>
      <c r="B618" s="36" t="s">
        <v>2004</v>
      </c>
      <c r="C618" s="36" t="s">
        <v>2005</v>
      </c>
      <c r="D618" s="36" t="s">
        <v>367</v>
      </c>
      <c r="E618" s="37"/>
      <c r="F618" s="40"/>
      <c r="G618" s="40"/>
      <c r="H618" s="40"/>
    </row>
    <row r="619" spans="1:8" x14ac:dyDescent="0.2">
      <c r="A619" s="35">
        <f t="shared" si="12"/>
        <v>616</v>
      </c>
      <c r="B619" s="36" t="s">
        <v>2006</v>
      </c>
      <c r="C619" s="36" t="s">
        <v>2007</v>
      </c>
      <c r="D619" s="36" t="s">
        <v>193</v>
      </c>
      <c r="E619" s="37"/>
      <c r="F619" s="40"/>
      <c r="G619" s="40"/>
      <c r="H619" s="40"/>
    </row>
    <row r="620" spans="1:8" x14ac:dyDescent="0.2">
      <c r="A620" s="35">
        <f t="shared" si="12"/>
        <v>617</v>
      </c>
      <c r="B620" s="36" t="s">
        <v>2008</v>
      </c>
      <c r="C620" s="36" t="s">
        <v>2009</v>
      </c>
      <c r="D620" s="36" t="s">
        <v>31</v>
      </c>
      <c r="E620" s="37"/>
      <c r="F620" s="40"/>
      <c r="G620" s="40"/>
      <c r="H620" s="40"/>
    </row>
    <row r="621" spans="1:8" x14ac:dyDescent="0.2">
      <c r="A621" s="35">
        <f t="shared" si="12"/>
        <v>618</v>
      </c>
      <c r="B621" s="36" t="s">
        <v>2010</v>
      </c>
      <c r="C621" s="36" t="s">
        <v>2011</v>
      </c>
      <c r="D621" s="36" t="s">
        <v>412</v>
      </c>
      <c r="E621" s="37"/>
      <c r="F621" s="40"/>
      <c r="G621" s="40"/>
      <c r="H621" s="40"/>
    </row>
    <row r="622" spans="1:8" x14ac:dyDescent="0.2">
      <c r="A622" s="35">
        <f t="shared" si="12"/>
        <v>619</v>
      </c>
      <c r="B622" s="36" t="s">
        <v>2012</v>
      </c>
      <c r="C622" s="36" t="s">
        <v>2013</v>
      </c>
      <c r="D622" s="36" t="s">
        <v>2</v>
      </c>
      <c r="E622" s="37"/>
      <c r="F622" s="40"/>
      <c r="G622" s="40"/>
      <c r="H622" s="40"/>
    </row>
    <row r="623" spans="1:8" x14ac:dyDescent="0.2">
      <c r="A623" s="35">
        <f t="shared" si="12"/>
        <v>620</v>
      </c>
      <c r="B623" s="36" t="s">
        <v>2014</v>
      </c>
      <c r="C623" s="36" t="s">
        <v>2015</v>
      </c>
      <c r="D623" s="36" t="s">
        <v>31</v>
      </c>
      <c r="E623" s="37"/>
      <c r="F623" s="40"/>
      <c r="G623" s="40"/>
      <c r="H623" s="40"/>
    </row>
    <row r="624" spans="1:8" x14ac:dyDescent="0.2">
      <c r="A624" s="35">
        <f t="shared" si="12"/>
        <v>621</v>
      </c>
      <c r="B624" s="36" t="s">
        <v>2016</v>
      </c>
      <c r="C624" s="36" t="s">
        <v>312</v>
      </c>
      <c r="D624" s="36" t="s">
        <v>313</v>
      </c>
      <c r="E624" s="37"/>
      <c r="F624" s="40"/>
      <c r="G624" s="40"/>
      <c r="H624" s="40"/>
    </row>
    <row r="625" spans="1:8" x14ac:dyDescent="0.2">
      <c r="A625" s="35">
        <f t="shared" si="12"/>
        <v>622</v>
      </c>
      <c r="B625" s="36" t="s">
        <v>2017</v>
      </c>
      <c r="C625" s="36" t="s">
        <v>315</v>
      </c>
      <c r="D625" s="36" t="s">
        <v>5</v>
      </c>
      <c r="E625" s="37"/>
      <c r="F625" s="40"/>
      <c r="G625" s="40"/>
      <c r="H625" s="40"/>
    </row>
    <row r="626" spans="1:8" x14ac:dyDescent="0.2">
      <c r="A626" s="35">
        <f t="shared" si="12"/>
        <v>623</v>
      </c>
      <c r="B626" s="36" t="s">
        <v>2018</v>
      </c>
      <c r="C626" s="36" t="s">
        <v>2019</v>
      </c>
      <c r="D626" s="36" t="s">
        <v>31</v>
      </c>
      <c r="E626" s="37"/>
      <c r="F626" s="40"/>
      <c r="G626" s="40"/>
      <c r="H626" s="40"/>
    </row>
    <row r="627" spans="1:8" x14ac:dyDescent="0.2">
      <c r="A627" s="35">
        <f t="shared" si="12"/>
        <v>624</v>
      </c>
      <c r="B627" s="36" t="s">
        <v>2020</v>
      </c>
      <c r="C627" s="36" t="s">
        <v>2021</v>
      </c>
      <c r="D627" s="36" t="s">
        <v>31</v>
      </c>
      <c r="E627" s="37"/>
      <c r="F627" s="40"/>
      <c r="G627" s="40"/>
      <c r="H627" s="40"/>
    </row>
    <row r="628" spans="1:8" x14ac:dyDescent="0.2">
      <c r="A628" s="35">
        <f t="shared" si="12"/>
        <v>625</v>
      </c>
      <c r="B628" s="36" t="s">
        <v>2022</v>
      </c>
      <c r="C628" s="36" t="s">
        <v>2023</v>
      </c>
      <c r="D628" s="36" t="s">
        <v>2</v>
      </c>
      <c r="E628" s="37"/>
      <c r="F628" s="40"/>
      <c r="G628" s="40"/>
      <c r="H628" s="40"/>
    </row>
    <row r="629" spans="1:8" x14ac:dyDescent="0.2">
      <c r="A629" s="35">
        <f t="shared" si="12"/>
        <v>626</v>
      </c>
      <c r="B629" s="36" t="s">
        <v>2024</v>
      </c>
      <c r="C629" s="36" t="s">
        <v>2025</v>
      </c>
      <c r="D629" s="36" t="s">
        <v>2</v>
      </c>
      <c r="E629" s="37"/>
      <c r="F629" s="40"/>
      <c r="G629" s="40"/>
      <c r="H629" s="40"/>
    </row>
    <row r="630" spans="1:8" x14ac:dyDescent="0.2">
      <c r="A630" s="35">
        <f t="shared" si="12"/>
        <v>627</v>
      </c>
      <c r="B630" s="36" t="s">
        <v>2026</v>
      </c>
      <c r="C630" s="36" t="s">
        <v>2027</v>
      </c>
      <c r="D630" s="36" t="s">
        <v>989</v>
      </c>
      <c r="E630" s="37"/>
      <c r="F630" s="40"/>
      <c r="G630" s="40"/>
      <c r="H630" s="40"/>
    </row>
    <row r="631" spans="1:8" x14ac:dyDescent="0.2">
      <c r="A631" s="35">
        <f t="shared" si="12"/>
        <v>628</v>
      </c>
      <c r="B631" s="36" t="s">
        <v>2028</v>
      </c>
      <c r="C631" s="36" t="s">
        <v>2029</v>
      </c>
      <c r="D631" s="36" t="s">
        <v>2</v>
      </c>
      <c r="E631" s="37"/>
      <c r="F631" s="40"/>
      <c r="G631" s="40"/>
      <c r="H631" s="40"/>
    </row>
    <row r="632" spans="1:8" x14ac:dyDescent="0.2">
      <c r="A632" s="35">
        <f t="shared" si="12"/>
        <v>629</v>
      </c>
      <c r="B632" s="36" t="s">
        <v>2030</v>
      </c>
      <c r="C632" s="36" t="s">
        <v>2031</v>
      </c>
      <c r="D632" s="36" t="s">
        <v>78</v>
      </c>
      <c r="E632" s="37"/>
      <c r="F632" s="40"/>
      <c r="G632" s="40"/>
      <c r="H632" s="40"/>
    </row>
    <row r="633" spans="1:8" x14ac:dyDescent="0.2">
      <c r="A633" s="35">
        <f t="shared" si="12"/>
        <v>630</v>
      </c>
      <c r="B633" s="36" t="s">
        <v>2032</v>
      </c>
      <c r="C633" s="36" t="s">
        <v>2033</v>
      </c>
      <c r="D633" s="36" t="s">
        <v>2</v>
      </c>
      <c r="E633" s="37"/>
      <c r="F633" s="40"/>
      <c r="G633" s="40"/>
      <c r="H633" s="40"/>
    </row>
    <row r="634" spans="1:8" x14ac:dyDescent="0.2">
      <c r="A634" s="35">
        <f t="shared" si="12"/>
        <v>631</v>
      </c>
      <c r="B634" s="36" t="s">
        <v>2034</v>
      </c>
      <c r="C634" s="36" t="s">
        <v>2035</v>
      </c>
      <c r="D634" s="36" t="s">
        <v>401</v>
      </c>
      <c r="E634" s="37"/>
      <c r="F634" s="40"/>
      <c r="G634" s="40"/>
      <c r="H634" s="40"/>
    </row>
    <row r="635" spans="1:8" x14ac:dyDescent="0.2">
      <c r="A635" s="35">
        <f t="shared" si="12"/>
        <v>632</v>
      </c>
      <c r="B635" s="36" t="s">
        <v>2036</v>
      </c>
      <c r="C635" s="36" t="s">
        <v>2037</v>
      </c>
      <c r="D635" s="36" t="s">
        <v>31</v>
      </c>
      <c r="E635" s="37"/>
      <c r="F635" s="40"/>
      <c r="G635" s="40"/>
      <c r="H635" s="40"/>
    </row>
    <row r="636" spans="1:8" x14ac:dyDescent="0.2">
      <c r="A636" s="35">
        <f t="shared" si="12"/>
        <v>633</v>
      </c>
      <c r="B636" s="36" t="s">
        <v>2038</v>
      </c>
      <c r="C636" s="36" t="s">
        <v>2039</v>
      </c>
      <c r="D636" s="36" t="s">
        <v>975</v>
      </c>
      <c r="E636" s="37"/>
      <c r="F636" s="40"/>
      <c r="G636" s="40"/>
      <c r="H636" s="40"/>
    </row>
    <row r="637" spans="1:8" x14ac:dyDescent="0.2">
      <c r="A637" s="35">
        <f t="shared" si="12"/>
        <v>634</v>
      </c>
      <c r="B637" s="36" t="s">
        <v>2040</v>
      </c>
      <c r="C637" s="36" t="s">
        <v>2041</v>
      </c>
      <c r="D637" s="36" t="s">
        <v>412</v>
      </c>
      <c r="E637" s="37"/>
      <c r="F637" s="40"/>
      <c r="G637" s="40"/>
      <c r="H637" s="40"/>
    </row>
    <row r="638" spans="1:8" x14ac:dyDescent="0.2">
      <c r="A638" s="35">
        <f t="shared" si="12"/>
        <v>635</v>
      </c>
      <c r="B638" s="36" t="s">
        <v>2042</v>
      </c>
      <c r="C638" s="36" t="s">
        <v>2043</v>
      </c>
      <c r="D638" s="36" t="s">
        <v>166</v>
      </c>
      <c r="E638" s="37"/>
      <c r="F638" s="40"/>
      <c r="G638" s="40"/>
      <c r="H638" s="40"/>
    </row>
    <row r="639" spans="1:8" x14ac:dyDescent="0.2">
      <c r="A639" s="35">
        <f t="shared" si="12"/>
        <v>636</v>
      </c>
      <c r="B639" s="36" t="s">
        <v>2044</v>
      </c>
      <c r="C639" s="36" t="s">
        <v>2045</v>
      </c>
      <c r="D639" s="36" t="s">
        <v>977</v>
      </c>
      <c r="E639" s="37"/>
      <c r="F639" s="40"/>
      <c r="G639" s="40"/>
      <c r="H639" s="40"/>
    </row>
    <row r="640" spans="1:8" x14ac:dyDescent="0.2">
      <c r="A640" s="35">
        <f t="shared" si="12"/>
        <v>637</v>
      </c>
      <c r="B640" s="36" t="s">
        <v>2046</v>
      </c>
      <c r="C640" s="36" t="s">
        <v>2047</v>
      </c>
      <c r="D640" s="36" t="s">
        <v>2</v>
      </c>
      <c r="E640" s="37"/>
      <c r="F640" s="40"/>
      <c r="G640" s="40"/>
      <c r="H640" s="40"/>
    </row>
    <row r="641" spans="1:8" x14ac:dyDescent="0.2">
      <c r="A641" s="35">
        <f t="shared" si="12"/>
        <v>638</v>
      </c>
      <c r="B641" s="36" t="s">
        <v>2048</v>
      </c>
      <c r="C641" s="36" t="s">
        <v>2049</v>
      </c>
      <c r="D641" s="36" t="s">
        <v>2</v>
      </c>
      <c r="E641" s="37"/>
      <c r="F641" s="40"/>
      <c r="G641" s="40"/>
      <c r="H641" s="40"/>
    </row>
    <row r="642" spans="1:8" x14ac:dyDescent="0.2">
      <c r="A642" s="35">
        <f t="shared" si="12"/>
        <v>639</v>
      </c>
      <c r="B642" s="36" t="s">
        <v>2050</v>
      </c>
      <c r="C642" s="36" t="s">
        <v>2051</v>
      </c>
      <c r="D642" s="36" t="s">
        <v>31</v>
      </c>
      <c r="E642" s="37"/>
      <c r="F642" s="40"/>
      <c r="G642" s="40"/>
      <c r="H642" s="40"/>
    </row>
    <row r="643" spans="1:8" x14ac:dyDescent="0.2">
      <c r="A643" s="35">
        <f t="shared" si="12"/>
        <v>640</v>
      </c>
      <c r="B643" s="36" t="s">
        <v>2052</v>
      </c>
      <c r="C643" s="36" t="s">
        <v>2053</v>
      </c>
      <c r="D643" s="36" t="s">
        <v>61</v>
      </c>
      <c r="E643" s="37"/>
      <c r="F643" s="40"/>
      <c r="G643" s="40"/>
      <c r="H643" s="40"/>
    </row>
    <row r="644" spans="1:8" x14ac:dyDescent="0.2">
      <c r="A644" s="35">
        <f t="shared" si="12"/>
        <v>641</v>
      </c>
      <c r="B644" s="36" t="s">
        <v>2054</v>
      </c>
      <c r="C644" s="36" t="s">
        <v>2055</v>
      </c>
      <c r="D644" s="36" t="s">
        <v>166</v>
      </c>
      <c r="E644" s="37"/>
      <c r="F644" s="40"/>
      <c r="G644" s="40"/>
      <c r="H644" s="40"/>
    </row>
    <row r="645" spans="1:8" x14ac:dyDescent="0.2">
      <c r="A645" s="35">
        <f t="shared" si="12"/>
        <v>642</v>
      </c>
      <c r="B645" s="36" t="s">
        <v>2056</v>
      </c>
      <c r="C645" s="36" t="s">
        <v>2057</v>
      </c>
      <c r="D645" s="36" t="s">
        <v>31</v>
      </c>
      <c r="E645" s="37"/>
      <c r="F645" s="40"/>
      <c r="G645" s="40"/>
      <c r="H645" s="40"/>
    </row>
    <row r="646" spans="1:8" x14ac:dyDescent="0.2">
      <c r="A646" s="35">
        <f t="shared" si="12"/>
        <v>643</v>
      </c>
      <c r="B646" s="36" t="s">
        <v>2058</v>
      </c>
      <c r="C646" s="36" t="s">
        <v>2059</v>
      </c>
      <c r="D646" s="36" t="s">
        <v>2</v>
      </c>
      <c r="E646" s="37"/>
      <c r="F646" s="40"/>
      <c r="G646" s="40"/>
      <c r="H646" s="40"/>
    </row>
    <row r="647" spans="1:8" x14ac:dyDescent="0.2">
      <c r="A647" s="35">
        <f t="shared" si="12"/>
        <v>644</v>
      </c>
      <c r="B647" s="36" t="s">
        <v>2060</v>
      </c>
      <c r="C647" s="36" t="s">
        <v>2061</v>
      </c>
      <c r="D647" s="36" t="s">
        <v>166</v>
      </c>
      <c r="E647" s="37"/>
      <c r="F647" s="40"/>
      <c r="G647" s="40"/>
      <c r="H647" s="40"/>
    </row>
    <row r="648" spans="1:8" x14ac:dyDescent="0.2">
      <c r="A648" s="35">
        <f t="shared" si="12"/>
        <v>645</v>
      </c>
      <c r="B648" s="36" t="s">
        <v>2062</v>
      </c>
      <c r="C648" s="36" t="s">
        <v>2063</v>
      </c>
      <c r="D648" s="36" t="s">
        <v>2</v>
      </c>
      <c r="E648" s="37"/>
      <c r="F648" s="40"/>
      <c r="G648" s="40"/>
      <c r="H648" s="40"/>
    </row>
    <row r="649" spans="1:8" x14ac:dyDescent="0.2">
      <c r="A649" s="35">
        <f t="shared" si="12"/>
        <v>646</v>
      </c>
      <c r="B649" s="36" t="s">
        <v>2064</v>
      </c>
      <c r="C649" s="36" t="s">
        <v>2065</v>
      </c>
      <c r="D649" s="36" t="s">
        <v>31</v>
      </c>
      <c r="E649" s="37"/>
      <c r="F649" s="40"/>
      <c r="G649" s="40"/>
      <c r="H649" s="40"/>
    </row>
    <row r="650" spans="1:8" x14ac:dyDescent="0.2">
      <c r="A650" s="35">
        <f t="shared" si="12"/>
        <v>647</v>
      </c>
      <c r="B650" s="36" t="s">
        <v>2066</v>
      </c>
      <c r="C650" s="36" t="s">
        <v>2067</v>
      </c>
      <c r="D650" s="36" t="s">
        <v>2</v>
      </c>
      <c r="E650" s="37"/>
      <c r="F650" s="40"/>
      <c r="G650" s="40"/>
      <c r="H650" s="40"/>
    </row>
    <row r="651" spans="1:8" x14ac:dyDescent="0.2">
      <c r="A651" s="35">
        <f t="shared" si="12"/>
        <v>648</v>
      </c>
      <c r="B651" s="36" t="s">
        <v>2068</v>
      </c>
      <c r="C651" s="36" t="s">
        <v>2069</v>
      </c>
      <c r="D651" s="36" t="s">
        <v>977</v>
      </c>
      <c r="E651" s="37"/>
      <c r="F651" s="40"/>
      <c r="G651" s="40"/>
      <c r="H651" s="40"/>
    </row>
    <row r="652" spans="1:8" x14ac:dyDescent="0.2">
      <c r="A652" s="35">
        <f t="shared" si="12"/>
        <v>649</v>
      </c>
      <c r="B652" s="36" t="s">
        <v>2070</v>
      </c>
      <c r="C652" s="36" t="s">
        <v>2071</v>
      </c>
      <c r="D652" s="36" t="s">
        <v>2</v>
      </c>
      <c r="E652" s="37"/>
      <c r="F652" s="40"/>
      <c r="G652" s="40"/>
      <c r="H652" s="40"/>
    </row>
    <row r="653" spans="1:8" x14ac:dyDescent="0.2">
      <c r="A653" s="35">
        <f t="shared" si="12"/>
        <v>650</v>
      </c>
      <c r="B653" s="36" t="s">
        <v>2072</v>
      </c>
      <c r="C653" s="36" t="s">
        <v>2073</v>
      </c>
      <c r="D653" s="36" t="s">
        <v>2</v>
      </c>
      <c r="E653" s="37"/>
      <c r="F653" s="40"/>
      <c r="G653" s="40"/>
      <c r="H653" s="40"/>
    </row>
    <row r="654" spans="1:8" x14ac:dyDescent="0.2">
      <c r="A654" s="35">
        <f t="shared" si="12"/>
        <v>651</v>
      </c>
      <c r="B654" s="36" t="s">
        <v>2074</v>
      </c>
      <c r="C654" s="36" t="s">
        <v>2075</v>
      </c>
      <c r="D654" s="36" t="s">
        <v>56</v>
      </c>
      <c r="E654" s="37"/>
      <c r="F654" s="40"/>
      <c r="G654" s="40"/>
      <c r="H654" s="40"/>
    </row>
    <row r="655" spans="1:8" x14ac:dyDescent="0.2">
      <c r="A655" s="35">
        <f t="shared" si="12"/>
        <v>652</v>
      </c>
      <c r="B655" s="36" t="s">
        <v>2076</v>
      </c>
      <c r="C655" s="36" t="s">
        <v>2077</v>
      </c>
      <c r="D655" s="36" t="s">
        <v>166</v>
      </c>
      <c r="E655" s="37"/>
      <c r="F655" s="40"/>
      <c r="G655" s="40"/>
      <c r="H655" s="40"/>
    </row>
    <row r="656" spans="1:8" x14ac:dyDescent="0.2">
      <c r="A656" s="35">
        <f t="shared" si="12"/>
        <v>653</v>
      </c>
      <c r="B656" s="36" t="s">
        <v>2078</v>
      </c>
      <c r="C656" s="36" t="s">
        <v>2079</v>
      </c>
      <c r="D656" s="36" t="s">
        <v>1961</v>
      </c>
      <c r="E656" s="37"/>
      <c r="F656" s="40"/>
      <c r="G656" s="40"/>
      <c r="H656" s="40"/>
    </row>
    <row r="657" spans="1:8" x14ac:dyDescent="0.2">
      <c r="A657" s="35">
        <f t="shared" si="12"/>
        <v>654</v>
      </c>
      <c r="B657" s="36" t="s">
        <v>2080</v>
      </c>
      <c r="C657" s="36" t="s">
        <v>2081</v>
      </c>
      <c r="D657" s="36" t="s">
        <v>2082</v>
      </c>
      <c r="E657" s="37"/>
      <c r="F657" s="40"/>
      <c r="G657" s="40"/>
      <c r="H657" s="40"/>
    </row>
    <row r="658" spans="1:8" x14ac:dyDescent="0.2">
      <c r="A658" s="35">
        <f t="shared" si="12"/>
        <v>655</v>
      </c>
      <c r="B658" s="36" t="s">
        <v>2083</v>
      </c>
      <c r="C658" s="36" t="s">
        <v>2084</v>
      </c>
      <c r="D658" s="36" t="s">
        <v>401</v>
      </c>
      <c r="E658" s="37"/>
      <c r="F658" s="40"/>
      <c r="G658" s="40"/>
      <c r="H658" s="40"/>
    </row>
    <row r="659" spans="1:8" x14ac:dyDescent="0.2">
      <c r="A659" s="35">
        <f t="shared" si="12"/>
        <v>656</v>
      </c>
      <c r="B659" s="36" t="s">
        <v>2085</v>
      </c>
      <c r="C659" s="36" t="s">
        <v>2086</v>
      </c>
      <c r="D659" s="36" t="s">
        <v>28</v>
      </c>
      <c r="E659" s="37"/>
      <c r="F659" s="40"/>
      <c r="G659" s="40"/>
      <c r="H659" s="40"/>
    </row>
    <row r="660" spans="1:8" x14ac:dyDescent="0.2">
      <c r="A660" s="35">
        <f t="shared" si="12"/>
        <v>657</v>
      </c>
      <c r="B660" s="36" t="s">
        <v>2087</v>
      </c>
      <c r="C660" s="36" t="s">
        <v>2088</v>
      </c>
      <c r="D660" s="36" t="s">
        <v>2</v>
      </c>
      <c r="E660" s="37"/>
      <c r="F660" s="40"/>
      <c r="G660" s="40"/>
      <c r="H660" s="40"/>
    </row>
    <row r="661" spans="1:8" x14ac:dyDescent="0.2">
      <c r="A661" s="35">
        <f t="shared" si="12"/>
        <v>658</v>
      </c>
      <c r="B661" s="36" t="s">
        <v>2089</v>
      </c>
      <c r="C661" s="36" t="s">
        <v>2090</v>
      </c>
      <c r="D661" s="36" t="s">
        <v>975</v>
      </c>
      <c r="E661" s="37"/>
      <c r="F661" s="40"/>
      <c r="G661" s="40"/>
      <c r="H661" s="40"/>
    </row>
    <row r="662" spans="1:8" x14ac:dyDescent="0.2">
      <c r="A662" s="35">
        <f t="shared" si="12"/>
        <v>659</v>
      </c>
      <c r="B662" s="36" t="s">
        <v>2091</v>
      </c>
      <c r="C662" s="36" t="s">
        <v>2092</v>
      </c>
      <c r="D662" s="36" t="s">
        <v>975</v>
      </c>
      <c r="E662" s="37"/>
      <c r="F662" s="40"/>
      <c r="G662" s="40"/>
      <c r="H662" s="40"/>
    </row>
    <row r="663" spans="1:8" x14ac:dyDescent="0.2">
      <c r="A663" s="35">
        <f t="shared" si="12"/>
        <v>660</v>
      </c>
      <c r="B663" s="36" t="s">
        <v>2093</v>
      </c>
      <c r="C663" s="36" t="s">
        <v>2094</v>
      </c>
      <c r="D663" s="36" t="s">
        <v>31</v>
      </c>
      <c r="E663" s="37"/>
      <c r="F663" s="40"/>
      <c r="G663" s="40"/>
      <c r="H663" s="40"/>
    </row>
    <row r="664" spans="1:8" x14ac:dyDescent="0.2">
      <c r="A664" s="35">
        <f t="shared" si="12"/>
        <v>661</v>
      </c>
      <c r="B664" s="36" t="s">
        <v>2095</v>
      </c>
      <c r="C664" s="36" t="s">
        <v>2096</v>
      </c>
      <c r="D664" s="36" t="s">
        <v>31</v>
      </c>
      <c r="E664" s="37"/>
      <c r="F664" s="40"/>
      <c r="G664" s="40"/>
      <c r="H664" s="40"/>
    </row>
    <row r="665" spans="1:8" x14ac:dyDescent="0.2">
      <c r="A665" s="35">
        <f t="shared" si="12"/>
        <v>662</v>
      </c>
      <c r="B665" s="36" t="s">
        <v>2097</v>
      </c>
      <c r="C665" s="36" t="s">
        <v>2098</v>
      </c>
      <c r="D665" s="36" t="s">
        <v>193</v>
      </c>
      <c r="E665" s="37"/>
      <c r="F665" s="40"/>
      <c r="G665" s="40"/>
      <c r="H665" s="40"/>
    </row>
    <row r="666" spans="1:8" x14ac:dyDescent="0.2">
      <c r="A666" s="35">
        <f t="shared" si="12"/>
        <v>663</v>
      </c>
      <c r="B666" s="36" t="s">
        <v>2099</v>
      </c>
      <c r="C666" s="36" t="s">
        <v>2100</v>
      </c>
      <c r="D666" s="36" t="s">
        <v>31</v>
      </c>
      <c r="E666" s="37"/>
      <c r="F666" s="40"/>
      <c r="G666" s="40"/>
      <c r="H666" s="40"/>
    </row>
    <row r="667" spans="1:8" x14ac:dyDescent="0.2">
      <c r="A667" s="35">
        <f t="shared" si="12"/>
        <v>664</v>
      </c>
      <c r="B667" s="36" t="s">
        <v>2101</v>
      </c>
      <c r="C667" s="36" t="s">
        <v>2102</v>
      </c>
      <c r="D667" s="36" t="s">
        <v>2</v>
      </c>
      <c r="E667" s="37"/>
      <c r="F667" s="40"/>
      <c r="G667" s="40"/>
      <c r="H667" s="40"/>
    </row>
    <row r="668" spans="1:8" x14ac:dyDescent="0.2">
      <c r="A668" s="35">
        <f t="shared" si="12"/>
        <v>665</v>
      </c>
      <c r="B668" s="36" t="s">
        <v>2103</v>
      </c>
      <c r="C668" s="36" t="s">
        <v>2104</v>
      </c>
      <c r="D668" s="36" t="s">
        <v>2</v>
      </c>
      <c r="E668" s="37"/>
      <c r="F668" s="40"/>
      <c r="G668" s="40"/>
      <c r="H668" s="40"/>
    </row>
    <row r="669" spans="1:8" x14ac:dyDescent="0.2">
      <c r="A669" s="35">
        <f t="shared" si="12"/>
        <v>666</v>
      </c>
      <c r="B669" s="36" t="s">
        <v>2105</v>
      </c>
      <c r="C669" s="36" t="s">
        <v>2106</v>
      </c>
      <c r="D669" s="36" t="s">
        <v>31</v>
      </c>
      <c r="E669" s="37"/>
      <c r="F669" s="40"/>
      <c r="G669" s="40"/>
      <c r="H669" s="40"/>
    </row>
    <row r="670" spans="1:8" x14ac:dyDescent="0.2">
      <c r="A670" s="35">
        <f t="shared" si="12"/>
        <v>667</v>
      </c>
      <c r="B670" s="36" t="s">
        <v>2107</v>
      </c>
      <c r="C670" s="36" t="s">
        <v>2108</v>
      </c>
      <c r="D670" s="36" t="s">
        <v>31</v>
      </c>
      <c r="E670" s="37"/>
      <c r="F670" s="40"/>
      <c r="G670" s="40"/>
      <c r="H670" s="40"/>
    </row>
    <row r="671" spans="1:8" x14ac:dyDescent="0.2">
      <c r="A671" s="35">
        <f t="shared" si="12"/>
        <v>668</v>
      </c>
      <c r="B671" s="36" t="s">
        <v>2109</v>
      </c>
      <c r="C671" s="36" t="s">
        <v>2110</v>
      </c>
      <c r="D671" s="36" t="s">
        <v>2</v>
      </c>
      <c r="E671" s="37"/>
      <c r="F671" s="40"/>
      <c r="G671" s="40"/>
      <c r="H671" s="40"/>
    </row>
    <row r="672" spans="1:8" x14ac:dyDescent="0.2">
      <c r="A672" s="35">
        <f t="shared" si="12"/>
        <v>669</v>
      </c>
      <c r="B672" s="36" t="s">
        <v>2111</v>
      </c>
      <c r="C672" s="36" t="s">
        <v>2112</v>
      </c>
      <c r="D672" s="36" t="s">
        <v>166</v>
      </c>
      <c r="E672" s="37"/>
      <c r="F672" s="40"/>
      <c r="G672" s="40"/>
      <c r="H672" s="40"/>
    </row>
    <row r="673" spans="1:8" x14ac:dyDescent="0.2">
      <c r="A673" s="35">
        <f t="shared" si="12"/>
        <v>670</v>
      </c>
      <c r="B673" s="36" t="s">
        <v>2113</v>
      </c>
      <c r="C673" s="36" t="s">
        <v>2114</v>
      </c>
      <c r="D673" s="36" t="s">
        <v>31</v>
      </c>
      <c r="E673" s="37"/>
      <c r="F673" s="40"/>
      <c r="G673" s="40"/>
      <c r="H673" s="40"/>
    </row>
    <row r="674" spans="1:8" x14ac:dyDescent="0.2">
      <c r="A674" s="35">
        <f t="shared" si="12"/>
        <v>671</v>
      </c>
      <c r="B674" s="36" t="s">
        <v>2115</v>
      </c>
      <c r="C674" s="36" t="s">
        <v>2116</v>
      </c>
      <c r="D674" s="36" t="s">
        <v>2</v>
      </c>
      <c r="E674" s="37"/>
      <c r="F674" s="40"/>
      <c r="G674" s="40"/>
      <c r="H674" s="40"/>
    </row>
    <row r="675" spans="1:8" x14ac:dyDescent="0.2">
      <c r="A675" s="35">
        <f t="shared" si="12"/>
        <v>672</v>
      </c>
      <c r="B675" s="36" t="s">
        <v>2117</v>
      </c>
      <c r="C675" s="36" t="s">
        <v>2118</v>
      </c>
      <c r="D675" s="36" t="s">
        <v>2</v>
      </c>
      <c r="E675" s="37"/>
      <c r="F675" s="40"/>
      <c r="G675" s="40"/>
      <c r="H675" s="40"/>
    </row>
    <row r="676" spans="1:8" x14ac:dyDescent="0.2">
      <c r="A676" s="35">
        <f t="shared" si="12"/>
        <v>673</v>
      </c>
      <c r="B676" s="36" t="s">
        <v>2119</v>
      </c>
      <c r="C676" s="36" t="s">
        <v>2120</v>
      </c>
      <c r="D676" s="36" t="s">
        <v>31</v>
      </c>
      <c r="E676" s="37"/>
      <c r="F676" s="40"/>
      <c r="G676" s="40"/>
      <c r="H676" s="40"/>
    </row>
    <row r="677" spans="1:8" x14ac:dyDescent="0.2">
      <c r="A677" s="35">
        <f t="shared" ref="A677:A716" si="13">+A676+1</f>
        <v>674</v>
      </c>
      <c r="B677" s="36" t="s">
        <v>2121</v>
      </c>
      <c r="C677" s="36" t="s">
        <v>2122</v>
      </c>
      <c r="D677" s="36" t="s">
        <v>2</v>
      </c>
      <c r="E677" s="37"/>
      <c r="F677" s="40"/>
      <c r="G677" s="40"/>
      <c r="H677" s="40"/>
    </row>
    <row r="678" spans="1:8" x14ac:dyDescent="0.2">
      <c r="A678" s="35">
        <f t="shared" si="13"/>
        <v>675</v>
      </c>
      <c r="B678" s="36" t="s">
        <v>2123</v>
      </c>
      <c r="C678" s="36" t="s">
        <v>2124</v>
      </c>
      <c r="D678" s="36" t="s">
        <v>2</v>
      </c>
      <c r="E678" s="37"/>
      <c r="F678" s="40"/>
      <c r="G678" s="40"/>
      <c r="H678" s="40"/>
    </row>
    <row r="679" spans="1:8" x14ac:dyDescent="0.2">
      <c r="A679" s="35">
        <f t="shared" si="13"/>
        <v>676</v>
      </c>
      <c r="B679" s="36" t="s">
        <v>2125</v>
      </c>
      <c r="C679" s="36" t="s">
        <v>2126</v>
      </c>
      <c r="D679" s="36" t="s">
        <v>31</v>
      </c>
      <c r="E679" s="37"/>
      <c r="F679" s="40"/>
      <c r="G679" s="40"/>
      <c r="H679" s="40"/>
    </row>
    <row r="680" spans="1:8" x14ac:dyDescent="0.2">
      <c r="A680" s="35">
        <f t="shared" si="13"/>
        <v>677</v>
      </c>
      <c r="B680" s="36" t="s">
        <v>2127</v>
      </c>
      <c r="C680" s="36" t="s">
        <v>2128</v>
      </c>
      <c r="D680" s="36" t="s">
        <v>2</v>
      </c>
      <c r="E680" s="37"/>
      <c r="F680" s="40"/>
      <c r="G680" s="40"/>
      <c r="H680" s="40"/>
    </row>
    <row r="681" spans="1:8" x14ac:dyDescent="0.2">
      <c r="A681" s="35">
        <f t="shared" si="13"/>
        <v>678</v>
      </c>
      <c r="B681" s="36" t="s">
        <v>2129</v>
      </c>
      <c r="C681" s="36" t="s">
        <v>2130</v>
      </c>
      <c r="D681" s="36" t="s">
        <v>166</v>
      </c>
      <c r="E681" s="37"/>
      <c r="F681" s="40"/>
      <c r="G681" s="40"/>
      <c r="H681" s="40"/>
    </row>
    <row r="682" spans="1:8" x14ac:dyDescent="0.2">
      <c r="A682" s="35">
        <f t="shared" si="13"/>
        <v>679</v>
      </c>
      <c r="B682" s="36" t="s">
        <v>2131</v>
      </c>
      <c r="C682" s="36" t="s">
        <v>2132</v>
      </c>
      <c r="D682" s="36" t="s">
        <v>5</v>
      </c>
      <c r="E682" s="37"/>
      <c r="F682" s="40"/>
      <c r="G682" s="40"/>
      <c r="H682" s="40"/>
    </row>
    <row r="683" spans="1:8" x14ac:dyDescent="0.2">
      <c r="A683" s="35">
        <f t="shared" si="13"/>
        <v>680</v>
      </c>
      <c r="B683" s="36" t="s">
        <v>2133</v>
      </c>
      <c r="C683" s="36" t="s">
        <v>2134</v>
      </c>
      <c r="D683" s="36" t="s">
        <v>31</v>
      </c>
      <c r="E683" s="37"/>
      <c r="F683" s="40"/>
      <c r="G683" s="40"/>
      <c r="H683" s="40"/>
    </row>
    <row r="684" spans="1:8" x14ac:dyDescent="0.2">
      <c r="A684" s="35">
        <f t="shared" si="13"/>
        <v>681</v>
      </c>
      <c r="B684" s="36" t="s">
        <v>2135</v>
      </c>
      <c r="C684" s="36" t="s">
        <v>2136</v>
      </c>
      <c r="D684" s="36" t="s">
        <v>31</v>
      </c>
      <c r="E684" s="37"/>
      <c r="F684" s="40"/>
      <c r="G684" s="40"/>
      <c r="H684" s="40"/>
    </row>
    <row r="685" spans="1:8" x14ac:dyDescent="0.2">
      <c r="A685" s="35">
        <f t="shared" si="13"/>
        <v>682</v>
      </c>
      <c r="B685" s="36" t="s">
        <v>2137</v>
      </c>
      <c r="C685" s="36" t="s">
        <v>2138</v>
      </c>
      <c r="D685" s="36" t="s">
        <v>31</v>
      </c>
      <c r="E685" s="37"/>
      <c r="F685" s="40"/>
      <c r="G685" s="40"/>
      <c r="H685" s="40"/>
    </row>
    <row r="686" spans="1:8" x14ac:dyDescent="0.2">
      <c r="A686" s="35">
        <f t="shared" si="13"/>
        <v>683</v>
      </c>
      <c r="B686" s="36" t="s">
        <v>2139</v>
      </c>
      <c r="C686" s="36" t="s">
        <v>2140</v>
      </c>
      <c r="D686" s="36" t="s">
        <v>367</v>
      </c>
      <c r="E686" s="37"/>
      <c r="F686" s="40"/>
      <c r="G686" s="40"/>
      <c r="H686" s="40"/>
    </row>
    <row r="687" spans="1:8" x14ac:dyDescent="0.2">
      <c r="A687" s="35">
        <f t="shared" si="13"/>
        <v>684</v>
      </c>
      <c r="B687" s="36" t="s">
        <v>2141</v>
      </c>
      <c r="C687" s="36" t="s">
        <v>2142</v>
      </c>
      <c r="D687" s="36" t="s">
        <v>2</v>
      </c>
      <c r="E687" s="37"/>
      <c r="F687" s="40"/>
      <c r="G687" s="40"/>
      <c r="H687" s="40"/>
    </row>
    <row r="688" spans="1:8" x14ac:dyDescent="0.2">
      <c r="A688" s="35">
        <f t="shared" si="13"/>
        <v>685</v>
      </c>
      <c r="B688" s="36" t="s">
        <v>2143</v>
      </c>
      <c r="C688" s="36" t="s">
        <v>2144</v>
      </c>
      <c r="D688" s="36" t="s">
        <v>31</v>
      </c>
      <c r="E688" s="37"/>
      <c r="F688" s="40"/>
      <c r="G688" s="40"/>
      <c r="H688" s="40"/>
    </row>
    <row r="689" spans="1:8" x14ac:dyDescent="0.2">
      <c r="A689" s="35">
        <f t="shared" si="13"/>
        <v>686</v>
      </c>
      <c r="B689" s="36" t="s">
        <v>2145</v>
      </c>
      <c r="C689" s="36" t="s">
        <v>2146</v>
      </c>
      <c r="D689" s="36" t="s">
        <v>266</v>
      </c>
      <c r="E689" s="37"/>
      <c r="F689" s="40"/>
      <c r="G689" s="40"/>
      <c r="H689" s="40"/>
    </row>
    <row r="690" spans="1:8" x14ac:dyDescent="0.2">
      <c r="A690" s="35">
        <f t="shared" si="13"/>
        <v>687</v>
      </c>
      <c r="B690" s="36" t="s">
        <v>2147</v>
      </c>
      <c r="C690" s="36" t="s">
        <v>2148</v>
      </c>
      <c r="D690" s="36" t="s">
        <v>2</v>
      </c>
      <c r="E690" s="37"/>
      <c r="F690" s="40"/>
      <c r="G690" s="40"/>
      <c r="H690" s="40"/>
    </row>
    <row r="691" spans="1:8" x14ac:dyDescent="0.2">
      <c r="A691" s="35">
        <f t="shared" si="13"/>
        <v>688</v>
      </c>
      <c r="B691" s="36" t="s">
        <v>2149</v>
      </c>
      <c r="C691" s="36" t="s">
        <v>328</v>
      </c>
      <c r="D691" s="36" t="s">
        <v>2</v>
      </c>
      <c r="E691" s="37"/>
      <c r="F691" s="40"/>
      <c r="G691" s="40"/>
      <c r="H691" s="40"/>
    </row>
    <row r="692" spans="1:8" x14ac:dyDescent="0.2">
      <c r="A692" s="35">
        <f t="shared" si="13"/>
        <v>689</v>
      </c>
      <c r="B692" s="36" t="s">
        <v>318</v>
      </c>
      <c r="C692" s="36" t="s">
        <v>319</v>
      </c>
      <c r="D692" s="36" t="s">
        <v>2</v>
      </c>
      <c r="E692" s="37"/>
      <c r="F692" s="40"/>
      <c r="G692" s="40"/>
      <c r="H692" s="40"/>
    </row>
    <row r="693" spans="1:8" x14ac:dyDescent="0.2">
      <c r="A693" s="35">
        <f t="shared" si="13"/>
        <v>690</v>
      </c>
      <c r="B693" s="36" t="s">
        <v>2150</v>
      </c>
      <c r="C693" s="36" t="s">
        <v>2151</v>
      </c>
      <c r="D693" s="36" t="s">
        <v>31</v>
      </c>
      <c r="E693" s="37"/>
      <c r="F693" s="40"/>
      <c r="G693" s="40"/>
      <c r="H693" s="40"/>
    </row>
    <row r="694" spans="1:8" x14ac:dyDescent="0.2">
      <c r="A694" s="35">
        <f t="shared" si="13"/>
        <v>691</v>
      </c>
      <c r="B694" s="36" t="s">
        <v>2152</v>
      </c>
      <c r="C694" s="36" t="s">
        <v>2153</v>
      </c>
      <c r="D694" s="36" t="s">
        <v>31</v>
      </c>
      <c r="E694" s="37"/>
      <c r="F694" s="40"/>
      <c r="G694" s="40"/>
      <c r="H694" s="40"/>
    </row>
    <row r="695" spans="1:8" x14ac:dyDescent="0.2">
      <c r="A695" s="35">
        <f t="shared" si="13"/>
        <v>692</v>
      </c>
      <c r="B695" s="36" t="s">
        <v>2154</v>
      </c>
      <c r="C695" s="36" t="s">
        <v>2155</v>
      </c>
      <c r="D695" s="36" t="s">
        <v>977</v>
      </c>
      <c r="E695" s="37"/>
      <c r="F695" s="40"/>
      <c r="G695" s="40"/>
      <c r="H695" s="40"/>
    </row>
    <row r="696" spans="1:8" x14ac:dyDescent="0.2">
      <c r="A696" s="35">
        <f t="shared" si="13"/>
        <v>693</v>
      </c>
      <c r="B696" s="36" t="s">
        <v>2156</v>
      </c>
      <c r="C696" s="36" t="s">
        <v>2157</v>
      </c>
      <c r="D696" s="36" t="s">
        <v>2</v>
      </c>
      <c r="E696" s="37"/>
      <c r="F696" s="40"/>
      <c r="G696" s="40"/>
      <c r="H696" s="40"/>
    </row>
    <row r="697" spans="1:8" x14ac:dyDescent="0.2">
      <c r="A697" s="35">
        <f t="shared" si="13"/>
        <v>694</v>
      </c>
      <c r="B697" s="36" t="s">
        <v>2158</v>
      </c>
      <c r="C697" s="36" t="s">
        <v>2159</v>
      </c>
      <c r="D697" s="36" t="s">
        <v>119</v>
      </c>
      <c r="E697" s="37"/>
      <c r="F697" s="40"/>
      <c r="G697" s="40"/>
      <c r="H697" s="40"/>
    </row>
    <row r="698" spans="1:8" x14ac:dyDescent="0.2">
      <c r="A698" s="35">
        <f t="shared" si="13"/>
        <v>695</v>
      </c>
      <c r="B698" s="36" t="s">
        <v>2160</v>
      </c>
      <c r="C698" s="36" t="s">
        <v>2161</v>
      </c>
      <c r="D698" s="36" t="s">
        <v>975</v>
      </c>
      <c r="E698" s="37"/>
      <c r="F698" s="40"/>
      <c r="G698" s="40"/>
      <c r="H698" s="40"/>
    </row>
    <row r="699" spans="1:8" x14ac:dyDescent="0.2">
      <c r="A699" s="35">
        <f t="shared" si="13"/>
        <v>696</v>
      </c>
      <c r="B699" s="36" t="s">
        <v>2162</v>
      </c>
      <c r="C699" s="36" t="s">
        <v>2163</v>
      </c>
      <c r="D699" s="36" t="s">
        <v>2</v>
      </c>
      <c r="E699" s="37"/>
      <c r="F699" s="40"/>
      <c r="G699" s="40"/>
      <c r="H699" s="40"/>
    </row>
    <row r="700" spans="1:8" x14ac:dyDescent="0.2">
      <c r="A700" s="35">
        <f t="shared" si="13"/>
        <v>697</v>
      </c>
      <c r="B700" s="36" t="s">
        <v>2164</v>
      </c>
      <c r="C700" s="36" t="s">
        <v>2165</v>
      </c>
      <c r="D700" s="36" t="s">
        <v>2</v>
      </c>
      <c r="E700" s="37"/>
      <c r="F700" s="40"/>
      <c r="G700" s="40"/>
      <c r="H700" s="40"/>
    </row>
    <row r="701" spans="1:8" x14ac:dyDescent="0.2">
      <c r="A701" s="35">
        <f t="shared" si="13"/>
        <v>698</v>
      </c>
      <c r="B701" s="36" t="s">
        <v>2166</v>
      </c>
      <c r="C701" s="36" t="s">
        <v>2167</v>
      </c>
      <c r="D701" s="36" t="s">
        <v>5</v>
      </c>
      <c r="E701" s="37"/>
      <c r="F701" s="40"/>
      <c r="G701" s="40"/>
      <c r="H701" s="40"/>
    </row>
    <row r="702" spans="1:8" x14ac:dyDescent="0.2">
      <c r="A702" s="35">
        <f t="shared" si="13"/>
        <v>699</v>
      </c>
      <c r="B702" s="36" t="s">
        <v>2168</v>
      </c>
      <c r="C702" s="36" t="s">
        <v>2169</v>
      </c>
      <c r="D702" s="36" t="s">
        <v>2</v>
      </c>
      <c r="E702" s="37"/>
      <c r="F702" s="40"/>
      <c r="G702" s="40"/>
      <c r="H702" s="40"/>
    </row>
    <row r="703" spans="1:8" x14ac:dyDescent="0.2">
      <c r="A703" s="35">
        <f t="shared" si="13"/>
        <v>700</v>
      </c>
      <c r="B703" s="36" t="s">
        <v>2170</v>
      </c>
      <c r="C703" s="36" t="s">
        <v>2171</v>
      </c>
      <c r="D703" s="36" t="s">
        <v>989</v>
      </c>
      <c r="E703" s="37"/>
      <c r="F703" s="40"/>
      <c r="G703" s="40"/>
      <c r="H703" s="40"/>
    </row>
    <row r="704" spans="1:8" x14ac:dyDescent="0.2">
      <c r="A704" s="35">
        <f t="shared" si="13"/>
        <v>701</v>
      </c>
      <c r="B704" s="36" t="s">
        <v>2172</v>
      </c>
      <c r="C704" s="36" t="s">
        <v>2173</v>
      </c>
      <c r="D704" s="36" t="s">
        <v>975</v>
      </c>
      <c r="E704" s="37"/>
      <c r="F704" s="40"/>
      <c r="G704" s="40"/>
      <c r="H704" s="40"/>
    </row>
    <row r="705" spans="1:8" x14ac:dyDescent="0.2">
      <c r="A705" s="35">
        <f t="shared" si="13"/>
        <v>702</v>
      </c>
      <c r="B705" s="36" t="s">
        <v>2174</v>
      </c>
      <c r="C705" s="36" t="s">
        <v>2175</v>
      </c>
      <c r="D705" s="36" t="s">
        <v>2</v>
      </c>
      <c r="E705" s="37"/>
      <c r="F705" s="40"/>
      <c r="G705" s="40"/>
      <c r="H705" s="40"/>
    </row>
    <row r="706" spans="1:8" x14ac:dyDescent="0.2">
      <c r="A706" s="35">
        <f t="shared" si="13"/>
        <v>703</v>
      </c>
      <c r="B706" s="36" t="s">
        <v>2176</v>
      </c>
      <c r="C706" s="36" t="s">
        <v>2177</v>
      </c>
      <c r="D706" s="36" t="s">
        <v>2</v>
      </c>
      <c r="E706" s="37"/>
      <c r="F706" s="40"/>
      <c r="G706" s="40"/>
      <c r="H706" s="40"/>
    </row>
    <row r="707" spans="1:8" x14ac:dyDescent="0.2">
      <c r="A707" s="35">
        <f t="shared" si="13"/>
        <v>704</v>
      </c>
      <c r="B707" s="36" t="s">
        <v>2178</v>
      </c>
      <c r="C707" s="36" t="s">
        <v>2179</v>
      </c>
      <c r="D707" s="36" t="s">
        <v>2</v>
      </c>
      <c r="E707" s="37"/>
      <c r="F707" s="40"/>
      <c r="G707" s="40"/>
      <c r="H707" s="40"/>
    </row>
    <row r="708" spans="1:8" x14ac:dyDescent="0.2">
      <c r="A708" s="35">
        <f t="shared" si="13"/>
        <v>705</v>
      </c>
      <c r="B708" s="36" t="s">
        <v>2180</v>
      </c>
      <c r="C708" s="36" t="s">
        <v>2181</v>
      </c>
      <c r="D708" s="36" t="s">
        <v>5</v>
      </c>
      <c r="E708" s="37"/>
      <c r="F708" s="40"/>
      <c r="G708" s="40"/>
      <c r="H708" s="40"/>
    </row>
    <row r="709" spans="1:8" x14ac:dyDescent="0.2">
      <c r="A709" s="35">
        <f t="shared" si="13"/>
        <v>706</v>
      </c>
      <c r="B709" s="36" t="s">
        <v>2182</v>
      </c>
      <c r="C709" s="36" t="s">
        <v>2183</v>
      </c>
      <c r="D709" s="36" t="s">
        <v>2</v>
      </c>
      <c r="E709" s="37"/>
      <c r="F709" s="40"/>
      <c r="G709" s="40"/>
      <c r="H709" s="40"/>
    </row>
    <row r="710" spans="1:8" x14ac:dyDescent="0.2">
      <c r="A710" s="35">
        <f t="shared" si="13"/>
        <v>707</v>
      </c>
      <c r="B710" s="36" t="s">
        <v>2184</v>
      </c>
      <c r="C710" s="36" t="s">
        <v>2185</v>
      </c>
      <c r="D710" s="36" t="s">
        <v>2</v>
      </c>
      <c r="E710" s="37"/>
      <c r="F710" s="40"/>
      <c r="G710" s="40"/>
      <c r="H710" s="40"/>
    </row>
    <row r="711" spans="1:8" x14ac:dyDescent="0.2">
      <c r="A711" s="35">
        <f t="shared" si="13"/>
        <v>708</v>
      </c>
      <c r="B711" s="36" t="s">
        <v>2186</v>
      </c>
      <c r="C711" s="36" t="s">
        <v>2187</v>
      </c>
      <c r="D711" s="36" t="s">
        <v>5</v>
      </c>
      <c r="E711" s="37"/>
      <c r="F711" s="40"/>
      <c r="G711" s="40"/>
      <c r="H711" s="40"/>
    </row>
    <row r="712" spans="1:8" x14ac:dyDescent="0.2">
      <c r="A712" s="35">
        <f t="shared" si="13"/>
        <v>709</v>
      </c>
      <c r="B712" s="36" t="s">
        <v>2188</v>
      </c>
      <c r="C712" s="36" t="s">
        <v>2189</v>
      </c>
      <c r="D712" s="36" t="s">
        <v>2</v>
      </c>
      <c r="E712" s="37"/>
      <c r="F712" s="40"/>
      <c r="G712" s="40"/>
      <c r="H712" s="40"/>
    </row>
    <row r="713" spans="1:8" x14ac:dyDescent="0.2">
      <c r="A713" s="35">
        <f t="shared" si="13"/>
        <v>710</v>
      </c>
      <c r="B713" s="36" t="s">
        <v>2190</v>
      </c>
      <c r="C713" s="36" t="s">
        <v>2191</v>
      </c>
      <c r="D713" s="36" t="s">
        <v>13</v>
      </c>
      <c r="E713" s="37"/>
      <c r="F713" s="40"/>
      <c r="G713" s="40"/>
      <c r="H713" s="40"/>
    </row>
    <row r="714" spans="1:8" x14ac:dyDescent="0.2">
      <c r="A714" s="35">
        <f t="shared" si="13"/>
        <v>711</v>
      </c>
      <c r="B714" s="36" t="s">
        <v>2192</v>
      </c>
      <c r="C714" s="36" t="s">
        <v>2193</v>
      </c>
      <c r="D714" s="36" t="s">
        <v>2</v>
      </c>
      <c r="E714" s="37"/>
      <c r="F714" s="40"/>
      <c r="G714" s="40"/>
      <c r="H714" s="40"/>
    </row>
    <row r="715" spans="1:8" x14ac:dyDescent="0.2">
      <c r="A715" s="35">
        <f t="shared" si="13"/>
        <v>712</v>
      </c>
      <c r="B715" s="36" t="s">
        <v>2194</v>
      </c>
      <c r="C715" s="36" t="s">
        <v>2195</v>
      </c>
      <c r="D715" s="36" t="s">
        <v>2</v>
      </c>
      <c r="E715" s="37"/>
      <c r="F715" s="40"/>
      <c r="G715" s="40"/>
      <c r="H715" s="40"/>
    </row>
    <row r="716" spans="1:8" x14ac:dyDescent="0.2">
      <c r="A716" s="35">
        <f t="shared" si="13"/>
        <v>713</v>
      </c>
      <c r="E716" s="37"/>
      <c r="F716" s="40"/>
      <c r="G716" s="40"/>
      <c r="H716" s="40"/>
    </row>
    <row r="717" spans="1:8" x14ac:dyDescent="0.2">
      <c r="E717" s="37"/>
    </row>
    <row r="718" spans="1:8" x14ac:dyDescent="0.2">
      <c r="E718" s="37"/>
    </row>
  </sheetData>
  <conditionalFormatting sqref="C4:C715">
    <cfRule type="duplicateValues" dxfId="2" priority="26"/>
  </conditionalFormatting>
  <hyperlinks>
    <hyperlink ref="B4" r:id="rId1" xr:uid="{F8EE75B5-AC7C-4E3F-B4B5-442F96E5B1EC}"/>
    <hyperlink ref="B5" r:id="rId2" xr:uid="{5FBB7213-5B3C-442B-A9FF-2E66AB3E1A6A}"/>
    <hyperlink ref="B6" r:id="rId3" xr:uid="{7F0A0097-4057-4654-8CDC-E856A3A32E51}"/>
    <hyperlink ref="B7" r:id="rId4" xr:uid="{39C52992-2BB4-4190-813D-6E2C6E4989EE}"/>
    <hyperlink ref="B10" r:id="rId5" xr:uid="{21EC1325-3C3C-4EBE-90BD-DAA2D5A658E8}"/>
    <hyperlink ref="B12" r:id="rId6" xr:uid="{7E148558-D0E6-4087-8512-A5BBEE9D994E}"/>
    <hyperlink ref="B14" r:id="rId7" xr:uid="{5536A44E-190B-4A5B-BAC3-F8B515384762}"/>
    <hyperlink ref="B16" r:id="rId8" xr:uid="{9F13DB4F-26E2-4956-8CC6-182E1E55D318}"/>
    <hyperlink ref="B20" r:id="rId9" xr:uid="{A04A564B-ED5E-41EF-82FB-F974FF20CDEB}"/>
    <hyperlink ref="A1" location="Main!A1" display="Main " xr:uid="{5C78AAD4-0BC5-4719-962B-2EA3CC0CB4D6}"/>
    <hyperlink ref="B8" r:id="rId10" xr:uid="{70A4A8D6-1360-4C23-85A1-0F667A7C58E1}"/>
    <hyperlink ref="B42" r:id="rId11" xr:uid="{DA061B37-674F-4C66-9D74-38B76783E05E}"/>
    <hyperlink ref="B31" r:id="rId12" xr:uid="{38B7ED55-9140-441E-B9FF-FEEA64277F66}"/>
    <hyperlink ref="B35" r:id="rId13" xr:uid="{A700572E-6753-4DD7-A28A-62BCE144E86A}"/>
    <hyperlink ref="B88" r:id="rId14" xr:uid="{3457B889-1A47-4E63-8812-FE0787F35087}"/>
    <hyperlink ref="B13" r:id="rId15" xr:uid="{2DD2D347-7F3F-45FE-A5E5-3B9EC18C64EE}"/>
    <hyperlink ref="B15" r:id="rId16" xr:uid="{1FDB284B-1A5D-4931-9AAD-0F3864ABD7F5}"/>
    <hyperlink ref="B23" r:id="rId17" xr:uid="{33BC2320-B045-4D21-87F5-3C873C49E81A}"/>
    <hyperlink ref="B41" r:id="rId18" xr:uid="{1784E1D2-BC27-43E8-A4AD-90FDBD7C1C62}"/>
    <hyperlink ref="B9" r:id="rId19" xr:uid="{4902F24C-008D-4471-B676-7BE9447F865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AA28-440B-416B-A441-CF08A847EF57}">
  <dimension ref="A1:AV304"/>
  <sheetViews>
    <sheetView zoomScale="200" zoomScaleNormal="200" workbookViewId="0">
      <pane ySplit="3" topLeftCell="A13" activePane="bottomLeft" state="frozen"/>
      <selection pane="bottomLeft" activeCell="B28" sqref="B28"/>
    </sheetView>
  </sheetViews>
  <sheetFormatPr defaultRowHeight="13.5" x14ac:dyDescent="0.25"/>
  <cols>
    <col min="1" max="1" width="4.5703125" style="4" customWidth="1"/>
    <col min="2" max="2" width="27.140625" style="4" customWidth="1"/>
    <col min="3" max="16384" width="9.140625" style="4"/>
  </cols>
  <sheetData>
    <row r="1" spans="1:48" x14ac:dyDescent="0.25">
      <c r="A1" s="1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x14ac:dyDescent="0.25">
      <c r="A3" s="17" t="s">
        <v>224</v>
      </c>
      <c r="B3" s="18" t="s">
        <v>223</v>
      </c>
      <c r="C3" s="18" t="s">
        <v>222</v>
      </c>
      <c r="D3" s="18" t="s">
        <v>221</v>
      </c>
      <c r="E3" s="19" t="s">
        <v>229</v>
      </c>
      <c r="F3" s="19" t="s">
        <v>230</v>
      </c>
      <c r="G3" s="19" t="s">
        <v>231</v>
      </c>
      <c r="H3" s="19" t="s">
        <v>232</v>
      </c>
      <c r="I3" s="19" t="s">
        <v>416</v>
      </c>
      <c r="J3" s="18" t="s">
        <v>2196</v>
      </c>
      <c r="K3" s="18"/>
      <c r="L3" s="18" t="s">
        <v>340</v>
      </c>
      <c r="M3" s="2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x14ac:dyDescent="0.25">
      <c r="A4" s="8">
        <v>1</v>
      </c>
      <c r="B4" s="1" t="s">
        <v>418</v>
      </c>
      <c r="C4" s="3" t="s">
        <v>419</v>
      </c>
      <c r="D4" s="3" t="s">
        <v>2</v>
      </c>
      <c r="E4" s="3">
        <f>+[19]Main!$H$2</f>
        <v>75.69</v>
      </c>
      <c r="F4" s="10">
        <f>+[19]Main!$H$4</f>
        <v>155778.79875327001</v>
      </c>
      <c r="G4" s="10">
        <f>+[19]Main!$H$6-[19]Main!$H$5</f>
        <v>2888</v>
      </c>
      <c r="H4" s="10">
        <f>+F4+G4</f>
        <v>158666.79875327001</v>
      </c>
      <c r="I4" s="11" t="s">
        <v>2200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x14ac:dyDescent="0.25">
      <c r="A5" s="8">
        <f>+A4+1</f>
        <v>2</v>
      </c>
      <c r="B5" s="1" t="s">
        <v>420</v>
      </c>
      <c r="C5" s="3" t="s">
        <v>421</v>
      </c>
      <c r="D5" s="3" t="s">
        <v>2</v>
      </c>
      <c r="E5" s="3">
        <f>+[20]Main!$L$2</f>
        <v>221.76</v>
      </c>
      <c r="F5" s="10">
        <f>+[20]Main!$L$4</f>
        <v>131513.36337216001</v>
      </c>
      <c r="G5" s="10">
        <f>+[20]Main!$L$6-[20]Main!$L$5</f>
        <v>31753</v>
      </c>
      <c r="H5" s="10">
        <f>+F5+G5</f>
        <v>163266.36337216001</v>
      </c>
      <c r="I5" s="22" t="s">
        <v>2218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x14ac:dyDescent="0.25">
      <c r="A6" s="8">
        <f t="shared" ref="A6:A69" si="0">+A5+1</f>
        <v>3</v>
      </c>
      <c r="B6" s="1" t="s">
        <v>422</v>
      </c>
      <c r="C6" s="3" t="s">
        <v>423</v>
      </c>
      <c r="D6" s="3" t="s">
        <v>2</v>
      </c>
      <c r="E6" s="3">
        <f>+[21]Main!$J$2</f>
        <v>98.26</v>
      </c>
      <c r="F6" s="10">
        <f>+[21]Main!$J$4</f>
        <v>83206.352417560003</v>
      </c>
      <c r="G6" s="10">
        <f>+[21]Main!$J$6-[21]Main!$J$5</f>
        <v>16304</v>
      </c>
      <c r="H6" s="10">
        <f>+F6+G6</f>
        <v>99510.352417560003</v>
      </c>
      <c r="I6" s="11" t="s">
        <v>2200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x14ac:dyDescent="0.25">
      <c r="A7" s="8">
        <f t="shared" si="0"/>
        <v>4</v>
      </c>
      <c r="B7" s="1" t="s">
        <v>424</v>
      </c>
      <c r="C7" s="3" t="s">
        <v>425</v>
      </c>
      <c r="D7" s="3" t="s">
        <v>975</v>
      </c>
      <c r="E7" s="3">
        <f>+[22]Main!$K$2</f>
        <v>114</v>
      </c>
      <c r="F7" s="10">
        <f>+[22]Main!$K$4*FX!C9</f>
        <v>76597.055999999997</v>
      </c>
      <c r="G7" s="10">
        <f>+([22]Main!$K$6-[22]Main!$K$5)*FX!C9</f>
        <v>15809.039999999999</v>
      </c>
      <c r="H7" s="10">
        <f>+F7+G7</f>
        <v>92406.09599999999</v>
      </c>
      <c r="I7" s="11" t="s">
        <v>2200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x14ac:dyDescent="0.25">
      <c r="A8" s="8">
        <f t="shared" si="0"/>
        <v>5</v>
      </c>
      <c r="B8" s="1" t="s">
        <v>426</v>
      </c>
      <c r="C8" s="3" t="s">
        <v>427</v>
      </c>
      <c r="D8" s="3" t="s">
        <v>975</v>
      </c>
      <c r="E8" s="12">
        <f>+[23]Main!$K$2</f>
        <v>150.99</v>
      </c>
      <c r="F8" s="10">
        <f>+[23]Main!$K$4*FX!C9</f>
        <v>68362.398042069603</v>
      </c>
      <c r="G8" s="10">
        <f>+([23]Main!$K$6-[23]Main!$K$5)*FX!C9</f>
        <v>14754.96</v>
      </c>
      <c r="H8" s="10">
        <f>+F8+G8</f>
        <v>83117.358042069594</v>
      </c>
      <c r="I8" s="11" t="s">
        <v>236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x14ac:dyDescent="0.25">
      <c r="A9" s="8">
        <f t="shared" si="0"/>
        <v>6</v>
      </c>
      <c r="B9" s="3" t="s">
        <v>428</v>
      </c>
      <c r="C9" s="3" t="s">
        <v>429</v>
      </c>
      <c r="D9" s="3" t="s">
        <v>2</v>
      </c>
      <c r="E9" s="3"/>
      <c r="F9" s="10"/>
      <c r="G9" s="10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 spans="1:48" x14ac:dyDescent="0.25">
      <c r="A10" s="8">
        <f t="shared" si="0"/>
        <v>7</v>
      </c>
      <c r="B10" s="3" t="s">
        <v>430</v>
      </c>
      <c r="C10" s="3" t="s">
        <v>431</v>
      </c>
      <c r="D10" s="3" t="s">
        <v>2</v>
      </c>
      <c r="E10" s="3"/>
      <c r="F10" s="10"/>
      <c r="G10" s="10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 spans="1:48" x14ac:dyDescent="0.25">
      <c r="A11" s="8">
        <f t="shared" si="0"/>
        <v>8</v>
      </c>
      <c r="B11" s="3" t="s">
        <v>432</v>
      </c>
      <c r="C11" s="3" t="s">
        <v>433</v>
      </c>
      <c r="D11" s="3" t="s">
        <v>2</v>
      </c>
      <c r="E11" s="3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 spans="1:48" x14ac:dyDescent="0.25">
      <c r="A12" s="8">
        <f t="shared" si="0"/>
        <v>9</v>
      </c>
      <c r="B12" s="3" t="s">
        <v>434</v>
      </c>
      <c r="C12" s="3" t="s">
        <v>435</v>
      </c>
      <c r="D12" s="3" t="s">
        <v>975</v>
      </c>
      <c r="E12" s="3"/>
      <c r="F12" s="10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 spans="1:48" x14ac:dyDescent="0.25">
      <c r="A13" s="8">
        <f t="shared" si="0"/>
        <v>10</v>
      </c>
      <c r="B13" s="3" t="s">
        <v>436</v>
      </c>
      <c r="C13" s="3" t="s">
        <v>437</v>
      </c>
      <c r="D13" s="3" t="s">
        <v>31</v>
      </c>
      <c r="E13" s="3"/>
      <c r="F13" s="10"/>
      <c r="G13" s="10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x14ac:dyDescent="0.25">
      <c r="A14" s="8">
        <f t="shared" si="0"/>
        <v>11</v>
      </c>
      <c r="B14" s="3" t="s">
        <v>438</v>
      </c>
      <c r="C14" s="3" t="s">
        <v>439</v>
      </c>
      <c r="D14" s="3" t="s">
        <v>204</v>
      </c>
      <c r="E14" s="3"/>
      <c r="F14" s="10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 spans="1:48" x14ac:dyDescent="0.25">
      <c r="A15" s="8">
        <f t="shared" si="0"/>
        <v>12</v>
      </c>
      <c r="B15" s="1" t="s">
        <v>440</v>
      </c>
      <c r="C15" s="3" t="s">
        <v>441</v>
      </c>
      <c r="D15" s="3" t="s">
        <v>2</v>
      </c>
      <c r="E15" s="3">
        <f>+[24]Main!$J$2</f>
        <v>159.69999999999999</v>
      </c>
      <c r="F15" s="10">
        <f>+[24]Main!$J$4</f>
        <v>33748.665421799997</v>
      </c>
      <c r="G15" s="10">
        <f>+[24]Main!$J$6-[24]Main!$J$5</f>
        <v>-37.207999999999991</v>
      </c>
      <c r="H15" s="10">
        <f>+F15+G15</f>
        <v>33711.457421799998</v>
      </c>
      <c r="I15" s="11" t="s">
        <v>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x14ac:dyDescent="0.25">
      <c r="A16" s="8">
        <f t="shared" si="0"/>
        <v>13</v>
      </c>
      <c r="B16" s="3" t="s">
        <v>442</v>
      </c>
      <c r="C16" s="3" t="s">
        <v>443</v>
      </c>
      <c r="D16" s="3" t="s">
        <v>5</v>
      </c>
      <c r="E16" s="3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 spans="1:48" x14ac:dyDescent="0.25">
      <c r="A17" s="8">
        <f t="shared" si="0"/>
        <v>14</v>
      </c>
      <c r="B17" s="1" t="s">
        <v>444</v>
      </c>
      <c r="C17" s="3" t="s">
        <v>445</v>
      </c>
      <c r="D17" s="3" t="s">
        <v>2</v>
      </c>
      <c r="E17" s="3">
        <f>+[25]Main!$J$2</f>
        <v>41.41</v>
      </c>
      <c r="F17" s="10">
        <f>+[25]Main!$J$4</f>
        <v>27038.873548289997</v>
      </c>
      <c r="G17" s="10">
        <f>+[25]Main!$J$6-[25]Main!$J$5</f>
        <v>12113</v>
      </c>
      <c r="H17" s="10">
        <f>+F17+G17</f>
        <v>39151.873548289994</v>
      </c>
      <c r="I17" s="11" t="s">
        <v>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 x14ac:dyDescent="0.25">
      <c r="A18" s="8">
        <f t="shared" si="0"/>
        <v>15</v>
      </c>
      <c r="B18" s="3" t="s">
        <v>446</v>
      </c>
      <c r="C18" s="3" t="s">
        <v>447</v>
      </c>
      <c r="D18" s="3" t="s">
        <v>31</v>
      </c>
      <c r="E18" s="3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 spans="1:48" x14ac:dyDescent="0.25">
      <c r="A19" s="8">
        <f t="shared" si="0"/>
        <v>16</v>
      </c>
      <c r="B19" s="3" t="s">
        <v>448</v>
      </c>
      <c r="C19" s="3" t="s">
        <v>449</v>
      </c>
      <c r="D19" s="3" t="s">
        <v>56</v>
      </c>
      <c r="E19" s="3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 spans="1:48" x14ac:dyDescent="0.25">
      <c r="A20" s="8">
        <f t="shared" si="0"/>
        <v>17</v>
      </c>
      <c r="B20" s="1" t="s">
        <v>450</v>
      </c>
      <c r="C20" s="3" t="s">
        <v>451</v>
      </c>
      <c r="D20" s="3" t="s">
        <v>10</v>
      </c>
      <c r="E20" s="3">
        <f>+[26]Main!$K$2</f>
        <v>3048</v>
      </c>
      <c r="F20" s="10">
        <f>+[26]Main!$K$4*FX!C6</f>
        <v>22758.353483659201</v>
      </c>
      <c r="G20" s="10">
        <f>+([26]Main!$K$6-[26]Main!$K$5)*FX!C6</f>
        <v>28538.518800000002</v>
      </c>
      <c r="H20" s="10">
        <f>+F20+G20</f>
        <v>51296.872283659206</v>
      </c>
      <c r="I20" s="11" t="s">
        <v>2199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 spans="1:48" x14ac:dyDescent="0.25">
      <c r="A21" s="8">
        <f t="shared" si="0"/>
        <v>18</v>
      </c>
      <c r="B21" s="3" t="s">
        <v>452</v>
      </c>
      <c r="C21" s="3" t="s">
        <v>453</v>
      </c>
      <c r="D21" s="3" t="s">
        <v>204</v>
      </c>
      <c r="E21" s="3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x14ac:dyDescent="0.25">
      <c r="A22" s="8">
        <f t="shared" si="0"/>
        <v>19</v>
      </c>
      <c r="B22" s="3" t="s">
        <v>454</v>
      </c>
      <c r="C22" s="3" t="s">
        <v>455</v>
      </c>
      <c r="D22" s="3" t="s">
        <v>47</v>
      </c>
      <c r="E22" s="3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x14ac:dyDescent="0.25">
      <c r="A23" s="8">
        <f t="shared" si="0"/>
        <v>20</v>
      </c>
      <c r="B23" s="3" t="s">
        <v>456</v>
      </c>
      <c r="C23" s="3" t="s">
        <v>457</v>
      </c>
      <c r="D23" s="3" t="s">
        <v>976</v>
      </c>
      <c r="E23" s="3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x14ac:dyDescent="0.25">
      <c r="A24" s="8">
        <f t="shared" si="0"/>
        <v>21</v>
      </c>
      <c r="B24" s="3" t="s">
        <v>458</v>
      </c>
      <c r="C24" s="3" t="s">
        <v>459</v>
      </c>
      <c r="D24" s="3" t="s">
        <v>2</v>
      </c>
      <c r="E24" s="3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x14ac:dyDescent="0.25">
      <c r="A25" s="8">
        <f t="shared" si="0"/>
        <v>22</v>
      </c>
      <c r="B25" s="3" t="s">
        <v>460</v>
      </c>
      <c r="C25" s="3" t="s">
        <v>461</v>
      </c>
      <c r="D25" s="3" t="s">
        <v>975</v>
      </c>
      <c r="E25" s="3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x14ac:dyDescent="0.25">
      <c r="A26" s="8">
        <f t="shared" si="0"/>
        <v>23</v>
      </c>
      <c r="B26" s="3" t="s">
        <v>462</v>
      </c>
      <c r="C26" s="3" t="s">
        <v>463</v>
      </c>
      <c r="D26" s="3" t="s">
        <v>10</v>
      </c>
      <c r="E26" s="3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x14ac:dyDescent="0.25">
      <c r="A27" s="8">
        <f t="shared" si="0"/>
        <v>24</v>
      </c>
      <c r="B27" s="3" t="s">
        <v>464</v>
      </c>
      <c r="C27" s="3" t="s">
        <v>465</v>
      </c>
      <c r="D27" s="3" t="s">
        <v>977</v>
      </c>
      <c r="E27" s="3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x14ac:dyDescent="0.25">
      <c r="A28" s="8">
        <f t="shared" si="0"/>
        <v>25</v>
      </c>
      <c r="B28" s="3" t="s">
        <v>466</v>
      </c>
      <c r="C28" s="3" t="s">
        <v>467</v>
      </c>
      <c r="D28" s="3" t="s">
        <v>5</v>
      </c>
      <c r="E28" s="3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x14ac:dyDescent="0.25">
      <c r="A29" s="8">
        <f t="shared" si="0"/>
        <v>26</v>
      </c>
      <c r="B29" s="3" t="s">
        <v>468</v>
      </c>
      <c r="C29" s="3" t="s">
        <v>469</v>
      </c>
      <c r="D29" s="3" t="s">
        <v>13</v>
      </c>
      <c r="E29" s="3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x14ac:dyDescent="0.25">
      <c r="A30" s="8">
        <f t="shared" si="0"/>
        <v>27</v>
      </c>
      <c r="B30" s="3" t="s">
        <v>470</v>
      </c>
      <c r="C30" s="3" t="s">
        <v>471</v>
      </c>
      <c r="D30" s="3" t="s">
        <v>5</v>
      </c>
      <c r="E30" s="3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x14ac:dyDescent="0.25">
      <c r="A31" s="8">
        <f t="shared" si="0"/>
        <v>28</v>
      </c>
      <c r="B31" s="1" t="s">
        <v>472</v>
      </c>
      <c r="C31" s="3" t="s">
        <v>473</v>
      </c>
      <c r="D31" s="3" t="s">
        <v>2</v>
      </c>
      <c r="E31" s="3">
        <f>+[27]Main!$J$2</f>
        <v>114.99</v>
      </c>
      <c r="F31" s="10">
        <f>+[27]Main!$J$4</f>
        <v>15747.656844450001</v>
      </c>
      <c r="G31" s="10">
        <f>+[27]Main!$J$6-[27]Main!$J$5</f>
        <v>-1318.52</v>
      </c>
      <c r="H31" s="10">
        <f>+F31+G31</f>
        <v>14429.13684445</v>
      </c>
      <c r="I31" s="11" t="s">
        <v>2200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</row>
    <row r="32" spans="1:48" x14ac:dyDescent="0.25">
      <c r="A32" s="8">
        <f t="shared" si="0"/>
        <v>29</v>
      </c>
      <c r="B32" s="3" t="s">
        <v>474</v>
      </c>
      <c r="C32" s="3" t="s">
        <v>475</v>
      </c>
      <c r="D32" s="3" t="s">
        <v>2</v>
      </c>
      <c r="E32" s="3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</row>
    <row r="33" spans="1:48" x14ac:dyDescent="0.25">
      <c r="A33" s="8">
        <f t="shared" si="0"/>
        <v>30</v>
      </c>
      <c r="B33" s="3" t="s">
        <v>476</v>
      </c>
      <c r="C33" s="3" t="s">
        <v>477</v>
      </c>
      <c r="D33" s="3" t="s">
        <v>10</v>
      </c>
      <c r="E33" s="3"/>
      <c r="F33" s="10"/>
      <c r="G33" s="10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</row>
    <row r="34" spans="1:48" x14ac:dyDescent="0.25">
      <c r="A34" s="8">
        <f t="shared" si="0"/>
        <v>31</v>
      </c>
      <c r="B34" s="3" t="s">
        <v>478</v>
      </c>
      <c r="C34" s="3" t="s">
        <v>479</v>
      </c>
      <c r="D34" s="3" t="s">
        <v>13</v>
      </c>
      <c r="E34" s="3"/>
      <c r="F34" s="10"/>
      <c r="G34" s="10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</row>
    <row r="35" spans="1:48" x14ac:dyDescent="0.25">
      <c r="A35" s="8">
        <f t="shared" si="0"/>
        <v>32</v>
      </c>
      <c r="B35" s="3" t="s">
        <v>480</v>
      </c>
      <c r="C35" s="3" t="s">
        <v>481</v>
      </c>
      <c r="D35" s="3" t="s">
        <v>179</v>
      </c>
      <c r="E35" s="3"/>
      <c r="F35" s="10"/>
      <c r="G35" s="10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</row>
    <row r="36" spans="1:48" x14ac:dyDescent="0.25">
      <c r="A36" s="8">
        <f t="shared" si="0"/>
        <v>33</v>
      </c>
      <c r="B36" s="3" t="s">
        <v>482</v>
      </c>
      <c r="C36" s="3" t="s">
        <v>483</v>
      </c>
      <c r="D36" s="3" t="s">
        <v>2</v>
      </c>
      <c r="E36" s="3"/>
      <c r="F36" s="10"/>
      <c r="G36" s="10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x14ac:dyDescent="0.25">
      <c r="A37" s="8">
        <f t="shared" si="0"/>
        <v>34</v>
      </c>
      <c r="B37" s="3" t="s">
        <v>484</v>
      </c>
      <c r="C37" s="3" t="s">
        <v>485</v>
      </c>
      <c r="D37" s="3" t="s">
        <v>5</v>
      </c>
      <c r="E37" s="3"/>
      <c r="F37" s="10"/>
      <c r="G37" s="10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x14ac:dyDescent="0.25">
      <c r="A38" s="8">
        <f t="shared" si="0"/>
        <v>35</v>
      </c>
      <c r="B38" s="3" t="s">
        <v>486</v>
      </c>
      <c r="C38" s="3" t="s">
        <v>487</v>
      </c>
      <c r="D38" s="3" t="s">
        <v>10</v>
      </c>
      <c r="E38" s="3"/>
      <c r="F38" s="10"/>
      <c r="G38" s="10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x14ac:dyDescent="0.25">
      <c r="A39" s="8">
        <f t="shared" si="0"/>
        <v>36</v>
      </c>
      <c r="B39" s="3" t="s">
        <v>488</v>
      </c>
      <c r="C39" s="3" t="s">
        <v>489</v>
      </c>
      <c r="D39" s="3" t="s">
        <v>61</v>
      </c>
      <c r="E39" s="3"/>
      <c r="F39" s="10"/>
      <c r="G39" s="10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x14ac:dyDescent="0.25">
      <c r="A40" s="8">
        <f t="shared" si="0"/>
        <v>37</v>
      </c>
      <c r="B40" s="3" t="s">
        <v>490</v>
      </c>
      <c r="C40" s="3" t="s">
        <v>491</v>
      </c>
      <c r="D40" s="3" t="s">
        <v>2</v>
      </c>
      <c r="E40" s="3"/>
      <c r="F40" s="10"/>
      <c r="G40" s="10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x14ac:dyDescent="0.25">
      <c r="A41" s="8">
        <f t="shared" si="0"/>
        <v>38</v>
      </c>
      <c r="B41" s="3" t="s">
        <v>492</v>
      </c>
      <c r="C41" s="3" t="s">
        <v>493</v>
      </c>
      <c r="D41" s="3" t="s">
        <v>2</v>
      </c>
      <c r="E41" s="3"/>
      <c r="F41" s="10"/>
      <c r="G41" s="10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</row>
    <row r="42" spans="1:48" x14ac:dyDescent="0.25">
      <c r="A42" s="8">
        <f t="shared" si="0"/>
        <v>39</v>
      </c>
      <c r="B42" s="3" t="s">
        <v>494</v>
      </c>
      <c r="C42" s="3" t="s">
        <v>495</v>
      </c>
      <c r="D42" s="3" t="s">
        <v>266</v>
      </c>
      <c r="E42" s="3"/>
      <c r="F42" s="10"/>
      <c r="G42" s="10"/>
      <c r="H42" s="1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</row>
    <row r="43" spans="1:48" x14ac:dyDescent="0.25">
      <c r="A43" s="8">
        <f t="shared" si="0"/>
        <v>40</v>
      </c>
      <c r="B43" s="3" t="s">
        <v>496</v>
      </c>
      <c r="C43" s="3" t="s">
        <v>497</v>
      </c>
      <c r="D43" s="3" t="s">
        <v>5</v>
      </c>
      <c r="E43" s="3"/>
      <c r="F43" s="10"/>
      <c r="G43" s="10"/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x14ac:dyDescent="0.25">
      <c r="A44" s="8">
        <f t="shared" si="0"/>
        <v>41</v>
      </c>
      <c r="B44" s="3" t="s">
        <v>498</v>
      </c>
      <c r="C44" s="3" t="s">
        <v>499</v>
      </c>
      <c r="D44" s="3" t="s">
        <v>2</v>
      </c>
      <c r="E44" s="3"/>
      <c r="F44" s="10"/>
      <c r="G44" s="10"/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</row>
    <row r="45" spans="1:48" x14ac:dyDescent="0.25">
      <c r="A45" s="8">
        <f t="shared" si="0"/>
        <v>42</v>
      </c>
      <c r="B45" s="3" t="s">
        <v>500</v>
      </c>
      <c r="C45" s="3" t="s">
        <v>501</v>
      </c>
      <c r="D45" s="3" t="s">
        <v>5</v>
      </c>
      <c r="E45" s="3"/>
      <c r="F45" s="10"/>
      <c r="G45" s="10"/>
      <c r="H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</row>
    <row r="46" spans="1:48" x14ac:dyDescent="0.25">
      <c r="A46" s="8">
        <f t="shared" si="0"/>
        <v>43</v>
      </c>
      <c r="B46" s="3" t="s">
        <v>502</v>
      </c>
      <c r="C46" s="3" t="s">
        <v>503</v>
      </c>
      <c r="D46" s="3" t="s">
        <v>10</v>
      </c>
      <c r="E46" s="3"/>
      <c r="F46" s="10"/>
      <c r="G46" s="10"/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</row>
    <row r="47" spans="1:48" x14ac:dyDescent="0.25">
      <c r="A47" s="8">
        <f t="shared" si="0"/>
        <v>44</v>
      </c>
      <c r="B47" s="3" t="s">
        <v>504</v>
      </c>
      <c r="C47" s="3" t="s">
        <v>505</v>
      </c>
      <c r="D47" s="3" t="s">
        <v>2</v>
      </c>
      <c r="E47" s="3"/>
      <c r="F47" s="10"/>
      <c r="G47" s="10"/>
      <c r="H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</row>
    <row r="48" spans="1:48" x14ac:dyDescent="0.25">
      <c r="A48" s="8">
        <f t="shared" si="0"/>
        <v>45</v>
      </c>
      <c r="B48" s="3" t="s">
        <v>506</v>
      </c>
      <c r="C48" s="3" t="s">
        <v>507</v>
      </c>
      <c r="D48" s="3" t="s">
        <v>166</v>
      </c>
      <c r="E48" s="3"/>
      <c r="F48" s="10"/>
      <c r="G48" s="10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</row>
    <row r="49" spans="1:48" x14ac:dyDescent="0.25">
      <c r="A49" s="8">
        <f t="shared" si="0"/>
        <v>46</v>
      </c>
      <c r="B49" s="3" t="s">
        <v>508</v>
      </c>
      <c r="C49" s="3" t="s">
        <v>509</v>
      </c>
      <c r="D49" s="3" t="s">
        <v>2</v>
      </c>
      <c r="E49" s="3"/>
      <c r="F49" s="10"/>
      <c r="G49" s="10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</row>
    <row r="50" spans="1:48" x14ac:dyDescent="0.25">
      <c r="A50" s="8">
        <f t="shared" si="0"/>
        <v>47</v>
      </c>
      <c r="B50" s="3" t="s">
        <v>510</v>
      </c>
      <c r="C50" s="3" t="s">
        <v>511</v>
      </c>
      <c r="D50" s="3" t="s">
        <v>73</v>
      </c>
      <c r="E50" s="3"/>
      <c r="F50" s="10"/>
      <c r="G50" s="10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</row>
    <row r="51" spans="1:48" x14ac:dyDescent="0.25">
      <c r="A51" s="8">
        <f t="shared" si="0"/>
        <v>48</v>
      </c>
      <c r="B51" s="3" t="s">
        <v>512</v>
      </c>
      <c r="C51" s="3" t="s">
        <v>513</v>
      </c>
      <c r="D51" s="3" t="s">
        <v>10</v>
      </c>
      <c r="E51" s="3"/>
      <c r="F51" s="10"/>
      <c r="G51" s="10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spans="1:48" x14ac:dyDescent="0.25">
      <c r="A52" s="8">
        <f t="shared" si="0"/>
        <v>49</v>
      </c>
      <c r="B52" s="3" t="s">
        <v>514</v>
      </c>
      <c r="C52" s="3" t="s">
        <v>515</v>
      </c>
      <c r="D52" s="3" t="s">
        <v>313</v>
      </c>
      <c r="E52" s="3"/>
      <c r="F52" s="10"/>
      <c r="G52" s="10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spans="1:48" x14ac:dyDescent="0.25">
      <c r="A53" s="8">
        <f t="shared" si="0"/>
        <v>50</v>
      </c>
      <c r="B53" s="3" t="s">
        <v>516</v>
      </c>
      <c r="C53" s="3" t="s">
        <v>517</v>
      </c>
      <c r="D53" s="3" t="s">
        <v>238</v>
      </c>
      <c r="E53" s="3"/>
      <c r="F53" s="10"/>
      <c r="G53" s="10"/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spans="1:48" x14ac:dyDescent="0.25">
      <c r="A54" s="8">
        <f t="shared" si="0"/>
        <v>51</v>
      </c>
      <c r="B54" s="3" t="s">
        <v>518</v>
      </c>
      <c r="C54" s="3" t="s">
        <v>519</v>
      </c>
      <c r="D54" s="3" t="s">
        <v>5</v>
      </c>
      <c r="E54" s="3"/>
      <c r="F54" s="10"/>
      <c r="G54" s="10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spans="1:48" x14ac:dyDescent="0.25">
      <c r="A55" s="8">
        <f t="shared" si="0"/>
        <v>52</v>
      </c>
      <c r="B55" s="3" t="s">
        <v>520</v>
      </c>
      <c r="C55" s="3" t="s">
        <v>521</v>
      </c>
      <c r="D55" s="3" t="s">
        <v>10</v>
      </c>
      <c r="E55" s="3"/>
      <c r="F55" s="10"/>
      <c r="G55" s="10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spans="1:48" x14ac:dyDescent="0.25">
      <c r="A56" s="8">
        <f t="shared" si="0"/>
        <v>53</v>
      </c>
      <c r="B56" s="3" t="s">
        <v>522</v>
      </c>
      <c r="C56" s="3" t="s">
        <v>523</v>
      </c>
      <c r="D56" s="3" t="s">
        <v>31</v>
      </c>
      <c r="E56" s="3"/>
      <c r="F56" s="10"/>
      <c r="G56" s="10"/>
      <c r="H56" s="1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spans="1:48" x14ac:dyDescent="0.25">
      <c r="A57" s="8">
        <f t="shared" si="0"/>
        <v>54</v>
      </c>
      <c r="B57" s="3" t="s">
        <v>524</v>
      </c>
      <c r="C57" s="3" t="s">
        <v>525</v>
      </c>
      <c r="D57" s="3" t="s">
        <v>977</v>
      </c>
      <c r="E57" s="3"/>
      <c r="F57" s="10"/>
      <c r="G57" s="10"/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spans="1:48" x14ac:dyDescent="0.25">
      <c r="A58" s="8">
        <f t="shared" si="0"/>
        <v>55</v>
      </c>
      <c r="B58" s="3" t="s">
        <v>526</v>
      </c>
      <c r="C58" s="3" t="s">
        <v>527</v>
      </c>
      <c r="D58" s="3" t="s">
        <v>10</v>
      </c>
      <c r="E58" s="3"/>
      <c r="F58" s="10"/>
      <c r="G58" s="10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spans="1:48" x14ac:dyDescent="0.25">
      <c r="A59" s="8">
        <f t="shared" si="0"/>
        <v>56</v>
      </c>
      <c r="B59" s="3" t="s">
        <v>528</v>
      </c>
      <c r="C59" s="3" t="s">
        <v>529</v>
      </c>
      <c r="D59" s="3" t="s">
        <v>179</v>
      </c>
      <c r="E59" s="3"/>
      <c r="F59" s="10"/>
      <c r="G59" s="10"/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spans="1:48" x14ac:dyDescent="0.25">
      <c r="A60" s="8">
        <f t="shared" si="0"/>
        <v>57</v>
      </c>
      <c r="B60" s="3" t="s">
        <v>530</v>
      </c>
      <c r="C60" s="3" t="s">
        <v>531</v>
      </c>
      <c r="D60" s="3" t="s">
        <v>73</v>
      </c>
      <c r="E60" s="3"/>
      <c r="F60" s="10"/>
      <c r="G60" s="10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spans="1:48" x14ac:dyDescent="0.25">
      <c r="A61" s="8">
        <f t="shared" si="0"/>
        <v>58</v>
      </c>
      <c r="B61" s="3" t="s">
        <v>532</v>
      </c>
      <c r="C61" s="3" t="s">
        <v>533</v>
      </c>
      <c r="D61" s="3" t="s">
        <v>68</v>
      </c>
      <c r="E61" s="3"/>
      <c r="F61" s="10"/>
      <c r="G61" s="10"/>
      <c r="H61" s="1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spans="1:48" x14ac:dyDescent="0.25">
      <c r="A62" s="8">
        <f t="shared" si="0"/>
        <v>59</v>
      </c>
      <c r="B62" s="3" t="s">
        <v>534</v>
      </c>
      <c r="C62" s="3" t="s">
        <v>535</v>
      </c>
      <c r="D62" s="3" t="s">
        <v>5</v>
      </c>
      <c r="E62" s="3"/>
      <c r="F62" s="10"/>
      <c r="G62" s="10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spans="1:48" x14ac:dyDescent="0.25">
      <c r="A63" s="8">
        <f t="shared" si="0"/>
        <v>60</v>
      </c>
      <c r="B63" s="3" t="s">
        <v>536</v>
      </c>
      <c r="C63" s="3" t="s">
        <v>537</v>
      </c>
      <c r="D63" s="3" t="s">
        <v>978</v>
      </c>
      <c r="E63" s="3"/>
      <c r="F63" s="10"/>
      <c r="G63" s="10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spans="1:48" x14ac:dyDescent="0.25">
      <c r="A64" s="8">
        <f t="shared" si="0"/>
        <v>61</v>
      </c>
      <c r="B64" s="3" t="s">
        <v>538</v>
      </c>
      <c r="C64" s="3" t="s">
        <v>539</v>
      </c>
      <c r="D64" s="3" t="s">
        <v>979</v>
      </c>
      <c r="E64" s="3"/>
      <c r="F64" s="10"/>
      <c r="G64" s="10"/>
      <c r="H64" s="1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spans="1:48" x14ac:dyDescent="0.25">
      <c r="A65" s="8">
        <f t="shared" si="0"/>
        <v>62</v>
      </c>
      <c r="B65" s="3" t="s">
        <v>540</v>
      </c>
      <c r="C65" s="3" t="s">
        <v>541</v>
      </c>
      <c r="D65" s="3" t="s">
        <v>10</v>
      </c>
      <c r="E65" s="3"/>
      <c r="F65" s="10"/>
      <c r="G65" s="10"/>
      <c r="H65" s="1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spans="1:48" x14ac:dyDescent="0.25">
      <c r="A66" s="8">
        <f t="shared" si="0"/>
        <v>63</v>
      </c>
      <c r="B66" s="3" t="s">
        <v>542</v>
      </c>
      <c r="C66" s="3" t="s">
        <v>543</v>
      </c>
      <c r="D66" s="3" t="s">
        <v>975</v>
      </c>
      <c r="E66" s="3"/>
      <c r="F66" s="10"/>
      <c r="G66" s="10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spans="1:48" x14ac:dyDescent="0.25">
      <c r="A67" s="8">
        <f t="shared" si="0"/>
        <v>64</v>
      </c>
      <c r="B67" s="3" t="s">
        <v>544</v>
      </c>
      <c r="C67" s="3" t="s">
        <v>545</v>
      </c>
      <c r="D67" s="3" t="s">
        <v>10</v>
      </c>
      <c r="E67" s="3"/>
      <c r="F67" s="10"/>
      <c r="G67" s="10"/>
      <c r="H67" s="1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spans="1:48" x14ac:dyDescent="0.25">
      <c r="A68" s="8">
        <f t="shared" si="0"/>
        <v>65</v>
      </c>
      <c r="B68" s="3" t="s">
        <v>546</v>
      </c>
      <c r="C68" s="3" t="s">
        <v>547</v>
      </c>
      <c r="D68" s="3" t="s">
        <v>179</v>
      </c>
      <c r="E68" s="3"/>
      <c r="F68" s="10"/>
      <c r="G68" s="10"/>
      <c r="H68" s="1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spans="1:48" x14ac:dyDescent="0.25">
      <c r="A69" s="8">
        <f t="shared" si="0"/>
        <v>66</v>
      </c>
      <c r="B69" s="3" t="s">
        <v>548</v>
      </c>
      <c r="C69" s="3" t="s">
        <v>549</v>
      </c>
      <c r="D69" s="3" t="s">
        <v>73</v>
      </c>
      <c r="E69" s="3"/>
      <c r="F69" s="10"/>
      <c r="G69" s="10"/>
      <c r="H69" s="1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spans="1:48" x14ac:dyDescent="0.25">
      <c r="A70" s="8">
        <f t="shared" ref="A70:A133" si="1">+A69+1</f>
        <v>67</v>
      </c>
      <c r="B70" s="3" t="s">
        <v>550</v>
      </c>
      <c r="C70" s="3" t="s">
        <v>551</v>
      </c>
      <c r="D70" s="3" t="s">
        <v>2</v>
      </c>
      <c r="E70" s="3"/>
      <c r="F70" s="10"/>
      <c r="G70" s="10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spans="1:48" x14ac:dyDescent="0.25">
      <c r="A71" s="8">
        <f t="shared" si="1"/>
        <v>68</v>
      </c>
      <c r="B71" s="3" t="s">
        <v>552</v>
      </c>
      <c r="C71" s="3" t="s">
        <v>553</v>
      </c>
      <c r="D71" s="3" t="s">
        <v>73</v>
      </c>
      <c r="E71" s="3"/>
      <c r="F71" s="10"/>
      <c r="G71" s="10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spans="1:48" x14ac:dyDescent="0.25">
      <c r="A72" s="8">
        <f t="shared" si="1"/>
        <v>69</v>
      </c>
      <c r="B72" s="3" t="s">
        <v>554</v>
      </c>
      <c r="C72" s="3" t="s">
        <v>555</v>
      </c>
      <c r="D72" s="3" t="s">
        <v>179</v>
      </c>
      <c r="E72" s="3"/>
      <c r="F72" s="10"/>
      <c r="G72" s="10"/>
      <c r="H72" s="1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spans="1:48" x14ac:dyDescent="0.25">
      <c r="A73" s="8">
        <f t="shared" si="1"/>
        <v>70</v>
      </c>
      <c r="B73" s="3" t="s">
        <v>556</v>
      </c>
      <c r="C73" s="3" t="s">
        <v>557</v>
      </c>
      <c r="D73" s="3" t="s">
        <v>2</v>
      </c>
      <c r="E73" s="3"/>
      <c r="F73" s="10"/>
      <c r="G73" s="10"/>
      <c r="H73" s="1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spans="1:48" x14ac:dyDescent="0.25">
      <c r="A74" s="8">
        <f t="shared" si="1"/>
        <v>71</v>
      </c>
      <c r="B74" s="1" t="s">
        <v>558</v>
      </c>
      <c r="C74" s="3" t="s">
        <v>559</v>
      </c>
      <c r="D74" s="3" t="s">
        <v>2</v>
      </c>
      <c r="E74" s="3">
        <f>+[28]Main!$J$2</f>
        <v>160.88</v>
      </c>
      <c r="F74" s="10">
        <f>+[28]Main!$J$4</f>
        <v>6650.9066169600001</v>
      </c>
      <c r="G74" s="10">
        <f>+[28]Main!$J$7</f>
        <v>14264.906616960001</v>
      </c>
      <c r="H74" s="10">
        <f>+F74+G74</f>
        <v>20915.813233920002</v>
      </c>
      <c r="I74" s="11" t="s">
        <v>2200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spans="1:48" x14ac:dyDescent="0.25">
      <c r="A75" s="8">
        <f t="shared" si="1"/>
        <v>72</v>
      </c>
      <c r="B75" s="3" t="s">
        <v>560</v>
      </c>
      <c r="C75" s="3" t="s">
        <v>561</v>
      </c>
      <c r="D75" s="3" t="s">
        <v>61</v>
      </c>
      <c r="E75" s="3"/>
      <c r="F75" s="10"/>
      <c r="G75" s="10"/>
      <c r="H75" s="1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spans="1:48" x14ac:dyDescent="0.25">
      <c r="A76" s="8">
        <f t="shared" si="1"/>
        <v>73</v>
      </c>
      <c r="B76" s="3" t="s">
        <v>562</v>
      </c>
      <c r="C76" s="3" t="s">
        <v>563</v>
      </c>
      <c r="D76" s="3" t="s">
        <v>61</v>
      </c>
      <c r="E76" s="3"/>
      <c r="F76" s="10"/>
      <c r="G76" s="10"/>
      <c r="H76" s="1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spans="1:48" x14ac:dyDescent="0.25">
      <c r="A77" s="8">
        <f t="shared" si="1"/>
        <v>74</v>
      </c>
      <c r="B77" s="3" t="s">
        <v>564</v>
      </c>
      <c r="C77" s="3" t="s">
        <v>565</v>
      </c>
      <c r="D77" s="3" t="s">
        <v>2</v>
      </c>
      <c r="E77" s="3"/>
      <c r="F77" s="10"/>
      <c r="G77" s="10"/>
      <c r="H77" s="1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spans="1:48" x14ac:dyDescent="0.25">
      <c r="A78" s="8">
        <f t="shared" si="1"/>
        <v>75</v>
      </c>
      <c r="B78" s="3" t="s">
        <v>566</v>
      </c>
      <c r="C78" s="3" t="s">
        <v>567</v>
      </c>
      <c r="D78" s="3" t="s">
        <v>2</v>
      </c>
      <c r="E78" s="3"/>
      <c r="F78" s="10"/>
      <c r="G78" s="10"/>
      <c r="H78" s="1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spans="1:48" x14ac:dyDescent="0.25">
      <c r="A79" s="8">
        <f t="shared" si="1"/>
        <v>76</v>
      </c>
      <c r="B79" s="3" t="s">
        <v>568</v>
      </c>
      <c r="C79" s="3" t="s">
        <v>569</v>
      </c>
      <c r="D79" s="3" t="s">
        <v>47</v>
      </c>
      <c r="E79" s="3"/>
      <c r="F79" s="10"/>
      <c r="G79" s="10"/>
      <c r="H79" s="1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spans="1:48" x14ac:dyDescent="0.25">
      <c r="A80" s="8">
        <f t="shared" si="1"/>
        <v>77</v>
      </c>
      <c r="B80" s="3" t="s">
        <v>570</v>
      </c>
      <c r="C80" s="3" t="s">
        <v>571</v>
      </c>
      <c r="D80" s="3" t="s">
        <v>2</v>
      </c>
      <c r="E80" s="3"/>
      <c r="F80" s="10"/>
      <c r="G80" s="10"/>
      <c r="H80" s="1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spans="1:48" x14ac:dyDescent="0.25">
      <c r="A81" s="8">
        <f t="shared" si="1"/>
        <v>78</v>
      </c>
      <c r="B81" s="3" t="s">
        <v>572</v>
      </c>
      <c r="C81" s="3" t="s">
        <v>573</v>
      </c>
      <c r="D81" s="3" t="s">
        <v>47</v>
      </c>
      <c r="E81" s="3"/>
      <c r="F81" s="10"/>
      <c r="G81" s="10"/>
      <c r="H81" s="1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spans="1:48" x14ac:dyDescent="0.25">
      <c r="A82" s="8">
        <f t="shared" si="1"/>
        <v>79</v>
      </c>
      <c r="B82" s="3" t="s">
        <v>574</v>
      </c>
      <c r="C82" s="3" t="s">
        <v>575</v>
      </c>
      <c r="D82" s="3" t="s">
        <v>10</v>
      </c>
      <c r="E82" s="3"/>
      <c r="F82" s="10"/>
      <c r="G82" s="10"/>
      <c r="H82" s="1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spans="1:48" x14ac:dyDescent="0.25">
      <c r="A83" s="8">
        <f t="shared" si="1"/>
        <v>80</v>
      </c>
      <c r="B83" s="3" t="s">
        <v>576</v>
      </c>
      <c r="C83" s="3" t="s">
        <v>577</v>
      </c>
      <c r="D83" s="3" t="s">
        <v>10</v>
      </c>
      <c r="E83" s="3"/>
      <c r="F83" s="10"/>
      <c r="G83" s="10"/>
      <c r="H83" s="1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spans="1:48" x14ac:dyDescent="0.25">
      <c r="A84" s="8">
        <f t="shared" si="1"/>
        <v>81</v>
      </c>
      <c r="B84" s="3" t="s">
        <v>578</v>
      </c>
      <c r="C84" s="3" t="s">
        <v>579</v>
      </c>
      <c r="D84" s="3" t="s">
        <v>193</v>
      </c>
      <c r="E84" s="3"/>
      <c r="F84" s="10"/>
      <c r="G84" s="10"/>
      <c r="H84" s="1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spans="1:48" x14ac:dyDescent="0.25">
      <c r="A85" s="8">
        <f t="shared" si="1"/>
        <v>82</v>
      </c>
      <c r="B85" s="3" t="s">
        <v>580</v>
      </c>
      <c r="C85" s="3" t="s">
        <v>581</v>
      </c>
      <c r="D85" s="3" t="s">
        <v>977</v>
      </c>
      <c r="E85" s="3"/>
      <c r="F85" s="10"/>
      <c r="G85" s="10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spans="1:48" x14ac:dyDescent="0.25">
      <c r="A86" s="8">
        <f t="shared" si="1"/>
        <v>83</v>
      </c>
      <c r="B86" s="3" t="s">
        <v>582</v>
      </c>
      <c r="C86" s="3" t="s">
        <v>583</v>
      </c>
      <c r="D86" s="3" t="s">
        <v>13</v>
      </c>
      <c r="E86" s="3"/>
      <c r="F86" s="10"/>
      <c r="G86" s="10"/>
      <c r="H86" s="1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spans="1:48" x14ac:dyDescent="0.25">
      <c r="A87" s="8">
        <f t="shared" si="1"/>
        <v>84</v>
      </c>
      <c r="B87" s="3" t="s">
        <v>584</v>
      </c>
      <c r="C87" s="3" t="s">
        <v>585</v>
      </c>
      <c r="D87" s="3" t="s">
        <v>10</v>
      </c>
      <c r="E87" s="3"/>
      <c r="F87" s="10"/>
      <c r="G87" s="10"/>
      <c r="H87" s="1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spans="1:48" x14ac:dyDescent="0.25">
      <c r="A88" s="8">
        <f t="shared" si="1"/>
        <v>85</v>
      </c>
      <c r="B88" s="3" t="s">
        <v>586</v>
      </c>
      <c r="C88" s="3" t="s">
        <v>587</v>
      </c>
      <c r="D88" s="3" t="s">
        <v>179</v>
      </c>
      <c r="E88" s="3"/>
      <c r="F88" s="10"/>
      <c r="G88" s="10"/>
      <c r="H88" s="1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spans="1:48" x14ac:dyDescent="0.25">
      <c r="A89" s="8">
        <f t="shared" si="1"/>
        <v>86</v>
      </c>
      <c r="B89" s="3" t="s">
        <v>588</v>
      </c>
      <c r="C89" s="3" t="s">
        <v>589</v>
      </c>
      <c r="D89" s="3" t="s">
        <v>980</v>
      </c>
      <c r="E89" s="3"/>
      <c r="F89" s="10"/>
      <c r="G89" s="10"/>
      <c r="H89" s="1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spans="1:48" x14ac:dyDescent="0.25">
      <c r="A90" s="8">
        <f t="shared" si="1"/>
        <v>87</v>
      </c>
      <c r="B90" s="3" t="s">
        <v>590</v>
      </c>
      <c r="C90" s="3" t="s">
        <v>591</v>
      </c>
      <c r="D90" s="3" t="s">
        <v>10</v>
      </c>
      <c r="E90" s="3"/>
      <c r="F90" s="10"/>
      <c r="G90" s="10"/>
      <c r="H90" s="1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</row>
    <row r="91" spans="1:48" x14ac:dyDescent="0.25">
      <c r="A91" s="8">
        <f t="shared" si="1"/>
        <v>88</v>
      </c>
      <c r="B91" s="3" t="s">
        <v>592</v>
      </c>
      <c r="C91" s="3" t="s">
        <v>593</v>
      </c>
      <c r="D91" s="3" t="s">
        <v>2</v>
      </c>
      <c r="E91" s="3"/>
      <c r="F91" s="10"/>
      <c r="G91" s="10"/>
      <c r="H91" s="1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</row>
    <row r="92" spans="1:48" x14ac:dyDescent="0.25">
      <c r="A92" s="8">
        <f t="shared" si="1"/>
        <v>89</v>
      </c>
      <c r="B92" s="3" t="s">
        <v>594</v>
      </c>
      <c r="C92" s="3" t="s">
        <v>595</v>
      </c>
      <c r="D92" s="3" t="s">
        <v>980</v>
      </c>
      <c r="E92" s="3"/>
      <c r="F92" s="10"/>
      <c r="G92" s="10"/>
      <c r="H92" s="1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</row>
    <row r="93" spans="1:48" x14ac:dyDescent="0.25">
      <c r="A93" s="8">
        <f t="shared" si="1"/>
        <v>90</v>
      </c>
      <c r="B93" s="3" t="s">
        <v>596</v>
      </c>
      <c r="C93" s="3" t="s">
        <v>597</v>
      </c>
      <c r="D93" s="3" t="s">
        <v>10</v>
      </c>
      <c r="E93" s="3"/>
      <c r="F93" s="10"/>
      <c r="G93" s="10"/>
      <c r="H93" s="1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</row>
    <row r="94" spans="1:48" x14ac:dyDescent="0.25">
      <c r="A94" s="8">
        <f t="shared" si="1"/>
        <v>91</v>
      </c>
      <c r="B94" s="3" t="s">
        <v>598</v>
      </c>
      <c r="C94" s="3" t="s">
        <v>599</v>
      </c>
      <c r="D94" s="3" t="s">
        <v>10</v>
      </c>
      <c r="E94" s="3"/>
      <c r="F94" s="10"/>
      <c r="G94" s="10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</row>
    <row r="95" spans="1:48" x14ac:dyDescent="0.25">
      <c r="A95" s="8">
        <f t="shared" si="1"/>
        <v>92</v>
      </c>
      <c r="B95" s="3" t="s">
        <v>600</v>
      </c>
      <c r="C95" s="3" t="s">
        <v>601</v>
      </c>
      <c r="D95" s="3" t="s">
        <v>2</v>
      </c>
      <c r="E95" s="3"/>
      <c r="F95" s="10"/>
      <c r="G95" s="10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</row>
    <row r="96" spans="1:48" x14ac:dyDescent="0.25">
      <c r="A96" s="8">
        <f t="shared" si="1"/>
        <v>93</v>
      </c>
      <c r="B96" s="3" t="s">
        <v>602</v>
      </c>
      <c r="C96" s="3" t="s">
        <v>603</v>
      </c>
      <c r="D96" s="3" t="s">
        <v>981</v>
      </c>
      <c r="E96" s="3"/>
      <c r="F96" s="10"/>
      <c r="G96" s="10"/>
      <c r="H96" s="1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</row>
    <row r="97" spans="1:48" x14ac:dyDescent="0.25">
      <c r="A97" s="8">
        <f t="shared" si="1"/>
        <v>94</v>
      </c>
      <c r="B97" s="3" t="s">
        <v>604</v>
      </c>
      <c r="C97" s="3" t="s">
        <v>605</v>
      </c>
      <c r="D97" s="3" t="s">
        <v>193</v>
      </c>
      <c r="E97" s="3"/>
      <c r="F97" s="10"/>
      <c r="G97" s="10"/>
      <c r="H97" s="1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</row>
    <row r="98" spans="1:48" x14ac:dyDescent="0.25">
      <c r="A98" s="8">
        <f t="shared" si="1"/>
        <v>95</v>
      </c>
      <c r="B98" s="3" t="s">
        <v>606</v>
      </c>
      <c r="C98" s="3" t="s">
        <v>607</v>
      </c>
      <c r="D98" s="3" t="s">
        <v>982</v>
      </c>
      <c r="E98" s="3"/>
      <c r="F98" s="10"/>
      <c r="G98" s="10"/>
      <c r="H98" s="1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</row>
    <row r="99" spans="1:48" x14ac:dyDescent="0.25">
      <c r="A99" s="8">
        <f t="shared" si="1"/>
        <v>96</v>
      </c>
      <c r="B99" s="3" t="s">
        <v>608</v>
      </c>
      <c r="C99" s="3" t="s">
        <v>609</v>
      </c>
      <c r="D99" s="3" t="s">
        <v>266</v>
      </c>
      <c r="E99" s="3"/>
      <c r="F99" s="10"/>
      <c r="G99" s="10"/>
      <c r="H99" s="1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</row>
    <row r="100" spans="1:48" x14ac:dyDescent="0.25">
      <c r="A100" s="8">
        <f t="shared" si="1"/>
        <v>97</v>
      </c>
      <c r="B100" s="3" t="s">
        <v>610</v>
      </c>
      <c r="C100" s="3" t="s">
        <v>611</v>
      </c>
      <c r="D100" s="3" t="s">
        <v>2</v>
      </c>
      <c r="E100" s="3"/>
      <c r="F100" s="10"/>
      <c r="G100" s="10"/>
      <c r="H100" s="1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</row>
    <row r="101" spans="1:48" x14ac:dyDescent="0.25">
      <c r="A101" s="8">
        <f t="shared" si="1"/>
        <v>98</v>
      </c>
      <c r="B101" s="3" t="s">
        <v>612</v>
      </c>
      <c r="C101" s="3" t="s">
        <v>613</v>
      </c>
      <c r="D101" s="3" t="s">
        <v>977</v>
      </c>
      <c r="E101" s="3"/>
      <c r="F101" s="10"/>
      <c r="G101" s="10"/>
      <c r="H101" s="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</row>
    <row r="102" spans="1:48" x14ac:dyDescent="0.25">
      <c r="A102" s="8">
        <f t="shared" si="1"/>
        <v>99</v>
      </c>
      <c r="B102" s="3" t="s">
        <v>614</v>
      </c>
      <c r="C102" s="3" t="s">
        <v>615</v>
      </c>
      <c r="D102" s="3" t="s">
        <v>979</v>
      </c>
      <c r="E102" s="3"/>
      <c r="F102" s="10"/>
      <c r="G102" s="10"/>
      <c r="H102" s="1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</row>
    <row r="103" spans="1:48" x14ac:dyDescent="0.25">
      <c r="A103" s="8">
        <f t="shared" si="1"/>
        <v>100</v>
      </c>
      <c r="B103" s="3" t="s">
        <v>616</v>
      </c>
      <c r="C103" s="3" t="s">
        <v>617</v>
      </c>
      <c r="D103" s="3" t="s">
        <v>2</v>
      </c>
      <c r="E103" s="3"/>
      <c r="F103" s="10"/>
      <c r="G103" s="10"/>
      <c r="H103" s="1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</row>
    <row r="104" spans="1:48" x14ac:dyDescent="0.25">
      <c r="A104" s="8">
        <f t="shared" si="1"/>
        <v>101</v>
      </c>
      <c r="B104" s="3" t="s">
        <v>618</v>
      </c>
      <c r="C104" s="3" t="s">
        <v>619</v>
      </c>
      <c r="D104" s="3" t="s">
        <v>975</v>
      </c>
      <c r="E104" s="3"/>
      <c r="F104" s="10"/>
      <c r="G104" s="10"/>
      <c r="H104" s="1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</row>
    <row r="105" spans="1:48" x14ac:dyDescent="0.25">
      <c r="A105" s="8">
        <f t="shared" si="1"/>
        <v>102</v>
      </c>
      <c r="B105" s="3" t="s">
        <v>620</v>
      </c>
      <c r="C105" s="3" t="s">
        <v>621</v>
      </c>
      <c r="D105" s="3" t="s">
        <v>10</v>
      </c>
      <c r="E105" s="3"/>
      <c r="F105" s="10"/>
      <c r="G105" s="10"/>
      <c r="H105" s="1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</row>
    <row r="106" spans="1:48" x14ac:dyDescent="0.25">
      <c r="A106" s="8">
        <f t="shared" si="1"/>
        <v>103</v>
      </c>
      <c r="B106" s="3" t="s">
        <v>622</v>
      </c>
      <c r="C106" s="3" t="s">
        <v>623</v>
      </c>
      <c r="D106" s="3" t="s">
        <v>983</v>
      </c>
      <c r="E106" s="3"/>
      <c r="F106" s="10"/>
      <c r="G106" s="10"/>
      <c r="H106" s="1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</row>
    <row r="107" spans="1:48" x14ac:dyDescent="0.25">
      <c r="A107" s="8">
        <f t="shared" si="1"/>
        <v>104</v>
      </c>
      <c r="B107" s="3" t="s">
        <v>624</v>
      </c>
      <c r="C107" s="3" t="s">
        <v>625</v>
      </c>
      <c r="D107" s="3" t="s">
        <v>367</v>
      </c>
      <c r="E107" s="3"/>
      <c r="F107" s="10"/>
      <c r="G107" s="10"/>
      <c r="H107" s="1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</row>
    <row r="108" spans="1:48" x14ac:dyDescent="0.25">
      <c r="A108" s="8">
        <f t="shared" si="1"/>
        <v>105</v>
      </c>
      <c r="B108" s="3" t="s">
        <v>626</v>
      </c>
      <c r="C108" s="3" t="s">
        <v>627</v>
      </c>
      <c r="D108" s="3" t="s">
        <v>5</v>
      </c>
      <c r="E108" s="3"/>
      <c r="F108" s="10"/>
      <c r="G108" s="10"/>
      <c r="H108" s="1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</row>
    <row r="109" spans="1:48" x14ac:dyDescent="0.25">
      <c r="A109" s="8">
        <f t="shared" si="1"/>
        <v>106</v>
      </c>
      <c r="B109" s="3" t="s">
        <v>628</v>
      </c>
      <c r="C109" s="3" t="s">
        <v>629</v>
      </c>
      <c r="D109" s="3" t="s">
        <v>78</v>
      </c>
      <c r="E109" s="3"/>
      <c r="F109" s="10"/>
      <c r="G109" s="10"/>
      <c r="H109" s="1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</row>
    <row r="110" spans="1:48" x14ac:dyDescent="0.25">
      <c r="A110" s="8">
        <f t="shared" si="1"/>
        <v>107</v>
      </c>
      <c r="B110" s="3" t="s">
        <v>630</v>
      </c>
      <c r="C110" s="3" t="s">
        <v>631</v>
      </c>
      <c r="D110" s="3" t="s">
        <v>193</v>
      </c>
      <c r="E110" s="3"/>
      <c r="F110" s="10"/>
      <c r="G110" s="10"/>
      <c r="H110" s="1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</row>
    <row r="111" spans="1:48" x14ac:dyDescent="0.25">
      <c r="A111" s="8">
        <f t="shared" si="1"/>
        <v>108</v>
      </c>
      <c r="B111" s="3" t="s">
        <v>632</v>
      </c>
      <c r="C111" s="3" t="s">
        <v>633</v>
      </c>
      <c r="D111" s="3" t="s">
        <v>984</v>
      </c>
      <c r="E111" s="3"/>
      <c r="F111" s="10"/>
      <c r="G111" s="10"/>
      <c r="H111" s="1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</row>
    <row r="112" spans="1:48" x14ac:dyDescent="0.25">
      <c r="A112" s="8">
        <f t="shared" si="1"/>
        <v>109</v>
      </c>
      <c r="B112" s="3" t="s">
        <v>634</v>
      </c>
      <c r="C112" s="3" t="s">
        <v>635</v>
      </c>
      <c r="D112" s="3" t="s">
        <v>2</v>
      </c>
      <c r="E112" s="3"/>
      <c r="F112" s="10"/>
      <c r="G112" s="10"/>
      <c r="H112" s="1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</row>
    <row r="113" spans="1:48" x14ac:dyDescent="0.25">
      <c r="A113" s="8">
        <f t="shared" si="1"/>
        <v>110</v>
      </c>
      <c r="B113" s="3" t="s">
        <v>636</v>
      </c>
      <c r="C113" s="3" t="s">
        <v>637</v>
      </c>
      <c r="D113" s="3" t="s">
        <v>89</v>
      </c>
      <c r="E113" s="3"/>
      <c r="F113" s="10"/>
      <c r="G113" s="10"/>
      <c r="H113" s="1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</row>
    <row r="114" spans="1:48" x14ac:dyDescent="0.25">
      <c r="A114" s="8">
        <f t="shared" si="1"/>
        <v>111</v>
      </c>
      <c r="B114" s="3" t="s">
        <v>638</v>
      </c>
      <c r="C114" s="3" t="s">
        <v>639</v>
      </c>
      <c r="D114" s="3" t="s">
        <v>166</v>
      </c>
      <c r="E114" s="3"/>
      <c r="F114" s="10"/>
      <c r="G114" s="10"/>
      <c r="H114" s="1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</row>
    <row r="115" spans="1:48" x14ac:dyDescent="0.25">
      <c r="A115" s="8">
        <f t="shared" si="1"/>
        <v>112</v>
      </c>
      <c r="B115" s="3" t="s">
        <v>640</v>
      </c>
      <c r="C115" s="3" t="s">
        <v>641</v>
      </c>
      <c r="D115" s="3" t="s">
        <v>10</v>
      </c>
      <c r="E115" s="3"/>
      <c r="F115" s="10"/>
      <c r="G115" s="10"/>
      <c r="H115" s="1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</row>
    <row r="116" spans="1:48" x14ac:dyDescent="0.25">
      <c r="A116" s="8">
        <f t="shared" si="1"/>
        <v>113</v>
      </c>
      <c r="B116" s="3" t="s">
        <v>642</v>
      </c>
      <c r="C116" s="3" t="s">
        <v>643</v>
      </c>
      <c r="D116" s="3" t="s">
        <v>10</v>
      </c>
      <c r="E116" s="3"/>
      <c r="F116" s="10"/>
      <c r="G116" s="10"/>
      <c r="H116" s="1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</row>
    <row r="117" spans="1:48" x14ac:dyDescent="0.25">
      <c r="A117" s="8">
        <f t="shared" si="1"/>
        <v>114</v>
      </c>
      <c r="B117" s="3" t="s">
        <v>644</v>
      </c>
      <c r="C117" s="3" t="s">
        <v>645</v>
      </c>
      <c r="D117" s="3" t="s">
        <v>10</v>
      </c>
      <c r="E117" s="3"/>
      <c r="F117" s="10"/>
      <c r="G117" s="10"/>
      <c r="H117" s="1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</row>
    <row r="118" spans="1:48" x14ac:dyDescent="0.25">
      <c r="A118" s="8">
        <f t="shared" si="1"/>
        <v>115</v>
      </c>
      <c r="B118" s="3" t="s">
        <v>646</v>
      </c>
      <c r="C118" s="3" t="s">
        <v>646</v>
      </c>
      <c r="D118" s="3" t="s">
        <v>2</v>
      </c>
      <c r="E118" s="3"/>
      <c r="F118" s="10"/>
      <c r="G118" s="10"/>
      <c r="H118" s="1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</row>
    <row r="119" spans="1:48" x14ac:dyDescent="0.25">
      <c r="A119" s="8">
        <f t="shared" si="1"/>
        <v>116</v>
      </c>
      <c r="B119" s="3" t="s">
        <v>647</v>
      </c>
      <c r="C119" s="3" t="s">
        <v>648</v>
      </c>
      <c r="D119" s="3" t="s">
        <v>13</v>
      </c>
      <c r="E119" s="3"/>
      <c r="F119" s="10"/>
      <c r="G119" s="10"/>
      <c r="H119" s="1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</row>
    <row r="120" spans="1:48" x14ac:dyDescent="0.25">
      <c r="A120" s="8">
        <f t="shared" si="1"/>
        <v>117</v>
      </c>
      <c r="B120" s="3" t="s">
        <v>649</v>
      </c>
      <c r="C120" s="3" t="s">
        <v>650</v>
      </c>
      <c r="D120" s="3" t="s">
        <v>166</v>
      </c>
      <c r="E120" s="3"/>
      <c r="F120" s="10"/>
      <c r="G120" s="10"/>
      <c r="H120" s="1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</row>
    <row r="121" spans="1:48" x14ac:dyDescent="0.25">
      <c r="A121" s="8">
        <f t="shared" si="1"/>
        <v>118</v>
      </c>
      <c r="B121" s="3" t="s">
        <v>651</v>
      </c>
      <c r="C121" s="3" t="s">
        <v>652</v>
      </c>
      <c r="D121" s="3" t="s">
        <v>10</v>
      </c>
      <c r="E121" s="3"/>
      <c r="F121" s="10"/>
      <c r="G121" s="10"/>
      <c r="H121" s="1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</row>
    <row r="122" spans="1:48" x14ac:dyDescent="0.25">
      <c r="A122" s="8">
        <f t="shared" si="1"/>
        <v>119</v>
      </c>
      <c r="B122" s="3" t="s">
        <v>653</v>
      </c>
      <c r="C122" s="3" t="s">
        <v>654</v>
      </c>
      <c r="D122" s="3" t="s">
        <v>47</v>
      </c>
      <c r="E122" s="3"/>
      <c r="F122" s="10"/>
      <c r="G122" s="10"/>
      <c r="H122" s="1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</row>
    <row r="123" spans="1:48" x14ac:dyDescent="0.25">
      <c r="A123" s="8">
        <f t="shared" si="1"/>
        <v>120</v>
      </c>
      <c r="B123" s="3" t="s">
        <v>655</v>
      </c>
      <c r="C123" s="3" t="s">
        <v>656</v>
      </c>
      <c r="D123" s="3" t="s">
        <v>89</v>
      </c>
      <c r="E123" s="3"/>
      <c r="F123" s="10"/>
      <c r="G123" s="10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</row>
    <row r="124" spans="1:48" x14ac:dyDescent="0.25">
      <c r="A124" s="8">
        <f t="shared" si="1"/>
        <v>121</v>
      </c>
      <c r="B124" s="3" t="s">
        <v>657</v>
      </c>
      <c r="C124" s="3" t="s">
        <v>658</v>
      </c>
      <c r="D124" s="3" t="s">
        <v>980</v>
      </c>
      <c r="E124" s="3"/>
      <c r="F124" s="10"/>
      <c r="G124" s="10"/>
      <c r="H124" s="1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</row>
    <row r="125" spans="1:48" x14ac:dyDescent="0.25">
      <c r="A125" s="8">
        <f t="shared" si="1"/>
        <v>122</v>
      </c>
      <c r="B125" s="3" t="s">
        <v>659</v>
      </c>
      <c r="C125" s="3" t="s">
        <v>660</v>
      </c>
      <c r="D125" s="3" t="s">
        <v>983</v>
      </c>
      <c r="E125" s="3"/>
      <c r="F125" s="10"/>
      <c r="G125" s="10"/>
      <c r="H125" s="1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</row>
    <row r="126" spans="1:48" x14ac:dyDescent="0.25">
      <c r="A126" s="8">
        <f t="shared" si="1"/>
        <v>123</v>
      </c>
      <c r="B126" s="3" t="s">
        <v>661</v>
      </c>
      <c r="C126" s="3" t="s">
        <v>662</v>
      </c>
      <c r="D126" s="3" t="s">
        <v>985</v>
      </c>
      <c r="E126" s="3"/>
      <c r="F126" s="10"/>
      <c r="G126" s="10"/>
      <c r="H126" s="1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</row>
    <row r="127" spans="1:48" x14ac:dyDescent="0.25">
      <c r="A127" s="8">
        <f t="shared" si="1"/>
        <v>124</v>
      </c>
      <c r="B127" s="3" t="s">
        <v>663</v>
      </c>
      <c r="C127" s="3" t="s">
        <v>664</v>
      </c>
      <c r="D127" s="3" t="s">
        <v>10</v>
      </c>
      <c r="E127" s="3"/>
      <c r="F127" s="10"/>
      <c r="G127" s="10"/>
      <c r="H127" s="1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</row>
    <row r="128" spans="1:48" x14ac:dyDescent="0.25">
      <c r="A128" s="8">
        <f t="shared" si="1"/>
        <v>125</v>
      </c>
      <c r="B128" s="3" t="s">
        <v>665</v>
      </c>
      <c r="C128" s="3" t="s">
        <v>666</v>
      </c>
      <c r="D128" s="3" t="s">
        <v>984</v>
      </c>
      <c r="E128" s="3"/>
      <c r="F128" s="10"/>
      <c r="G128" s="10"/>
      <c r="H128" s="1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</row>
    <row r="129" spans="1:48" x14ac:dyDescent="0.25">
      <c r="A129" s="8">
        <f t="shared" si="1"/>
        <v>126</v>
      </c>
      <c r="B129" s="3" t="s">
        <v>667</v>
      </c>
      <c r="C129" s="3" t="s">
        <v>668</v>
      </c>
      <c r="D129" s="3" t="s">
        <v>2</v>
      </c>
      <c r="E129" s="3"/>
      <c r="F129" s="10"/>
      <c r="G129" s="10"/>
      <c r="H129" s="1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</row>
    <row r="130" spans="1:48" x14ac:dyDescent="0.25">
      <c r="A130" s="8">
        <f t="shared" si="1"/>
        <v>127</v>
      </c>
      <c r="B130" s="3" t="s">
        <v>669</v>
      </c>
      <c r="C130" s="3" t="s">
        <v>670</v>
      </c>
      <c r="D130" s="3" t="s">
        <v>975</v>
      </c>
      <c r="E130" s="3"/>
      <c r="F130" s="10"/>
      <c r="G130" s="10"/>
      <c r="H130" s="1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</row>
    <row r="131" spans="1:48" x14ac:dyDescent="0.25">
      <c r="A131" s="8">
        <f t="shared" si="1"/>
        <v>128</v>
      </c>
      <c r="B131" s="3" t="s">
        <v>671</v>
      </c>
      <c r="C131" s="3" t="s">
        <v>672</v>
      </c>
      <c r="D131" s="3" t="s">
        <v>367</v>
      </c>
      <c r="E131" s="3"/>
      <c r="F131" s="10"/>
      <c r="G131" s="10"/>
      <c r="H131" s="1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</row>
    <row r="132" spans="1:48" x14ac:dyDescent="0.25">
      <c r="A132" s="8">
        <f t="shared" si="1"/>
        <v>129</v>
      </c>
      <c r="B132" s="3" t="s">
        <v>673</v>
      </c>
      <c r="C132" s="3" t="s">
        <v>674</v>
      </c>
      <c r="D132" s="3" t="s">
        <v>47</v>
      </c>
      <c r="E132" s="3"/>
      <c r="F132" s="10"/>
      <c r="G132" s="10"/>
      <c r="H132" s="1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</row>
    <row r="133" spans="1:48" x14ac:dyDescent="0.25">
      <c r="A133" s="8">
        <f t="shared" si="1"/>
        <v>130</v>
      </c>
      <c r="B133" s="3" t="s">
        <v>675</v>
      </c>
      <c r="C133" s="3" t="s">
        <v>676</v>
      </c>
      <c r="D133" s="3" t="s">
        <v>2</v>
      </c>
      <c r="E133" s="3"/>
      <c r="F133" s="10"/>
      <c r="G133" s="10"/>
      <c r="H133" s="1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</row>
    <row r="134" spans="1:48" x14ac:dyDescent="0.25">
      <c r="A134" s="8">
        <f t="shared" ref="A134:A197" si="2">+A133+1</f>
        <v>131</v>
      </c>
      <c r="B134" s="3" t="s">
        <v>677</v>
      </c>
      <c r="C134" s="3" t="s">
        <v>678</v>
      </c>
      <c r="D134" s="3" t="s">
        <v>986</v>
      </c>
      <c r="E134" s="3"/>
      <c r="F134" s="10"/>
      <c r="G134" s="10"/>
      <c r="H134" s="1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</row>
    <row r="135" spans="1:48" x14ac:dyDescent="0.25">
      <c r="A135" s="8">
        <f t="shared" si="2"/>
        <v>132</v>
      </c>
      <c r="B135" s="3" t="s">
        <v>679</v>
      </c>
      <c r="C135" s="3" t="s">
        <v>680</v>
      </c>
      <c r="D135" s="3" t="s">
        <v>983</v>
      </c>
      <c r="E135" s="3"/>
      <c r="F135" s="10"/>
      <c r="G135" s="10"/>
      <c r="H135" s="1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</row>
    <row r="136" spans="1:48" x14ac:dyDescent="0.25">
      <c r="A136" s="8">
        <f t="shared" si="2"/>
        <v>133</v>
      </c>
      <c r="B136" s="3" t="s">
        <v>681</v>
      </c>
      <c r="C136" s="3" t="s">
        <v>682</v>
      </c>
      <c r="D136" s="3" t="s">
        <v>2</v>
      </c>
      <c r="E136" s="3"/>
      <c r="F136" s="10"/>
      <c r="G136" s="10"/>
      <c r="H136" s="1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</row>
    <row r="137" spans="1:48" x14ac:dyDescent="0.25">
      <c r="A137" s="8">
        <f t="shared" si="2"/>
        <v>134</v>
      </c>
      <c r="B137" s="3" t="s">
        <v>683</v>
      </c>
      <c r="C137" s="3" t="s">
        <v>684</v>
      </c>
      <c r="D137" s="3" t="s">
        <v>313</v>
      </c>
      <c r="E137" s="3"/>
      <c r="F137" s="10"/>
      <c r="G137" s="10"/>
      <c r="H137" s="1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</row>
    <row r="138" spans="1:48" x14ac:dyDescent="0.25">
      <c r="A138" s="8">
        <f t="shared" si="2"/>
        <v>135</v>
      </c>
      <c r="B138" s="3" t="s">
        <v>685</v>
      </c>
      <c r="C138" s="3" t="s">
        <v>686</v>
      </c>
      <c r="D138" s="3" t="s">
        <v>987</v>
      </c>
      <c r="E138" s="3"/>
      <c r="F138" s="10"/>
      <c r="G138" s="10"/>
      <c r="H138" s="1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</row>
    <row r="139" spans="1:48" x14ac:dyDescent="0.25">
      <c r="A139" s="8">
        <f t="shared" si="2"/>
        <v>136</v>
      </c>
      <c r="B139" s="3" t="s">
        <v>687</v>
      </c>
      <c r="C139" s="3" t="s">
        <v>688</v>
      </c>
      <c r="D139" s="3" t="s">
        <v>988</v>
      </c>
      <c r="E139" s="3"/>
      <c r="F139" s="10"/>
      <c r="G139" s="10"/>
      <c r="H139" s="1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</row>
    <row r="140" spans="1:48" x14ac:dyDescent="0.25">
      <c r="A140" s="8">
        <f t="shared" si="2"/>
        <v>137</v>
      </c>
      <c r="B140" s="3" t="s">
        <v>689</v>
      </c>
      <c r="C140" s="3" t="s">
        <v>690</v>
      </c>
      <c r="D140" s="3" t="s">
        <v>989</v>
      </c>
      <c r="E140" s="3"/>
      <c r="F140" s="10"/>
      <c r="G140" s="10"/>
      <c r="H140" s="1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</row>
    <row r="141" spans="1:48" x14ac:dyDescent="0.25">
      <c r="A141" s="8">
        <f t="shared" si="2"/>
        <v>138</v>
      </c>
      <c r="B141" s="3" t="s">
        <v>691</v>
      </c>
      <c r="C141" s="3" t="s">
        <v>692</v>
      </c>
      <c r="D141" s="3" t="s">
        <v>2</v>
      </c>
      <c r="E141" s="3"/>
      <c r="F141" s="10"/>
      <c r="G141" s="10"/>
      <c r="H141" s="1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</row>
    <row r="142" spans="1:48" x14ac:dyDescent="0.25">
      <c r="A142" s="8">
        <f t="shared" si="2"/>
        <v>139</v>
      </c>
      <c r="B142" s="3" t="s">
        <v>693</v>
      </c>
      <c r="C142" s="3" t="s">
        <v>694</v>
      </c>
      <c r="D142" s="3" t="s">
        <v>193</v>
      </c>
      <c r="E142" s="3"/>
      <c r="F142" s="10"/>
      <c r="G142" s="10"/>
      <c r="H142" s="1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</row>
    <row r="143" spans="1:48" x14ac:dyDescent="0.25">
      <c r="A143" s="8">
        <f t="shared" si="2"/>
        <v>140</v>
      </c>
      <c r="B143" s="3" t="s">
        <v>695</v>
      </c>
      <c r="C143" s="3" t="s">
        <v>696</v>
      </c>
      <c r="D143" s="3" t="s">
        <v>2</v>
      </c>
      <c r="E143" s="3"/>
      <c r="F143" s="10"/>
      <c r="G143" s="10"/>
      <c r="H143" s="1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</row>
    <row r="144" spans="1:48" x14ac:dyDescent="0.25">
      <c r="A144" s="8">
        <f t="shared" si="2"/>
        <v>141</v>
      </c>
      <c r="B144" s="3" t="s">
        <v>697</v>
      </c>
      <c r="C144" s="3" t="s">
        <v>698</v>
      </c>
      <c r="D144" s="3" t="s">
        <v>73</v>
      </c>
      <c r="E144" s="3"/>
      <c r="F144" s="10"/>
      <c r="G144" s="10"/>
      <c r="H144" s="1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</row>
    <row r="145" spans="1:48" x14ac:dyDescent="0.25">
      <c r="A145" s="8">
        <f t="shared" si="2"/>
        <v>142</v>
      </c>
      <c r="B145" s="3" t="s">
        <v>699</v>
      </c>
      <c r="C145" s="3" t="s">
        <v>700</v>
      </c>
      <c r="D145" s="3" t="s">
        <v>2</v>
      </c>
      <c r="E145" s="3"/>
      <c r="F145" s="10"/>
      <c r="G145" s="10"/>
      <c r="H145" s="1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</row>
    <row r="146" spans="1:48" x14ac:dyDescent="0.25">
      <c r="A146" s="8">
        <f t="shared" si="2"/>
        <v>143</v>
      </c>
      <c r="B146" s="3" t="s">
        <v>701</v>
      </c>
      <c r="C146" s="3" t="s">
        <v>702</v>
      </c>
      <c r="D146" s="3" t="s">
        <v>2</v>
      </c>
      <c r="E146" s="3"/>
      <c r="F146" s="10"/>
      <c r="G146" s="10"/>
      <c r="H146" s="1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</row>
    <row r="147" spans="1:48" x14ac:dyDescent="0.25">
      <c r="A147" s="8">
        <f t="shared" si="2"/>
        <v>144</v>
      </c>
      <c r="B147" s="3" t="s">
        <v>703</v>
      </c>
      <c r="C147" s="3" t="s">
        <v>704</v>
      </c>
      <c r="D147" s="3" t="s">
        <v>367</v>
      </c>
      <c r="E147" s="3"/>
      <c r="F147" s="10"/>
      <c r="G147" s="10"/>
      <c r="H147" s="1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</row>
    <row r="148" spans="1:48" x14ac:dyDescent="0.25">
      <c r="A148" s="8">
        <f t="shared" si="2"/>
        <v>145</v>
      </c>
      <c r="B148" s="3" t="s">
        <v>705</v>
      </c>
      <c r="C148" s="3" t="s">
        <v>706</v>
      </c>
      <c r="D148" s="3" t="s">
        <v>61</v>
      </c>
      <c r="E148" s="3"/>
      <c r="F148" s="10"/>
      <c r="G148" s="10"/>
      <c r="H148" s="1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</row>
    <row r="149" spans="1:48" x14ac:dyDescent="0.25">
      <c r="A149" s="8">
        <f t="shared" si="2"/>
        <v>146</v>
      </c>
      <c r="B149" s="3" t="s">
        <v>707</v>
      </c>
      <c r="C149" s="3" t="s">
        <v>708</v>
      </c>
      <c r="D149" s="3" t="s">
        <v>983</v>
      </c>
      <c r="E149" s="3"/>
      <c r="F149" s="10"/>
      <c r="G149" s="10"/>
      <c r="H149" s="1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</row>
    <row r="150" spans="1:48" x14ac:dyDescent="0.25">
      <c r="A150" s="8">
        <f t="shared" si="2"/>
        <v>147</v>
      </c>
      <c r="B150" s="3" t="s">
        <v>709</v>
      </c>
      <c r="C150" s="3" t="s">
        <v>710</v>
      </c>
      <c r="D150" s="3" t="s">
        <v>367</v>
      </c>
      <c r="E150" s="3"/>
      <c r="F150" s="10"/>
      <c r="G150" s="10"/>
      <c r="H150" s="1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</row>
    <row r="151" spans="1:48" x14ac:dyDescent="0.25">
      <c r="A151" s="8">
        <f t="shared" si="2"/>
        <v>148</v>
      </c>
      <c r="B151" s="3" t="s">
        <v>711</v>
      </c>
      <c r="C151" s="3" t="s">
        <v>712</v>
      </c>
      <c r="D151" s="3" t="s">
        <v>2</v>
      </c>
      <c r="E151" s="3"/>
      <c r="F151" s="10"/>
      <c r="G151" s="10"/>
      <c r="H151" s="1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</row>
    <row r="152" spans="1:48" x14ac:dyDescent="0.25">
      <c r="A152" s="8">
        <f t="shared" si="2"/>
        <v>149</v>
      </c>
      <c r="B152" s="3" t="s">
        <v>713</v>
      </c>
      <c r="C152" s="3" t="s">
        <v>714</v>
      </c>
      <c r="D152" s="3" t="s">
        <v>193</v>
      </c>
      <c r="E152" s="3"/>
      <c r="F152" s="10"/>
      <c r="G152" s="10"/>
      <c r="H152" s="1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</row>
    <row r="153" spans="1:48" x14ac:dyDescent="0.25">
      <c r="A153" s="8">
        <f t="shared" si="2"/>
        <v>150</v>
      </c>
      <c r="B153" s="3" t="s">
        <v>715</v>
      </c>
      <c r="C153" s="3" t="s">
        <v>716</v>
      </c>
      <c r="D153" s="3" t="s">
        <v>988</v>
      </c>
      <c r="E153" s="3"/>
      <c r="F153" s="10"/>
      <c r="G153" s="10"/>
      <c r="H153" s="1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</row>
    <row r="154" spans="1:48" x14ac:dyDescent="0.25">
      <c r="A154" s="8">
        <f t="shared" si="2"/>
        <v>151</v>
      </c>
      <c r="B154" s="3" t="s">
        <v>717</v>
      </c>
      <c r="C154" s="3" t="s">
        <v>718</v>
      </c>
      <c r="D154" s="3" t="s">
        <v>56</v>
      </c>
      <c r="E154" s="3"/>
      <c r="F154" s="10"/>
      <c r="G154" s="10"/>
      <c r="H154" s="1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</row>
    <row r="155" spans="1:48" x14ac:dyDescent="0.25">
      <c r="A155" s="8">
        <f t="shared" si="2"/>
        <v>152</v>
      </c>
      <c r="B155" s="3" t="s">
        <v>719</v>
      </c>
      <c r="C155" s="3" t="s">
        <v>720</v>
      </c>
      <c r="D155" s="3" t="s">
        <v>61</v>
      </c>
      <c r="E155" s="3"/>
      <c r="F155" s="10"/>
      <c r="G155" s="10"/>
      <c r="H155" s="1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</row>
    <row r="156" spans="1:48" x14ac:dyDescent="0.25">
      <c r="A156" s="8">
        <f t="shared" si="2"/>
        <v>153</v>
      </c>
      <c r="B156" s="3" t="s">
        <v>721</v>
      </c>
      <c r="C156" s="3" t="s">
        <v>722</v>
      </c>
      <c r="D156" s="3" t="s">
        <v>975</v>
      </c>
      <c r="E156" s="3"/>
      <c r="F156" s="10"/>
      <c r="G156" s="10"/>
      <c r="H156" s="1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</row>
    <row r="157" spans="1:48" x14ac:dyDescent="0.25">
      <c r="A157" s="8">
        <f t="shared" si="2"/>
        <v>154</v>
      </c>
      <c r="B157" s="3" t="s">
        <v>723</v>
      </c>
      <c r="C157" s="3" t="s">
        <v>724</v>
      </c>
      <c r="D157" s="3" t="s">
        <v>193</v>
      </c>
      <c r="E157" s="3"/>
      <c r="F157" s="10"/>
      <c r="G157" s="10"/>
      <c r="H157" s="1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</row>
    <row r="158" spans="1:48" x14ac:dyDescent="0.25">
      <c r="A158" s="8">
        <f t="shared" si="2"/>
        <v>155</v>
      </c>
      <c r="B158" s="3" t="s">
        <v>725</v>
      </c>
      <c r="C158" s="3" t="s">
        <v>726</v>
      </c>
      <c r="D158" s="3" t="s">
        <v>313</v>
      </c>
      <c r="E158" s="3"/>
      <c r="F158" s="10"/>
      <c r="G158" s="10"/>
      <c r="H158" s="1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</row>
    <row r="159" spans="1:48" x14ac:dyDescent="0.25">
      <c r="A159" s="8">
        <f t="shared" si="2"/>
        <v>156</v>
      </c>
      <c r="B159" s="3" t="s">
        <v>727</v>
      </c>
      <c r="C159" s="3" t="s">
        <v>728</v>
      </c>
      <c r="D159" s="3" t="s">
        <v>983</v>
      </c>
      <c r="E159" s="3"/>
      <c r="F159" s="10"/>
      <c r="G159" s="10"/>
      <c r="H159" s="1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</row>
    <row r="160" spans="1:48" x14ac:dyDescent="0.25">
      <c r="A160" s="8">
        <f t="shared" si="2"/>
        <v>157</v>
      </c>
      <c r="B160" s="3" t="s">
        <v>729</v>
      </c>
      <c r="C160" s="3" t="s">
        <v>730</v>
      </c>
      <c r="D160" s="3" t="s">
        <v>193</v>
      </c>
      <c r="E160" s="3"/>
      <c r="F160" s="10"/>
      <c r="G160" s="10"/>
      <c r="H160" s="1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</row>
    <row r="161" spans="1:48" x14ac:dyDescent="0.25">
      <c r="A161" s="8">
        <f t="shared" si="2"/>
        <v>158</v>
      </c>
      <c r="B161" s="3" t="s">
        <v>731</v>
      </c>
      <c r="C161" s="3" t="s">
        <v>732</v>
      </c>
      <c r="D161" s="3" t="s">
        <v>10</v>
      </c>
      <c r="E161" s="3"/>
      <c r="F161" s="10"/>
      <c r="G161" s="10"/>
      <c r="H161" s="1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</row>
    <row r="162" spans="1:48" x14ac:dyDescent="0.25">
      <c r="A162" s="8">
        <f t="shared" si="2"/>
        <v>159</v>
      </c>
      <c r="B162" s="3" t="s">
        <v>733</v>
      </c>
      <c r="C162" s="3" t="s">
        <v>734</v>
      </c>
      <c r="D162" s="3" t="s">
        <v>981</v>
      </c>
      <c r="E162" s="3"/>
      <c r="F162" s="10"/>
      <c r="G162" s="10"/>
      <c r="H162" s="1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  <row r="163" spans="1:48" x14ac:dyDescent="0.25">
      <c r="A163" s="8">
        <f t="shared" si="2"/>
        <v>160</v>
      </c>
      <c r="B163" s="3" t="s">
        <v>735</v>
      </c>
      <c r="C163" s="3" t="s">
        <v>736</v>
      </c>
      <c r="D163" s="3" t="s">
        <v>988</v>
      </c>
      <c r="E163" s="3"/>
      <c r="F163" s="10"/>
      <c r="G163" s="10"/>
      <c r="H163" s="1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</row>
    <row r="164" spans="1:48" x14ac:dyDescent="0.25">
      <c r="A164" s="8">
        <f t="shared" si="2"/>
        <v>161</v>
      </c>
      <c r="B164" s="3" t="s">
        <v>737</v>
      </c>
      <c r="C164" s="3" t="s">
        <v>738</v>
      </c>
      <c r="D164" s="3" t="s">
        <v>13</v>
      </c>
      <c r="E164" s="3"/>
      <c r="F164" s="10"/>
      <c r="G164" s="10"/>
      <c r="H164" s="1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</row>
    <row r="165" spans="1:48" x14ac:dyDescent="0.25">
      <c r="A165" s="8">
        <f t="shared" si="2"/>
        <v>162</v>
      </c>
      <c r="B165" s="3" t="s">
        <v>739</v>
      </c>
      <c r="C165" s="3" t="s">
        <v>740</v>
      </c>
      <c r="D165" s="3" t="s">
        <v>975</v>
      </c>
      <c r="E165" s="3"/>
      <c r="F165" s="10"/>
      <c r="G165" s="10"/>
      <c r="H165" s="1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</row>
    <row r="166" spans="1:48" x14ac:dyDescent="0.25">
      <c r="A166" s="8">
        <f t="shared" si="2"/>
        <v>163</v>
      </c>
      <c r="B166" s="3" t="s">
        <v>741</v>
      </c>
      <c r="C166" s="3" t="s">
        <v>742</v>
      </c>
      <c r="D166" s="3" t="s">
        <v>2</v>
      </c>
      <c r="E166" s="3"/>
      <c r="F166" s="10"/>
      <c r="G166" s="10"/>
      <c r="H166" s="1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</row>
    <row r="167" spans="1:48" x14ac:dyDescent="0.25">
      <c r="A167" s="8">
        <f t="shared" si="2"/>
        <v>164</v>
      </c>
      <c r="B167" s="3" t="s">
        <v>743</v>
      </c>
      <c r="C167" s="3" t="s">
        <v>744</v>
      </c>
      <c r="D167" s="3" t="s">
        <v>981</v>
      </c>
      <c r="E167" s="3"/>
      <c r="F167" s="10"/>
      <c r="G167" s="10"/>
      <c r="H167" s="1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</row>
    <row r="168" spans="1:48" x14ac:dyDescent="0.25">
      <c r="A168" s="8">
        <f t="shared" si="2"/>
        <v>165</v>
      </c>
      <c r="B168" s="3" t="s">
        <v>745</v>
      </c>
      <c r="C168" s="3" t="s">
        <v>746</v>
      </c>
      <c r="D168" s="3" t="s">
        <v>73</v>
      </c>
      <c r="E168" s="3"/>
      <c r="F168" s="10"/>
      <c r="G168" s="10"/>
      <c r="H168" s="1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</row>
    <row r="169" spans="1:48" x14ac:dyDescent="0.25">
      <c r="A169" s="8">
        <f t="shared" si="2"/>
        <v>166</v>
      </c>
      <c r="B169" s="3" t="s">
        <v>747</v>
      </c>
      <c r="C169" s="3" t="s">
        <v>748</v>
      </c>
      <c r="D169" s="3" t="s">
        <v>367</v>
      </c>
      <c r="E169" s="3"/>
      <c r="F169" s="10"/>
      <c r="G169" s="10"/>
      <c r="H169" s="1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</row>
    <row r="170" spans="1:48" x14ac:dyDescent="0.25">
      <c r="A170" s="8">
        <f t="shared" si="2"/>
        <v>167</v>
      </c>
      <c r="B170" s="3" t="s">
        <v>749</v>
      </c>
      <c r="C170" s="3" t="s">
        <v>750</v>
      </c>
      <c r="D170" s="3" t="s">
        <v>990</v>
      </c>
      <c r="E170" s="3"/>
      <c r="F170" s="10"/>
      <c r="G170" s="10"/>
      <c r="H170" s="1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</row>
    <row r="171" spans="1:48" x14ac:dyDescent="0.25">
      <c r="A171" s="8">
        <f t="shared" si="2"/>
        <v>168</v>
      </c>
      <c r="B171" s="3" t="s">
        <v>751</v>
      </c>
      <c r="C171" s="3" t="s">
        <v>752</v>
      </c>
      <c r="D171" s="3" t="s">
        <v>983</v>
      </c>
      <c r="E171" s="3"/>
      <c r="F171" s="10"/>
      <c r="G171" s="10"/>
      <c r="H171" s="1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</row>
    <row r="172" spans="1:48" x14ac:dyDescent="0.25">
      <c r="A172" s="8">
        <f t="shared" si="2"/>
        <v>169</v>
      </c>
      <c r="B172" s="3" t="s">
        <v>753</v>
      </c>
      <c r="C172" s="3" t="s">
        <v>754</v>
      </c>
      <c r="D172" s="3" t="s">
        <v>47</v>
      </c>
      <c r="E172" s="3"/>
      <c r="F172" s="10"/>
      <c r="G172" s="10"/>
      <c r="H172" s="1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</row>
    <row r="173" spans="1:48" x14ac:dyDescent="0.25">
      <c r="A173" s="8">
        <f t="shared" si="2"/>
        <v>170</v>
      </c>
      <c r="B173" s="3" t="s">
        <v>755</v>
      </c>
      <c r="C173" s="3" t="s">
        <v>756</v>
      </c>
      <c r="D173" s="3" t="s">
        <v>89</v>
      </c>
      <c r="E173" s="3"/>
      <c r="F173" s="10"/>
      <c r="G173" s="10"/>
      <c r="H173" s="1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</row>
    <row r="174" spans="1:48" x14ac:dyDescent="0.25">
      <c r="A174" s="8">
        <f t="shared" si="2"/>
        <v>171</v>
      </c>
      <c r="B174" s="3" t="s">
        <v>757</v>
      </c>
      <c r="C174" s="3" t="s">
        <v>758</v>
      </c>
      <c r="D174" s="3" t="s">
        <v>10</v>
      </c>
      <c r="E174" s="3"/>
      <c r="F174" s="10"/>
      <c r="G174" s="10"/>
      <c r="H174" s="1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</row>
    <row r="175" spans="1:48" x14ac:dyDescent="0.25">
      <c r="A175" s="8">
        <f t="shared" si="2"/>
        <v>172</v>
      </c>
      <c r="B175" s="3" t="s">
        <v>759</v>
      </c>
      <c r="C175" s="3" t="s">
        <v>760</v>
      </c>
      <c r="D175" s="3" t="s">
        <v>990</v>
      </c>
      <c r="E175" s="3"/>
      <c r="F175" s="10"/>
      <c r="G175" s="10"/>
      <c r="H175" s="1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</row>
    <row r="176" spans="1:48" x14ac:dyDescent="0.25">
      <c r="A176" s="8">
        <f t="shared" si="2"/>
        <v>173</v>
      </c>
      <c r="B176" s="3" t="s">
        <v>761</v>
      </c>
      <c r="C176" s="3" t="s">
        <v>762</v>
      </c>
      <c r="D176" s="3" t="s">
        <v>13</v>
      </c>
      <c r="E176" s="3"/>
      <c r="F176" s="10"/>
      <c r="G176" s="10"/>
      <c r="H176" s="1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</row>
    <row r="177" spans="1:48" x14ac:dyDescent="0.25">
      <c r="A177" s="8">
        <f t="shared" si="2"/>
        <v>174</v>
      </c>
      <c r="B177" s="3" t="s">
        <v>763</v>
      </c>
      <c r="C177" s="3" t="s">
        <v>764</v>
      </c>
      <c r="D177" s="3" t="s">
        <v>988</v>
      </c>
      <c r="E177" s="3"/>
      <c r="F177" s="10"/>
      <c r="G177" s="10"/>
      <c r="H177" s="1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</row>
    <row r="178" spans="1:48" x14ac:dyDescent="0.25">
      <c r="A178" s="8">
        <f t="shared" si="2"/>
        <v>175</v>
      </c>
      <c r="B178" s="3" t="s">
        <v>765</v>
      </c>
      <c r="C178" s="3" t="s">
        <v>766</v>
      </c>
      <c r="D178" s="3" t="s">
        <v>2</v>
      </c>
      <c r="E178" s="3"/>
      <c r="F178" s="10"/>
      <c r="G178" s="10"/>
      <c r="H178" s="1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</row>
    <row r="179" spans="1:48" x14ac:dyDescent="0.25">
      <c r="A179" s="8">
        <f t="shared" si="2"/>
        <v>176</v>
      </c>
      <c r="B179" s="3" t="s">
        <v>767</v>
      </c>
      <c r="C179" s="3" t="s">
        <v>768</v>
      </c>
      <c r="D179" s="3" t="s">
        <v>975</v>
      </c>
      <c r="E179" s="3"/>
      <c r="F179" s="10"/>
      <c r="G179" s="10"/>
      <c r="H179" s="1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</row>
    <row r="180" spans="1:48" x14ac:dyDescent="0.25">
      <c r="A180" s="8">
        <f t="shared" si="2"/>
        <v>177</v>
      </c>
      <c r="B180" s="3" t="s">
        <v>769</v>
      </c>
      <c r="C180" s="3" t="s">
        <v>770</v>
      </c>
      <c r="D180" s="3" t="s">
        <v>193</v>
      </c>
      <c r="E180" s="3"/>
      <c r="F180" s="10"/>
      <c r="G180" s="10"/>
      <c r="H180" s="1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</row>
    <row r="181" spans="1:48" x14ac:dyDescent="0.25">
      <c r="A181" s="8">
        <f t="shared" si="2"/>
        <v>178</v>
      </c>
      <c r="B181" s="3" t="s">
        <v>771</v>
      </c>
      <c r="C181" s="3" t="s">
        <v>772</v>
      </c>
      <c r="D181" s="3" t="s">
        <v>2</v>
      </c>
      <c r="E181" s="3"/>
      <c r="F181" s="10"/>
      <c r="G181" s="10"/>
      <c r="H181" s="1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</row>
    <row r="182" spans="1:48" x14ac:dyDescent="0.25">
      <c r="A182" s="8">
        <f t="shared" si="2"/>
        <v>179</v>
      </c>
      <c r="B182" s="3" t="s">
        <v>773</v>
      </c>
      <c r="C182" s="3" t="s">
        <v>774</v>
      </c>
      <c r="D182" s="3" t="s">
        <v>10</v>
      </c>
      <c r="E182" s="3"/>
      <c r="F182" s="10"/>
      <c r="G182" s="10"/>
      <c r="H182" s="1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</row>
    <row r="183" spans="1:48" x14ac:dyDescent="0.25">
      <c r="A183" s="8">
        <f t="shared" si="2"/>
        <v>180</v>
      </c>
      <c r="B183" s="3" t="s">
        <v>775</v>
      </c>
      <c r="C183" s="3" t="s">
        <v>776</v>
      </c>
      <c r="D183" s="3" t="s">
        <v>2</v>
      </c>
      <c r="E183" s="3"/>
      <c r="F183" s="10"/>
      <c r="G183" s="10"/>
      <c r="H183" s="1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</row>
    <row r="184" spans="1:48" x14ac:dyDescent="0.25">
      <c r="A184" s="8">
        <f t="shared" si="2"/>
        <v>181</v>
      </c>
      <c r="B184" s="3" t="s">
        <v>777</v>
      </c>
      <c r="C184" s="3" t="s">
        <v>778</v>
      </c>
      <c r="D184" s="3" t="s">
        <v>975</v>
      </c>
      <c r="E184" s="3"/>
      <c r="F184" s="10"/>
      <c r="G184" s="10"/>
      <c r="H184" s="1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</row>
    <row r="185" spans="1:48" x14ac:dyDescent="0.25">
      <c r="A185" s="8">
        <f t="shared" si="2"/>
        <v>182</v>
      </c>
      <c r="B185" s="3" t="s">
        <v>779</v>
      </c>
      <c r="C185" s="3" t="s">
        <v>780</v>
      </c>
      <c r="D185" s="3" t="s">
        <v>991</v>
      </c>
      <c r="E185" s="3"/>
      <c r="F185" s="10"/>
      <c r="G185" s="10"/>
      <c r="H185" s="1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</row>
    <row r="186" spans="1:48" x14ac:dyDescent="0.25">
      <c r="A186" s="8">
        <f t="shared" si="2"/>
        <v>183</v>
      </c>
      <c r="B186" s="3" t="s">
        <v>781</v>
      </c>
      <c r="C186" s="3" t="s">
        <v>782</v>
      </c>
      <c r="D186" s="3" t="s">
        <v>204</v>
      </c>
      <c r="E186" s="3"/>
      <c r="F186" s="10"/>
      <c r="G186" s="10"/>
      <c r="H186" s="1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</row>
    <row r="187" spans="1:48" x14ac:dyDescent="0.25">
      <c r="A187" s="8">
        <f t="shared" si="2"/>
        <v>184</v>
      </c>
      <c r="B187" s="3" t="s">
        <v>783</v>
      </c>
      <c r="C187" s="3" t="s">
        <v>784</v>
      </c>
      <c r="D187" s="3" t="s">
        <v>987</v>
      </c>
      <c r="E187" s="3"/>
      <c r="F187" s="10"/>
      <c r="G187" s="10"/>
      <c r="H187" s="1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</row>
    <row r="188" spans="1:48" x14ac:dyDescent="0.25">
      <c r="A188" s="8">
        <f t="shared" si="2"/>
        <v>185</v>
      </c>
      <c r="B188" s="3" t="s">
        <v>785</v>
      </c>
      <c r="C188" s="3" t="s">
        <v>786</v>
      </c>
      <c r="D188" s="3" t="s">
        <v>204</v>
      </c>
      <c r="E188" s="3"/>
      <c r="F188" s="10"/>
      <c r="G188" s="10"/>
      <c r="H188" s="1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</row>
    <row r="189" spans="1:48" x14ac:dyDescent="0.25">
      <c r="A189" s="8">
        <f t="shared" si="2"/>
        <v>186</v>
      </c>
      <c r="B189" s="3" t="s">
        <v>787</v>
      </c>
      <c r="C189" s="3" t="s">
        <v>788</v>
      </c>
      <c r="D189" s="3" t="s">
        <v>10</v>
      </c>
      <c r="E189" s="3"/>
      <c r="F189" s="10"/>
      <c r="G189" s="10"/>
      <c r="H189" s="1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</row>
    <row r="190" spans="1:48" x14ac:dyDescent="0.25">
      <c r="A190" s="8">
        <f t="shared" si="2"/>
        <v>187</v>
      </c>
      <c r="B190" s="3" t="s">
        <v>789</v>
      </c>
      <c r="C190" s="3" t="s">
        <v>790</v>
      </c>
      <c r="D190" s="3" t="s">
        <v>367</v>
      </c>
      <c r="E190" s="3"/>
      <c r="F190" s="10"/>
      <c r="G190" s="10"/>
      <c r="H190" s="1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</row>
    <row r="191" spans="1:48" x14ac:dyDescent="0.25">
      <c r="A191" s="8">
        <f t="shared" si="2"/>
        <v>188</v>
      </c>
      <c r="B191" s="3" t="s">
        <v>791</v>
      </c>
      <c r="C191" s="3" t="s">
        <v>792</v>
      </c>
      <c r="D191" s="3" t="s">
        <v>992</v>
      </c>
      <c r="E191" s="3"/>
      <c r="F191" s="10"/>
      <c r="G191" s="10"/>
      <c r="H191" s="1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</row>
    <row r="192" spans="1:48" x14ac:dyDescent="0.25">
      <c r="A192" s="8">
        <f t="shared" si="2"/>
        <v>189</v>
      </c>
      <c r="B192" s="3" t="s">
        <v>793</v>
      </c>
      <c r="C192" s="3" t="s">
        <v>794</v>
      </c>
      <c r="D192" s="3" t="s">
        <v>2</v>
      </c>
      <c r="E192" s="3"/>
      <c r="F192" s="10"/>
      <c r="G192" s="10"/>
      <c r="H192" s="1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</row>
    <row r="193" spans="1:48" x14ac:dyDescent="0.25">
      <c r="A193" s="8">
        <f t="shared" si="2"/>
        <v>190</v>
      </c>
      <c r="B193" s="3" t="s">
        <v>795</v>
      </c>
      <c r="C193" s="3" t="s">
        <v>796</v>
      </c>
      <c r="D193" s="3" t="s">
        <v>978</v>
      </c>
      <c r="E193" s="3"/>
      <c r="F193" s="10"/>
      <c r="G193" s="10"/>
      <c r="H193" s="1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</row>
    <row r="194" spans="1:48" x14ac:dyDescent="0.25">
      <c r="A194" s="8">
        <f t="shared" si="2"/>
        <v>191</v>
      </c>
      <c r="B194" s="3" t="s">
        <v>797</v>
      </c>
      <c r="C194" s="3" t="s">
        <v>798</v>
      </c>
      <c r="D194" s="3" t="s">
        <v>204</v>
      </c>
      <c r="E194" s="3"/>
      <c r="F194" s="10"/>
      <c r="G194" s="10"/>
      <c r="H194" s="1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</row>
    <row r="195" spans="1:48" x14ac:dyDescent="0.25">
      <c r="A195" s="8">
        <f t="shared" si="2"/>
        <v>192</v>
      </c>
      <c r="B195" s="3" t="s">
        <v>799</v>
      </c>
      <c r="C195" s="3" t="s">
        <v>800</v>
      </c>
      <c r="D195" s="3" t="s">
        <v>2</v>
      </c>
      <c r="E195" s="3"/>
      <c r="F195" s="10"/>
      <c r="G195" s="10"/>
      <c r="H195" s="1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</row>
    <row r="196" spans="1:48" x14ac:dyDescent="0.25">
      <c r="A196" s="8">
        <f t="shared" si="2"/>
        <v>193</v>
      </c>
      <c r="B196" s="3" t="s">
        <v>801</v>
      </c>
      <c r="C196" s="3" t="s">
        <v>802</v>
      </c>
      <c r="D196" s="3" t="s">
        <v>28</v>
      </c>
      <c r="E196" s="3"/>
      <c r="F196" s="10"/>
      <c r="G196" s="10"/>
      <c r="H196" s="1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</row>
    <row r="197" spans="1:48" x14ac:dyDescent="0.25">
      <c r="A197" s="8">
        <f t="shared" si="2"/>
        <v>194</v>
      </c>
      <c r="B197" s="3" t="s">
        <v>803</v>
      </c>
      <c r="C197" s="3" t="s">
        <v>804</v>
      </c>
      <c r="D197" s="3" t="s">
        <v>10</v>
      </c>
      <c r="E197" s="3"/>
      <c r="F197" s="10"/>
      <c r="G197" s="10"/>
      <c r="H197" s="1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</row>
    <row r="198" spans="1:48" x14ac:dyDescent="0.25">
      <c r="A198" s="8">
        <f t="shared" ref="A198:A261" si="3">+A197+1</f>
        <v>195</v>
      </c>
      <c r="B198" s="3" t="s">
        <v>805</v>
      </c>
      <c r="C198" s="3" t="s">
        <v>806</v>
      </c>
      <c r="D198" s="3" t="s">
        <v>367</v>
      </c>
      <c r="E198" s="3"/>
      <c r="F198" s="10"/>
      <c r="G198" s="10"/>
      <c r="H198" s="1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</row>
    <row r="199" spans="1:48" x14ac:dyDescent="0.25">
      <c r="A199" s="8">
        <f t="shared" si="3"/>
        <v>196</v>
      </c>
      <c r="B199" s="3" t="s">
        <v>807</v>
      </c>
      <c r="C199" s="3" t="s">
        <v>808</v>
      </c>
      <c r="D199" s="3" t="s">
        <v>10</v>
      </c>
      <c r="E199" s="3"/>
      <c r="F199" s="10"/>
      <c r="G199" s="10"/>
      <c r="H199" s="1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</row>
    <row r="200" spans="1:48" x14ac:dyDescent="0.25">
      <c r="A200" s="8">
        <f t="shared" si="3"/>
        <v>197</v>
      </c>
      <c r="B200" s="3" t="s">
        <v>809</v>
      </c>
      <c r="C200" s="3" t="s">
        <v>810</v>
      </c>
      <c r="D200" s="3" t="s">
        <v>988</v>
      </c>
      <c r="E200" s="3"/>
      <c r="F200" s="10"/>
      <c r="G200" s="10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</row>
    <row r="201" spans="1:48" x14ac:dyDescent="0.25">
      <c r="A201" s="8">
        <f t="shared" si="3"/>
        <v>198</v>
      </c>
      <c r="B201" s="3" t="s">
        <v>811</v>
      </c>
      <c r="C201" s="3" t="s">
        <v>812</v>
      </c>
      <c r="D201" s="3" t="s">
        <v>993</v>
      </c>
      <c r="E201" s="3"/>
      <c r="F201" s="10"/>
      <c r="G201" s="10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</row>
    <row r="202" spans="1:48" x14ac:dyDescent="0.25">
      <c r="A202" s="8">
        <f t="shared" si="3"/>
        <v>199</v>
      </c>
      <c r="B202" s="3" t="s">
        <v>813</v>
      </c>
      <c r="C202" s="3" t="s">
        <v>814</v>
      </c>
      <c r="D202" s="3" t="s">
        <v>73</v>
      </c>
      <c r="E202" s="3"/>
      <c r="F202" s="10"/>
      <c r="G202" s="10"/>
      <c r="H202" s="1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</row>
    <row r="203" spans="1:48" x14ac:dyDescent="0.25">
      <c r="A203" s="8">
        <f t="shared" si="3"/>
        <v>200</v>
      </c>
      <c r="B203" s="3" t="s">
        <v>815</v>
      </c>
      <c r="C203" s="3" t="s">
        <v>816</v>
      </c>
      <c r="D203" s="3" t="s">
        <v>980</v>
      </c>
      <c r="E203" s="3"/>
      <c r="F203" s="10"/>
      <c r="G203" s="10"/>
      <c r="H203" s="1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</row>
    <row r="204" spans="1:48" x14ac:dyDescent="0.25">
      <c r="A204" s="8">
        <f t="shared" si="3"/>
        <v>201</v>
      </c>
      <c r="B204" s="3" t="s">
        <v>817</v>
      </c>
      <c r="C204" s="3" t="s">
        <v>818</v>
      </c>
      <c r="D204" s="3" t="s">
        <v>2</v>
      </c>
      <c r="E204" s="3"/>
      <c r="F204" s="10"/>
      <c r="G204" s="10"/>
      <c r="H204" s="1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</row>
    <row r="205" spans="1:48" x14ac:dyDescent="0.25">
      <c r="A205" s="8">
        <f t="shared" si="3"/>
        <v>202</v>
      </c>
      <c r="B205" s="3" t="s">
        <v>819</v>
      </c>
      <c r="C205" s="3" t="s">
        <v>820</v>
      </c>
      <c r="D205" s="3" t="s">
        <v>994</v>
      </c>
      <c r="E205" s="3"/>
      <c r="F205" s="10"/>
      <c r="G205" s="10"/>
      <c r="H205" s="1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</row>
    <row r="206" spans="1:48" x14ac:dyDescent="0.25">
      <c r="A206" s="8">
        <f t="shared" si="3"/>
        <v>203</v>
      </c>
      <c r="B206" s="3" t="s">
        <v>821</v>
      </c>
      <c r="C206" s="3" t="s">
        <v>822</v>
      </c>
      <c r="D206" s="3" t="s">
        <v>2</v>
      </c>
      <c r="E206" s="3"/>
      <c r="F206" s="10"/>
      <c r="G206" s="10"/>
      <c r="H206" s="1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</row>
    <row r="207" spans="1:48" x14ac:dyDescent="0.25">
      <c r="A207" s="8">
        <f t="shared" si="3"/>
        <v>204</v>
      </c>
      <c r="B207" s="3" t="s">
        <v>823</v>
      </c>
      <c r="C207" s="3" t="s">
        <v>824</v>
      </c>
      <c r="D207" s="3" t="s">
        <v>2</v>
      </c>
      <c r="E207" s="3"/>
      <c r="F207" s="10"/>
      <c r="G207" s="10"/>
      <c r="H207" s="1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</row>
    <row r="208" spans="1:48" x14ac:dyDescent="0.25">
      <c r="A208" s="8">
        <f t="shared" si="3"/>
        <v>205</v>
      </c>
      <c r="B208" s="3" t="s">
        <v>825</v>
      </c>
      <c r="C208" s="3" t="s">
        <v>826</v>
      </c>
      <c r="D208" s="3" t="s">
        <v>975</v>
      </c>
      <c r="E208" s="3"/>
      <c r="F208" s="10"/>
      <c r="G208" s="10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</row>
    <row r="209" spans="1:48" x14ac:dyDescent="0.25">
      <c r="A209" s="8">
        <f t="shared" si="3"/>
        <v>206</v>
      </c>
      <c r="B209" s="3" t="s">
        <v>827</v>
      </c>
      <c r="C209" s="3" t="s">
        <v>828</v>
      </c>
      <c r="D209" s="3" t="s">
        <v>983</v>
      </c>
      <c r="E209" s="3"/>
      <c r="F209" s="10"/>
      <c r="G209" s="10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</row>
    <row r="210" spans="1:48" x14ac:dyDescent="0.25">
      <c r="A210" s="8">
        <f t="shared" si="3"/>
        <v>207</v>
      </c>
      <c r="B210" s="3" t="s">
        <v>829</v>
      </c>
      <c r="C210" s="3" t="s">
        <v>830</v>
      </c>
      <c r="D210" s="3" t="s">
        <v>979</v>
      </c>
      <c r="E210" s="3"/>
      <c r="F210" s="10"/>
      <c r="G210" s="10"/>
      <c r="H210" s="1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</row>
    <row r="211" spans="1:48" x14ac:dyDescent="0.25">
      <c r="A211" s="8">
        <f t="shared" si="3"/>
        <v>208</v>
      </c>
      <c r="B211" s="3" t="s">
        <v>831</v>
      </c>
      <c r="C211" s="3" t="s">
        <v>832</v>
      </c>
      <c r="D211" s="3" t="s">
        <v>367</v>
      </c>
      <c r="E211" s="3"/>
      <c r="F211" s="10"/>
      <c r="G211" s="10"/>
      <c r="H211" s="1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</row>
    <row r="212" spans="1:48" x14ac:dyDescent="0.25">
      <c r="A212" s="8">
        <f t="shared" si="3"/>
        <v>209</v>
      </c>
      <c r="B212" s="3" t="s">
        <v>833</v>
      </c>
      <c r="C212" s="3" t="s">
        <v>834</v>
      </c>
      <c r="D212" s="3" t="s">
        <v>47</v>
      </c>
      <c r="E212" s="3"/>
      <c r="F212" s="10"/>
      <c r="G212" s="10"/>
      <c r="H212" s="1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</row>
    <row r="213" spans="1:48" x14ac:dyDescent="0.25">
      <c r="A213" s="8">
        <f t="shared" si="3"/>
        <v>210</v>
      </c>
      <c r="B213" s="3" t="s">
        <v>835</v>
      </c>
      <c r="C213" s="3" t="s">
        <v>836</v>
      </c>
      <c r="D213" s="3" t="s">
        <v>193</v>
      </c>
      <c r="E213" s="3"/>
      <c r="F213" s="10"/>
      <c r="G213" s="10"/>
      <c r="H213" s="1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</row>
    <row r="214" spans="1:48" x14ac:dyDescent="0.25">
      <c r="A214" s="8">
        <f t="shared" si="3"/>
        <v>211</v>
      </c>
      <c r="B214" s="3" t="s">
        <v>837</v>
      </c>
      <c r="C214" s="3" t="s">
        <v>838</v>
      </c>
      <c r="D214" s="3" t="s">
        <v>995</v>
      </c>
      <c r="E214" s="3"/>
      <c r="F214" s="10"/>
      <c r="G214" s="10"/>
      <c r="H214" s="1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</row>
    <row r="215" spans="1:48" x14ac:dyDescent="0.25">
      <c r="A215" s="8">
        <f t="shared" si="3"/>
        <v>212</v>
      </c>
      <c r="B215" s="3" t="s">
        <v>839</v>
      </c>
      <c r="C215" s="3" t="s">
        <v>840</v>
      </c>
      <c r="D215" s="3" t="s">
        <v>10</v>
      </c>
      <c r="E215" s="3"/>
      <c r="F215" s="10"/>
      <c r="G215" s="10"/>
      <c r="H215" s="1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</row>
    <row r="216" spans="1:48" x14ac:dyDescent="0.25">
      <c r="A216" s="8">
        <f t="shared" si="3"/>
        <v>213</v>
      </c>
      <c r="B216" s="3" t="s">
        <v>841</v>
      </c>
      <c r="C216" s="3" t="s">
        <v>842</v>
      </c>
      <c r="D216" s="3" t="s">
        <v>975</v>
      </c>
      <c r="E216" s="3"/>
      <c r="F216" s="10"/>
      <c r="G216" s="10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</row>
    <row r="217" spans="1:48" x14ac:dyDescent="0.25">
      <c r="A217" s="8">
        <f t="shared" si="3"/>
        <v>214</v>
      </c>
      <c r="B217" s="3" t="s">
        <v>843</v>
      </c>
      <c r="C217" s="3" t="s">
        <v>844</v>
      </c>
      <c r="D217" s="3" t="s">
        <v>977</v>
      </c>
      <c r="E217" s="3"/>
      <c r="F217" s="10"/>
      <c r="G217" s="10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</row>
    <row r="218" spans="1:48" x14ac:dyDescent="0.25">
      <c r="A218" s="8">
        <f t="shared" si="3"/>
        <v>215</v>
      </c>
      <c r="B218" s="3" t="s">
        <v>845</v>
      </c>
      <c r="C218" s="3" t="s">
        <v>846</v>
      </c>
      <c r="D218" s="3" t="s">
        <v>2</v>
      </c>
      <c r="E218" s="3"/>
      <c r="F218" s="10"/>
      <c r="G218" s="10"/>
      <c r="H218" s="1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</row>
    <row r="219" spans="1:48" x14ac:dyDescent="0.25">
      <c r="A219" s="8">
        <f t="shared" si="3"/>
        <v>216</v>
      </c>
      <c r="B219" s="3" t="s">
        <v>847</v>
      </c>
      <c r="C219" s="3" t="s">
        <v>848</v>
      </c>
      <c r="D219" s="3" t="s">
        <v>28</v>
      </c>
      <c r="E219" s="3"/>
      <c r="F219" s="10"/>
      <c r="G219" s="10"/>
      <c r="H219" s="1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</row>
    <row r="220" spans="1:48" x14ac:dyDescent="0.25">
      <c r="A220" s="8">
        <f t="shared" si="3"/>
        <v>217</v>
      </c>
      <c r="B220" s="3" t="s">
        <v>849</v>
      </c>
      <c r="C220" s="3" t="s">
        <v>850</v>
      </c>
      <c r="D220" s="3" t="s">
        <v>61</v>
      </c>
      <c r="E220" s="3"/>
      <c r="F220" s="10"/>
      <c r="G220" s="10"/>
      <c r="H220" s="1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</row>
    <row r="221" spans="1:48" x14ac:dyDescent="0.25">
      <c r="A221" s="8">
        <f t="shared" si="3"/>
        <v>218</v>
      </c>
      <c r="B221" s="3" t="s">
        <v>851</v>
      </c>
      <c r="C221" s="3" t="s">
        <v>852</v>
      </c>
      <c r="D221" s="3" t="s">
        <v>47</v>
      </c>
      <c r="E221" s="3"/>
      <c r="F221" s="10"/>
      <c r="G221" s="10"/>
      <c r="H221" s="1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</row>
    <row r="222" spans="1:48" x14ac:dyDescent="0.25">
      <c r="A222" s="8">
        <f t="shared" si="3"/>
        <v>219</v>
      </c>
      <c r="B222" s="3" t="s">
        <v>853</v>
      </c>
      <c r="C222" s="3" t="s">
        <v>854</v>
      </c>
      <c r="D222" s="3" t="s">
        <v>983</v>
      </c>
      <c r="E222" s="3"/>
      <c r="F222" s="10"/>
      <c r="G222" s="10"/>
      <c r="H222" s="1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</row>
    <row r="223" spans="1:48" x14ac:dyDescent="0.25">
      <c r="A223" s="8">
        <f t="shared" si="3"/>
        <v>220</v>
      </c>
      <c r="B223" s="3" t="s">
        <v>855</v>
      </c>
      <c r="C223" s="3" t="s">
        <v>856</v>
      </c>
      <c r="D223" s="3" t="s">
        <v>975</v>
      </c>
      <c r="E223" s="3"/>
      <c r="F223" s="10"/>
      <c r="G223" s="10"/>
      <c r="H223" s="1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</row>
    <row r="224" spans="1:48" x14ac:dyDescent="0.25">
      <c r="A224" s="8">
        <f t="shared" si="3"/>
        <v>221</v>
      </c>
      <c r="B224" s="3" t="s">
        <v>857</v>
      </c>
      <c r="C224" s="3" t="s">
        <v>858</v>
      </c>
      <c r="D224" s="3" t="s">
        <v>996</v>
      </c>
      <c r="E224" s="3"/>
      <c r="F224" s="10"/>
      <c r="G224" s="10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</row>
    <row r="225" spans="1:48" x14ac:dyDescent="0.25">
      <c r="A225" s="8">
        <f t="shared" si="3"/>
        <v>222</v>
      </c>
      <c r="B225" s="3" t="s">
        <v>859</v>
      </c>
      <c r="C225" s="3" t="s">
        <v>860</v>
      </c>
      <c r="D225" s="3" t="s">
        <v>995</v>
      </c>
      <c r="E225" s="3"/>
      <c r="F225" s="10"/>
      <c r="G225" s="10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</row>
    <row r="226" spans="1:48" x14ac:dyDescent="0.25">
      <c r="A226" s="8">
        <f t="shared" si="3"/>
        <v>223</v>
      </c>
      <c r="B226" s="3" t="s">
        <v>861</v>
      </c>
      <c r="C226" s="3" t="s">
        <v>862</v>
      </c>
      <c r="D226" s="3" t="s">
        <v>992</v>
      </c>
      <c r="E226" s="3"/>
      <c r="F226" s="10"/>
      <c r="G226" s="10"/>
      <c r="H226" s="1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</row>
    <row r="227" spans="1:48" x14ac:dyDescent="0.25">
      <c r="A227" s="8">
        <f t="shared" si="3"/>
        <v>224</v>
      </c>
      <c r="B227" s="3" t="s">
        <v>863</v>
      </c>
      <c r="C227" s="3" t="s">
        <v>864</v>
      </c>
      <c r="D227" s="3" t="s">
        <v>2</v>
      </c>
      <c r="E227" s="3"/>
      <c r="F227" s="10"/>
      <c r="G227" s="10"/>
      <c r="H227" s="1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</row>
    <row r="228" spans="1:48" x14ac:dyDescent="0.25">
      <c r="A228" s="8">
        <f t="shared" si="3"/>
        <v>225</v>
      </c>
      <c r="B228" s="3" t="s">
        <v>865</v>
      </c>
      <c r="C228" s="3" t="s">
        <v>866</v>
      </c>
      <c r="D228" s="3" t="s">
        <v>367</v>
      </c>
      <c r="E228" s="3"/>
      <c r="F228" s="10"/>
      <c r="G228" s="10"/>
      <c r="H228" s="1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</row>
    <row r="229" spans="1:48" x14ac:dyDescent="0.25">
      <c r="A229" s="8">
        <f t="shared" si="3"/>
        <v>226</v>
      </c>
      <c r="B229" s="3" t="s">
        <v>867</v>
      </c>
      <c r="C229" s="3" t="s">
        <v>868</v>
      </c>
      <c r="D229" s="3" t="s">
        <v>47</v>
      </c>
      <c r="E229" s="3"/>
      <c r="F229" s="10"/>
      <c r="G229" s="10"/>
      <c r="H229" s="1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</row>
    <row r="230" spans="1:48" x14ac:dyDescent="0.25">
      <c r="A230" s="8">
        <f t="shared" si="3"/>
        <v>227</v>
      </c>
      <c r="B230" s="3" t="s">
        <v>869</v>
      </c>
      <c r="C230" s="3" t="s">
        <v>870</v>
      </c>
      <c r="D230" s="3" t="s">
        <v>47</v>
      </c>
      <c r="E230" s="3"/>
      <c r="F230" s="10"/>
      <c r="G230" s="10"/>
      <c r="H230" s="1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</row>
    <row r="231" spans="1:48" x14ac:dyDescent="0.25">
      <c r="A231" s="8">
        <f t="shared" si="3"/>
        <v>228</v>
      </c>
      <c r="B231" s="3" t="s">
        <v>871</v>
      </c>
      <c r="C231" s="3" t="s">
        <v>872</v>
      </c>
      <c r="D231" s="3" t="s">
        <v>61</v>
      </c>
      <c r="E231" s="3"/>
      <c r="F231" s="10"/>
      <c r="G231" s="10"/>
      <c r="H231" s="1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</row>
    <row r="232" spans="1:48" x14ac:dyDescent="0.25">
      <c r="A232" s="8">
        <f t="shared" si="3"/>
        <v>229</v>
      </c>
      <c r="B232" s="3" t="s">
        <v>873</v>
      </c>
      <c r="C232" s="3" t="s">
        <v>874</v>
      </c>
      <c r="D232" s="3" t="s">
        <v>61</v>
      </c>
      <c r="E232" s="3"/>
      <c r="F232" s="10"/>
      <c r="G232" s="10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</row>
    <row r="233" spans="1:48" x14ac:dyDescent="0.25">
      <c r="A233" s="8">
        <f t="shared" si="3"/>
        <v>230</v>
      </c>
      <c r="B233" s="3" t="s">
        <v>875</v>
      </c>
      <c r="C233" s="3" t="s">
        <v>876</v>
      </c>
      <c r="D233" s="3" t="s">
        <v>2</v>
      </c>
      <c r="E233" s="3"/>
      <c r="F233" s="10"/>
      <c r="G233" s="10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</row>
    <row r="234" spans="1:48" x14ac:dyDescent="0.25">
      <c r="A234" s="8">
        <f t="shared" si="3"/>
        <v>231</v>
      </c>
      <c r="B234" s="3" t="s">
        <v>877</v>
      </c>
      <c r="C234" s="3" t="s">
        <v>878</v>
      </c>
      <c r="D234" s="3" t="s">
        <v>2</v>
      </c>
      <c r="E234" s="3"/>
      <c r="F234" s="10"/>
      <c r="G234" s="10"/>
      <c r="H234" s="1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</row>
    <row r="235" spans="1:48" x14ac:dyDescent="0.25">
      <c r="A235" s="8">
        <f t="shared" si="3"/>
        <v>232</v>
      </c>
      <c r="B235" s="3" t="s">
        <v>879</v>
      </c>
      <c r="C235" s="3" t="s">
        <v>880</v>
      </c>
      <c r="D235" s="3" t="s">
        <v>983</v>
      </c>
      <c r="E235" s="3"/>
      <c r="F235" s="10"/>
      <c r="G235" s="10"/>
      <c r="H235" s="1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</row>
    <row r="236" spans="1:48" x14ac:dyDescent="0.25">
      <c r="A236" s="8">
        <f t="shared" si="3"/>
        <v>233</v>
      </c>
      <c r="B236" s="3" t="s">
        <v>881</v>
      </c>
      <c r="C236" s="3" t="s">
        <v>882</v>
      </c>
      <c r="D236" s="3" t="s">
        <v>2</v>
      </c>
      <c r="E236" s="3"/>
      <c r="F236" s="10"/>
      <c r="G236" s="10"/>
      <c r="H236" s="1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</row>
    <row r="237" spans="1:48" x14ac:dyDescent="0.25">
      <c r="A237" s="8">
        <f t="shared" si="3"/>
        <v>234</v>
      </c>
      <c r="B237" s="3" t="s">
        <v>883</v>
      </c>
      <c r="C237" s="3" t="s">
        <v>884</v>
      </c>
      <c r="D237" s="3" t="s">
        <v>56</v>
      </c>
      <c r="E237" s="3"/>
      <c r="F237" s="10"/>
      <c r="G237" s="10"/>
      <c r="H237" s="1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</row>
    <row r="238" spans="1:48" x14ac:dyDescent="0.25">
      <c r="A238" s="8">
        <f t="shared" si="3"/>
        <v>235</v>
      </c>
      <c r="B238" s="3" t="s">
        <v>885</v>
      </c>
      <c r="C238" s="3" t="s">
        <v>886</v>
      </c>
      <c r="D238" s="3" t="s">
        <v>193</v>
      </c>
      <c r="E238" s="3"/>
      <c r="F238" s="10"/>
      <c r="G238" s="10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</row>
    <row r="239" spans="1:48" x14ac:dyDescent="0.25">
      <c r="A239" s="8">
        <f t="shared" si="3"/>
        <v>236</v>
      </c>
      <c r="B239" s="3" t="s">
        <v>887</v>
      </c>
      <c r="C239" s="3" t="s">
        <v>888</v>
      </c>
      <c r="D239" s="3" t="s">
        <v>983</v>
      </c>
      <c r="E239" s="3"/>
      <c r="F239" s="10"/>
      <c r="G239" s="10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</row>
    <row r="240" spans="1:48" x14ac:dyDescent="0.25">
      <c r="A240" s="8">
        <f t="shared" si="3"/>
        <v>237</v>
      </c>
      <c r="B240" s="3" t="s">
        <v>889</v>
      </c>
      <c r="C240" s="3" t="s">
        <v>890</v>
      </c>
      <c r="D240" s="3" t="s">
        <v>31</v>
      </c>
      <c r="E240" s="3"/>
      <c r="F240" s="10"/>
      <c r="G240" s="10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</row>
    <row r="241" spans="1:48" x14ac:dyDescent="0.25">
      <c r="A241" s="8">
        <f t="shared" si="3"/>
        <v>238</v>
      </c>
      <c r="B241" s="3" t="s">
        <v>891</v>
      </c>
      <c r="C241" s="3" t="s">
        <v>892</v>
      </c>
      <c r="D241" s="3" t="s">
        <v>2</v>
      </c>
      <c r="E241" s="3"/>
      <c r="F241" s="10"/>
      <c r="G241" s="10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</row>
    <row r="242" spans="1:48" x14ac:dyDescent="0.25">
      <c r="A242" s="8">
        <f t="shared" si="3"/>
        <v>239</v>
      </c>
      <c r="B242" s="3" t="s">
        <v>893</v>
      </c>
      <c r="C242" s="3" t="s">
        <v>894</v>
      </c>
      <c r="D242" s="3" t="s">
        <v>2</v>
      </c>
      <c r="E242" s="3"/>
      <c r="F242" s="10"/>
      <c r="G242" s="10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</row>
    <row r="243" spans="1:48" x14ac:dyDescent="0.25">
      <c r="A243" s="8">
        <f t="shared" si="3"/>
        <v>240</v>
      </c>
      <c r="B243" s="3" t="s">
        <v>895</v>
      </c>
      <c r="C243" s="3" t="s">
        <v>896</v>
      </c>
      <c r="D243" s="3" t="s">
        <v>988</v>
      </c>
      <c r="E243" s="3"/>
      <c r="F243" s="10"/>
      <c r="G243" s="10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</row>
    <row r="244" spans="1:48" x14ac:dyDescent="0.25">
      <c r="A244" s="8">
        <f t="shared" si="3"/>
        <v>241</v>
      </c>
      <c r="B244" s="3" t="s">
        <v>897</v>
      </c>
      <c r="C244" s="3" t="s">
        <v>898</v>
      </c>
      <c r="D244" s="3" t="s">
        <v>412</v>
      </c>
      <c r="E244" s="3"/>
      <c r="F244" s="10"/>
      <c r="G244" s="10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</row>
    <row r="245" spans="1:48" x14ac:dyDescent="0.25">
      <c r="A245" s="8">
        <f t="shared" si="3"/>
        <v>242</v>
      </c>
      <c r="B245" s="3" t="s">
        <v>899</v>
      </c>
      <c r="C245" s="3" t="s">
        <v>900</v>
      </c>
      <c r="D245" s="3" t="s">
        <v>988</v>
      </c>
      <c r="E245" s="3"/>
      <c r="F245" s="10"/>
      <c r="G245" s="10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</row>
    <row r="246" spans="1:48" x14ac:dyDescent="0.25">
      <c r="A246" s="8">
        <f t="shared" si="3"/>
        <v>243</v>
      </c>
      <c r="B246" s="3" t="s">
        <v>901</v>
      </c>
      <c r="C246" s="3" t="s">
        <v>902</v>
      </c>
      <c r="D246" s="3" t="s">
        <v>991</v>
      </c>
      <c r="E246" s="3"/>
      <c r="F246" s="10"/>
      <c r="G246" s="10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</row>
    <row r="247" spans="1:48" x14ac:dyDescent="0.25">
      <c r="A247" s="8">
        <f t="shared" si="3"/>
        <v>244</v>
      </c>
      <c r="B247" s="3" t="s">
        <v>903</v>
      </c>
      <c r="C247" s="3" t="s">
        <v>904</v>
      </c>
      <c r="D247" s="3" t="s">
        <v>266</v>
      </c>
      <c r="E247" s="3"/>
      <c r="F247" s="10"/>
      <c r="G247" s="10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</row>
    <row r="248" spans="1:48" x14ac:dyDescent="0.25">
      <c r="A248" s="8">
        <f t="shared" si="3"/>
        <v>245</v>
      </c>
      <c r="B248" s="3" t="s">
        <v>905</v>
      </c>
      <c r="C248" s="3" t="s">
        <v>906</v>
      </c>
      <c r="D248" s="3" t="s">
        <v>56</v>
      </c>
      <c r="E248" s="3"/>
      <c r="F248" s="10"/>
      <c r="G248" s="10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</row>
    <row r="249" spans="1:48" x14ac:dyDescent="0.25">
      <c r="A249" s="8">
        <f t="shared" si="3"/>
        <v>246</v>
      </c>
      <c r="B249" s="3" t="s">
        <v>907</v>
      </c>
      <c r="C249" s="3" t="s">
        <v>908</v>
      </c>
      <c r="D249" s="3" t="s">
        <v>988</v>
      </c>
      <c r="E249" s="3"/>
      <c r="F249" s="10"/>
      <c r="G249" s="10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</row>
    <row r="250" spans="1:48" x14ac:dyDescent="0.25">
      <c r="A250" s="8">
        <f t="shared" si="3"/>
        <v>247</v>
      </c>
      <c r="B250" s="3" t="s">
        <v>909</v>
      </c>
      <c r="C250" s="3" t="s">
        <v>910</v>
      </c>
      <c r="D250" s="3" t="s">
        <v>31</v>
      </c>
      <c r="E250" s="3"/>
      <c r="F250" s="10"/>
      <c r="G250" s="10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</row>
    <row r="251" spans="1:48" x14ac:dyDescent="0.25">
      <c r="A251" s="8">
        <f t="shared" si="3"/>
        <v>248</v>
      </c>
      <c r="B251" s="3" t="s">
        <v>911</v>
      </c>
      <c r="C251" s="3" t="s">
        <v>912</v>
      </c>
      <c r="D251" s="3" t="s">
        <v>61</v>
      </c>
      <c r="E251" s="3"/>
      <c r="F251" s="10"/>
      <c r="G251" s="10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</row>
    <row r="252" spans="1:48" x14ac:dyDescent="0.25">
      <c r="A252" s="8">
        <f t="shared" si="3"/>
        <v>249</v>
      </c>
      <c r="B252" s="3" t="s">
        <v>913</v>
      </c>
      <c r="C252" s="3" t="s">
        <v>914</v>
      </c>
      <c r="D252" s="3" t="s">
        <v>166</v>
      </c>
      <c r="E252" s="3"/>
      <c r="F252" s="10"/>
      <c r="G252" s="10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</row>
    <row r="253" spans="1:48" x14ac:dyDescent="0.25">
      <c r="A253" s="8">
        <f t="shared" si="3"/>
        <v>250</v>
      </c>
      <c r="B253" s="3" t="s">
        <v>915</v>
      </c>
      <c r="C253" s="3" t="s">
        <v>916</v>
      </c>
      <c r="D253" s="3" t="s">
        <v>47</v>
      </c>
      <c r="E253" s="3"/>
      <c r="F253" s="10"/>
      <c r="G253" s="10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</row>
    <row r="254" spans="1:48" x14ac:dyDescent="0.25">
      <c r="A254" s="8">
        <f t="shared" si="3"/>
        <v>251</v>
      </c>
      <c r="B254" s="3" t="s">
        <v>917</v>
      </c>
      <c r="C254" s="3" t="s">
        <v>918</v>
      </c>
      <c r="D254" s="3" t="s">
        <v>977</v>
      </c>
      <c r="E254" s="3"/>
      <c r="F254" s="10"/>
      <c r="G254" s="10"/>
      <c r="H254" s="1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</row>
    <row r="255" spans="1:48" x14ac:dyDescent="0.25">
      <c r="A255" s="8">
        <f t="shared" si="3"/>
        <v>252</v>
      </c>
      <c r="B255" s="3" t="s">
        <v>919</v>
      </c>
      <c r="C255" s="3" t="s">
        <v>920</v>
      </c>
      <c r="D255" s="3" t="s">
        <v>2</v>
      </c>
      <c r="E255" s="3"/>
      <c r="F255" s="10"/>
      <c r="G255" s="10"/>
      <c r="H255" s="1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</row>
    <row r="256" spans="1:48" x14ac:dyDescent="0.25">
      <c r="A256" s="8">
        <f t="shared" si="3"/>
        <v>253</v>
      </c>
      <c r="B256" s="3" t="s">
        <v>921</v>
      </c>
      <c r="C256" s="3" t="s">
        <v>922</v>
      </c>
      <c r="D256" s="3" t="s">
        <v>988</v>
      </c>
      <c r="E256" s="3"/>
      <c r="F256" s="10"/>
      <c r="G256" s="10"/>
      <c r="H256" s="1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</row>
    <row r="257" spans="1:48" x14ac:dyDescent="0.25">
      <c r="A257" s="8">
        <f t="shared" si="3"/>
        <v>254</v>
      </c>
      <c r="B257" s="3" t="s">
        <v>923</v>
      </c>
      <c r="C257" s="3" t="s">
        <v>924</v>
      </c>
      <c r="D257" s="3" t="s">
        <v>980</v>
      </c>
      <c r="E257" s="3"/>
      <c r="F257" s="10"/>
      <c r="G257" s="10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</row>
    <row r="258" spans="1:48" x14ac:dyDescent="0.25">
      <c r="A258" s="8">
        <f t="shared" si="3"/>
        <v>255</v>
      </c>
      <c r="B258" s="3" t="s">
        <v>925</v>
      </c>
      <c r="C258" s="3" t="s">
        <v>926</v>
      </c>
      <c r="D258" s="3" t="s">
        <v>989</v>
      </c>
      <c r="E258" s="3"/>
      <c r="F258" s="10"/>
      <c r="G258" s="10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</row>
    <row r="259" spans="1:48" x14ac:dyDescent="0.25">
      <c r="A259" s="8">
        <f t="shared" si="3"/>
        <v>256</v>
      </c>
      <c r="B259" s="3" t="s">
        <v>927</v>
      </c>
      <c r="C259" s="3" t="s">
        <v>928</v>
      </c>
      <c r="D259" s="3" t="s">
        <v>988</v>
      </c>
      <c r="E259" s="3"/>
      <c r="F259" s="10"/>
      <c r="G259" s="10"/>
      <c r="H259" s="1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</row>
    <row r="260" spans="1:48" x14ac:dyDescent="0.25">
      <c r="A260" s="8">
        <f t="shared" si="3"/>
        <v>257</v>
      </c>
      <c r="B260" s="3" t="s">
        <v>929</v>
      </c>
      <c r="C260" s="3" t="s">
        <v>930</v>
      </c>
      <c r="D260" s="3" t="s">
        <v>5</v>
      </c>
      <c r="E260" s="3"/>
      <c r="F260" s="10"/>
      <c r="G260" s="10"/>
      <c r="H260" s="1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</row>
    <row r="261" spans="1:48" x14ac:dyDescent="0.25">
      <c r="A261" s="8">
        <f t="shared" si="3"/>
        <v>258</v>
      </c>
      <c r="B261" s="3" t="s">
        <v>931</v>
      </c>
      <c r="C261" s="3" t="s">
        <v>932</v>
      </c>
      <c r="D261" s="3" t="s">
        <v>367</v>
      </c>
      <c r="E261" s="3"/>
      <c r="F261" s="10"/>
      <c r="G261" s="10"/>
      <c r="H261" s="1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</row>
    <row r="262" spans="1:48" x14ac:dyDescent="0.25">
      <c r="A262" s="8">
        <f t="shared" ref="A262:A286" si="4">+A261+1</f>
        <v>259</v>
      </c>
      <c r="B262" s="3" t="s">
        <v>933</v>
      </c>
      <c r="C262" s="3" t="s">
        <v>934</v>
      </c>
      <c r="D262" s="3" t="s">
        <v>412</v>
      </c>
      <c r="E262" s="3"/>
      <c r="F262" s="10"/>
      <c r="G262" s="10"/>
      <c r="H262" s="1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</row>
    <row r="263" spans="1:48" x14ac:dyDescent="0.25">
      <c r="A263" s="8">
        <f t="shared" si="4"/>
        <v>260</v>
      </c>
      <c r="B263" s="3" t="s">
        <v>935</v>
      </c>
      <c r="C263" s="3" t="s">
        <v>936</v>
      </c>
      <c r="D263" s="3" t="s">
        <v>2</v>
      </c>
      <c r="E263" s="3"/>
      <c r="F263" s="10"/>
      <c r="G263" s="10"/>
      <c r="H263" s="1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</row>
    <row r="264" spans="1:48" x14ac:dyDescent="0.25">
      <c r="A264" s="8">
        <f t="shared" si="4"/>
        <v>261</v>
      </c>
      <c r="B264" s="3" t="s">
        <v>937</v>
      </c>
      <c r="C264" s="3" t="s">
        <v>938</v>
      </c>
      <c r="D264" s="3" t="s">
        <v>2</v>
      </c>
      <c r="E264" s="3"/>
      <c r="F264" s="10"/>
      <c r="G264" s="10"/>
      <c r="H264" s="1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</row>
    <row r="265" spans="1:48" x14ac:dyDescent="0.25">
      <c r="A265" s="8">
        <f t="shared" si="4"/>
        <v>262</v>
      </c>
      <c r="B265" s="3" t="s">
        <v>939</v>
      </c>
      <c r="C265" s="3" t="s">
        <v>940</v>
      </c>
      <c r="D265" s="3" t="s">
        <v>992</v>
      </c>
      <c r="E265" s="3"/>
      <c r="F265" s="10"/>
      <c r="G265" s="10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</row>
    <row r="266" spans="1:48" x14ac:dyDescent="0.25">
      <c r="A266" s="8">
        <f t="shared" si="4"/>
        <v>263</v>
      </c>
      <c r="B266" s="3" t="s">
        <v>941</v>
      </c>
      <c r="C266" s="3" t="s">
        <v>942</v>
      </c>
      <c r="D266" s="3" t="s">
        <v>31</v>
      </c>
      <c r="E266" s="3"/>
      <c r="F266" s="10"/>
      <c r="G266" s="10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</row>
    <row r="267" spans="1:48" x14ac:dyDescent="0.25">
      <c r="A267" s="8">
        <f t="shared" si="4"/>
        <v>264</v>
      </c>
      <c r="B267" s="3" t="s">
        <v>943</v>
      </c>
      <c r="C267" s="3" t="s">
        <v>944</v>
      </c>
      <c r="D267" s="3" t="s">
        <v>367</v>
      </c>
      <c r="E267" s="3"/>
      <c r="F267" s="10"/>
      <c r="G267" s="10"/>
      <c r="H267" s="1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</row>
    <row r="268" spans="1:48" x14ac:dyDescent="0.25">
      <c r="A268" s="8">
        <f t="shared" si="4"/>
        <v>265</v>
      </c>
      <c r="B268" s="3" t="s">
        <v>945</v>
      </c>
      <c r="C268" s="3" t="s">
        <v>946</v>
      </c>
      <c r="D268" s="3" t="s">
        <v>997</v>
      </c>
      <c r="E268" s="3"/>
      <c r="F268" s="10"/>
      <c r="G268" s="10"/>
      <c r="H268" s="1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</row>
    <row r="269" spans="1:48" x14ac:dyDescent="0.25">
      <c r="A269" s="8">
        <f t="shared" si="4"/>
        <v>266</v>
      </c>
      <c r="B269" s="3" t="s">
        <v>947</v>
      </c>
      <c r="C269" s="3" t="s">
        <v>948</v>
      </c>
      <c r="D269" s="3" t="s">
        <v>988</v>
      </c>
      <c r="E269" s="3"/>
      <c r="F269" s="10"/>
      <c r="G269" s="10"/>
      <c r="H269" s="1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</row>
    <row r="270" spans="1:48" x14ac:dyDescent="0.25">
      <c r="A270" s="8">
        <f t="shared" si="4"/>
        <v>267</v>
      </c>
      <c r="B270" s="3" t="s">
        <v>949</v>
      </c>
      <c r="C270" s="3" t="s">
        <v>950</v>
      </c>
      <c r="D270" s="3" t="s">
        <v>313</v>
      </c>
      <c r="E270" s="3"/>
      <c r="F270" s="10"/>
      <c r="G270" s="10"/>
      <c r="H270" s="1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</row>
    <row r="271" spans="1:48" x14ac:dyDescent="0.25">
      <c r="A271" s="8">
        <f t="shared" si="4"/>
        <v>268</v>
      </c>
      <c r="B271" s="3" t="s">
        <v>951</v>
      </c>
      <c r="C271" s="3" t="s">
        <v>952</v>
      </c>
      <c r="D271" s="3" t="s">
        <v>988</v>
      </c>
      <c r="E271" s="3"/>
      <c r="F271" s="10"/>
      <c r="G271" s="10"/>
      <c r="H271" s="1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</row>
    <row r="272" spans="1:48" x14ac:dyDescent="0.25">
      <c r="A272" s="8">
        <f t="shared" si="4"/>
        <v>269</v>
      </c>
      <c r="B272" s="3" t="s">
        <v>953</v>
      </c>
      <c r="C272" s="3" t="s">
        <v>954</v>
      </c>
      <c r="D272" s="3" t="s">
        <v>31</v>
      </c>
      <c r="E272" s="3"/>
      <c r="F272" s="10"/>
      <c r="G272" s="10"/>
      <c r="H272" s="1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</row>
    <row r="273" spans="1:48" x14ac:dyDescent="0.25">
      <c r="A273" s="8">
        <f t="shared" si="4"/>
        <v>270</v>
      </c>
      <c r="B273" s="3" t="s">
        <v>955</v>
      </c>
      <c r="C273" s="3" t="s">
        <v>956</v>
      </c>
      <c r="D273" s="3" t="s">
        <v>2</v>
      </c>
      <c r="E273" s="3"/>
      <c r="F273" s="10"/>
      <c r="G273" s="10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</row>
    <row r="274" spans="1:48" x14ac:dyDescent="0.25">
      <c r="A274" s="8">
        <f t="shared" si="4"/>
        <v>271</v>
      </c>
      <c r="B274" s="3" t="s">
        <v>957</v>
      </c>
      <c r="C274" s="3" t="s">
        <v>958</v>
      </c>
      <c r="D274" s="3" t="s">
        <v>988</v>
      </c>
      <c r="E274" s="3"/>
      <c r="F274" s="10"/>
      <c r="G274" s="10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</row>
    <row r="275" spans="1:48" x14ac:dyDescent="0.25">
      <c r="A275" s="8">
        <f t="shared" si="4"/>
        <v>272</v>
      </c>
      <c r="B275" s="3" t="s">
        <v>959</v>
      </c>
      <c r="C275" s="3" t="s">
        <v>960</v>
      </c>
      <c r="D275" s="3" t="s">
        <v>995</v>
      </c>
      <c r="E275" s="3"/>
      <c r="F275" s="10"/>
      <c r="G275" s="10"/>
      <c r="H275" s="1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</row>
    <row r="276" spans="1:48" x14ac:dyDescent="0.25">
      <c r="A276" s="8">
        <f t="shared" si="4"/>
        <v>273</v>
      </c>
      <c r="B276" s="3" t="s">
        <v>961</v>
      </c>
      <c r="C276" s="3" t="s">
        <v>962</v>
      </c>
      <c r="D276" s="3" t="s">
        <v>977</v>
      </c>
      <c r="E276" s="3"/>
      <c r="F276" s="10"/>
      <c r="G276" s="10"/>
      <c r="H276" s="1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</row>
    <row r="277" spans="1:48" x14ac:dyDescent="0.25">
      <c r="A277" s="8">
        <f t="shared" si="4"/>
        <v>274</v>
      </c>
      <c r="B277" s="3" t="s">
        <v>963</v>
      </c>
      <c r="C277" s="3" t="s">
        <v>964</v>
      </c>
      <c r="D277" s="3" t="s">
        <v>13</v>
      </c>
      <c r="E277" s="3"/>
      <c r="F277" s="10"/>
      <c r="G277" s="10"/>
      <c r="H277" s="1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</row>
    <row r="278" spans="1:48" x14ac:dyDescent="0.25">
      <c r="A278" s="8">
        <f t="shared" si="4"/>
        <v>275</v>
      </c>
      <c r="B278" s="3" t="s">
        <v>965</v>
      </c>
      <c r="C278" s="3" t="s">
        <v>966</v>
      </c>
      <c r="D278" s="3" t="s">
        <v>988</v>
      </c>
      <c r="E278" s="3"/>
      <c r="F278" s="10"/>
      <c r="G278" s="10"/>
      <c r="H278" s="1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</row>
    <row r="279" spans="1:48" x14ac:dyDescent="0.25">
      <c r="A279" s="8">
        <f t="shared" si="4"/>
        <v>276</v>
      </c>
      <c r="B279" s="3" t="s">
        <v>967</v>
      </c>
      <c r="C279" s="3" t="s">
        <v>968</v>
      </c>
      <c r="D279" s="3" t="s">
        <v>89</v>
      </c>
      <c r="E279" s="3"/>
      <c r="F279" s="10"/>
      <c r="G279" s="10"/>
      <c r="H279" s="1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</row>
    <row r="280" spans="1:48" x14ac:dyDescent="0.25">
      <c r="A280" s="8">
        <f t="shared" si="4"/>
        <v>277</v>
      </c>
      <c r="B280" s="3" t="s">
        <v>969</v>
      </c>
      <c r="C280" s="3" t="s">
        <v>970</v>
      </c>
      <c r="D280" s="3" t="s">
        <v>313</v>
      </c>
      <c r="E280" s="3"/>
      <c r="F280" s="10"/>
      <c r="G280" s="10"/>
      <c r="H280" s="1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</row>
    <row r="281" spans="1:48" x14ac:dyDescent="0.25">
      <c r="A281" s="8">
        <f t="shared" si="4"/>
        <v>278</v>
      </c>
      <c r="B281" s="3" t="s">
        <v>971</v>
      </c>
      <c r="C281" s="3" t="s">
        <v>972</v>
      </c>
      <c r="D281" s="3" t="s">
        <v>313</v>
      </c>
      <c r="E281" s="3"/>
      <c r="F281" s="10"/>
      <c r="G281" s="10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</row>
    <row r="282" spans="1:48" x14ac:dyDescent="0.25">
      <c r="A282" s="8">
        <f t="shared" si="4"/>
        <v>279</v>
      </c>
      <c r="B282" s="3" t="s">
        <v>973</v>
      </c>
      <c r="C282" s="3" t="s">
        <v>974</v>
      </c>
      <c r="D282" s="3" t="s">
        <v>313</v>
      </c>
      <c r="E282" s="3"/>
      <c r="F282" s="10"/>
      <c r="G282" s="10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</row>
    <row r="283" spans="1:48" x14ac:dyDescent="0.25">
      <c r="A283" s="8">
        <f t="shared" si="4"/>
        <v>280</v>
      </c>
      <c r="B283" s="3" t="s">
        <v>2204</v>
      </c>
      <c r="C283" s="3" t="s">
        <v>2205</v>
      </c>
      <c r="D283" s="3" t="s">
        <v>2</v>
      </c>
      <c r="E283" s="3"/>
      <c r="F283" s="10"/>
      <c r="G283" s="10"/>
      <c r="H283" s="1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</row>
    <row r="284" spans="1:48" x14ac:dyDescent="0.25">
      <c r="A284" s="8">
        <f t="shared" si="4"/>
        <v>281</v>
      </c>
      <c r="B284" s="3" t="s">
        <v>2206</v>
      </c>
      <c r="C284" s="3" t="s">
        <v>2207</v>
      </c>
      <c r="D284" s="3" t="s">
        <v>2</v>
      </c>
      <c r="E284" s="3"/>
      <c r="F284" s="10"/>
      <c r="G284" s="10"/>
      <c r="H284" s="1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</row>
    <row r="285" spans="1:48" x14ac:dyDescent="0.25">
      <c r="A285" s="8">
        <f t="shared" si="4"/>
        <v>282</v>
      </c>
      <c r="B285" s="3" t="s">
        <v>2208</v>
      </c>
      <c r="C285" s="3" t="s">
        <v>2209</v>
      </c>
      <c r="D285" s="3" t="s">
        <v>983</v>
      </c>
      <c r="E285" s="3"/>
      <c r="F285" s="10"/>
      <c r="G285" s="10"/>
      <c r="H285" s="1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</row>
    <row r="286" spans="1:48" x14ac:dyDescent="0.25">
      <c r="A286" s="8">
        <f t="shared" si="4"/>
        <v>283</v>
      </c>
      <c r="B286" s="3" t="s">
        <v>2210</v>
      </c>
      <c r="C286" s="3" t="s">
        <v>2211</v>
      </c>
      <c r="D286" s="3" t="s">
        <v>2</v>
      </c>
      <c r="E286" s="3"/>
      <c r="F286" s="10"/>
      <c r="G286" s="10"/>
      <c r="H286" s="1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</row>
    <row r="287" spans="1:48" x14ac:dyDescent="0.25">
      <c r="A287" s="3"/>
      <c r="B287" s="3"/>
      <c r="C287" s="3"/>
      <c r="D287" s="3"/>
      <c r="E287" s="3"/>
      <c r="F287" s="10"/>
      <c r="G287" s="10"/>
      <c r="H287" s="1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</row>
    <row r="288" spans="1:48" x14ac:dyDescent="0.25">
      <c r="A288" s="3"/>
      <c r="B288" s="3"/>
      <c r="C288" s="3"/>
      <c r="D288" s="3"/>
      <c r="E288" s="3"/>
      <c r="F288" s="10"/>
      <c r="G288" s="10"/>
      <c r="H288" s="1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</row>
    <row r="289" spans="1:48" x14ac:dyDescent="0.25">
      <c r="A289" s="3"/>
      <c r="B289" s="3"/>
      <c r="C289" s="3"/>
      <c r="D289" s="3"/>
      <c r="E289" s="3"/>
      <c r="F289" s="10"/>
      <c r="G289" s="10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</row>
    <row r="290" spans="1:48" x14ac:dyDescent="0.25">
      <c r="A290" s="3"/>
      <c r="B290" s="3"/>
      <c r="C290" s="3"/>
      <c r="D290" s="3"/>
      <c r="E290" s="3"/>
      <c r="F290" s="10"/>
      <c r="G290" s="10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</row>
    <row r="291" spans="1:48" x14ac:dyDescent="0.25">
      <c r="A291" s="3"/>
      <c r="B291" s="3"/>
      <c r="C291" s="3"/>
      <c r="D291" s="3"/>
      <c r="E291" s="3"/>
      <c r="F291" s="10"/>
      <c r="G291" s="10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</row>
    <row r="292" spans="1:4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</row>
    <row r="293" spans="1:4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</row>
    <row r="294" spans="1:4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</row>
    <row r="295" spans="1:4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</row>
    <row r="296" spans="1:4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</row>
    <row r="297" spans="1:4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</row>
    <row r="298" spans="1:4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</row>
    <row r="299" spans="1:4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</row>
    <row r="300" spans="1:4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</row>
    <row r="301" spans="1:4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</row>
    <row r="302" spans="1:4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</row>
    <row r="303" spans="1:4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</row>
    <row r="304" spans="1:4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</row>
  </sheetData>
  <conditionalFormatting sqref="C4:C286">
    <cfRule type="duplicateValues" dxfId="1" priority="27"/>
  </conditionalFormatting>
  <hyperlinks>
    <hyperlink ref="A1" location="Main!A1" display="Main " xr:uid="{C3DBCD92-FC50-4687-9C4F-67A7E74DFBDE}"/>
    <hyperlink ref="B5" r:id="rId1" xr:uid="{82B9E810-7E36-454A-9CFC-FB14BF07B904}"/>
    <hyperlink ref="B4" r:id="rId2" xr:uid="{E3360683-4D65-4937-9976-4ADFD96E960F}"/>
    <hyperlink ref="B20" r:id="rId3" xr:uid="{AE571667-E61F-4FBA-95BB-2290899DEAC1}"/>
    <hyperlink ref="B17" r:id="rId4" xr:uid="{83D0CAD2-3A6D-4DF3-9110-635DB2D2F526}"/>
    <hyperlink ref="B8" r:id="rId5" xr:uid="{D6A631A5-1AC3-4B17-8C95-CBA0B1488886}"/>
    <hyperlink ref="B7" r:id="rId6" xr:uid="{CF58832A-C9D8-4DB5-B753-051CCE7F3A0F}"/>
    <hyperlink ref="B6" r:id="rId7" xr:uid="{01366260-8CA1-43A2-8E4D-0BF0B2049B1E}"/>
    <hyperlink ref="B15" r:id="rId8" xr:uid="{089DBF26-835F-4778-BB80-5F04B035E247}"/>
    <hyperlink ref="B74" r:id="rId9" xr:uid="{DA9E5597-D89F-4437-B8A8-19175EE281BB}"/>
    <hyperlink ref="B31" r:id="rId10" xr:uid="{44844D1C-369A-40AB-AC30-4509691AAA1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D7C0-0E3F-4465-BEEB-87D764EA4CA8}">
  <dimension ref="A1:AS108"/>
  <sheetViews>
    <sheetView zoomScale="200" zoomScaleNormal="200" workbookViewId="0">
      <selection activeCell="B9" sqref="B9"/>
    </sheetView>
  </sheetViews>
  <sheetFormatPr defaultRowHeight="13.5" x14ac:dyDescent="0.25"/>
  <cols>
    <col min="1" max="1" width="4.7109375" style="4" customWidth="1"/>
    <col min="2" max="2" width="23.28515625" style="4" bestFit="1" customWidth="1"/>
    <col min="3" max="3" width="9.85546875" style="4" bestFit="1" customWidth="1"/>
    <col min="4" max="4" width="8.28515625" style="4" bestFit="1" customWidth="1"/>
    <col min="5" max="16384" width="9.140625" style="4"/>
  </cols>
  <sheetData>
    <row r="1" spans="1:45" x14ac:dyDescent="0.25">
      <c r="A1" s="1" t="s">
        <v>225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25">
      <c r="A3" s="17" t="s">
        <v>224</v>
      </c>
      <c r="B3" s="18" t="s">
        <v>223</v>
      </c>
      <c r="C3" s="18" t="s">
        <v>338</v>
      </c>
      <c r="D3" s="18" t="s">
        <v>221</v>
      </c>
      <c r="E3" s="19" t="s">
        <v>229</v>
      </c>
      <c r="F3" s="19" t="s">
        <v>230</v>
      </c>
      <c r="G3" s="19" t="s">
        <v>231</v>
      </c>
      <c r="H3" s="19" t="s">
        <v>232</v>
      </c>
      <c r="I3" s="19" t="s">
        <v>339</v>
      </c>
      <c r="J3" s="18" t="s">
        <v>340</v>
      </c>
      <c r="K3" s="18"/>
      <c r="L3" s="18"/>
      <c r="M3" s="2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8">
        <v>1</v>
      </c>
      <c r="B4" s="1" t="s">
        <v>203</v>
      </c>
      <c r="C4" s="24" t="s">
        <v>202</v>
      </c>
      <c r="D4" s="24" t="s">
        <v>2</v>
      </c>
      <c r="E4" s="3">
        <f>+[9]Main!$I$2</f>
        <v>215.01</v>
      </c>
      <c r="F4" s="10">
        <f>+[9]Main!$I$4</f>
        <v>162118.71696474002</v>
      </c>
      <c r="G4" s="10">
        <f>+[9]Main!$I$6-[9]Main!$I$5</f>
        <v>29944</v>
      </c>
      <c r="H4" s="10">
        <f>+F4+G4</f>
        <v>192062.71696474002</v>
      </c>
      <c r="I4" s="25" t="s">
        <v>2200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8">
        <f>+A4+1</f>
        <v>2</v>
      </c>
      <c r="B5" s="1" t="s">
        <v>341</v>
      </c>
      <c r="C5" s="3" t="s">
        <v>342</v>
      </c>
      <c r="D5" s="3" t="s">
        <v>2</v>
      </c>
      <c r="E5" s="10">
        <f>+[29]Main!$H$3</f>
        <v>200.99</v>
      </c>
      <c r="F5" s="10">
        <f>+[29]Main!$H$5</f>
        <v>269786.39999924001</v>
      </c>
      <c r="G5" s="10">
        <f>+[29]Main!$H$7-[29]Main!$H$6</f>
        <v>27057</v>
      </c>
      <c r="H5" s="10">
        <f>F5+G5</f>
        <v>296843.39999924001</v>
      </c>
      <c r="I5" s="34" t="s">
        <v>2598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8">
        <f t="shared" ref="A6:A45" si="0">+A5+1</f>
        <v>3</v>
      </c>
      <c r="B6" s="1" t="s">
        <v>344</v>
      </c>
      <c r="C6" s="3" t="s">
        <v>200</v>
      </c>
      <c r="D6" s="3" t="s">
        <v>2</v>
      </c>
      <c r="E6" s="10">
        <f>+[10]Main!$K$2</f>
        <v>639</v>
      </c>
      <c r="F6" s="10">
        <f>+[10]Main!$K$4</f>
        <v>148695.29999999999</v>
      </c>
      <c r="G6" s="10">
        <f>+[10]Main!$K$6-[10]Main!$K$5</f>
        <v>17579</v>
      </c>
      <c r="H6" s="10">
        <f>F6+G6</f>
        <v>166274.29999999999</v>
      </c>
      <c r="I6" s="34" t="s">
        <v>2598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8">
        <f t="shared" si="0"/>
        <v>4</v>
      </c>
      <c r="B7" s="1" t="s">
        <v>345</v>
      </c>
      <c r="C7" s="3" t="s">
        <v>346</v>
      </c>
      <c r="D7" s="3" t="s">
        <v>2</v>
      </c>
      <c r="E7" s="10">
        <f>+[30]Main!$K$3</f>
        <v>198.13</v>
      </c>
      <c r="F7" s="10">
        <f>+[30]Main!$K$5</f>
        <v>128719.35485599999</v>
      </c>
      <c r="G7" s="10">
        <f>+[30]Main!$K$7-[30]Main!$K$6</f>
        <v>18125</v>
      </c>
      <c r="H7" s="10">
        <f>F7+G7</f>
        <v>146844.35485599999</v>
      </c>
      <c r="I7" s="11" t="s">
        <v>343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8">
        <f t="shared" si="0"/>
        <v>5</v>
      </c>
      <c r="B8" s="3" t="s">
        <v>347</v>
      </c>
      <c r="C8" s="3" t="s">
        <v>348</v>
      </c>
      <c r="D8" s="3" t="s">
        <v>36</v>
      </c>
      <c r="E8" s="10"/>
      <c r="F8" s="10"/>
      <c r="G8" s="10"/>
      <c r="H8" s="1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8">
        <f t="shared" si="0"/>
        <v>6</v>
      </c>
      <c r="B9" s="1" t="s">
        <v>349</v>
      </c>
      <c r="C9" s="3" t="s">
        <v>350</v>
      </c>
      <c r="D9" s="3" t="s">
        <v>2</v>
      </c>
      <c r="E9" s="10">
        <f>+[31]Main!$H$2</f>
        <v>304.8</v>
      </c>
      <c r="F9" s="10">
        <f>+[31]Main!$H$4</f>
        <v>83752.206079199997</v>
      </c>
      <c r="G9" s="10">
        <f>+[31]Main!$H$6-[31]Main!$H$5</f>
        <v>7899</v>
      </c>
      <c r="H9" s="10">
        <f>F9+G9</f>
        <v>91651.206079199997</v>
      </c>
      <c r="I9" s="11" t="s">
        <v>343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8">
        <f t="shared" si="0"/>
        <v>7</v>
      </c>
      <c r="B10" s="1" t="s">
        <v>351</v>
      </c>
      <c r="C10" s="3" t="s">
        <v>352</v>
      </c>
      <c r="D10" s="3" t="s">
        <v>2</v>
      </c>
      <c r="E10" s="3">
        <f>+[32]Main!$K$2</f>
        <v>519.92999999999995</v>
      </c>
      <c r="F10" s="10">
        <f>+[32]Main!$K$4</f>
        <v>76037.290752779998</v>
      </c>
      <c r="G10" s="10">
        <f>+[32]Main!$K$6-[32]Main!$K$5</f>
        <v>11434</v>
      </c>
      <c r="H10" s="10">
        <f>F10+G10</f>
        <v>87471.290752779998</v>
      </c>
      <c r="I10" s="11" t="s">
        <v>343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8">
        <f t="shared" si="0"/>
        <v>8</v>
      </c>
      <c r="B11" s="3" t="s">
        <v>353</v>
      </c>
      <c r="C11" s="3" t="s">
        <v>354</v>
      </c>
      <c r="D11" s="3" t="s">
        <v>193</v>
      </c>
      <c r="E11" s="10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8">
        <f t="shared" si="0"/>
        <v>9</v>
      </c>
      <c r="B12" s="1" t="s">
        <v>355</v>
      </c>
      <c r="C12" s="3" t="s">
        <v>356</v>
      </c>
      <c r="D12" s="3" t="s">
        <v>2</v>
      </c>
      <c r="E12" s="10">
        <f>+[33]Main!$I$3</f>
        <v>227.23</v>
      </c>
      <c r="F12" s="10">
        <f>+[33]Main!$I$5</f>
        <v>43106.710323699997</v>
      </c>
      <c r="G12" s="10">
        <f>+[33]Main!$I$7-[33]Main!$I$6</f>
        <v>12705</v>
      </c>
      <c r="H12" s="10">
        <f>F12+G12</f>
        <v>55811.710323699997</v>
      </c>
      <c r="I12" s="11" t="s">
        <v>343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8">
        <f t="shared" si="0"/>
        <v>10</v>
      </c>
      <c r="B13" s="3" t="s">
        <v>357</v>
      </c>
      <c r="C13" s="3" t="s">
        <v>358</v>
      </c>
      <c r="D13" s="3" t="s">
        <v>246</v>
      </c>
      <c r="E13" s="10"/>
      <c r="F13" s="10"/>
      <c r="G13" s="10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8">
        <f t="shared" si="0"/>
        <v>11</v>
      </c>
      <c r="B14" s="1" t="s">
        <v>2202</v>
      </c>
      <c r="C14" s="3" t="s">
        <v>2203</v>
      </c>
      <c r="D14" s="3" t="s">
        <v>2</v>
      </c>
      <c r="E14" s="10">
        <f>+[34]Main!$K$2</f>
        <v>628.66999999999996</v>
      </c>
      <c r="F14" s="10">
        <f>+[34]Main!$K$4</f>
        <v>48170.74863622</v>
      </c>
      <c r="G14" s="10">
        <f>+[34]Main!$K$6-[34]Main!$K$5</f>
        <v>-306.06000000000006</v>
      </c>
      <c r="H14" s="10">
        <f>F14+G14</f>
        <v>47864.688636220002</v>
      </c>
      <c r="I14" s="11" t="s">
        <v>236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8">
        <f t="shared" si="0"/>
        <v>12</v>
      </c>
      <c r="B15" s="3" t="s">
        <v>359</v>
      </c>
      <c r="C15" s="3" t="s">
        <v>360</v>
      </c>
      <c r="D15" s="3" t="s">
        <v>36</v>
      </c>
      <c r="E15" s="10"/>
      <c r="F15" s="10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8">
        <f t="shared" si="0"/>
        <v>13</v>
      </c>
      <c r="B16" s="3" t="s">
        <v>361</v>
      </c>
      <c r="C16" s="3" t="s">
        <v>362</v>
      </c>
      <c r="D16" s="3" t="s">
        <v>246</v>
      </c>
      <c r="E16" s="10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8">
        <f t="shared" si="0"/>
        <v>14</v>
      </c>
      <c r="B17" s="1" t="s">
        <v>363</v>
      </c>
      <c r="C17" s="3" t="s">
        <v>364</v>
      </c>
      <c r="D17" s="3" t="s">
        <v>31</v>
      </c>
      <c r="E17" s="10">
        <f>+[35]Main!$I$2</f>
        <v>1332</v>
      </c>
      <c r="F17" s="10">
        <f>+[35]Main!$I$4*FX!C3</f>
        <v>62576.028000000013</v>
      </c>
      <c r="G17" s="10">
        <f>+([35]Main!$I$6-[35]Main!$I$5)*FX!C3</f>
        <v>1350.51</v>
      </c>
      <c r="H17" s="10">
        <f>F17+G17</f>
        <v>63926.538000000015</v>
      </c>
      <c r="I17" s="11" t="s">
        <v>236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8">
        <f t="shared" si="0"/>
        <v>15</v>
      </c>
      <c r="B18" s="3" t="s">
        <v>365</v>
      </c>
      <c r="C18" s="3" t="s">
        <v>366</v>
      </c>
      <c r="D18" s="3" t="s">
        <v>367</v>
      </c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8">
        <f t="shared" si="0"/>
        <v>16</v>
      </c>
      <c r="B19" s="3" t="s">
        <v>99</v>
      </c>
      <c r="C19" s="3" t="s">
        <v>98</v>
      </c>
      <c r="D19" s="3" t="s">
        <v>36</v>
      </c>
      <c r="E19" s="10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8">
        <f t="shared" si="0"/>
        <v>17</v>
      </c>
      <c r="B20" s="3" t="s">
        <v>368</v>
      </c>
      <c r="C20" s="3" t="s">
        <v>369</v>
      </c>
      <c r="D20" s="3" t="s">
        <v>240</v>
      </c>
      <c r="E20" s="10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8">
        <f t="shared" si="0"/>
        <v>18</v>
      </c>
      <c r="B21" s="3" t="s">
        <v>370</v>
      </c>
      <c r="C21" s="3" t="s">
        <v>371</v>
      </c>
      <c r="D21" s="3" t="s">
        <v>78</v>
      </c>
      <c r="E21" s="10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8">
        <f t="shared" si="0"/>
        <v>19</v>
      </c>
      <c r="B22" s="1" t="s">
        <v>372</v>
      </c>
      <c r="C22" s="3" t="s">
        <v>373</v>
      </c>
      <c r="D22" s="3" t="s">
        <v>2</v>
      </c>
      <c r="E22" s="10">
        <f>+[36]Main!$I$2</f>
        <v>265.20999999999998</v>
      </c>
      <c r="F22" s="10">
        <f>+[36]Main!$I$4</f>
        <v>10400.271678719999</v>
      </c>
      <c r="G22" s="10">
        <f>+[36]Main!$I$6-[36]Main!$I$5</f>
        <v>2646</v>
      </c>
      <c r="H22" s="10">
        <f>F22+G22</f>
        <v>13046.271678719999</v>
      </c>
      <c r="I22" s="11" t="s">
        <v>343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8">
        <f t="shared" si="0"/>
        <v>20</v>
      </c>
      <c r="B23" s="3" t="s">
        <v>374</v>
      </c>
      <c r="C23" s="3" t="s">
        <v>375</v>
      </c>
      <c r="D23" s="3" t="s">
        <v>322</v>
      </c>
      <c r="E23" s="10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8">
        <f t="shared" si="0"/>
        <v>21</v>
      </c>
      <c r="B24" s="3" t="s">
        <v>376</v>
      </c>
      <c r="C24" s="3" t="s">
        <v>377</v>
      </c>
      <c r="D24" s="3" t="s">
        <v>2</v>
      </c>
      <c r="E24" s="10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8">
        <f t="shared" si="0"/>
        <v>22</v>
      </c>
      <c r="B25" s="3" t="s">
        <v>378</v>
      </c>
      <c r="C25" s="3" t="s">
        <v>379</v>
      </c>
      <c r="D25" s="3" t="s">
        <v>266</v>
      </c>
      <c r="E25" s="10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8">
        <f t="shared" si="0"/>
        <v>23</v>
      </c>
      <c r="B26" s="3" t="s">
        <v>380</v>
      </c>
      <c r="C26" s="3" t="s">
        <v>381</v>
      </c>
      <c r="D26" s="3" t="s">
        <v>246</v>
      </c>
      <c r="E26" s="10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8">
        <f t="shared" si="0"/>
        <v>24</v>
      </c>
      <c r="B27" s="3" t="s">
        <v>382</v>
      </c>
      <c r="C27" s="3" t="s">
        <v>383</v>
      </c>
      <c r="D27" s="3" t="s">
        <v>2</v>
      </c>
      <c r="E27" s="10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8">
        <f t="shared" si="0"/>
        <v>25</v>
      </c>
      <c r="B28" s="3" t="s">
        <v>384</v>
      </c>
      <c r="C28" s="3" t="s">
        <v>385</v>
      </c>
      <c r="D28" s="3" t="s">
        <v>31</v>
      </c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8">
        <f t="shared" si="0"/>
        <v>26</v>
      </c>
      <c r="B29" s="3" t="s">
        <v>386</v>
      </c>
      <c r="C29" s="3" t="s">
        <v>387</v>
      </c>
      <c r="D29" s="3" t="s">
        <v>193</v>
      </c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8">
        <f t="shared" si="0"/>
        <v>27</v>
      </c>
      <c r="B30" s="3" t="s">
        <v>388</v>
      </c>
      <c r="C30" s="3" t="s">
        <v>389</v>
      </c>
      <c r="D30" s="3" t="s">
        <v>2</v>
      </c>
      <c r="E30" s="10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8">
        <f t="shared" si="0"/>
        <v>28</v>
      </c>
      <c r="B31" s="3" t="s">
        <v>390</v>
      </c>
      <c r="C31" s="3" t="s">
        <v>391</v>
      </c>
      <c r="D31" s="3" t="s">
        <v>392</v>
      </c>
      <c r="E31" s="10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8">
        <f t="shared" si="0"/>
        <v>29</v>
      </c>
      <c r="B32" s="3" t="s">
        <v>393</v>
      </c>
      <c r="C32" s="3" t="s">
        <v>394</v>
      </c>
      <c r="D32" s="3" t="s">
        <v>2</v>
      </c>
      <c r="E32" s="10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8">
        <f t="shared" si="0"/>
        <v>30</v>
      </c>
      <c r="B33" s="3" t="s">
        <v>395</v>
      </c>
      <c r="C33" s="3" t="s">
        <v>396</v>
      </c>
      <c r="D33" s="3" t="s">
        <v>2</v>
      </c>
      <c r="E33" s="10"/>
      <c r="F33" s="10"/>
      <c r="G33" s="10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8">
        <f t="shared" si="0"/>
        <v>31</v>
      </c>
      <c r="B34" s="3" t="s">
        <v>397</v>
      </c>
      <c r="C34" s="3" t="s">
        <v>398</v>
      </c>
      <c r="D34" s="3" t="s">
        <v>2</v>
      </c>
      <c r="E34" s="10"/>
      <c r="F34" s="10"/>
      <c r="G34" s="10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8">
        <f t="shared" si="0"/>
        <v>32</v>
      </c>
      <c r="B35" s="3" t="s">
        <v>399</v>
      </c>
      <c r="C35" s="3" t="s">
        <v>400</v>
      </c>
      <c r="D35" s="3" t="s">
        <v>401</v>
      </c>
      <c r="E35" s="10"/>
      <c r="F35" s="10"/>
      <c r="G35" s="10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8">
        <f t="shared" si="0"/>
        <v>33</v>
      </c>
      <c r="B36" s="3" t="s">
        <v>402</v>
      </c>
      <c r="C36" s="3" t="s">
        <v>403</v>
      </c>
      <c r="D36" s="3" t="s">
        <v>2</v>
      </c>
      <c r="E36" s="10"/>
      <c r="F36" s="10"/>
      <c r="G36" s="10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8">
        <f t="shared" si="0"/>
        <v>34</v>
      </c>
      <c r="B37" s="3" t="s">
        <v>404</v>
      </c>
      <c r="C37" s="3" t="s">
        <v>405</v>
      </c>
      <c r="D37" s="3" t="s">
        <v>193</v>
      </c>
      <c r="E37" s="10"/>
      <c r="F37" s="10"/>
      <c r="G37" s="10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8">
        <f t="shared" si="0"/>
        <v>35</v>
      </c>
      <c r="B38" s="3" t="s">
        <v>406</v>
      </c>
      <c r="C38" s="3" t="s">
        <v>407</v>
      </c>
      <c r="D38" s="3" t="s">
        <v>2</v>
      </c>
      <c r="E38" s="10"/>
      <c r="F38" s="10"/>
      <c r="G38" s="10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8">
        <f t="shared" si="0"/>
        <v>36</v>
      </c>
      <c r="B39" s="3" t="s">
        <v>408</v>
      </c>
      <c r="C39" s="3" t="s">
        <v>409</v>
      </c>
      <c r="D39" s="3" t="s">
        <v>322</v>
      </c>
      <c r="E39" s="10"/>
      <c r="F39" s="10"/>
      <c r="G39" s="10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8">
        <f t="shared" si="0"/>
        <v>37</v>
      </c>
      <c r="B40" s="3" t="s">
        <v>410</v>
      </c>
      <c r="C40" s="3" t="s">
        <v>411</v>
      </c>
      <c r="D40" s="3" t="s">
        <v>412</v>
      </c>
      <c r="E40" s="10"/>
      <c r="F40" s="10"/>
      <c r="G40" s="10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8">
        <f t="shared" si="0"/>
        <v>38</v>
      </c>
      <c r="B41" s="1" t="s">
        <v>2214</v>
      </c>
      <c r="C41" s="3" t="s">
        <v>2215</v>
      </c>
      <c r="D41" s="3" t="s">
        <v>2</v>
      </c>
      <c r="E41" s="3">
        <f>+[37]Main!$K$2</f>
        <v>52.3</v>
      </c>
      <c r="F41" s="10">
        <f>+[37]Main!$K$4</f>
        <v>2580.9004</v>
      </c>
      <c r="G41" s="10">
        <f>+[37]Main!$K$6-[37]Main!$K$5</f>
        <v>-107.15900000000001</v>
      </c>
      <c r="H41" s="10">
        <f>+F41+G41</f>
        <v>2473.7413999999999</v>
      </c>
      <c r="I41" s="11" t="s">
        <v>2200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8">
        <f t="shared" si="0"/>
        <v>39</v>
      </c>
      <c r="B42" s="1" t="s">
        <v>2216</v>
      </c>
      <c r="C42" s="3" t="s">
        <v>2217</v>
      </c>
      <c r="D42" s="3" t="s">
        <v>2</v>
      </c>
      <c r="E42" s="3">
        <f>+[38]Main!$I$2</f>
        <v>8.2799999999999994</v>
      </c>
      <c r="F42" s="10">
        <f>+[38]Main!$I$4</f>
        <v>367.14994667999997</v>
      </c>
      <c r="G42" s="10">
        <f>+[38]Main!$I$6-[38]Main!$I$5</f>
        <v>72.963999999999999</v>
      </c>
      <c r="H42" s="10">
        <f>+F42+G42</f>
        <v>440.11394667999997</v>
      </c>
      <c r="I42" s="23" t="s">
        <v>2219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25">
      <c r="A43" s="8">
        <f t="shared" si="0"/>
        <v>40</v>
      </c>
      <c r="B43" s="3" t="s">
        <v>2481</v>
      </c>
      <c r="C43" s="24" t="s">
        <v>2482</v>
      </c>
      <c r="D43" s="24" t="s">
        <v>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25">
      <c r="A44" s="8">
        <f t="shared" si="0"/>
        <v>41</v>
      </c>
      <c r="B44" s="24" t="s">
        <v>2483</v>
      </c>
      <c r="C44" s="24" t="s">
        <v>2484</v>
      </c>
      <c r="D44" s="24" t="s">
        <v>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8">
        <f t="shared" si="0"/>
        <v>42</v>
      </c>
      <c r="B45" s="33" t="s">
        <v>2625</v>
      </c>
      <c r="C45" s="3"/>
      <c r="D45" s="33" t="s">
        <v>31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3"/>
      <c r="B47" s="21" t="s">
        <v>413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3"/>
      <c r="B48" s="3" t="s">
        <v>414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</sheetData>
  <hyperlinks>
    <hyperlink ref="B6" r:id="rId1" xr:uid="{65FA6ECD-C1A6-4383-9EE2-A5357122375B}"/>
    <hyperlink ref="B5" r:id="rId2" xr:uid="{5B2270ED-BE2D-4379-AF8E-2597576B0DAA}"/>
    <hyperlink ref="B7" r:id="rId3" xr:uid="{969F9532-95C6-44F3-A46A-0B046681E464}"/>
    <hyperlink ref="B12" r:id="rId4" xr:uid="{F07B2B59-19FC-4226-8166-11B116DC43CF}"/>
    <hyperlink ref="B10" r:id="rId5" xr:uid="{252F9A06-FB2B-4F4F-86FC-0F6E1045F965}"/>
    <hyperlink ref="B9" r:id="rId6" xr:uid="{4DDF92E1-EA04-4DFC-A313-3BC5F0B86A8D}"/>
    <hyperlink ref="B22" r:id="rId7" xr:uid="{8178D7BB-370F-44F1-99D1-DF23516CC68D}"/>
    <hyperlink ref="B17" r:id="rId8" xr:uid="{9190C2F6-CA8F-4E8C-A6C0-5D573F2755BE}"/>
    <hyperlink ref="A1" location="Main!A1" display="Main " xr:uid="{B805826C-1E0D-4D13-9E78-4A34A3BECED8}"/>
    <hyperlink ref="B14" r:id="rId9" xr:uid="{76453F52-5406-40EE-ACF2-E4D4BEA3964F}"/>
    <hyperlink ref="B41" r:id="rId10" xr:uid="{BAFB35A7-61FB-4628-AD85-8C11D52C38C4}"/>
    <hyperlink ref="B42" r:id="rId11" xr:uid="{4417956A-D7AB-4239-89EF-3E76F2C798E1}"/>
    <hyperlink ref="B4" r:id="rId12" xr:uid="{27974F10-4631-45DA-832C-A6E7F4D0B84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9DC4-06D4-4533-8197-234D8A0621AE}">
  <dimension ref="A1:M90"/>
  <sheetViews>
    <sheetView topLeftCell="A3" zoomScale="200" zoomScaleNormal="200" workbookViewId="0">
      <selection activeCell="B3" sqref="B3"/>
    </sheetView>
  </sheetViews>
  <sheetFormatPr defaultRowHeight="12.75" x14ac:dyDescent="0.2"/>
  <cols>
    <col min="1" max="1" width="4.7109375" style="30" customWidth="1"/>
    <col min="2" max="2" width="22.5703125" style="30" customWidth="1"/>
    <col min="3" max="16384" width="9.140625" style="30"/>
  </cols>
  <sheetData>
    <row r="1" spans="1:13" x14ac:dyDescent="0.2">
      <c r="A1" s="1" t="s">
        <v>333</v>
      </c>
    </row>
    <row r="2" spans="1:13" x14ac:dyDescent="0.2">
      <c r="A2" s="30" t="s">
        <v>1</v>
      </c>
    </row>
    <row r="3" spans="1:13" x14ac:dyDescent="0.2">
      <c r="A3" s="17" t="s">
        <v>224</v>
      </c>
      <c r="B3" s="18" t="s">
        <v>223</v>
      </c>
      <c r="C3" s="18" t="s">
        <v>222</v>
      </c>
      <c r="D3" s="18" t="s">
        <v>221</v>
      </c>
      <c r="E3" s="19" t="s">
        <v>229</v>
      </c>
      <c r="F3" s="19" t="s">
        <v>230</v>
      </c>
      <c r="G3" s="19" t="s">
        <v>231</v>
      </c>
      <c r="H3" s="19" t="s">
        <v>232</v>
      </c>
      <c r="I3" s="19" t="s">
        <v>416</v>
      </c>
      <c r="J3" s="18" t="s">
        <v>2196</v>
      </c>
      <c r="K3" s="18"/>
      <c r="L3" s="18" t="s">
        <v>340</v>
      </c>
      <c r="M3" s="20"/>
    </row>
    <row r="4" spans="1:13" x14ac:dyDescent="0.2">
      <c r="A4" s="31">
        <v>1</v>
      </c>
      <c r="B4" s="30" t="s">
        <v>2485</v>
      </c>
      <c r="D4" s="30" t="s">
        <v>2</v>
      </c>
    </row>
    <row r="5" spans="1:13" x14ac:dyDescent="0.2">
      <c r="A5" s="31">
        <f>+A4+1</f>
        <v>2</v>
      </c>
      <c r="B5" s="30" t="s">
        <v>2486</v>
      </c>
      <c r="C5" s="30" t="s">
        <v>2487</v>
      </c>
      <c r="D5" s="30" t="s">
        <v>2</v>
      </c>
    </row>
    <row r="6" spans="1:13" x14ac:dyDescent="0.2">
      <c r="A6" s="31">
        <f t="shared" ref="A6:A69" si="0">+A5+1</f>
        <v>3</v>
      </c>
      <c r="B6" s="30" t="s">
        <v>342</v>
      </c>
      <c r="C6" s="30" t="s">
        <v>342</v>
      </c>
      <c r="D6" s="30" t="s">
        <v>2</v>
      </c>
    </row>
    <row r="7" spans="1:13" x14ac:dyDescent="0.2">
      <c r="A7" s="31">
        <f t="shared" si="0"/>
        <v>4</v>
      </c>
      <c r="B7" s="30" t="s">
        <v>203</v>
      </c>
      <c r="C7" s="30" t="s">
        <v>202</v>
      </c>
      <c r="D7" s="30" t="s">
        <v>2</v>
      </c>
    </row>
    <row r="8" spans="1:13" x14ac:dyDescent="0.2">
      <c r="A8" s="31">
        <f t="shared" si="0"/>
        <v>5</v>
      </c>
      <c r="B8" s="30" t="s">
        <v>207</v>
      </c>
      <c r="C8" s="30" t="s">
        <v>206</v>
      </c>
      <c r="D8" s="30" t="s">
        <v>119</v>
      </c>
    </row>
    <row r="9" spans="1:13" x14ac:dyDescent="0.2">
      <c r="A9" s="31">
        <f t="shared" si="0"/>
        <v>6</v>
      </c>
      <c r="B9" s="30" t="s">
        <v>345</v>
      </c>
      <c r="C9" s="30" t="s">
        <v>346</v>
      </c>
      <c r="D9" s="30" t="s">
        <v>2</v>
      </c>
    </row>
    <row r="10" spans="1:13" x14ac:dyDescent="0.2">
      <c r="A10" s="31">
        <f t="shared" si="0"/>
        <v>7</v>
      </c>
      <c r="B10" s="30" t="s">
        <v>347</v>
      </c>
      <c r="C10" s="30" t="s">
        <v>348</v>
      </c>
      <c r="D10" s="30" t="s">
        <v>36</v>
      </c>
    </row>
    <row r="11" spans="1:13" x14ac:dyDescent="0.2">
      <c r="A11" s="31">
        <f t="shared" si="0"/>
        <v>8</v>
      </c>
      <c r="B11" s="30" t="s">
        <v>201</v>
      </c>
      <c r="C11" s="30" t="s">
        <v>200</v>
      </c>
      <c r="D11" s="30" t="s">
        <v>2</v>
      </c>
    </row>
    <row r="12" spans="1:13" x14ac:dyDescent="0.2">
      <c r="A12" s="31">
        <f t="shared" si="0"/>
        <v>9</v>
      </c>
      <c r="B12" s="30" t="s">
        <v>2488</v>
      </c>
      <c r="C12" s="30" t="s">
        <v>2489</v>
      </c>
      <c r="D12" s="30" t="s">
        <v>193</v>
      </c>
    </row>
    <row r="13" spans="1:13" x14ac:dyDescent="0.2">
      <c r="A13" s="31">
        <f t="shared" si="0"/>
        <v>10</v>
      </c>
      <c r="B13" s="30" t="s">
        <v>2490</v>
      </c>
      <c r="C13" s="30" t="s">
        <v>352</v>
      </c>
      <c r="D13" s="30" t="s">
        <v>2</v>
      </c>
    </row>
    <row r="14" spans="1:13" x14ac:dyDescent="0.2">
      <c r="A14" s="31">
        <f t="shared" si="0"/>
        <v>11</v>
      </c>
      <c r="B14" s="30" t="s">
        <v>2492</v>
      </c>
      <c r="C14" s="30" t="s">
        <v>2491</v>
      </c>
      <c r="D14" s="30" t="s">
        <v>2</v>
      </c>
    </row>
    <row r="15" spans="1:13" x14ac:dyDescent="0.2">
      <c r="A15" s="31">
        <f t="shared" si="0"/>
        <v>12</v>
      </c>
      <c r="B15" s="30" t="s">
        <v>2493</v>
      </c>
      <c r="C15" s="30" t="s">
        <v>354</v>
      </c>
      <c r="D15" s="30" t="s">
        <v>193</v>
      </c>
    </row>
    <row r="16" spans="1:13" x14ac:dyDescent="0.2">
      <c r="A16" s="31">
        <f t="shared" si="0"/>
        <v>13</v>
      </c>
      <c r="B16" s="30" t="s">
        <v>2513</v>
      </c>
      <c r="C16" s="30" t="s">
        <v>2494</v>
      </c>
      <c r="D16" s="30" t="s">
        <v>2</v>
      </c>
    </row>
    <row r="17" spans="1:4" x14ac:dyDescent="0.2">
      <c r="A17" s="31">
        <f t="shared" si="0"/>
        <v>14</v>
      </c>
      <c r="B17" s="30" t="s">
        <v>2495</v>
      </c>
      <c r="C17" s="30" t="s">
        <v>62</v>
      </c>
      <c r="D17" s="30" t="s">
        <v>61</v>
      </c>
    </row>
    <row r="18" spans="1:4" x14ac:dyDescent="0.2">
      <c r="A18" s="31">
        <f t="shared" si="0"/>
        <v>15</v>
      </c>
      <c r="B18" s="30" t="s">
        <v>368</v>
      </c>
      <c r="C18" s="30" t="s">
        <v>369</v>
      </c>
      <c r="D18" s="30" t="s">
        <v>240</v>
      </c>
    </row>
    <row r="19" spans="1:4" x14ac:dyDescent="0.2">
      <c r="A19" s="31">
        <f t="shared" si="0"/>
        <v>16</v>
      </c>
      <c r="B19" s="30" t="s">
        <v>2496</v>
      </c>
      <c r="C19" s="30" t="s">
        <v>375</v>
      </c>
      <c r="D19" s="30" t="s">
        <v>989</v>
      </c>
    </row>
    <row r="20" spans="1:4" x14ac:dyDescent="0.2">
      <c r="A20" s="31">
        <f t="shared" si="0"/>
        <v>17</v>
      </c>
      <c r="B20" s="30" t="s">
        <v>2483</v>
      </c>
      <c r="C20" s="30" t="s">
        <v>2484</v>
      </c>
      <c r="D20" s="30" t="s">
        <v>2</v>
      </c>
    </row>
    <row r="21" spans="1:4" x14ac:dyDescent="0.2">
      <c r="A21" s="31">
        <f t="shared" si="0"/>
        <v>18</v>
      </c>
      <c r="B21" s="30" t="s">
        <v>370</v>
      </c>
      <c r="C21" s="30" t="s">
        <v>2514</v>
      </c>
      <c r="D21" s="30" t="s">
        <v>56</v>
      </c>
    </row>
    <row r="22" spans="1:4" x14ac:dyDescent="0.2">
      <c r="A22" s="31">
        <f t="shared" si="0"/>
        <v>19</v>
      </c>
      <c r="B22" s="30" t="s">
        <v>2497</v>
      </c>
      <c r="C22" s="30" t="s">
        <v>362</v>
      </c>
      <c r="D22" s="30" t="s">
        <v>47</v>
      </c>
    </row>
    <row r="23" spans="1:4" x14ac:dyDescent="0.2">
      <c r="A23" s="31">
        <f t="shared" si="0"/>
        <v>20</v>
      </c>
      <c r="B23" s="30" t="s">
        <v>365</v>
      </c>
      <c r="C23" s="30" t="s">
        <v>366</v>
      </c>
      <c r="D23" s="30" t="s">
        <v>367</v>
      </c>
    </row>
    <row r="24" spans="1:4" x14ac:dyDescent="0.2">
      <c r="A24" s="31">
        <f t="shared" si="0"/>
        <v>21</v>
      </c>
      <c r="B24" s="30" t="s">
        <v>2498</v>
      </c>
      <c r="C24" s="30" t="s">
        <v>2499</v>
      </c>
      <c r="D24" s="30" t="s">
        <v>2500</v>
      </c>
    </row>
    <row r="25" spans="1:4" x14ac:dyDescent="0.2">
      <c r="A25" s="31">
        <f t="shared" si="0"/>
        <v>22</v>
      </c>
      <c r="B25" s="30" t="s">
        <v>357</v>
      </c>
      <c r="C25" s="30" t="s">
        <v>358</v>
      </c>
    </row>
    <row r="26" spans="1:4" x14ac:dyDescent="0.2">
      <c r="A26" s="31">
        <f t="shared" si="0"/>
        <v>23</v>
      </c>
      <c r="B26" s="30" t="s">
        <v>2515</v>
      </c>
      <c r="C26" s="30" t="s">
        <v>2516</v>
      </c>
    </row>
    <row r="27" spans="1:4" x14ac:dyDescent="0.2">
      <c r="A27" s="31">
        <f t="shared" si="0"/>
        <v>24</v>
      </c>
      <c r="B27" s="30" t="s">
        <v>1007</v>
      </c>
      <c r="C27" s="30" t="s">
        <v>1008</v>
      </c>
    </row>
    <row r="28" spans="1:4" x14ac:dyDescent="0.2">
      <c r="A28" s="31">
        <f t="shared" si="0"/>
        <v>25</v>
      </c>
      <c r="B28" s="30" t="s">
        <v>2517</v>
      </c>
      <c r="C28" s="30" t="s">
        <v>2518</v>
      </c>
    </row>
    <row r="29" spans="1:4" x14ac:dyDescent="0.2">
      <c r="A29" s="31">
        <f t="shared" si="0"/>
        <v>26</v>
      </c>
      <c r="B29" s="30" t="s">
        <v>2519</v>
      </c>
      <c r="C29" s="30" t="s">
        <v>2520</v>
      </c>
    </row>
    <row r="30" spans="1:4" x14ac:dyDescent="0.2">
      <c r="A30" s="31">
        <f t="shared" si="0"/>
        <v>27</v>
      </c>
      <c r="B30" s="30" t="s">
        <v>2521</v>
      </c>
      <c r="C30" s="30" t="s">
        <v>2522</v>
      </c>
    </row>
    <row r="31" spans="1:4" x14ac:dyDescent="0.2">
      <c r="A31" s="31">
        <f t="shared" si="0"/>
        <v>28</v>
      </c>
      <c r="B31" s="30" t="s">
        <v>1099</v>
      </c>
      <c r="C31" s="30" t="s">
        <v>1100</v>
      </c>
    </row>
    <row r="32" spans="1:4" x14ac:dyDescent="0.2">
      <c r="A32" s="31">
        <f t="shared" si="0"/>
        <v>29</v>
      </c>
      <c r="B32" s="30" t="s">
        <v>376</v>
      </c>
      <c r="C32" s="30" t="s">
        <v>377</v>
      </c>
    </row>
    <row r="33" spans="1:3" x14ac:dyDescent="0.2">
      <c r="A33" s="31">
        <f t="shared" si="0"/>
        <v>30</v>
      </c>
      <c r="B33" s="30" t="s">
        <v>1037</v>
      </c>
      <c r="C33" s="30" t="s">
        <v>2523</v>
      </c>
    </row>
    <row r="34" spans="1:3" x14ac:dyDescent="0.2">
      <c r="A34" s="31">
        <f t="shared" si="0"/>
        <v>31</v>
      </c>
      <c r="B34" s="30" t="s">
        <v>2524</v>
      </c>
      <c r="C34" s="30" t="s">
        <v>2525</v>
      </c>
    </row>
    <row r="35" spans="1:3" x14ac:dyDescent="0.2">
      <c r="A35" s="31">
        <f t="shared" si="0"/>
        <v>32</v>
      </c>
      <c r="B35" s="30" t="s">
        <v>2526</v>
      </c>
      <c r="C35" s="30" t="s">
        <v>383</v>
      </c>
    </row>
    <row r="36" spans="1:3" x14ac:dyDescent="0.2">
      <c r="A36" s="31">
        <f t="shared" si="0"/>
        <v>33</v>
      </c>
      <c r="B36" s="30" t="s">
        <v>2527</v>
      </c>
      <c r="C36" s="30" t="s">
        <v>2528</v>
      </c>
    </row>
    <row r="37" spans="1:3" x14ac:dyDescent="0.2">
      <c r="A37" s="31">
        <f t="shared" si="0"/>
        <v>34</v>
      </c>
      <c r="B37" s="30" t="s">
        <v>2529</v>
      </c>
      <c r="C37" s="30" t="s">
        <v>2530</v>
      </c>
    </row>
    <row r="38" spans="1:3" x14ac:dyDescent="0.2">
      <c r="A38" s="31">
        <f t="shared" si="0"/>
        <v>35</v>
      </c>
      <c r="B38" s="30" t="s">
        <v>1135</v>
      </c>
      <c r="C38" s="30" t="s">
        <v>1136</v>
      </c>
    </row>
    <row r="39" spans="1:3" x14ac:dyDescent="0.2">
      <c r="A39" s="31">
        <f t="shared" si="0"/>
        <v>36</v>
      </c>
      <c r="B39" s="30" t="s">
        <v>2531</v>
      </c>
      <c r="C39" s="30" t="s">
        <v>2532</v>
      </c>
    </row>
    <row r="40" spans="1:3" x14ac:dyDescent="0.2">
      <c r="A40" s="31">
        <f t="shared" si="0"/>
        <v>37</v>
      </c>
      <c r="B40" s="30" t="s">
        <v>2533</v>
      </c>
      <c r="C40" s="30" t="s">
        <v>2534</v>
      </c>
    </row>
    <row r="41" spans="1:3" x14ac:dyDescent="0.2">
      <c r="A41" s="31">
        <f t="shared" si="0"/>
        <v>38</v>
      </c>
      <c r="B41" s="30" t="s">
        <v>1060</v>
      </c>
      <c r="C41" s="30" t="s">
        <v>1061</v>
      </c>
    </row>
    <row r="42" spans="1:3" x14ac:dyDescent="0.2">
      <c r="A42" s="31">
        <f t="shared" si="0"/>
        <v>39</v>
      </c>
      <c r="B42" s="30" t="s">
        <v>2535</v>
      </c>
      <c r="C42" s="30" t="s">
        <v>2536</v>
      </c>
    </row>
    <row r="43" spans="1:3" x14ac:dyDescent="0.2">
      <c r="A43" s="31">
        <f t="shared" si="0"/>
        <v>40</v>
      </c>
      <c r="B43" s="30" t="s">
        <v>2537</v>
      </c>
      <c r="C43" s="30" t="s">
        <v>2538</v>
      </c>
    </row>
    <row r="44" spans="1:3" x14ac:dyDescent="0.2">
      <c r="A44" s="31">
        <f t="shared" si="0"/>
        <v>41</v>
      </c>
      <c r="B44" s="30" t="s">
        <v>2539</v>
      </c>
      <c r="C44" s="30" t="s">
        <v>2540</v>
      </c>
    </row>
    <row r="45" spans="1:3" x14ac:dyDescent="0.2">
      <c r="A45" s="31">
        <f t="shared" si="0"/>
        <v>42</v>
      </c>
      <c r="B45" s="30" t="s">
        <v>2541</v>
      </c>
      <c r="C45" s="30" t="s">
        <v>2542</v>
      </c>
    </row>
    <row r="46" spans="1:3" x14ac:dyDescent="0.2">
      <c r="A46" s="31">
        <f t="shared" si="0"/>
        <v>43</v>
      </c>
      <c r="B46" s="30" t="s">
        <v>393</v>
      </c>
      <c r="C46" s="30" t="s">
        <v>394</v>
      </c>
    </row>
    <row r="47" spans="1:3" x14ac:dyDescent="0.2">
      <c r="A47" s="31">
        <f t="shared" si="0"/>
        <v>44</v>
      </c>
      <c r="B47" s="30" t="s">
        <v>2543</v>
      </c>
      <c r="C47" s="30" t="s">
        <v>2544</v>
      </c>
    </row>
    <row r="48" spans="1:3" x14ac:dyDescent="0.2">
      <c r="A48" s="31">
        <f t="shared" si="0"/>
        <v>45</v>
      </c>
      <c r="B48" s="30" t="s">
        <v>1195</v>
      </c>
      <c r="C48" s="30" t="s">
        <v>1196</v>
      </c>
    </row>
    <row r="49" spans="1:3" x14ac:dyDescent="0.2">
      <c r="A49" s="31">
        <f t="shared" si="0"/>
        <v>46</v>
      </c>
      <c r="B49" s="30" t="s">
        <v>2545</v>
      </c>
      <c r="C49" s="30" t="s">
        <v>2546</v>
      </c>
    </row>
    <row r="50" spans="1:3" x14ac:dyDescent="0.2">
      <c r="A50" s="31">
        <f t="shared" si="0"/>
        <v>47</v>
      </c>
      <c r="B50" s="30" t="s">
        <v>2547</v>
      </c>
      <c r="C50" s="30" t="s">
        <v>2548</v>
      </c>
    </row>
    <row r="51" spans="1:3" x14ac:dyDescent="0.2">
      <c r="A51" s="31">
        <f t="shared" si="0"/>
        <v>48</v>
      </c>
      <c r="B51" s="30" t="s">
        <v>2481</v>
      </c>
      <c r="C51" s="30" t="s">
        <v>2482</v>
      </c>
    </row>
    <row r="52" spans="1:3" x14ac:dyDescent="0.2">
      <c r="A52" s="31">
        <f t="shared" si="0"/>
        <v>49</v>
      </c>
      <c r="B52" s="30" t="s">
        <v>2549</v>
      </c>
      <c r="C52" s="30" t="s">
        <v>2550</v>
      </c>
    </row>
    <row r="53" spans="1:3" x14ac:dyDescent="0.2">
      <c r="A53" s="31">
        <f t="shared" si="0"/>
        <v>50</v>
      </c>
      <c r="B53" s="30" t="s">
        <v>2551</v>
      </c>
      <c r="C53" s="30" t="s">
        <v>2552</v>
      </c>
    </row>
    <row r="54" spans="1:3" x14ac:dyDescent="0.2">
      <c r="A54" s="31">
        <f t="shared" si="0"/>
        <v>51</v>
      </c>
      <c r="B54" s="30" t="s">
        <v>2553</v>
      </c>
      <c r="C54" s="30" t="s">
        <v>2554</v>
      </c>
    </row>
    <row r="55" spans="1:3" x14ac:dyDescent="0.2">
      <c r="A55" s="31">
        <f t="shared" si="0"/>
        <v>52</v>
      </c>
      <c r="B55" s="30" t="s">
        <v>2555</v>
      </c>
      <c r="C55" s="30" t="s">
        <v>2556</v>
      </c>
    </row>
    <row r="56" spans="1:3" x14ac:dyDescent="0.2">
      <c r="A56" s="31">
        <f t="shared" si="0"/>
        <v>53</v>
      </c>
      <c r="B56" s="30" t="s">
        <v>2557</v>
      </c>
      <c r="C56" s="30" t="s">
        <v>400</v>
      </c>
    </row>
    <row r="57" spans="1:3" x14ac:dyDescent="0.2">
      <c r="A57" s="31">
        <f t="shared" si="0"/>
        <v>54</v>
      </c>
      <c r="B57" s="30" t="s">
        <v>2558</v>
      </c>
      <c r="C57" s="30" t="s">
        <v>2559</v>
      </c>
    </row>
    <row r="58" spans="1:3" x14ac:dyDescent="0.2">
      <c r="A58" s="31">
        <f t="shared" si="0"/>
        <v>55</v>
      </c>
      <c r="B58" s="30" t="s">
        <v>1476</v>
      </c>
      <c r="C58" s="30" t="s">
        <v>1477</v>
      </c>
    </row>
    <row r="59" spans="1:3" x14ac:dyDescent="0.2">
      <c r="A59" s="31">
        <f t="shared" si="0"/>
        <v>56</v>
      </c>
      <c r="B59" s="30" t="s">
        <v>2560</v>
      </c>
      <c r="C59" s="30" t="s">
        <v>2561</v>
      </c>
    </row>
    <row r="60" spans="1:3" x14ac:dyDescent="0.2">
      <c r="A60" s="31">
        <f t="shared" si="0"/>
        <v>57</v>
      </c>
      <c r="B60" s="30" t="s">
        <v>2562</v>
      </c>
      <c r="C60" s="30" t="s">
        <v>2563</v>
      </c>
    </row>
    <row r="61" spans="1:3" x14ac:dyDescent="0.2">
      <c r="A61" s="31">
        <f t="shared" si="0"/>
        <v>58</v>
      </c>
      <c r="B61" s="30" t="s">
        <v>2564</v>
      </c>
      <c r="C61" s="30" t="s">
        <v>2565</v>
      </c>
    </row>
    <row r="62" spans="1:3" x14ac:dyDescent="0.2">
      <c r="A62" s="31">
        <f t="shared" si="0"/>
        <v>59</v>
      </c>
      <c r="B62" s="30" t="s">
        <v>2566</v>
      </c>
      <c r="C62" s="30" t="s">
        <v>2567</v>
      </c>
    </row>
    <row r="63" spans="1:3" x14ac:dyDescent="0.2">
      <c r="A63" s="31">
        <f t="shared" si="0"/>
        <v>60</v>
      </c>
      <c r="B63" s="30" t="s">
        <v>2568</v>
      </c>
      <c r="C63" s="30" t="s">
        <v>2569</v>
      </c>
    </row>
    <row r="64" spans="1:3" x14ac:dyDescent="0.2">
      <c r="A64" s="31">
        <f t="shared" si="0"/>
        <v>61</v>
      </c>
      <c r="B64" s="30" t="s">
        <v>2570</v>
      </c>
      <c r="C64" s="30" t="s">
        <v>2571</v>
      </c>
    </row>
    <row r="65" spans="1:3" x14ac:dyDescent="0.2">
      <c r="A65" s="31">
        <f t="shared" si="0"/>
        <v>62</v>
      </c>
      <c r="B65" s="30" t="s">
        <v>2572</v>
      </c>
      <c r="C65" s="30" t="s">
        <v>2573</v>
      </c>
    </row>
    <row r="66" spans="1:3" x14ac:dyDescent="0.2">
      <c r="A66" s="31">
        <f t="shared" si="0"/>
        <v>63</v>
      </c>
      <c r="B66" s="30" t="s">
        <v>2574</v>
      </c>
      <c r="C66" s="30" t="s">
        <v>2575</v>
      </c>
    </row>
    <row r="67" spans="1:3" x14ac:dyDescent="0.2">
      <c r="A67" s="31">
        <f t="shared" si="0"/>
        <v>64</v>
      </c>
      <c r="B67" s="30" t="s">
        <v>2214</v>
      </c>
      <c r="C67" s="30" t="s">
        <v>2215</v>
      </c>
    </row>
    <row r="68" spans="1:3" x14ac:dyDescent="0.2">
      <c r="A68" s="31">
        <f t="shared" si="0"/>
        <v>65</v>
      </c>
      <c r="B68" s="30" t="s">
        <v>2576</v>
      </c>
      <c r="C68" s="30" t="s">
        <v>2577</v>
      </c>
    </row>
    <row r="69" spans="1:3" x14ac:dyDescent="0.2">
      <c r="A69" s="31">
        <f t="shared" si="0"/>
        <v>66</v>
      </c>
      <c r="B69" s="30" t="s">
        <v>2578</v>
      </c>
      <c r="C69" s="30" t="s">
        <v>2579</v>
      </c>
    </row>
    <row r="70" spans="1:3" x14ac:dyDescent="0.2">
      <c r="A70" s="31">
        <f t="shared" ref="A70:A90" si="1">+A69+1</f>
        <v>67</v>
      </c>
      <c r="B70" s="30" t="s">
        <v>1543</v>
      </c>
      <c r="C70" s="30" t="s">
        <v>1544</v>
      </c>
    </row>
    <row r="71" spans="1:3" x14ac:dyDescent="0.2">
      <c r="A71" s="31">
        <f t="shared" si="1"/>
        <v>68</v>
      </c>
      <c r="B71" s="30" t="s">
        <v>2580</v>
      </c>
      <c r="C71" s="30" t="s">
        <v>2581</v>
      </c>
    </row>
    <row r="72" spans="1:3" x14ac:dyDescent="0.2">
      <c r="A72" s="31">
        <f t="shared" si="1"/>
        <v>69</v>
      </c>
      <c r="B72" s="30" t="s">
        <v>408</v>
      </c>
      <c r="C72" s="30" t="s">
        <v>409</v>
      </c>
    </row>
    <row r="73" spans="1:3" x14ac:dyDescent="0.2">
      <c r="A73" s="31">
        <f t="shared" si="1"/>
        <v>70</v>
      </c>
      <c r="B73" s="30" t="s">
        <v>2582</v>
      </c>
      <c r="C73" s="30" t="s">
        <v>2583</v>
      </c>
    </row>
    <row r="74" spans="1:3" x14ac:dyDescent="0.2">
      <c r="A74" s="31">
        <f t="shared" si="1"/>
        <v>71</v>
      </c>
      <c r="B74" s="30" t="s">
        <v>2584</v>
      </c>
      <c r="C74" s="30" t="s">
        <v>2585</v>
      </c>
    </row>
    <row r="75" spans="1:3" x14ac:dyDescent="0.2">
      <c r="A75" s="31">
        <f t="shared" si="1"/>
        <v>72</v>
      </c>
      <c r="B75" s="30" t="s">
        <v>2586</v>
      </c>
      <c r="C75" s="30" t="s">
        <v>2587</v>
      </c>
    </row>
    <row r="76" spans="1:3" x14ac:dyDescent="0.2">
      <c r="A76" s="31">
        <f t="shared" si="1"/>
        <v>73</v>
      </c>
      <c r="B76" s="30" t="s">
        <v>2588</v>
      </c>
      <c r="C76" s="30" t="s">
        <v>2589</v>
      </c>
    </row>
    <row r="77" spans="1:3" x14ac:dyDescent="0.2">
      <c r="A77" s="31">
        <f t="shared" si="1"/>
        <v>74</v>
      </c>
      <c r="B77" s="30" t="s">
        <v>2590</v>
      </c>
      <c r="C77" s="30" t="s">
        <v>2591</v>
      </c>
    </row>
    <row r="78" spans="1:3" x14ac:dyDescent="0.2">
      <c r="A78" s="31">
        <f t="shared" si="1"/>
        <v>75</v>
      </c>
      <c r="B78" s="30" t="s">
        <v>2592</v>
      </c>
      <c r="C78" s="30" t="s">
        <v>2593</v>
      </c>
    </row>
    <row r="79" spans="1:3" x14ac:dyDescent="0.2">
      <c r="A79" s="31">
        <f t="shared" si="1"/>
        <v>76</v>
      </c>
      <c r="B79" s="30" t="s">
        <v>1830</v>
      </c>
      <c r="C79" s="30" t="s">
        <v>1831</v>
      </c>
    </row>
    <row r="80" spans="1:3" x14ac:dyDescent="0.2">
      <c r="A80" s="31">
        <f t="shared" si="1"/>
        <v>77</v>
      </c>
      <c r="B80" s="30" t="s">
        <v>2594</v>
      </c>
      <c r="C80" s="30" t="s">
        <v>2595</v>
      </c>
    </row>
    <row r="81" spans="1:1" x14ac:dyDescent="0.2">
      <c r="A81" s="31">
        <f t="shared" si="1"/>
        <v>78</v>
      </c>
    </row>
    <row r="82" spans="1:1" x14ac:dyDescent="0.2">
      <c r="A82" s="31">
        <f t="shared" si="1"/>
        <v>79</v>
      </c>
    </row>
    <row r="83" spans="1:1" x14ac:dyDescent="0.2">
      <c r="A83" s="31">
        <f t="shared" si="1"/>
        <v>80</v>
      </c>
    </row>
    <row r="84" spans="1:1" x14ac:dyDescent="0.2">
      <c r="A84" s="31">
        <f t="shared" si="1"/>
        <v>81</v>
      </c>
    </row>
    <row r="85" spans="1:1" x14ac:dyDescent="0.2">
      <c r="A85" s="31">
        <f t="shared" si="1"/>
        <v>82</v>
      </c>
    </row>
    <row r="86" spans="1:1" x14ac:dyDescent="0.2">
      <c r="A86" s="31">
        <f t="shared" si="1"/>
        <v>83</v>
      </c>
    </row>
    <row r="87" spans="1:1" x14ac:dyDescent="0.2">
      <c r="A87" s="31">
        <f t="shared" si="1"/>
        <v>84</v>
      </c>
    </row>
    <row r="88" spans="1:1" x14ac:dyDescent="0.2">
      <c r="A88" s="31">
        <f t="shared" si="1"/>
        <v>85</v>
      </c>
    </row>
    <row r="89" spans="1:1" x14ac:dyDescent="0.2">
      <c r="A89" s="31">
        <f t="shared" si="1"/>
        <v>86</v>
      </c>
    </row>
    <row r="90" spans="1:1" x14ac:dyDescent="0.2">
      <c r="A90" s="31">
        <f t="shared" si="1"/>
        <v>87</v>
      </c>
    </row>
  </sheetData>
  <hyperlinks>
    <hyperlink ref="A1" location="Main!A1" display="Main" xr:uid="{F07BEEFB-1371-4B22-B77C-938F064C4E0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B98-9B2D-427A-B20F-8CE5CF42BA03}">
  <dimension ref="A1:M116"/>
  <sheetViews>
    <sheetView zoomScale="200" zoomScaleNormal="200" workbookViewId="0">
      <selection activeCell="A2" sqref="A2"/>
    </sheetView>
  </sheetViews>
  <sheetFormatPr defaultRowHeight="12.75" x14ac:dyDescent="0.2"/>
  <cols>
    <col min="1" max="1" width="4.5703125" style="30" customWidth="1"/>
    <col min="2" max="2" width="36.140625" style="30" customWidth="1"/>
    <col min="3" max="3" width="15.42578125" style="30" bestFit="1" customWidth="1"/>
    <col min="4" max="4" width="19.7109375" style="30" bestFit="1" customWidth="1"/>
    <col min="5" max="16384" width="9.140625" style="30"/>
  </cols>
  <sheetData>
    <row r="1" spans="1:13" x14ac:dyDescent="0.2">
      <c r="A1" s="1" t="s">
        <v>333</v>
      </c>
    </row>
    <row r="2" spans="1:13" x14ac:dyDescent="0.2">
      <c r="A2" s="30" t="s">
        <v>1</v>
      </c>
    </row>
    <row r="3" spans="1:13" x14ac:dyDescent="0.2">
      <c r="A3" s="17" t="s">
        <v>224</v>
      </c>
      <c r="B3" s="18" t="s">
        <v>223</v>
      </c>
      <c r="C3" s="18" t="s">
        <v>222</v>
      </c>
      <c r="D3" s="18" t="s">
        <v>221</v>
      </c>
      <c r="E3" s="19" t="s">
        <v>229</v>
      </c>
      <c r="F3" s="19" t="s">
        <v>230</v>
      </c>
      <c r="G3" s="19" t="s">
        <v>231</v>
      </c>
      <c r="H3" s="19" t="s">
        <v>232</v>
      </c>
      <c r="I3" s="19" t="s">
        <v>416</v>
      </c>
      <c r="J3" s="18" t="s">
        <v>2196</v>
      </c>
      <c r="K3" s="18"/>
      <c r="L3" s="18" t="s">
        <v>340</v>
      </c>
      <c r="M3" s="20"/>
    </row>
    <row r="4" spans="1:13" x14ac:dyDescent="0.2">
      <c r="A4" s="31">
        <v>1</v>
      </c>
      <c r="B4" s="30" t="s">
        <v>452</v>
      </c>
      <c r="C4" s="30" t="s">
        <v>453</v>
      </c>
      <c r="D4" s="30" t="s">
        <v>2458</v>
      </c>
    </row>
    <row r="5" spans="1:13" x14ac:dyDescent="0.2">
      <c r="A5" s="31">
        <f>+A4+1</f>
        <v>2</v>
      </c>
      <c r="B5" s="30" t="s">
        <v>442</v>
      </c>
      <c r="C5" s="30" t="s">
        <v>443</v>
      </c>
      <c r="D5" s="30" t="s">
        <v>2447</v>
      </c>
    </row>
    <row r="6" spans="1:13" x14ac:dyDescent="0.2">
      <c r="A6" s="31">
        <f t="shared" ref="A6:A69" si="0">+A5+1</f>
        <v>3</v>
      </c>
      <c r="B6" s="30" t="s">
        <v>446</v>
      </c>
      <c r="C6" s="30" t="s">
        <v>447</v>
      </c>
      <c r="D6" s="30" t="s">
        <v>2459</v>
      </c>
    </row>
    <row r="7" spans="1:13" x14ac:dyDescent="0.2">
      <c r="A7" s="31">
        <f t="shared" si="0"/>
        <v>4</v>
      </c>
      <c r="B7" s="30" t="s">
        <v>2600</v>
      </c>
      <c r="C7" s="30" t="s">
        <v>2601</v>
      </c>
      <c r="D7" s="30" t="s">
        <v>2447</v>
      </c>
    </row>
    <row r="8" spans="1:13" x14ac:dyDescent="0.2">
      <c r="A8" s="31">
        <f t="shared" si="0"/>
        <v>5</v>
      </c>
      <c r="B8" s="30" t="s">
        <v>2623</v>
      </c>
      <c r="C8" s="30" t="s">
        <v>477</v>
      </c>
      <c r="D8" s="30" t="s">
        <v>2468</v>
      </c>
    </row>
    <row r="9" spans="1:13" x14ac:dyDescent="0.2">
      <c r="A9" s="31">
        <f t="shared" si="0"/>
        <v>6</v>
      </c>
      <c r="B9" s="30" t="s">
        <v>480</v>
      </c>
      <c r="C9" s="30" t="s">
        <v>481</v>
      </c>
      <c r="D9" s="30" t="s">
        <v>2461</v>
      </c>
    </row>
    <row r="10" spans="1:13" x14ac:dyDescent="0.2">
      <c r="A10" s="31">
        <f t="shared" si="0"/>
        <v>7</v>
      </c>
      <c r="B10" s="30" t="s">
        <v>486</v>
      </c>
      <c r="C10" s="30" t="s">
        <v>487</v>
      </c>
      <c r="D10" s="30" t="s">
        <v>2468</v>
      </c>
    </row>
    <row r="11" spans="1:13" x14ac:dyDescent="0.2">
      <c r="A11" s="31">
        <f t="shared" si="0"/>
        <v>8</v>
      </c>
      <c r="B11" s="30" t="s">
        <v>488</v>
      </c>
      <c r="C11" s="30" t="s">
        <v>489</v>
      </c>
      <c r="D11" s="30" t="s">
        <v>2602</v>
      </c>
    </row>
    <row r="12" spans="1:13" x14ac:dyDescent="0.2">
      <c r="A12" s="31">
        <f t="shared" si="0"/>
        <v>9</v>
      </c>
      <c r="B12" s="30" t="s">
        <v>510</v>
      </c>
      <c r="C12" s="30" t="s">
        <v>511</v>
      </c>
      <c r="D12" s="30" t="s">
        <v>2448</v>
      </c>
    </row>
    <row r="13" spans="1:13" x14ac:dyDescent="0.2">
      <c r="A13" s="31">
        <f t="shared" si="0"/>
        <v>10</v>
      </c>
      <c r="B13" s="30" t="s">
        <v>552</v>
      </c>
      <c r="C13" s="30" t="s">
        <v>553</v>
      </c>
      <c r="D13" s="30" t="s">
        <v>2448</v>
      </c>
    </row>
    <row r="14" spans="1:13" x14ac:dyDescent="0.2">
      <c r="A14" s="31">
        <f t="shared" si="0"/>
        <v>11</v>
      </c>
      <c r="B14" s="30" t="s">
        <v>2622</v>
      </c>
      <c r="C14" s="30" t="s">
        <v>521</v>
      </c>
      <c r="D14" s="30" t="s">
        <v>2468</v>
      </c>
    </row>
    <row r="15" spans="1:13" x14ac:dyDescent="0.2">
      <c r="A15" s="31">
        <f t="shared" si="0"/>
        <v>12</v>
      </c>
      <c r="B15" s="30" t="s">
        <v>536</v>
      </c>
      <c r="C15" s="30" t="s">
        <v>537</v>
      </c>
      <c r="D15" s="30" t="s">
        <v>2457</v>
      </c>
    </row>
    <row r="16" spans="1:13" x14ac:dyDescent="0.2">
      <c r="A16" s="31">
        <f t="shared" si="0"/>
        <v>13</v>
      </c>
      <c r="B16" s="30" t="s">
        <v>548</v>
      </c>
      <c r="C16" s="30" t="s">
        <v>549</v>
      </c>
      <c r="D16" s="30" t="s">
        <v>2448</v>
      </c>
    </row>
    <row r="17" spans="1:4" x14ac:dyDescent="0.2">
      <c r="A17" s="31">
        <f t="shared" si="0"/>
        <v>14</v>
      </c>
      <c r="B17" s="30" t="s">
        <v>622</v>
      </c>
      <c r="C17" s="30" t="s">
        <v>623</v>
      </c>
      <c r="D17" s="30" t="s">
        <v>2452</v>
      </c>
    </row>
    <row r="18" spans="1:4" x14ac:dyDescent="0.2">
      <c r="A18" s="31">
        <f t="shared" si="0"/>
        <v>15</v>
      </c>
      <c r="B18" s="30" t="s">
        <v>554</v>
      </c>
      <c r="C18" s="30" t="s">
        <v>555</v>
      </c>
      <c r="D18" s="30" t="s">
        <v>2461</v>
      </c>
    </row>
    <row r="19" spans="1:4" x14ac:dyDescent="0.2">
      <c r="A19" s="31">
        <f t="shared" si="0"/>
        <v>16</v>
      </c>
      <c r="B19" s="30" t="s">
        <v>538</v>
      </c>
      <c r="C19" s="30" t="s">
        <v>539</v>
      </c>
      <c r="D19" s="30" t="s">
        <v>2603</v>
      </c>
    </row>
    <row r="20" spans="1:4" x14ac:dyDescent="0.2">
      <c r="A20" s="31">
        <f t="shared" si="0"/>
        <v>17</v>
      </c>
      <c r="B20" s="30" t="s">
        <v>566</v>
      </c>
      <c r="C20" s="30" t="s">
        <v>567</v>
      </c>
      <c r="D20" s="30" t="s">
        <v>2441</v>
      </c>
    </row>
    <row r="21" spans="1:4" x14ac:dyDescent="0.2">
      <c r="A21" s="31">
        <f t="shared" si="0"/>
        <v>18</v>
      </c>
      <c r="B21" s="30" t="s">
        <v>528</v>
      </c>
      <c r="C21" s="30" t="s">
        <v>529</v>
      </c>
      <c r="D21" s="30" t="s">
        <v>2461</v>
      </c>
    </row>
    <row r="22" spans="1:4" x14ac:dyDescent="0.2">
      <c r="A22" s="31">
        <f t="shared" si="0"/>
        <v>19</v>
      </c>
      <c r="B22" s="30" t="s">
        <v>624</v>
      </c>
      <c r="C22" s="30" t="s">
        <v>625</v>
      </c>
      <c r="D22" s="30" t="s">
        <v>2476</v>
      </c>
    </row>
    <row r="23" spans="1:4" x14ac:dyDescent="0.2">
      <c r="A23" s="31">
        <f t="shared" si="0"/>
        <v>20</v>
      </c>
      <c r="B23" s="30" t="s">
        <v>616</v>
      </c>
      <c r="C23" s="30" t="s">
        <v>617</v>
      </c>
      <c r="D23" s="30" t="s">
        <v>2441</v>
      </c>
    </row>
    <row r="24" spans="1:4" x14ac:dyDescent="0.2">
      <c r="A24" s="31">
        <f t="shared" si="0"/>
        <v>21</v>
      </c>
      <c r="B24" s="30" t="s">
        <v>2604</v>
      </c>
      <c r="C24" s="30" t="s">
        <v>635</v>
      </c>
      <c r="D24" s="30" t="s">
        <v>2441</v>
      </c>
    </row>
    <row r="25" spans="1:4" x14ac:dyDescent="0.2">
      <c r="A25" s="31">
        <f t="shared" si="0"/>
        <v>22</v>
      </c>
      <c r="B25" s="30" t="s">
        <v>588</v>
      </c>
      <c r="C25" s="30" t="s">
        <v>589</v>
      </c>
      <c r="D25" s="30" t="s">
        <v>2475</v>
      </c>
    </row>
    <row r="26" spans="1:4" x14ac:dyDescent="0.2">
      <c r="A26" s="31">
        <f t="shared" si="0"/>
        <v>23</v>
      </c>
      <c r="B26" s="30" t="s">
        <v>677</v>
      </c>
      <c r="C26" s="30" t="s">
        <v>678</v>
      </c>
      <c r="D26" s="30" t="s">
        <v>2605</v>
      </c>
    </row>
    <row r="27" spans="1:4" x14ac:dyDescent="0.2">
      <c r="A27" s="31">
        <f t="shared" si="0"/>
        <v>24</v>
      </c>
      <c r="B27" s="30" t="s">
        <v>2606</v>
      </c>
      <c r="C27" s="30" t="s">
        <v>686</v>
      </c>
      <c r="D27" s="30" t="s">
        <v>2473</v>
      </c>
    </row>
    <row r="28" spans="1:4" x14ac:dyDescent="0.2">
      <c r="A28" s="31">
        <f t="shared" si="0"/>
        <v>25</v>
      </c>
      <c r="B28" s="30" t="s">
        <v>675</v>
      </c>
      <c r="C28" s="30" t="s">
        <v>676</v>
      </c>
      <c r="D28" s="30" t="s">
        <v>2441</v>
      </c>
    </row>
    <row r="29" spans="1:4" x14ac:dyDescent="0.2">
      <c r="A29" s="31">
        <f t="shared" si="0"/>
        <v>26</v>
      </c>
      <c r="B29" s="30" t="s">
        <v>659</v>
      </c>
      <c r="C29" s="30" t="s">
        <v>660</v>
      </c>
      <c r="D29" s="30" t="s">
        <v>2452</v>
      </c>
    </row>
    <row r="30" spans="1:4" x14ac:dyDescent="0.2">
      <c r="A30" s="31">
        <f t="shared" si="0"/>
        <v>27</v>
      </c>
      <c r="B30" s="30" t="s">
        <v>2607</v>
      </c>
      <c r="C30" s="30" t="s">
        <v>2608</v>
      </c>
      <c r="D30" s="30" t="s">
        <v>1961</v>
      </c>
    </row>
    <row r="31" spans="1:4" x14ac:dyDescent="0.2">
      <c r="A31" s="31">
        <f t="shared" si="0"/>
        <v>28</v>
      </c>
      <c r="B31" s="30" t="s">
        <v>691</v>
      </c>
      <c r="C31" s="30" t="s">
        <v>692</v>
      </c>
      <c r="D31" s="30" t="s">
        <v>2441</v>
      </c>
    </row>
    <row r="32" spans="1:4" x14ac:dyDescent="0.2">
      <c r="A32" s="31">
        <f t="shared" si="0"/>
        <v>29</v>
      </c>
      <c r="B32" s="30" t="s">
        <v>689</v>
      </c>
      <c r="C32" s="30" t="s">
        <v>690</v>
      </c>
      <c r="D32" s="30" t="s">
        <v>2463</v>
      </c>
    </row>
    <row r="33" spans="1:4" x14ac:dyDescent="0.2">
      <c r="A33" s="31">
        <f t="shared" si="0"/>
        <v>30</v>
      </c>
      <c r="B33" s="30" t="s">
        <v>614</v>
      </c>
      <c r="C33" s="30" t="s">
        <v>615</v>
      </c>
      <c r="D33" s="30" t="s">
        <v>2603</v>
      </c>
    </row>
    <row r="34" spans="1:4" x14ac:dyDescent="0.2">
      <c r="A34" s="31">
        <f t="shared" si="0"/>
        <v>31</v>
      </c>
      <c r="B34" s="30" t="s">
        <v>671</v>
      </c>
      <c r="C34" s="30" t="s">
        <v>672</v>
      </c>
      <c r="D34" s="30" t="s">
        <v>2476</v>
      </c>
    </row>
    <row r="35" spans="1:4" x14ac:dyDescent="0.2">
      <c r="A35" s="31">
        <f t="shared" si="0"/>
        <v>32</v>
      </c>
      <c r="B35" s="30" t="s">
        <v>703</v>
      </c>
      <c r="C35" s="30" t="s">
        <v>704</v>
      </c>
      <c r="D35" s="30" t="s">
        <v>2476</v>
      </c>
    </row>
    <row r="36" spans="1:4" x14ac:dyDescent="0.2">
      <c r="A36" s="31">
        <f t="shared" si="0"/>
        <v>33</v>
      </c>
      <c r="B36" s="30" t="s">
        <v>679</v>
      </c>
      <c r="C36" s="30" t="s">
        <v>680</v>
      </c>
      <c r="D36" s="30" t="s">
        <v>2452</v>
      </c>
    </row>
    <row r="37" spans="1:4" x14ac:dyDescent="0.2">
      <c r="A37" s="31">
        <f t="shared" si="0"/>
        <v>34</v>
      </c>
      <c r="B37" s="30" t="s">
        <v>693</v>
      </c>
      <c r="C37" s="30" t="s">
        <v>694</v>
      </c>
      <c r="D37" s="30" t="s">
        <v>2442</v>
      </c>
    </row>
    <row r="38" spans="1:4" x14ac:dyDescent="0.2">
      <c r="A38" s="31">
        <f t="shared" si="0"/>
        <v>35</v>
      </c>
      <c r="B38" s="30" t="s">
        <v>721</v>
      </c>
      <c r="C38" s="30" t="s">
        <v>722</v>
      </c>
      <c r="D38" s="30" t="s">
        <v>2443</v>
      </c>
    </row>
    <row r="39" spans="1:4" x14ac:dyDescent="0.2">
      <c r="A39" s="31">
        <f t="shared" si="0"/>
        <v>36</v>
      </c>
      <c r="B39" s="30" t="s">
        <v>687</v>
      </c>
      <c r="C39" s="30" t="s">
        <v>688</v>
      </c>
      <c r="D39" s="30" t="s">
        <v>2464</v>
      </c>
    </row>
    <row r="40" spans="1:4" x14ac:dyDescent="0.2">
      <c r="A40" s="31">
        <f t="shared" si="0"/>
        <v>37</v>
      </c>
      <c r="B40" s="30" t="s">
        <v>709</v>
      </c>
      <c r="C40" s="30" t="s">
        <v>710</v>
      </c>
      <c r="D40" s="30" t="s">
        <v>2476</v>
      </c>
    </row>
    <row r="41" spans="1:4" x14ac:dyDescent="0.2">
      <c r="A41" s="31">
        <f t="shared" si="0"/>
        <v>38</v>
      </c>
      <c r="B41" s="30" t="s">
        <v>723</v>
      </c>
      <c r="C41" s="30" t="s">
        <v>724</v>
      </c>
      <c r="D41" s="30" t="s">
        <v>2442</v>
      </c>
    </row>
    <row r="42" spans="1:4" x14ac:dyDescent="0.2">
      <c r="A42" s="31">
        <f t="shared" si="0"/>
        <v>39</v>
      </c>
      <c r="B42" s="30" t="s">
        <v>745</v>
      </c>
      <c r="C42" s="30" t="s">
        <v>746</v>
      </c>
      <c r="D42" s="30" t="s">
        <v>2448</v>
      </c>
    </row>
    <row r="43" spans="1:4" x14ac:dyDescent="0.2">
      <c r="A43" s="31">
        <f t="shared" si="0"/>
        <v>40</v>
      </c>
      <c r="B43" s="30" t="s">
        <v>749</v>
      </c>
      <c r="C43" s="30" t="s">
        <v>750</v>
      </c>
      <c r="D43" s="30" t="s">
        <v>2605</v>
      </c>
    </row>
    <row r="44" spans="1:4" x14ac:dyDescent="0.2">
      <c r="A44" s="31">
        <f t="shared" si="0"/>
        <v>41</v>
      </c>
      <c r="B44" s="30" t="s">
        <v>715</v>
      </c>
      <c r="C44" s="30" t="s">
        <v>716</v>
      </c>
      <c r="D44" s="30" t="s">
        <v>2464</v>
      </c>
    </row>
    <row r="45" spans="1:4" x14ac:dyDescent="0.2">
      <c r="A45" s="31">
        <f t="shared" si="0"/>
        <v>42</v>
      </c>
      <c r="B45" s="30" t="s">
        <v>759</v>
      </c>
      <c r="C45" s="30" t="s">
        <v>760</v>
      </c>
      <c r="D45" s="30" t="s">
        <v>2605</v>
      </c>
    </row>
    <row r="46" spans="1:4" x14ac:dyDescent="0.2">
      <c r="A46" s="31">
        <f t="shared" si="0"/>
        <v>43</v>
      </c>
      <c r="B46" s="30" t="s">
        <v>713</v>
      </c>
      <c r="C46" s="30" t="s">
        <v>714</v>
      </c>
      <c r="D46" s="30" t="s">
        <v>2442</v>
      </c>
    </row>
    <row r="47" spans="1:4" x14ac:dyDescent="0.2">
      <c r="A47" s="31">
        <f t="shared" si="0"/>
        <v>44</v>
      </c>
      <c r="B47" s="30" t="s">
        <v>719</v>
      </c>
      <c r="C47" s="30" t="s">
        <v>720</v>
      </c>
      <c r="D47" s="30" t="s">
        <v>2602</v>
      </c>
    </row>
    <row r="48" spans="1:4" x14ac:dyDescent="0.2">
      <c r="A48" s="31">
        <f t="shared" si="0"/>
        <v>45</v>
      </c>
      <c r="B48" s="30" t="s">
        <v>2609</v>
      </c>
      <c r="C48" s="30" t="s">
        <v>728</v>
      </c>
      <c r="D48" s="30" t="s">
        <v>2452</v>
      </c>
    </row>
    <row r="49" spans="1:4" x14ac:dyDescent="0.2">
      <c r="A49" s="31">
        <f t="shared" si="0"/>
        <v>46</v>
      </c>
      <c r="B49" s="30" t="s">
        <v>775</v>
      </c>
      <c r="C49" s="30" t="s">
        <v>776</v>
      </c>
      <c r="D49" s="30" t="s">
        <v>2441</v>
      </c>
    </row>
    <row r="50" spans="1:4" x14ac:dyDescent="0.2">
      <c r="A50" s="31">
        <f t="shared" si="0"/>
        <v>47</v>
      </c>
      <c r="B50" s="30" t="s">
        <v>751</v>
      </c>
      <c r="C50" s="30" t="s">
        <v>752</v>
      </c>
      <c r="D50" s="30" t="s">
        <v>2452</v>
      </c>
    </row>
    <row r="51" spans="1:4" x14ac:dyDescent="0.2">
      <c r="A51" s="31">
        <f t="shared" si="0"/>
        <v>48</v>
      </c>
      <c r="B51" s="30" t="s">
        <v>769</v>
      </c>
      <c r="C51" s="30" t="s">
        <v>770</v>
      </c>
      <c r="D51" s="30" t="s">
        <v>2442</v>
      </c>
    </row>
    <row r="52" spans="1:4" x14ac:dyDescent="0.2">
      <c r="A52" s="31">
        <f t="shared" si="0"/>
        <v>49</v>
      </c>
      <c r="B52" s="30" t="s">
        <v>725</v>
      </c>
      <c r="C52" s="30" t="s">
        <v>726</v>
      </c>
      <c r="D52" s="30" t="s">
        <v>2454</v>
      </c>
    </row>
    <row r="53" spans="1:4" x14ac:dyDescent="0.2">
      <c r="A53" s="31">
        <f t="shared" si="0"/>
        <v>50</v>
      </c>
      <c r="B53" s="30" t="s">
        <v>785</v>
      </c>
      <c r="C53" s="30" t="s">
        <v>786</v>
      </c>
      <c r="D53" s="30" t="s">
        <v>2458</v>
      </c>
    </row>
    <row r="54" spans="1:4" x14ac:dyDescent="0.2">
      <c r="A54" s="31">
        <f t="shared" si="0"/>
        <v>51</v>
      </c>
      <c r="B54" s="30" t="s">
        <v>735</v>
      </c>
      <c r="C54" s="30" t="s">
        <v>736</v>
      </c>
      <c r="D54" s="30" t="s">
        <v>2464</v>
      </c>
    </row>
    <row r="55" spans="1:4" x14ac:dyDescent="0.2">
      <c r="A55" s="31">
        <f t="shared" si="0"/>
        <v>52</v>
      </c>
      <c r="B55" s="30" t="s">
        <v>763</v>
      </c>
      <c r="C55" s="30" t="s">
        <v>2610</v>
      </c>
      <c r="D55" s="30" t="s">
        <v>2464</v>
      </c>
    </row>
    <row r="56" spans="1:4" x14ac:dyDescent="0.2">
      <c r="A56" s="31">
        <f t="shared" si="0"/>
        <v>53</v>
      </c>
      <c r="B56" s="30" t="s">
        <v>827</v>
      </c>
      <c r="C56" s="30" t="s">
        <v>828</v>
      </c>
      <c r="D56" s="30" t="s">
        <v>2452</v>
      </c>
    </row>
    <row r="57" spans="1:4" x14ac:dyDescent="0.2">
      <c r="A57" s="31">
        <f t="shared" si="0"/>
        <v>54</v>
      </c>
      <c r="B57" s="30" t="s">
        <v>787</v>
      </c>
      <c r="C57" s="30" t="s">
        <v>788</v>
      </c>
      <c r="D57" s="30" t="s">
        <v>2468</v>
      </c>
    </row>
    <row r="58" spans="1:4" x14ac:dyDescent="0.2">
      <c r="A58" s="31">
        <f t="shared" si="0"/>
        <v>55</v>
      </c>
      <c r="B58" s="30" t="s">
        <v>807</v>
      </c>
      <c r="C58" s="30" t="s">
        <v>808</v>
      </c>
      <c r="D58" s="30" t="s">
        <v>2468</v>
      </c>
    </row>
    <row r="59" spans="1:4" x14ac:dyDescent="0.2">
      <c r="A59" s="31">
        <f t="shared" si="0"/>
        <v>56</v>
      </c>
      <c r="B59" s="30" t="s">
        <v>805</v>
      </c>
      <c r="C59" s="30" t="s">
        <v>806</v>
      </c>
      <c r="D59" s="30" t="s">
        <v>2476</v>
      </c>
    </row>
    <row r="60" spans="1:4" x14ac:dyDescent="0.2">
      <c r="A60" s="31">
        <f t="shared" si="0"/>
        <v>57</v>
      </c>
      <c r="B60" s="30" t="s">
        <v>825</v>
      </c>
      <c r="C60" s="30" t="s">
        <v>826</v>
      </c>
      <c r="D60" s="30" t="s">
        <v>2443</v>
      </c>
    </row>
    <row r="61" spans="1:4" x14ac:dyDescent="0.2">
      <c r="A61" s="31">
        <f t="shared" si="0"/>
        <v>58</v>
      </c>
      <c r="B61" s="30" t="s">
        <v>2624</v>
      </c>
      <c r="C61" s="30" t="s">
        <v>824</v>
      </c>
      <c r="D61" s="30" t="s">
        <v>2441</v>
      </c>
    </row>
    <row r="62" spans="1:4" x14ac:dyDescent="0.2">
      <c r="A62" s="31">
        <f t="shared" si="0"/>
        <v>59</v>
      </c>
      <c r="B62" s="30" t="s">
        <v>783</v>
      </c>
      <c r="C62" s="30" t="s">
        <v>784</v>
      </c>
      <c r="D62" s="30" t="s">
        <v>2473</v>
      </c>
    </row>
    <row r="63" spans="1:4" x14ac:dyDescent="0.2">
      <c r="A63" s="31">
        <f t="shared" si="0"/>
        <v>60</v>
      </c>
      <c r="B63" s="30" t="s">
        <v>797</v>
      </c>
      <c r="C63" s="30" t="s">
        <v>798</v>
      </c>
      <c r="D63" s="30" t="s">
        <v>2458</v>
      </c>
    </row>
    <row r="64" spans="1:4" x14ac:dyDescent="0.2">
      <c r="A64" s="31">
        <f t="shared" si="0"/>
        <v>61</v>
      </c>
      <c r="B64" s="30" t="s">
        <v>887</v>
      </c>
      <c r="C64" s="30" t="s">
        <v>888</v>
      </c>
      <c r="D64" s="30" t="s">
        <v>2452</v>
      </c>
    </row>
    <row r="65" spans="1:4" x14ac:dyDescent="0.2">
      <c r="A65" s="31">
        <f t="shared" si="0"/>
        <v>62</v>
      </c>
      <c r="B65" s="30" t="s">
        <v>841</v>
      </c>
      <c r="C65" s="30" t="s">
        <v>842</v>
      </c>
      <c r="D65" s="30" t="s">
        <v>2443</v>
      </c>
    </row>
    <row r="66" spans="1:4" x14ac:dyDescent="0.2">
      <c r="A66" s="31">
        <f t="shared" si="0"/>
        <v>63</v>
      </c>
      <c r="B66" s="30" t="s">
        <v>853</v>
      </c>
      <c r="C66" s="30" t="s">
        <v>854</v>
      </c>
      <c r="D66" s="30" t="s">
        <v>2452</v>
      </c>
    </row>
    <row r="67" spans="1:4" x14ac:dyDescent="0.2">
      <c r="A67" s="31">
        <f t="shared" si="0"/>
        <v>64</v>
      </c>
      <c r="B67" s="30" t="s">
        <v>865</v>
      </c>
      <c r="C67" s="30" t="s">
        <v>866</v>
      </c>
      <c r="D67" s="30" t="s">
        <v>2476</v>
      </c>
    </row>
    <row r="68" spans="1:4" x14ac:dyDescent="0.2">
      <c r="A68" s="31">
        <f t="shared" si="0"/>
        <v>65</v>
      </c>
      <c r="B68" s="30" t="s">
        <v>875</v>
      </c>
      <c r="C68" s="30" t="s">
        <v>876</v>
      </c>
      <c r="D68" s="30" t="s">
        <v>2441</v>
      </c>
    </row>
    <row r="69" spans="1:4" x14ac:dyDescent="0.2">
      <c r="A69" s="31">
        <f t="shared" si="0"/>
        <v>66</v>
      </c>
      <c r="B69" s="30" t="s">
        <v>819</v>
      </c>
      <c r="C69" s="30" t="s">
        <v>820</v>
      </c>
      <c r="D69" s="30" t="s">
        <v>2611</v>
      </c>
    </row>
    <row r="70" spans="1:4" x14ac:dyDescent="0.2">
      <c r="A70" s="31">
        <f t="shared" ref="A70:A116" si="1">+A69+1</f>
        <v>67</v>
      </c>
      <c r="B70" s="30" t="s">
        <v>831</v>
      </c>
      <c r="C70" s="30" t="s">
        <v>832</v>
      </c>
      <c r="D70" s="30" t="s">
        <v>2476</v>
      </c>
    </row>
    <row r="71" spans="1:4" x14ac:dyDescent="0.2">
      <c r="A71" s="31">
        <f t="shared" si="1"/>
        <v>68</v>
      </c>
      <c r="B71" s="30" t="s">
        <v>895</v>
      </c>
      <c r="C71" s="30" t="s">
        <v>896</v>
      </c>
      <c r="D71" s="30" t="s">
        <v>2464</v>
      </c>
    </row>
    <row r="72" spans="1:4" x14ac:dyDescent="0.2">
      <c r="A72" s="31">
        <f t="shared" si="1"/>
        <v>69</v>
      </c>
      <c r="B72" s="30" t="s">
        <v>809</v>
      </c>
      <c r="C72" s="30" t="s">
        <v>810</v>
      </c>
      <c r="D72" s="30" t="s">
        <v>2464</v>
      </c>
    </row>
    <row r="73" spans="1:4" x14ac:dyDescent="0.2">
      <c r="A73" s="31">
        <f t="shared" si="1"/>
        <v>70</v>
      </c>
      <c r="B73" s="30" t="s">
        <v>861</v>
      </c>
      <c r="C73" s="30" t="s">
        <v>862</v>
      </c>
      <c r="D73" s="30" t="s">
        <v>2612</v>
      </c>
    </row>
    <row r="74" spans="1:4" x14ac:dyDescent="0.2">
      <c r="A74" s="31">
        <f t="shared" si="1"/>
        <v>71</v>
      </c>
      <c r="B74" s="30" t="s">
        <v>847</v>
      </c>
      <c r="C74" s="30" t="s">
        <v>848</v>
      </c>
      <c r="D74" s="30" t="s">
        <v>2613</v>
      </c>
    </row>
    <row r="75" spans="1:4" x14ac:dyDescent="0.2">
      <c r="A75" s="31">
        <f t="shared" si="1"/>
        <v>72</v>
      </c>
      <c r="B75" s="30" t="s">
        <v>885</v>
      </c>
      <c r="C75" s="30" t="s">
        <v>886</v>
      </c>
      <c r="D75" s="30" t="s">
        <v>2442</v>
      </c>
    </row>
    <row r="76" spans="1:4" x14ac:dyDescent="0.2">
      <c r="A76" s="31">
        <f t="shared" si="1"/>
        <v>73</v>
      </c>
      <c r="B76" s="30" t="s">
        <v>899</v>
      </c>
      <c r="C76" s="30" t="s">
        <v>900</v>
      </c>
      <c r="D76" s="30" t="s">
        <v>2464</v>
      </c>
    </row>
    <row r="77" spans="1:4" x14ac:dyDescent="0.2">
      <c r="A77" s="31">
        <f t="shared" si="1"/>
        <v>74</v>
      </c>
      <c r="B77" s="30" t="s">
        <v>837</v>
      </c>
      <c r="C77" s="30" t="s">
        <v>838</v>
      </c>
      <c r="D77" s="30" t="s">
        <v>2614</v>
      </c>
    </row>
    <row r="78" spans="1:4" x14ac:dyDescent="0.2">
      <c r="A78" s="31">
        <f t="shared" si="1"/>
        <v>75</v>
      </c>
      <c r="B78" s="30" t="s">
        <v>921</v>
      </c>
      <c r="C78" s="30" t="s">
        <v>922</v>
      </c>
      <c r="D78" s="30" t="s">
        <v>2464</v>
      </c>
    </row>
    <row r="79" spans="1:4" x14ac:dyDescent="0.2">
      <c r="A79" s="31">
        <f t="shared" si="1"/>
        <v>76</v>
      </c>
      <c r="B79" s="30" t="s">
        <v>907</v>
      </c>
      <c r="C79" s="30" t="s">
        <v>908</v>
      </c>
      <c r="D79" s="30" t="s">
        <v>2464</v>
      </c>
    </row>
    <row r="80" spans="1:4" x14ac:dyDescent="0.2">
      <c r="A80" s="31">
        <f t="shared" si="1"/>
        <v>77</v>
      </c>
      <c r="B80" s="30" t="s">
        <v>889</v>
      </c>
      <c r="C80" s="30" t="s">
        <v>2615</v>
      </c>
      <c r="D80" s="30" t="s">
        <v>2459</v>
      </c>
    </row>
    <row r="81" spans="1:4" x14ac:dyDescent="0.2">
      <c r="A81" s="31">
        <f t="shared" si="1"/>
        <v>78</v>
      </c>
      <c r="B81" s="30" t="s">
        <v>919</v>
      </c>
      <c r="C81" s="30" t="s">
        <v>920</v>
      </c>
      <c r="D81" s="30" t="s">
        <v>2441</v>
      </c>
    </row>
    <row r="82" spans="1:4" x14ac:dyDescent="0.2">
      <c r="A82" s="31">
        <f t="shared" si="1"/>
        <v>79</v>
      </c>
      <c r="B82" s="30" t="s">
        <v>927</v>
      </c>
      <c r="C82" s="30" t="s">
        <v>928</v>
      </c>
      <c r="D82" s="30" t="s">
        <v>2464</v>
      </c>
    </row>
    <row r="83" spans="1:4" x14ac:dyDescent="0.2">
      <c r="A83" s="31">
        <f t="shared" si="1"/>
        <v>80</v>
      </c>
      <c r="B83" s="30" t="s">
        <v>909</v>
      </c>
      <c r="C83" s="30" t="s">
        <v>910</v>
      </c>
      <c r="D83" s="30" t="s">
        <v>2459</v>
      </c>
    </row>
    <row r="84" spans="1:4" x14ac:dyDescent="0.2">
      <c r="A84" s="31">
        <f t="shared" si="1"/>
        <v>81</v>
      </c>
      <c r="B84" s="30" t="s">
        <v>945</v>
      </c>
      <c r="C84" s="30" t="s">
        <v>946</v>
      </c>
      <c r="D84" s="30" t="s">
        <v>2616</v>
      </c>
    </row>
    <row r="85" spans="1:4" x14ac:dyDescent="0.2">
      <c r="A85" s="31">
        <f t="shared" si="1"/>
        <v>82</v>
      </c>
      <c r="B85" s="30" t="s">
        <v>943</v>
      </c>
      <c r="C85" s="30" t="s">
        <v>944</v>
      </c>
      <c r="D85" s="30" t="s">
        <v>2476</v>
      </c>
    </row>
    <row r="86" spans="1:4" x14ac:dyDescent="0.2">
      <c r="A86" s="31">
        <f t="shared" si="1"/>
        <v>83</v>
      </c>
      <c r="B86" s="30" t="s">
        <v>2617</v>
      </c>
      <c r="C86" s="30" t="s">
        <v>2618</v>
      </c>
      <c r="D86" s="30" t="s">
        <v>2464</v>
      </c>
    </row>
    <row r="87" spans="1:4" x14ac:dyDescent="0.2">
      <c r="A87" s="31">
        <f t="shared" si="1"/>
        <v>84</v>
      </c>
      <c r="B87" s="30" t="s">
        <v>947</v>
      </c>
      <c r="C87" s="30" t="s">
        <v>948</v>
      </c>
      <c r="D87" s="30" t="s">
        <v>2464</v>
      </c>
    </row>
    <row r="88" spans="1:4" x14ac:dyDescent="0.2">
      <c r="A88" s="31">
        <f t="shared" si="1"/>
        <v>85</v>
      </c>
      <c r="B88" s="30" t="s">
        <v>957</v>
      </c>
      <c r="C88" s="30" t="s">
        <v>958</v>
      </c>
      <c r="D88" s="30" t="s">
        <v>2464</v>
      </c>
    </row>
    <row r="89" spans="1:4" x14ac:dyDescent="0.2">
      <c r="A89" s="31">
        <f t="shared" si="1"/>
        <v>86</v>
      </c>
      <c r="B89" s="30" t="s">
        <v>951</v>
      </c>
      <c r="C89" s="30" t="s">
        <v>952</v>
      </c>
      <c r="D89" s="30" t="s">
        <v>2464</v>
      </c>
    </row>
    <row r="90" spans="1:4" x14ac:dyDescent="0.2">
      <c r="A90" s="31">
        <f t="shared" si="1"/>
        <v>87</v>
      </c>
      <c r="B90" s="30" t="s">
        <v>965</v>
      </c>
      <c r="C90" s="30" t="s">
        <v>2619</v>
      </c>
      <c r="D90" s="30" t="s">
        <v>2464</v>
      </c>
    </row>
    <row r="91" spans="1:4" x14ac:dyDescent="0.2">
      <c r="A91" s="31">
        <f t="shared" si="1"/>
        <v>88</v>
      </c>
      <c r="B91" s="30" t="s">
        <v>2508</v>
      </c>
      <c r="C91" s="30" t="s">
        <v>2509</v>
      </c>
      <c r="D91" s="30" t="s">
        <v>2445</v>
      </c>
    </row>
    <row r="92" spans="1:4" x14ac:dyDescent="0.2">
      <c r="A92" s="31">
        <f t="shared" si="1"/>
        <v>89</v>
      </c>
      <c r="B92" s="30" t="s">
        <v>2244</v>
      </c>
      <c r="C92" s="30" t="s">
        <v>2245</v>
      </c>
      <c r="D92" s="30" t="s">
        <v>2448</v>
      </c>
    </row>
    <row r="93" spans="1:4" x14ac:dyDescent="0.2">
      <c r="A93" s="31">
        <f t="shared" si="1"/>
        <v>90</v>
      </c>
      <c r="B93" s="30" t="s">
        <v>2256</v>
      </c>
      <c r="C93" s="30" t="s">
        <v>2257</v>
      </c>
      <c r="D93" s="30" t="s">
        <v>2450</v>
      </c>
    </row>
    <row r="94" spans="1:4" x14ac:dyDescent="0.2">
      <c r="A94" s="31">
        <f t="shared" si="1"/>
        <v>91</v>
      </c>
      <c r="B94" s="30" t="s">
        <v>2254</v>
      </c>
      <c r="C94" s="30" t="s">
        <v>2255</v>
      </c>
      <c r="D94" s="30" t="s">
        <v>2447</v>
      </c>
    </row>
    <row r="95" spans="1:4" x14ac:dyDescent="0.2">
      <c r="A95" s="31">
        <f t="shared" si="1"/>
        <v>92</v>
      </c>
      <c r="B95" s="30" t="s">
        <v>2296</v>
      </c>
      <c r="C95" s="30" t="s">
        <v>2297</v>
      </c>
      <c r="D95" s="30" t="s">
        <v>2447</v>
      </c>
    </row>
    <row r="96" spans="1:4" x14ac:dyDescent="0.2">
      <c r="A96" s="31">
        <f t="shared" si="1"/>
        <v>93</v>
      </c>
      <c r="B96" s="30" t="s">
        <v>2308</v>
      </c>
      <c r="C96" s="30" t="s">
        <v>2309</v>
      </c>
      <c r="D96" s="30" t="s">
        <v>2454</v>
      </c>
    </row>
    <row r="97" spans="1:4" x14ac:dyDescent="0.2">
      <c r="A97" s="31">
        <f t="shared" si="1"/>
        <v>94</v>
      </c>
      <c r="B97" s="30" t="s">
        <v>2510</v>
      </c>
      <c r="C97" s="30" t="s">
        <v>2511</v>
      </c>
      <c r="D97" s="30" t="s">
        <v>2457</v>
      </c>
    </row>
    <row r="98" spans="1:4" x14ac:dyDescent="0.2">
      <c r="A98" s="31">
        <f t="shared" si="1"/>
        <v>95</v>
      </c>
      <c r="B98" s="30" t="s">
        <v>2344</v>
      </c>
      <c r="C98" s="30" t="s">
        <v>2345</v>
      </c>
      <c r="D98" s="30" t="s">
        <v>2460</v>
      </c>
    </row>
    <row r="99" spans="1:4" x14ac:dyDescent="0.2">
      <c r="A99" s="31">
        <f t="shared" si="1"/>
        <v>96</v>
      </c>
      <c r="B99" s="30" t="s">
        <v>2369</v>
      </c>
      <c r="C99" s="30" t="s">
        <v>2370</v>
      </c>
      <c r="D99" s="30" t="s">
        <v>2459</v>
      </c>
    </row>
    <row r="100" spans="1:4" x14ac:dyDescent="0.2">
      <c r="A100" s="31">
        <f t="shared" si="1"/>
        <v>97</v>
      </c>
      <c r="B100" s="30" t="s">
        <v>2371</v>
      </c>
      <c r="C100" s="30" t="s">
        <v>2372</v>
      </c>
      <c r="D100" s="30" t="s">
        <v>2472</v>
      </c>
    </row>
    <row r="101" spans="1:4" x14ac:dyDescent="0.2">
      <c r="A101" s="31">
        <f t="shared" si="1"/>
        <v>98</v>
      </c>
      <c r="B101" s="30" t="s">
        <v>2387</v>
      </c>
      <c r="C101" s="30" t="s">
        <v>2388</v>
      </c>
      <c r="D101" s="30" t="s">
        <v>2474</v>
      </c>
    </row>
    <row r="102" spans="1:4" x14ac:dyDescent="0.2">
      <c r="A102" s="31">
        <f t="shared" si="1"/>
        <v>99</v>
      </c>
      <c r="B102" s="30" t="s">
        <v>2391</v>
      </c>
      <c r="C102" s="30" t="s">
        <v>2392</v>
      </c>
      <c r="D102" s="30" t="s">
        <v>2443</v>
      </c>
    </row>
    <row r="103" spans="1:4" x14ac:dyDescent="0.2">
      <c r="A103" s="31">
        <f t="shared" si="1"/>
        <v>100</v>
      </c>
      <c r="B103" s="30" t="s">
        <v>2621</v>
      </c>
      <c r="C103" s="30" t="s">
        <v>2620</v>
      </c>
      <c r="D103" s="30" t="s">
        <v>2611</v>
      </c>
    </row>
    <row r="104" spans="1:4" x14ac:dyDescent="0.2">
      <c r="A104" s="31">
        <f t="shared" si="1"/>
        <v>101</v>
      </c>
      <c r="B104" s="30" t="s">
        <v>2411</v>
      </c>
      <c r="C104" s="30" t="s">
        <v>2412</v>
      </c>
      <c r="D104" s="30" t="s">
        <v>2474</v>
      </c>
    </row>
    <row r="105" spans="1:4" x14ac:dyDescent="0.2">
      <c r="A105" s="31">
        <f t="shared" si="1"/>
        <v>102</v>
      </c>
      <c r="B105" s="30" t="s">
        <v>2421</v>
      </c>
      <c r="C105" s="30" t="s">
        <v>2422</v>
      </c>
      <c r="D105" s="30" t="s">
        <v>2478</v>
      </c>
    </row>
    <row r="106" spans="1:4" x14ac:dyDescent="0.2">
      <c r="A106" s="31">
        <f t="shared" si="1"/>
        <v>103</v>
      </c>
      <c r="B106" s="30" t="s">
        <v>2433</v>
      </c>
      <c r="C106" s="30" t="s">
        <v>2434</v>
      </c>
      <c r="D106" s="30" t="s">
        <v>1961</v>
      </c>
    </row>
    <row r="107" spans="1:4" x14ac:dyDescent="0.2">
      <c r="A107" s="31">
        <f t="shared" si="1"/>
        <v>104</v>
      </c>
      <c r="B107" s="30" t="s">
        <v>2427</v>
      </c>
      <c r="C107" s="30" t="s">
        <v>2428</v>
      </c>
      <c r="D107" s="30" t="s">
        <v>2479</v>
      </c>
    </row>
    <row r="108" spans="1:4" x14ac:dyDescent="0.2">
      <c r="A108" s="31">
        <f t="shared" si="1"/>
        <v>105</v>
      </c>
      <c r="B108" s="30" t="s">
        <v>2431</v>
      </c>
      <c r="C108" s="30" t="s">
        <v>2432</v>
      </c>
      <c r="D108" s="30" t="s">
        <v>2460</v>
      </c>
    </row>
    <row r="109" spans="1:4" x14ac:dyDescent="0.2">
      <c r="A109" s="31">
        <f t="shared" si="1"/>
        <v>106</v>
      </c>
    </row>
    <row r="110" spans="1:4" x14ac:dyDescent="0.2">
      <c r="A110" s="31">
        <f t="shared" si="1"/>
        <v>107</v>
      </c>
    </row>
    <row r="111" spans="1:4" x14ac:dyDescent="0.2">
      <c r="A111" s="31">
        <f t="shared" si="1"/>
        <v>108</v>
      </c>
    </row>
    <row r="112" spans="1:4" x14ac:dyDescent="0.2">
      <c r="A112" s="31">
        <f t="shared" si="1"/>
        <v>109</v>
      </c>
    </row>
    <row r="113" spans="1:1" x14ac:dyDescent="0.2">
      <c r="A113" s="31">
        <f t="shared" si="1"/>
        <v>110</v>
      </c>
    </row>
    <row r="114" spans="1:1" x14ac:dyDescent="0.2">
      <c r="A114" s="31">
        <f t="shared" si="1"/>
        <v>111</v>
      </c>
    </row>
    <row r="115" spans="1:1" x14ac:dyDescent="0.2">
      <c r="A115" s="31">
        <f t="shared" si="1"/>
        <v>112</v>
      </c>
    </row>
    <row r="116" spans="1:1" x14ac:dyDescent="0.2">
      <c r="A116" s="31">
        <f t="shared" si="1"/>
        <v>113</v>
      </c>
    </row>
  </sheetData>
  <conditionalFormatting sqref="B4:B108">
    <cfRule type="duplicateValues" dxfId="0" priority="47"/>
  </conditionalFormatting>
  <hyperlinks>
    <hyperlink ref="A1" location="Main!A1" display="Main" xr:uid="{CEE6FC22-AECA-43FD-987B-51023C14EEA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6BA2-10BE-47DD-8838-E262CC67ACEB}">
  <dimension ref="A1:CA135"/>
  <sheetViews>
    <sheetView tabSelected="1" zoomScale="200" zoomScaleNormal="200" workbookViewId="0">
      <pane ySplit="3" topLeftCell="A124" activePane="bottomLeft" state="frozen"/>
      <selection pane="bottomLeft" activeCell="C134" sqref="C134"/>
    </sheetView>
  </sheetViews>
  <sheetFormatPr defaultRowHeight="15" x14ac:dyDescent="0.25"/>
  <cols>
    <col min="1" max="1" width="5.140625" style="26" customWidth="1"/>
    <col min="2" max="2" width="29.5703125" style="26" customWidth="1"/>
    <col min="3" max="3" width="9.140625" style="26"/>
    <col min="4" max="4" width="19.42578125" style="26" bestFit="1" customWidth="1"/>
    <col min="5" max="79" width="9.140625" style="26"/>
  </cols>
  <sheetData>
    <row r="1" spans="1:79" s="4" customFormat="1" ht="13.5" x14ac:dyDescent="0.25">
      <c r="A1" s="1" t="s">
        <v>225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</row>
    <row r="2" spans="1:79" s="4" customFormat="1" ht="13.5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</row>
    <row r="3" spans="1:79" s="4" customFormat="1" ht="13.5" x14ac:dyDescent="0.25">
      <c r="A3" s="14" t="s">
        <v>224</v>
      </c>
      <c r="B3" s="15" t="s">
        <v>223</v>
      </c>
      <c r="C3" s="15" t="s">
        <v>222</v>
      </c>
      <c r="D3" s="15" t="s">
        <v>221</v>
      </c>
      <c r="E3" s="16" t="s">
        <v>415</v>
      </c>
      <c r="F3" s="16" t="s">
        <v>230</v>
      </c>
      <c r="G3" s="16" t="s">
        <v>231</v>
      </c>
      <c r="H3" s="16" t="s">
        <v>232</v>
      </c>
      <c r="I3" s="15" t="s">
        <v>416</v>
      </c>
      <c r="J3" s="15" t="s">
        <v>417</v>
      </c>
      <c r="K3" s="15"/>
      <c r="L3" s="15"/>
      <c r="M3" s="15"/>
      <c r="N3" s="15"/>
      <c r="O3" s="15"/>
      <c r="P3" s="15"/>
      <c r="Q3" s="15"/>
      <c r="R3" s="15"/>
      <c r="S3" s="15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</row>
    <row r="4" spans="1:79" x14ac:dyDescent="0.25">
      <c r="A4" s="27">
        <v>1</v>
      </c>
      <c r="B4" s="1" t="s">
        <v>2221</v>
      </c>
      <c r="C4" s="28" t="s">
        <v>2223</v>
      </c>
      <c r="D4" s="28" t="s">
        <v>2441</v>
      </c>
      <c r="E4" s="26">
        <f>+[39]Main!$H$2</f>
        <v>21.5</v>
      </c>
      <c r="F4" s="10">
        <f>+[39]Main!$H$4</f>
        <v>3042.9942225</v>
      </c>
      <c r="G4" s="10">
        <f>+[39]Main!$H$6-[39]Main!$H$5</f>
        <v>1628.3149999999998</v>
      </c>
      <c r="H4" s="10">
        <f>+F4+G4</f>
        <v>4671.3092225</v>
      </c>
      <c r="I4" s="29" t="s">
        <v>2218</v>
      </c>
    </row>
    <row r="5" spans="1:79" x14ac:dyDescent="0.25">
      <c r="A5" s="27">
        <f t="shared" ref="A5:A68" si="0">+A4+1</f>
        <v>2</v>
      </c>
      <c r="B5" s="1" t="s">
        <v>2220</v>
      </c>
      <c r="C5" s="28" t="s">
        <v>2222</v>
      </c>
      <c r="D5" s="28" t="s">
        <v>2441</v>
      </c>
      <c r="E5" s="26">
        <f>+[40]Main!$I$2</f>
        <v>20.58</v>
      </c>
      <c r="F5" s="10">
        <f>+[40]Main!$I$4</f>
        <v>2203.2937298399997</v>
      </c>
      <c r="G5" s="10">
        <f>+[40]Main!$I$6-[40]Main!$I$5</f>
        <v>889.94399999999996</v>
      </c>
      <c r="H5" s="10">
        <f>+F5+G5</f>
        <v>3093.2377298399997</v>
      </c>
      <c r="I5" s="29" t="s">
        <v>2218</v>
      </c>
    </row>
    <row r="6" spans="1:79" x14ac:dyDescent="0.25">
      <c r="A6" s="27">
        <f t="shared" si="0"/>
        <v>3</v>
      </c>
      <c r="B6" s="1" t="s">
        <v>420</v>
      </c>
      <c r="C6" s="28" t="s">
        <v>421</v>
      </c>
      <c r="D6" s="28" t="s">
        <v>2441</v>
      </c>
      <c r="F6" s="10"/>
      <c r="G6" s="10"/>
      <c r="H6" s="10"/>
    </row>
    <row r="7" spans="1:79" x14ac:dyDescent="0.25">
      <c r="A7" s="27">
        <f t="shared" si="0"/>
        <v>4</v>
      </c>
      <c r="B7" s="28" t="s">
        <v>2224</v>
      </c>
      <c r="C7" s="28" t="s">
        <v>2225</v>
      </c>
      <c r="D7" s="28" t="s">
        <v>2441</v>
      </c>
      <c r="F7" s="10"/>
      <c r="G7" s="10"/>
      <c r="H7" s="10"/>
    </row>
    <row r="8" spans="1:79" x14ac:dyDescent="0.25">
      <c r="A8" s="27">
        <f t="shared" si="0"/>
        <v>5</v>
      </c>
      <c r="B8" s="28" t="s">
        <v>2226</v>
      </c>
      <c r="C8" s="28" t="s">
        <v>2227</v>
      </c>
      <c r="D8" s="28" t="s">
        <v>2442</v>
      </c>
      <c r="F8" s="10"/>
      <c r="G8" s="10"/>
      <c r="H8" s="10"/>
    </row>
    <row r="9" spans="1:79" x14ac:dyDescent="0.25">
      <c r="A9" s="27">
        <f t="shared" si="0"/>
        <v>6</v>
      </c>
      <c r="B9" s="28" t="s">
        <v>424</v>
      </c>
      <c r="C9" s="28" t="s">
        <v>425</v>
      </c>
      <c r="D9" s="28" t="s">
        <v>2443</v>
      </c>
      <c r="F9" s="10"/>
      <c r="G9" s="10"/>
      <c r="H9" s="10"/>
    </row>
    <row r="10" spans="1:79" x14ac:dyDescent="0.25">
      <c r="A10" s="27">
        <f t="shared" si="0"/>
        <v>7</v>
      </c>
      <c r="B10" s="28" t="s">
        <v>2228</v>
      </c>
      <c r="C10" s="28" t="s">
        <v>2229</v>
      </c>
      <c r="D10" s="28" t="s">
        <v>2441</v>
      </c>
      <c r="F10" s="10"/>
      <c r="G10" s="10"/>
      <c r="H10" s="10"/>
    </row>
    <row r="11" spans="1:79" x14ac:dyDescent="0.25">
      <c r="A11" s="27">
        <f t="shared" si="0"/>
        <v>8</v>
      </c>
      <c r="B11" s="28" t="s">
        <v>428</v>
      </c>
      <c r="C11" s="28" t="s">
        <v>429</v>
      </c>
      <c r="D11" s="28" t="s">
        <v>2441</v>
      </c>
      <c r="F11" s="10"/>
      <c r="G11" s="10"/>
      <c r="H11" s="10"/>
    </row>
    <row r="12" spans="1:79" x14ac:dyDescent="0.25">
      <c r="A12" s="27">
        <f t="shared" si="0"/>
        <v>9</v>
      </c>
      <c r="B12" s="28" t="s">
        <v>430</v>
      </c>
      <c r="C12" s="28" t="s">
        <v>431</v>
      </c>
      <c r="D12" s="28" t="s">
        <v>2441</v>
      </c>
      <c r="F12" s="10"/>
      <c r="G12" s="10"/>
      <c r="H12" s="10"/>
    </row>
    <row r="13" spans="1:79" x14ac:dyDescent="0.25">
      <c r="A13" s="27">
        <f t="shared" si="0"/>
        <v>10</v>
      </c>
      <c r="B13" s="28" t="s">
        <v>434</v>
      </c>
      <c r="C13" s="28" t="s">
        <v>435</v>
      </c>
      <c r="D13" s="28" t="s">
        <v>2443</v>
      </c>
      <c r="F13" s="10"/>
      <c r="G13" s="10"/>
      <c r="H13" s="10"/>
    </row>
    <row r="14" spans="1:79" x14ac:dyDescent="0.25">
      <c r="A14" s="27">
        <f t="shared" si="0"/>
        <v>11</v>
      </c>
      <c r="B14" s="28" t="s">
        <v>2230</v>
      </c>
      <c r="C14" s="28" t="s">
        <v>2231</v>
      </c>
      <c r="D14" s="28" t="s">
        <v>2441</v>
      </c>
      <c r="F14" s="10"/>
      <c r="G14" s="10"/>
      <c r="H14" s="10"/>
    </row>
    <row r="15" spans="1:79" x14ac:dyDescent="0.25">
      <c r="A15" s="27">
        <f t="shared" si="0"/>
        <v>12</v>
      </c>
      <c r="B15" s="28" t="s">
        <v>2232</v>
      </c>
      <c r="C15" s="28" t="s">
        <v>2233</v>
      </c>
      <c r="D15" s="28" t="s">
        <v>2444</v>
      </c>
      <c r="F15" s="10"/>
      <c r="G15" s="10"/>
      <c r="H15" s="10"/>
    </row>
    <row r="16" spans="1:79" x14ac:dyDescent="0.25">
      <c r="A16" s="27">
        <f t="shared" si="0"/>
        <v>13</v>
      </c>
      <c r="B16" s="28" t="s">
        <v>2234</v>
      </c>
      <c r="C16" s="28" t="s">
        <v>2235</v>
      </c>
      <c r="D16" s="28" t="s">
        <v>2441</v>
      </c>
      <c r="F16" s="10"/>
      <c r="G16" s="10"/>
      <c r="H16" s="10"/>
    </row>
    <row r="17" spans="1:8" x14ac:dyDescent="0.25">
      <c r="A17" s="27">
        <f t="shared" si="0"/>
        <v>14</v>
      </c>
      <c r="B17" s="28" t="s">
        <v>2236</v>
      </c>
      <c r="C17" s="28" t="s">
        <v>2237</v>
      </c>
      <c r="D17" s="28" t="s">
        <v>2444</v>
      </c>
      <c r="F17" s="10"/>
      <c r="G17" s="10"/>
      <c r="H17" s="10"/>
    </row>
    <row r="18" spans="1:8" x14ac:dyDescent="0.25">
      <c r="A18" s="27">
        <f t="shared" si="0"/>
        <v>15</v>
      </c>
      <c r="B18" s="28" t="s">
        <v>2238</v>
      </c>
      <c r="C18" s="28" t="s">
        <v>2239</v>
      </c>
      <c r="D18" s="28" t="s">
        <v>2445</v>
      </c>
      <c r="F18" s="10"/>
      <c r="G18" s="10"/>
      <c r="H18" s="10"/>
    </row>
    <row r="19" spans="1:8" x14ac:dyDescent="0.25">
      <c r="A19" s="27">
        <f t="shared" si="0"/>
        <v>16</v>
      </c>
      <c r="B19" s="28" t="s">
        <v>2240</v>
      </c>
      <c r="C19" s="28" t="s">
        <v>2241</v>
      </c>
      <c r="D19" s="28" t="s">
        <v>2446</v>
      </c>
      <c r="F19" s="10"/>
      <c r="G19" s="10"/>
      <c r="H19" s="10"/>
    </row>
    <row r="20" spans="1:8" x14ac:dyDescent="0.25">
      <c r="A20" s="27">
        <f t="shared" si="0"/>
        <v>17</v>
      </c>
      <c r="B20" s="28" t="s">
        <v>2242</v>
      </c>
      <c r="C20" s="28" t="s">
        <v>2243</v>
      </c>
      <c r="D20" s="28" t="s">
        <v>2447</v>
      </c>
      <c r="F20" s="10"/>
      <c r="G20" s="10"/>
      <c r="H20" s="10"/>
    </row>
    <row r="21" spans="1:8" x14ac:dyDescent="0.25">
      <c r="A21" s="27">
        <f t="shared" si="0"/>
        <v>18</v>
      </c>
      <c r="B21" s="28" t="s">
        <v>2244</v>
      </c>
      <c r="C21" s="28" t="s">
        <v>2245</v>
      </c>
      <c r="D21" s="28" t="s">
        <v>2448</v>
      </c>
      <c r="F21" s="10"/>
      <c r="G21" s="10"/>
      <c r="H21" s="10"/>
    </row>
    <row r="22" spans="1:8" x14ac:dyDescent="0.25">
      <c r="A22" s="27">
        <f t="shared" si="0"/>
        <v>19</v>
      </c>
      <c r="B22" s="28" t="s">
        <v>460</v>
      </c>
      <c r="C22" s="28" t="s">
        <v>461</v>
      </c>
      <c r="D22" s="28" t="s">
        <v>2443</v>
      </c>
      <c r="F22" s="10"/>
      <c r="G22" s="10"/>
      <c r="H22" s="10"/>
    </row>
    <row r="23" spans="1:8" x14ac:dyDescent="0.25">
      <c r="A23" s="27">
        <f t="shared" si="0"/>
        <v>20</v>
      </c>
      <c r="B23" s="28" t="s">
        <v>2246</v>
      </c>
      <c r="C23" s="28" t="s">
        <v>2247</v>
      </c>
      <c r="D23" s="28" t="s">
        <v>2441</v>
      </c>
      <c r="F23" s="10"/>
      <c r="G23" s="10"/>
      <c r="H23" s="10"/>
    </row>
    <row r="24" spans="1:8" x14ac:dyDescent="0.25">
      <c r="A24" s="27">
        <f t="shared" si="0"/>
        <v>21</v>
      </c>
      <c r="B24" s="28" t="s">
        <v>2248</v>
      </c>
      <c r="C24" s="28" t="s">
        <v>2249</v>
      </c>
      <c r="D24" s="28" t="s">
        <v>2449</v>
      </c>
      <c r="F24" s="10"/>
      <c r="G24" s="10"/>
      <c r="H24" s="10"/>
    </row>
    <row r="25" spans="1:8" x14ac:dyDescent="0.25">
      <c r="A25" s="27">
        <f t="shared" si="0"/>
        <v>22</v>
      </c>
      <c r="B25" s="28" t="s">
        <v>2250</v>
      </c>
      <c r="C25" s="28" t="s">
        <v>2251</v>
      </c>
      <c r="D25" s="28" t="s">
        <v>2449</v>
      </c>
      <c r="F25" s="10"/>
      <c r="G25" s="10"/>
      <c r="H25" s="10"/>
    </row>
    <row r="26" spans="1:8" x14ac:dyDescent="0.25">
      <c r="A26" s="27">
        <f t="shared" si="0"/>
        <v>23</v>
      </c>
      <c r="B26" s="28" t="s">
        <v>2252</v>
      </c>
      <c r="C26" s="28" t="s">
        <v>2253</v>
      </c>
      <c r="D26" s="28" t="s">
        <v>2445</v>
      </c>
      <c r="F26" s="10"/>
      <c r="G26" s="10"/>
      <c r="H26" s="10"/>
    </row>
    <row r="27" spans="1:8" x14ac:dyDescent="0.25">
      <c r="A27" s="27">
        <f t="shared" si="0"/>
        <v>24</v>
      </c>
      <c r="B27" s="28" t="s">
        <v>2254</v>
      </c>
      <c r="C27" s="28" t="s">
        <v>2255</v>
      </c>
      <c r="D27" s="28" t="s">
        <v>2447</v>
      </c>
      <c r="F27" s="10"/>
      <c r="G27" s="10"/>
      <c r="H27" s="10"/>
    </row>
    <row r="28" spans="1:8" x14ac:dyDescent="0.25">
      <c r="A28" s="27">
        <f t="shared" si="0"/>
        <v>25</v>
      </c>
      <c r="B28" s="28" t="s">
        <v>2256</v>
      </c>
      <c r="C28" s="28" t="s">
        <v>2257</v>
      </c>
      <c r="D28" s="28" t="s">
        <v>2450</v>
      </c>
      <c r="F28" s="10"/>
      <c r="G28" s="10"/>
      <c r="H28" s="10"/>
    </row>
    <row r="29" spans="1:8" x14ac:dyDescent="0.25">
      <c r="A29" s="27">
        <f t="shared" si="0"/>
        <v>26</v>
      </c>
      <c r="B29" s="28" t="s">
        <v>504</v>
      </c>
      <c r="C29" s="28" t="s">
        <v>505</v>
      </c>
      <c r="D29" s="28" t="s">
        <v>2441</v>
      </c>
      <c r="F29" s="10"/>
      <c r="G29" s="10"/>
      <c r="H29" s="10"/>
    </row>
    <row r="30" spans="1:8" x14ac:dyDescent="0.25">
      <c r="A30" s="27">
        <f t="shared" si="0"/>
        <v>27</v>
      </c>
      <c r="B30" s="28" t="s">
        <v>2258</v>
      </c>
      <c r="C30" s="28" t="s">
        <v>2259</v>
      </c>
      <c r="D30" s="28" t="s">
        <v>2451</v>
      </c>
      <c r="F30" s="10"/>
      <c r="G30" s="10"/>
      <c r="H30" s="10"/>
    </row>
    <row r="31" spans="1:8" x14ac:dyDescent="0.25">
      <c r="A31" s="27">
        <f t="shared" si="0"/>
        <v>28</v>
      </c>
      <c r="B31" s="28" t="s">
        <v>2260</v>
      </c>
      <c r="C31" s="28" t="s">
        <v>2261</v>
      </c>
      <c r="D31" s="28" t="s">
        <v>2448</v>
      </c>
      <c r="F31" s="10"/>
      <c r="G31" s="10"/>
      <c r="H31" s="10"/>
    </row>
    <row r="32" spans="1:8" x14ac:dyDescent="0.25">
      <c r="A32" s="27">
        <f t="shared" si="0"/>
        <v>29</v>
      </c>
      <c r="B32" s="28" t="s">
        <v>2262</v>
      </c>
      <c r="C32" s="28" t="s">
        <v>2263</v>
      </c>
      <c r="D32" s="28" t="s">
        <v>2452</v>
      </c>
      <c r="F32" s="10"/>
      <c r="G32" s="10"/>
      <c r="H32" s="10"/>
    </row>
    <row r="33" spans="1:9" x14ac:dyDescent="0.25">
      <c r="A33" s="27">
        <f t="shared" si="0"/>
        <v>30</v>
      </c>
      <c r="B33" s="28" t="s">
        <v>2501</v>
      </c>
      <c r="C33" s="28" t="s">
        <v>2264</v>
      </c>
      <c r="D33" s="28" t="s">
        <v>2453</v>
      </c>
      <c r="F33" s="10"/>
      <c r="G33" s="10"/>
      <c r="H33" s="10"/>
    </row>
    <row r="34" spans="1:9" x14ac:dyDescent="0.25">
      <c r="A34" s="27">
        <f t="shared" si="0"/>
        <v>31</v>
      </c>
      <c r="B34" s="28" t="s">
        <v>2265</v>
      </c>
      <c r="C34" s="28" t="s">
        <v>2266</v>
      </c>
      <c r="D34" s="28" t="s">
        <v>2454</v>
      </c>
      <c r="F34" s="10"/>
      <c r="G34" s="10"/>
      <c r="H34" s="10"/>
    </row>
    <row r="35" spans="1:9" x14ac:dyDescent="0.25">
      <c r="A35" s="27">
        <f t="shared" si="0"/>
        <v>32</v>
      </c>
      <c r="B35" s="28" t="s">
        <v>2267</v>
      </c>
      <c r="C35" s="28" t="s">
        <v>2268</v>
      </c>
      <c r="D35" s="28" t="s">
        <v>2455</v>
      </c>
      <c r="F35" s="10"/>
      <c r="G35" s="10"/>
      <c r="H35" s="10"/>
    </row>
    <row r="36" spans="1:9" x14ac:dyDescent="0.25">
      <c r="A36" s="27">
        <f t="shared" si="0"/>
        <v>33</v>
      </c>
      <c r="B36" s="28" t="s">
        <v>490</v>
      </c>
      <c r="C36" s="28" t="s">
        <v>491</v>
      </c>
      <c r="D36" s="28" t="s">
        <v>2441</v>
      </c>
      <c r="F36" s="10"/>
      <c r="G36" s="10"/>
      <c r="H36" s="10"/>
    </row>
    <row r="37" spans="1:9" x14ac:dyDescent="0.25">
      <c r="A37" s="27">
        <f t="shared" si="0"/>
        <v>34</v>
      </c>
      <c r="B37" s="28" t="s">
        <v>2269</v>
      </c>
      <c r="C37" s="28" t="s">
        <v>2270</v>
      </c>
      <c r="D37" s="28" t="s">
        <v>2447</v>
      </c>
      <c r="F37" s="10"/>
      <c r="G37" s="10"/>
      <c r="H37" s="10"/>
    </row>
    <row r="38" spans="1:9" x14ac:dyDescent="0.25">
      <c r="A38" s="27">
        <f t="shared" si="0"/>
        <v>35</v>
      </c>
      <c r="B38" s="28" t="s">
        <v>2271</v>
      </c>
      <c r="C38" s="28" t="s">
        <v>2272</v>
      </c>
      <c r="D38" s="28" t="s">
        <v>2445</v>
      </c>
      <c r="F38" s="10"/>
      <c r="G38" s="10"/>
      <c r="H38" s="10"/>
    </row>
    <row r="39" spans="1:9" x14ac:dyDescent="0.25">
      <c r="A39" s="27">
        <f t="shared" si="0"/>
        <v>36</v>
      </c>
      <c r="B39" s="28" t="s">
        <v>2273</v>
      </c>
      <c r="C39" s="28" t="s">
        <v>2274</v>
      </c>
      <c r="D39" s="28" t="s">
        <v>2445</v>
      </c>
      <c r="F39" s="10"/>
      <c r="G39" s="10"/>
      <c r="H39" s="10"/>
    </row>
    <row r="40" spans="1:9" x14ac:dyDescent="0.25">
      <c r="A40" s="27">
        <f t="shared" si="0"/>
        <v>37</v>
      </c>
      <c r="B40" s="28" t="s">
        <v>2275</v>
      </c>
      <c r="C40" s="28" t="s">
        <v>2276</v>
      </c>
      <c r="D40" s="28" t="s">
        <v>2442</v>
      </c>
      <c r="F40" s="10"/>
      <c r="G40" s="10"/>
      <c r="H40" s="10"/>
    </row>
    <row r="41" spans="1:9" x14ac:dyDescent="0.25">
      <c r="A41" s="27">
        <f t="shared" si="0"/>
        <v>38</v>
      </c>
      <c r="B41" s="28" t="s">
        <v>2502</v>
      </c>
      <c r="C41" s="28" t="s">
        <v>2277</v>
      </c>
      <c r="D41" s="28" t="s">
        <v>2444</v>
      </c>
      <c r="F41" s="10"/>
      <c r="G41" s="10"/>
      <c r="H41" s="10"/>
    </row>
    <row r="42" spans="1:9" x14ac:dyDescent="0.25">
      <c r="A42" s="27">
        <f t="shared" si="0"/>
        <v>39</v>
      </c>
      <c r="B42" s="28" t="s">
        <v>2278</v>
      </c>
      <c r="C42" s="28" t="s">
        <v>2279</v>
      </c>
      <c r="D42" s="28" t="s">
        <v>2455</v>
      </c>
      <c r="F42" s="10"/>
      <c r="G42" s="10"/>
      <c r="H42" s="10"/>
    </row>
    <row r="43" spans="1:9" x14ac:dyDescent="0.25">
      <c r="A43" s="27">
        <f t="shared" si="0"/>
        <v>40</v>
      </c>
      <c r="B43" s="1" t="s">
        <v>2280</v>
      </c>
      <c r="C43" s="28" t="s">
        <v>2281</v>
      </c>
      <c r="D43" s="28" t="s">
        <v>2456</v>
      </c>
      <c r="E43" s="26">
        <f>+[41]Main!$J$2</f>
        <v>244.6</v>
      </c>
      <c r="F43" s="10">
        <f>+[41]Main!$J$4*FX!C10</f>
        <v>9687.4854262500012</v>
      </c>
      <c r="G43" s="10">
        <f>+([41]Main!$J$6-[41]Main!$J$5)*FX!C10</f>
        <v>1729.1160000000002</v>
      </c>
      <c r="H43" s="10">
        <f>+F43+G43</f>
        <v>11416.601426250001</v>
      </c>
      <c r="I43" s="26" t="s">
        <v>2598</v>
      </c>
    </row>
    <row r="44" spans="1:9" x14ac:dyDescent="0.25">
      <c r="A44" s="27">
        <f t="shared" si="0"/>
        <v>41</v>
      </c>
      <c r="B44" s="28" t="s">
        <v>2282</v>
      </c>
      <c r="C44" s="28" t="s">
        <v>2283</v>
      </c>
      <c r="D44" s="28" t="s">
        <v>2443</v>
      </c>
      <c r="F44" s="10"/>
      <c r="G44" s="10"/>
      <c r="H44" s="10"/>
    </row>
    <row r="45" spans="1:9" x14ac:dyDescent="0.25">
      <c r="A45" s="27">
        <f t="shared" si="0"/>
        <v>42</v>
      </c>
      <c r="B45" s="28" t="s">
        <v>2284</v>
      </c>
      <c r="C45" s="28" t="s">
        <v>2285</v>
      </c>
      <c r="D45" s="28" t="s">
        <v>2457</v>
      </c>
      <c r="F45" s="10"/>
      <c r="G45" s="10"/>
      <c r="H45" s="10"/>
    </row>
    <row r="46" spans="1:9" x14ac:dyDescent="0.25">
      <c r="A46" s="27">
        <f t="shared" si="0"/>
        <v>43</v>
      </c>
      <c r="B46" s="28" t="s">
        <v>548</v>
      </c>
      <c r="C46" s="28" t="s">
        <v>549</v>
      </c>
      <c r="D46" s="28" t="s">
        <v>2448</v>
      </c>
      <c r="F46" s="10"/>
      <c r="G46" s="10"/>
      <c r="H46" s="10"/>
    </row>
    <row r="47" spans="1:9" x14ac:dyDescent="0.25">
      <c r="A47" s="27">
        <f t="shared" si="0"/>
        <v>44</v>
      </c>
      <c r="B47" s="28" t="s">
        <v>2286</v>
      </c>
      <c r="C47" s="28" t="s">
        <v>2287</v>
      </c>
      <c r="D47" s="28" t="s">
        <v>2458</v>
      </c>
      <c r="F47" s="10"/>
      <c r="G47" s="10"/>
      <c r="H47" s="10"/>
    </row>
    <row r="48" spans="1:9" x14ac:dyDescent="0.25">
      <c r="A48" s="27">
        <f t="shared" si="0"/>
        <v>45</v>
      </c>
      <c r="B48" s="28" t="s">
        <v>2288</v>
      </c>
      <c r="C48" s="28" t="s">
        <v>2289</v>
      </c>
      <c r="D48" s="28" t="s">
        <v>2459</v>
      </c>
      <c r="F48" s="10"/>
      <c r="G48" s="10"/>
      <c r="H48" s="10"/>
    </row>
    <row r="49" spans="1:8" x14ac:dyDescent="0.25">
      <c r="A49" s="27">
        <f t="shared" si="0"/>
        <v>46</v>
      </c>
      <c r="B49" s="28" t="s">
        <v>2290</v>
      </c>
      <c r="C49" s="28" t="s">
        <v>2291</v>
      </c>
      <c r="D49" s="28" t="s">
        <v>2446</v>
      </c>
      <c r="F49" s="10"/>
      <c r="G49" s="10"/>
      <c r="H49" s="10"/>
    </row>
    <row r="50" spans="1:8" x14ac:dyDescent="0.25">
      <c r="A50" s="27">
        <f t="shared" si="0"/>
        <v>47</v>
      </c>
      <c r="B50" s="28" t="s">
        <v>2292</v>
      </c>
      <c r="C50" s="28" t="s">
        <v>2293</v>
      </c>
      <c r="D50" s="28" t="s">
        <v>2460</v>
      </c>
      <c r="F50" s="10"/>
      <c r="G50" s="10"/>
      <c r="H50" s="10"/>
    </row>
    <row r="51" spans="1:8" x14ac:dyDescent="0.25">
      <c r="A51" s="27">
        <f t="shared" si="0"/>
        <v>48</v>
      </c>
      <c r="B51" s="28" t="s">
        <v>2294</v>
      </c>
      <c r="C51" s="28" t="s">
        <v>2295</v>
      </c>
      <c r="D51" s="28" t="s">
        <v>2443</v>
      </c>
      <c r="F51" s="10"/>
      <c r="G51" s="10"/>
      <c r="H51" s="10"/>
    </row>
    <row r="52" spans="1:8" x14ac:dyDescent="0.25">
      <c r="A52" s="27">
        <f t="shared" si="0"/>
        <v>49</v>
      </c>
      <c r="B52" s="28" t="s">
        <v>2296</v>
      </c>
      <c r="C52" s="28" t="s">
        <v>2297</v>
      </c>
      <c r="D52" s="28" t="s">
        <v>2447</v>
      </c>
      <c r="F52" s="10"/>
      <c r="G52" s="10"/>
      <c r="H52" s="10"/>
    </row>
    <row r="53" spans="1:8" x14ac:dyDescent="0.25">
      <c r="A53" s="27">
        <f t="shared" si="0"/>
        <v>50</v>
      </c>
      <c r="B53" s="28" t="s">
        <v>2298</v>
      </c>
      <c r="C53" s="28" t="s">
        <v>2299</v>
      </c>
      <c r="D53" s="28" t="s">
        <v>2460</v>
      </c>
      <c r="F53" s="10"/>
      <c r="G53" s="10"/>
      <c r="H53" s="10"/>
    </row>
    <row r="54" spans="1:8" x14ac:dyDescent="0.25">
      <c r="A54" s="27">
        <f t="shared" si="0"/>
        <v>51</v>
      </c>
      <c r="B54" s="28" t="s">
        <v>2300</v>
      </c>
      <c r="C54" s="28" t="s">
        <v>2301</v>
      </c>
      <c r="D54" s="28" t="s">
        <v>2441</v>
      </c>
      <c r="F54" s="10"/>
      <c r="G54" s="10"/>
      <c r="H54" s="10"/>
    </row>
    <row r="55" spans="1:8" x14ac:dyDescent="0.25">
      <c r="A55" s="27">
        <f t="shared" si="0"/>
        <v>52</v>
      </c>
      <c r="B55" s="28" t="s">
        <v>2302</v>
      </c>
      <c r="C55" s="28" t="s">
        <v>2303</v>
      </c>
      <c r="D55" s="28" t="s">
        <v>2447</v>
      </c>
      <c r="F55" s="10"/>
      <c r="G55" s="10"/>
      <c r="H55" s="10"/>
    </row>
    <row r="56" spans="1:8" x14ac:dyDescent="0.25">
      <c r="A56" s="27">
        <f t="shared" si="0"/>
        <v>53</v>
      </c>
      <c r="B56" s="28" t="s">
        <v>2304</v>
      </c>
      <c r="C56" s="28" t="s">
        <v>2305</v>
      </c>
      <c r="D56" s="28" t="s">
        <v>2443</v>
      </c>
      <c r="F56" s="10"/>
      <c r="G56" s="10"/>
      <c r="H56" s="10"/>
    </row>
    <row r="57" spans="1:8" x14ac:dyDescent="0.25">
      <c r="A57" s="27">
        <f t="shared" si="0"/>
        <v>54</v>
      </c>
      <c r="B57" s="28" t="s">
        <v>2306</v>
      </c>
      <c r="C57" s="28" t="s">
        <v>2307</v>
      </c>
      <c r="D57" s="28" t="s">
        <v>2443</v>
      </c>
      <c r="F57" s="10"/>
      <c r="G57" s="10"/>
      <c r="H57" s="10"/>
    </row>
    <row r="58" spans="1:8" x14ac:dyDescent="0.25">
      <c r="A58" s="27">
        <f t="shared" si="0"/>
        <v>55</v>
      </c>
      <c r="B58" s="28" t="s">
        <v>2308</v>
      </c>
      <c r="C58" s="28" t="s">
        <v>2309</v>
      </c>
      <c r="D58" s="28" t="s">
        <v>2454</v>
      </c>
      <c r="F58" s="10"/>
      <c r="G58" s="10"/>
      <c r="H58" s="10"/>
    </row>
    <row r="59" spans="1:8" x14ac:dyDescent="0.25">
      <c r="A59" s="27">
        <f t="shared" si="0"/>
        <v>56</v>
      </c>
      <c r="B59" s="28" t="s">
        <v>2310</v>
      </c>
      <c r="C59" s="28" t="s">
        <v>2311</v>
      </c>
      <c r="D59" s="28" t="s">
        <v>2455</v>
      </c>
      <c r="F59" s="10"/>
      <c r="G59" s="10"/>
      <c r="H59" s="10"/>
    </row>
    <row r="60" spans="1:8" x14ac:dyDescent="0.25">
      <c r="A60" s="27">
        <f t="shared" si="0"/>
        <v>57</v>
      </c>
      <c r="B60" s="28" t="s">
        <v>2312</v>
      </c>
      <c r="C60" s="28" t="s">
        <v>2313</v>
      </c>
      <c r="D60" s="28" t="s">
        <v>2461</v>
      </c>
      <c r="F60" s="10"/>
      <c r="G60" s="10"/>
      <c r="H60" s="10"/>
    </row>
    <row r="61" spans="1:8" x14ac:dyDescent="0.25">
      <c r="A61" s="27">
        <f t="shared" si="0"/>
        <v>58</v>
      </c>
      <c r="B61" s="28" t="s">
        <v>2314</v>
      </c>
      <c r="C61" s="28" t="s">
        <v>2315</v>
      </c>
      <c r="D61" s="28" t="s">
        <v>2462</v>
      </c>
      <c r="F61" s="10"/>
      <c r="G61" s="10"/>
      <c r="H61" s="10"/>
    </row>
    <row r="62" spans="1:8" x14ac:dyDescent="0.25">
      <c r="A62" s="27">
        <f t="shared" si="0"/>
        <v>59</v>
      </c>
      <c r="B62" s="28" t="s">
        <v>2316</v>
      </c>
      <c r="C62" s="28" t="s">
        <v>2317</v>
      </c>
      <c r="D62" s="28" t="s">
        <v>2445</v>
      </c>
      <c r="F62" s="10"/>
      <c r="G62" s="10"/>
      <c r="H62" s="10"/>
    </row>
    <row r="63" spans="1:8" x14ac:dyDescent="0.25">
      <c r="A63" s="27">
        <f t="shared" si="0"/>
        <v>60</v>
      </c>
      <c r="B63" s="28" t="s">
        <v>2318</v>
      </c>
      <c r="C63" s="28" t="s">
        <v>2319</v>
      </c>
      <c r="D63" s="28" t="s">
        <v>2446</v>
      </c>
      <c r="F63" s="10"/>
      <c r="G63" s="10"/>
      <c r="H63" s="10"/>
    </row>
    <row r="64" spans="1:8" x14ac:dyDescent="0.25">
      <c r="A64" s="27">
        <f t="shared" si="0"/>
        <v>61</v>
      </c>
      <c r="B64" s="28" t="s">
        <v>580</v>
      </c>
      <c r="C64" s="28" t="s">
        <v>581</v>
      </c>
      <c r="D64" s="28" t="s">
        <v>2446</v>
      </c>
      <c r="F64" s="10"/>
      <c r="G64" s="10"/>
      <c r="H64" s="10"/>
    </row>
    <row r="65" spans="1:8" x14ac:dyDescent="0.25">
      <c r="A65" s="27">
        <f t="shared" si="0"/>
        <v>62</v>
      </c>
      <c r="B65" s="28" t="s">
        <v>2320</v>
      </c>
      <c r="C65" s="28" t="s">
        <v>2321</v>
      </c>
      <c r="D65" s="28" t="s">
        <v>2441</v>
      </c>
      <c r="F65" s="10"/>
      <c r="G65" s="10"/>
      <c r="H65" s="10"/>
    </row>
    <row r="66" spans="1:8" x14ac:dyDescent="0.25">
      <c r="A66" s="27">
        <f t="shared" si="0"/>
        <v>63</v>
      </c>
      <c r="B66" s="28" t="s">
        <v>2322</v>
      </c>
      <c r="C66" s="28" t="s">
        <v>2323</v>
      </c>
      <c r="D66" s="28" t="s">
        <v>2452</v>
      </c>
      <c r="F66" s="10"/>
      <c r="G66" s="10"/>
      <c r="H66" s="10"/>
    </row>
    <row r="67" spans="1:8" x14ac:dyDescent="0.25">
      <c r="A67" s="27">
        <f t="shared" si="0"/>
        <v>64</v>
      </c>
      <c r="B67" s="28" t="s">
        <v>2324</v>
      </c>
      <c r="C67" s="28" t="s">
        <v>2325</v>
      </c>
      <c r="D67" s="28" t="s">
        <v>2463</v>
      </c>
      <c r="F67" s="10"/>
      <c r="G67" s="10"/>
      <c r="H67" s="10"/>
    </row>
    <row r="68" spans="1:8" x14ac:dyDescent="0.25">
      <c r="A68" s="27">
        <f t="shared" si="0"/>
        <v>65</v>
      </c>
      <c r="B68" s="28" t="s">
        <v>2326</v>
      </c>
      <c r="C68" s="28" t="s">
        <v>2327</v>
      </c>
      <c r="D68" s="28" t="s">
        <v>2442</v>
      </c>
      <c r="F68" s="10"/>
      <c r="G68" s="10"/>
      <c r="H68" s="10"/>
    </row>
    <row r="69" spans="1:8" x14ac:dyDescent="0.25">
      <c r="A69" s="27">
        <f t="shared" ref="A69:A133" si="1">+A68+1</f>
        <v>66</v>
      </c>
      <c r="B69" s="28" t="s">
        <v>2503</v>
      </c>
      <c r="C69" s="28" t="s">
        <v>2328</v>
      </c>
      <c r="D69" s="28" t="s">
        <v>2444</v>
      </c>
      <c r="F69" s="10"/>
      <c r="G69" s="10"/>
      <c r="H69" s="10"/>
    </row>
    <row r="70" spans="1:8" x14ac:dyDescent="0.25">
      <c r="A70" s="27">
        <f t="shared" si="1"/>
        <v>67</v>
      </c>
      <c r="B70" s="28" t="s">
        <v>2329</v>
      </c>
      <c r="C70" s="28" t="s">
        <v>2330</v>
      </c>
      <c r="D70" s="28" t="s">
        <v>2448</v>
      </c>
      <c r="F70" s="10"/>
      <c r="G70" s="10"/>
      <c r="H70" s="10"/>
    </row>
    <row r="71" spans="1:8" x14ac:dyDescent="0.25">
      <c r="A71" s="27">
        <f t="shared" si="1"/>
        <v>68</v>
      </c>
      <c r="B71" s="28" t="s">
        <v>2331</v>
      </c>
      <c r="C71" s="28" t="s">
        <v>2332</v>
      </c>
      <c r="D71" s="28" t="s">
        <v>2443</v>
      </c>
      <c r="F71" s="10"/>
      <c r="G71" s="10"/>
      <c r="H71" s="10"/>
    </row>
    <row r="72" spans="1:8" x14ac:dyDescent="0.25">
      <c r="A72" s="27">
        <f t="shared" si="1"/>
        <v>69</v>
      </c>
      <c r="B72" s="28" t="s">
        <v>2333</v>
      </c>
      <c r="C72" s="28" t="s">
        <v>2334</v>
      </c>
      <c r="D72" s="28" t="s">
        <v>2464</v>
      </c>
      <c r="F72" s="10"/>
      <c r="G72" s="10"/>
      <c r="H72" s="10"/>
    </row>
    <row r="73" spans="1:8" x14ac:dyDescent="0.25">
      <c r="A73" s="27">
        <f t="shared" si="1"/>
        <v>70</v>
      </c>
      <c r="B73" s="28" t="s">
        <v>2335</v>
      </c>
      <c r="C73" s="28" t="s">
        <v>2336</v>
      </c>
      <c r="D73" s="28" t="s">
        <v>2465</v>
      </c>
      <c r="F73" s="10"/>
      <c r="G73" s="10"/>
      <c r="H73" s="10"/>
    </row>
    <row r="74" spans="1:8" x14ac:dyDescent="0.25">
      <c r="A74" s="27">
        <f t="shared" si="1"/>
        <v>71</v>
      </c>
      <c r="B74" s="28" t="s">
        <v>2337</v>
      </c>
      <c r="C74" s="28" t="s">
        <v>2338</v>
      </c>
      <c r="D74" s="28" t="s">
        <v>2444</v>
      </c>
      <c r="F74" s="10"/>
      <c r="G74" s="10"/>
      <c r="H74" s="10"/>
    </row>
    <row r="75" spans="1:8" x14ac:dyDescent="0.25">
      <c r="A75" s="27">
        <f t="shared" si="1"/>
        <v>72</v>
      </c>
      <c r="B75" s="28" t="s">
        <v>2339</v>
      </c>
      <c r="C75" s="28" t="s">
        <v>2340</v>
      </c>
      <c r="D75" s="28" t="s">
        <v>2466</v>
      </c>
      <c r="F75" s="10"/>
      <c r="G75" s="10"/>
      <c r="H75" s="10"/>
    </row>
    <row r="76" spans="1:8" x14ac:dyDescent="0.25">
      <c r="A76" s="27">
        <f t="shared" si="1"/>
        <v>73</v>
      </c>
      <c r="B76" s="28" t="s">
        <v>2504</v>
      </c>
      <c r="C76" s="28" t="s">
        <v>2341</v>
      </c>
      <c r="D76" s="28" t="s">
        <v>2467</v>
      </c>
      <c r="F76" s="10"/>
      <c r="G76" s="10"/>
      <c r="H76" s="10"/>
    </row>
    <row r="77" spans="1:8" x14ac:dyDescent="0.25">
      <c r="A77" s="27">
        <f t="shared" si="1"/>
        <v>74</v>
      </c>
      <c r="B77" s="28" t="s">
        <v>2342</v>
      </c>
      <c r="C77" s="28" t="s">
        <v>2343</v>
      </c>
      <c r="D77" s="28" t="s">
        <v>2442</v>
      </c>
      <c r="F77" s="10"/>
      <c r="G77" s="10"/>
      <c r="H77" s="10"/>
    </row>
    <row r="78" spans="1:8" x14ac:dyDescent="0.25">
      <c r="A78" s="27">
        <f t="shared" si="1"/>
        <v>75</v>
      </c>
      <c r="B78" s="28" t="s">
        <v>2344</v>
      </c>
      <c r="C78" s="28" t="s">
        <v>2345</v>
      </c>
      <c r="D78" s="28" t="s">
        <v>2460</v>
      </c>
      <c r="F78" s="10"/>
      <c r="G78" s="10"/>
      <c r="H78" s="10"/>
    </row>
    <row r="79" spans="1:8" x14ac:dyDescent="0.25">
      <c r="A79" s="27">
        <f t="shared" si="1"/>
        <v>76</v>
      </c>
      <c r="B79" s="28" t="s">
        <v>2346</v>
      </c>
      <c r="C79" s="28" t="s">
        <v>2347</v>
      </c>
      <c r="D79" s="28" t="s">
        <v>2443</v>
      </c>
      <c r="F79" s="10"/>
      <c r="G79" s="10"/>
      <c r="H79" s="10"/>
    </row>
    <row r="80" spans="1:8" x14ac:dyDescent="0.25">
      <c r="A80" s="27">
        <f t="shared" si="1"/>
        <v>77</v>
      </c>
      <c r="B80" s="28" t="s">
        <v>2348</v>
      </c>
      <c r="C80" s="28" t="s">
        <v>2349</v>
      </c>
      <c r="D80" s="28" t="s">
        <v>2468</v>
      </c>
      <c r="F80" s="10"/>
      <c r="G80" s="10"/>
      <c r="H80" s="10"/>
    </row>
    <row r="81" spans="1:8" x14ac:dyDescent="0.25">
      <c r="A81" s="27">
        <f t="shared" si="1"/>
        <v>78</v>
      </c>
      <c r="B81" s="28" t="s">
        <v>2350</v>
      </c>
      <c r="C81" s="28" t="s">
        <v>2351</v>
      </c>
      <c r="D81" s="28" t="s">
        <v>2443</v>
      </c>
      <c r="F81" s="10"/>
      <c r="G81" s="10"/>
      <c r="H81" s="10"/>
    </row>
    <row r="82" spans="1:8" x14ac:dyDescent="0.25">
      <c r="A82" s="27">
        <f t="shared" si="1"/>
        <v>79</v>
      </c>
      <c r="B82" s="28" t="s">
        <v>636</v>
      </c>
      <c r="C82" s="28" t="s">
        <v>637</v>
      </c>
      <c r="D82" s="28" t="s">
        <v>2451</v>
      </c>
      <c r="F82" s="10"/>
      <c r="G82" s="10"/>
      <c r="H82" s="10"/>
    </row>
    <row r="83" spans="1:8" x14ac:dyDescent="0.25">
      <c r="A83" s="27">
        <f t="shared" si="1"/>
        <v>80</v>
      </c>
      <c r="B83" s="28" t="s">
        <v>2352</v>
      </c>
      <c r="C83" s="28" t="s">
        <v>2353</v>
      </c>
      <c r="D83" s="28" t="s">
        <v>2446</v>
      </c>
      <c r="F83" s="10"/>
      <c r="G83" s="10"/>
      <c r="H83" s="10"/>
    </row>
    <row r="84" spans="1:8" x14ac:dyDescent="0.25">
      <c r="A84" s="27">
        <f t="shared" si="1"/>
        <v>81</v>
      </c>
      <c r="B84" s="28" t="s">
        <v>2506</v>
      </c>
      <c r="C84" s="28" t="s">
        <v>2507</v>
      </c>
      <c r="D84" s="28" t="s">
        <v>2463</v>
      </c>
      <c r="F84" s="10"/>
      <c r="G84" s="10"/>
      <c r="H84" s="10"/>
    </row>
    <row r="85" spans="1:8" x14ac:dyDescent="0.25">
      <c r="A85" s="27">
        <f t="shared" si="1"/>
        <v>82</v>
      </c>
      <c r="B85" s="28" t="s">
        <v>2354</v>
      </c>
      <c r="C85" s="28" t="s">
        <v>2355</v>
      </c>
      <c r="D85" s="28" t="s">
        <v>2442</v>
      </c>
      <c r="F85" s="10"/>
      <c r="G85" s="10"/>
      <c r="H85" s="10"/>
    </row>
    <row r="86" spans="1:8" x14ac:dyDescent="0.25">
      <c r="A86" s="27">
        <f t="shared" si="1"/>
        <v>83</v>
      </c>
      <c r="B86" s="28" t="s">
        <v>2356</v>
      </c>
      <c r="C86" s="28" t="s">
        <v>2357</v>
      </c>
      <c r="D86" s="28" t="s">
        <v>2442</v>
      </c>
      <c r="F86" s="10"/>
      <c r="G86" s="10"/>
      <c r="H86" s="10"/>
    </row>
    <row r="87" spans="1:8" x14ac:dyDescent="0.25">
      <c r="A87" s="27">
        <f t="shared" si="1"/>
        <v>84</v>
      </c>
      <c r="B87" s="28" t="s">
        <v>2505</v>
      </c>
      <c r="C87" s="28" t="s">
        <v>2358</v>
      </c>
      <c r="D87" s="28" t="s">
        <v>2453</v>
      </c>
      <c r="F87" s="10"/>
      <c r="G87" s="10"/>
      <c r="H87" s="10"/>
    </row>
    <row r="88" spans="1:8" x14ac:dyDescent="0.25">
      <c r="A88" s="27">
        <f t="shared" si="1"/>
        <v>85</v>
      </c>
      <c r="B88" s="28" t="s">
        <v>2359</v>
      </c>
      <c r="C88" s="28" t="s">
        <v>2360</v>
      </c>
      <c r="D88" s="28" t="s">
        <v>2469</v>
      </c>
      <c r="F88" s="10"/>
      <c r="G88" s="10"/>
      <c r="H88" s="10"/>
    </row>
    <row r="89" spans="1:8" x14ac:dyDescent="0.25">
      <c r="A89" s="27">
        <f t="shared" si="1"/>
        <v>86</v>
      </c>
      <c r="B89" s="28" t="s">
        <v>2361</v>
      </c>
      <c r="C89" s="28" t="s">
        <v>2362</v>
      </c>
      <c r="D89" s="28" t="s">
        <v>2470</v>
      </c>
      <c r="F89" s="10"/>
      <c r="G89" s="10"/>
      <c r="H89" s="10"/>
    </row>
    <row r="90" spans="1:8" x14ac:dyDescent="0.25">
      <c r="A90" s="27">
        <f t="shared" si="1"/>
        <v>87</v>
      </c>
      <c r="B90" s="28" t="s">
        <v>2363</v>
      </c>
      <c r="C90" s="28" t="s">
        <v>2364</v>
      </c>
      <c r="D90" s="28" t="s">
        <v>2471</v>
      </c>
      <c r="F90" s="10"/>
      <c r="G90" s="10"/>
      <c r="H90" s="10"/>
    </row>
    <row r="91" spans="1:8" x14ac:dyDescent="0.25">
      <c r="A91" s="27">
        <f t="shared" si="1"/>
        <v>88</v>
      </c>
      <c r="B91" s="28" t="s">
        <v>2365</v>
      </c>
      <c r="C91" s="28" t="s">
        <v>2366</v>
      </c>
      <c r="D91" s="28" t="s">
        <v>2442</v>
      </c>
      <c r="F91" s="10"/>
      <c r="G91" s="10"/>
      <c r="H91" s="10"/>
    </row>
    <row r="92" spans="1:8" x14ac:dyDescent="0.25">
      <c r="A92" s="27">
        <f t="shared" si="1"/>
        <v>89</v>
      </c>
      <c r="B92" s="28" t="s">
        <v>2367</v>
      </c>
      <c r="C92" s="28" t="s">
        <v>2368</v>
      </c>
      <c r="D92" s="28" t="s">
        <v>2441</v>
      </c>
      <c r="F92" s="10"/>
      <c r="G92" s="10"/>
      <c r="H92" s="10"/>
    </row>
    <row r="93" spans="1:8" x14ac:dyDescent="0.25">
      <c r="A93" s="27">
        <f t="shared" si="1"/>
        <v>90</v>
      </c>
      <c r="B93" s="28" t="s">
        <v>2369</v>
      </c>
      <c r="C93" s="28" t="s">
        <v>2370</v>
      </c>
      <c r="D93" s="28" t="s">
        <v>2441</v>
      </c>
      <c r="F93" s="10"/>
      <c r="G93" s="10"/>
      <c r="H93" s="10"/>
    </row>
    <row r="94" spans="1:8" x14ac:dyDescent="0.25">
      <c r="A94" s="27">
        <f t="shared" si="1"/>
        <v>91</v>
      </c>
      <c r="B94" s="28" t="s">
        <v>2371</v>
      </c>
      <c r="C94" s="28" t="s">
        <v>2372</v>
      </c>
      <c r="D94" s="28" t="s">
        <v>2459</v>
      </c>
      <c r="F94" s="10"/>
      <c r="G94" s="10"/>
      <c r="H94" s="10"/>
    </row>
    <row r="95" spans="1:8" x14ac:dyDescent="0.25">
      <c r="A95" s="27">
        <f t="shared" si="1"/>
        <v>92</v>
      </c>
      <c r="B95" s="28" t="s">
        <v>2373</v>
      </c>
      <c r="C95" s="28" t="s">
        <v>2374</v>
      </c>
      <c r="D95" s="28" t="s">
        <v>2472</v>
      </c>
      <c r="F95" s="10"/>
      <c r="G95" s="10"/>
      <c r="H95" s="10"/>
    </row>
    <row r="96" spans="1:8" x14ac:dyDescent="0.25">
      <c r="A96" s="27">
        <f t="shared" si="1"/>
        <v>93</v>
      </c>
      <c r="B96" s="28" t="s">
        <v>2375</v>
      </c>
      <c r="C96" s="28" t="s">
        <v>2376</v>
      </c>
      <c r="D96" s="28" t="s">
        <v>1961</v>
      </c>
      <c r="F96" s="10"/>
      <c r="G96" s="10"/>
      <c r="H96" s="10"/>
    </row>
    <row r="97" spans="1:8" x14ac:dyDescent="0.25">
      <c r="A97" s="27">
        <f t="shared" si="1"/>
        <v>94</v>
      </c>
      <c r="B97" s="28" t="s">
        <v>2377</v>
      </c>
      <c r="C97" s="28" t="s">
        <v>2378</v>
      </c>
      <c r="D97" s="28" t="s">
        <v>2441</v>
      </c>
      <c r="F97" s="10"/>
      <c r="G97" s="10"/>
      <c r="H97" s="10"/>
    </row>
    <row r="98" spans="1:8" x14ac:dyDescent="0.25">
      <c r="A98" s="27">
        <f t="shared" si="1"/>
        <v>95</v>
      </c>
      <c r="B98" s="28" t="s">
        <v>2379</v>
      </c>
      <c r="C98" s="28" t="s">
        <v>2380</v>
      </c>
      <c r="D98" s="28" t="s">
        <v>2441</v>
      </c>
      <c r="F98" s="10"/>
      <c r="G98" s="10"/>
      <c r="H98" s="10"/>
    </row>
    <row r="99" spans="1:8" x14ac:dyDescent="0.25">
      <c r="A99" s="27">
        <f t="shared" si="1"/>
        <v>96</v>
      </c>
      <c r="B99" s="28" t="s">
        <v>655</v>
      </c>
      <c r="C99" s="28" t="s">
        <v>656</v>
      </c>
      <c r="D99" s="28" t="s">
        <v>2447</v>
      </c>
      <c r="F99" s="10"/>
      <c r="G99" s="10"/>
      <c r="H99" s="10"/>
    </row>
    <row r="100" spans="1:8" x14ac:dyDescent="0.25">
      <c r="A100" s="27">
        <f t="shared" si="1"/>
        <v>97</v>
      </c>
      <c r="B100" s="28" t="s">
        <v>2381</v>
      </c>
      <c r="C100" s="28" t="s">
        <v>2382</v>
      </c>
      <c r="D100" s="28" t="s">
        <v>2451</v>
      </c>
      <c r="F100" s="10"/>
      <c r="G100" s="10"/>
      <c r="H100" s="10"/>
    </row>
    <row r="101" spans="1:8" x14ac:dyDescent="0.25">
      <c r="A101" s="27">
        <f t="shared" si="1"/>
        <v>98</v>
      </c>
      <c r="B101" s="28" t="s">
        <v>2383</v>
      </c>
      <c r="C101" s="28" t="s">
        <v>2384</v>
      </c>
      <c r="D101" s="28" t="s">
        <v>2459</v>
      </c>
      <c r="F101" s="10"/>
      <c r="G101" s="10"/>
      <c r="H101" s="10"/>
    </row>
    <row r="102" spans="1:8" x14ac:dyDescent="0.25">
      <c r="A102" s="27">
        <f t="shared" si="1"/>
        <v>99</v>
      </c>
      <c r="B102" s="28" t="s">
        <v>2385</v>
      </c>
      <c r="C102" s="28" t="s">
        <v>2386</v>
      </c>
      <c r="D102" s="28" t="s">
        <v>2473</v>
      </c>
      <c r="F102" s="10"/>
      <c r="G102" s="10"/>
      <c r="H102" s="10"/>
    </row>
    <row r="103" spans="1:8" x14ac:dyDescent="0.25">
      <c r="A103" s="27">
        <f t="shared" si="1"/>
        <v>100</v>
      </c>
      <c r="B103" s="28" t="s">
        <v>2387</v>
      </c>
      <c r="C103" s="28" t="s">
        <v>2388</v>
      </c>
      <c r="D103" s="28" t="s">
        <v>2446</v>
      </c>
      <c r="F103" s="10"/>
      <c r="G103" s="10"/>
      <c r="H103" s="10"/>
    </row>
    <row r="104" spans="1:8" x14ac:dyDescent="0.25">
      <c r="A104" s="27">
        <f t="shared" si="1"/>
        <v>101</v>
      </c>
      <c r="B104" s="28" t="s">
        <v>2389</v>
      </c>
      <c r="C104" s="28" t="s">
        <v>2390</v>
      </c>
      <c r="D104" s="28" t="s">
        <v>2474</v>
      </c>
      <c r="F104" s="10"/>
      <c r="G104" s="10"/>
      <c r="H104" s="10"/>
    </row>
    <row r="105" spans="1:8" x14ac:dyDescent="0.25">
      <c r="A105" s="27">
        <f t="shared" si="1"/>
        <v>102</v>
      </c>
      <c r="B105" s="28" t="s">
        <v>2391</v>
      </c>
      <c r="C105" s="28" t="s">
        <v>2392</v>
      </c>
      <c r="D105" s="28" t="s">
        <v>2463</v>
      </c>
      <c r="F105" s="10"/>
      <c r="G105" s="10"/>
      <c r="H105" s="10"/>
    </row>
    <row r="106" spans="1:8" x14ac:dyDescent="0.25">
      <c r="A106" s="27">
        <f t="shared" si="1"/>
        <v>103</v>
      </c>
      <c r="B106" s="28" t="s">
        <v>2393</v>
      </c>
      <c r="C106" s="28" t="s">
        <v>2394</v>
      </c>
      <c r="D106" s="28" t="s">
        <v>2443</v>
      </c>
      <c r="F106" s="10"/>
      <c r="G106" s="10"/>
      <c r="H106" s="10"/>
    </row>
    <row r="107" spans="1:8" x14ac:dyDescent="0.25">
      <c r="A107" s="27">
        <f t="shared" si="1"/>
        <v>104</v>
      </c>
      <c r="B107" s="28" t="s">
        <v>2395</v>
      </c>
      <c r="C107" s="28" t="s">
        <v>2396</v>
      </c>
      <c r="D107" s="28" t="s">
        <v>2441</v>
      </c>
      <c r="F107" s="10"/>
      <c r="G107" s="10"/>
      <c r="H107" s="10"/>
    </row>
    <row r="108" spans="1:8" x14ac:dyDescent="0.25">
      <c r="A108" s="27">
        <f t="shared" si="1"/>
        <v>105</v>
      </c>
      <c r="B108" s="28" t="s">
        <v>2397</v>
      </c>
      <c r="C108" s="28" t="s">
        <v>2398</v>
      </c>
      <c r="D108" s="28" t="s">
        <v>2475</v>
      </c>
      <c r="F108" s="10"/>
      <c r="G108" s="10"/>
      <c r="H108" s="10"/>
    </row>
    <row r="109" spans="1:8" x14ac:dyDescent="0.25">
      <c r="A109" s="27">
        <f t="shared" si="1"/>
        <v>106</v>
      </c>
      <c r="B109" s="28" t="s">
        <v>2399</v>
      </c>
      <c r="C109" s="28" t="s">
        <v>2400</v>
      </c>
      <c r="D109" s="28" t="s">
        <v>2476</v>
      </c>
      <c r="F109" s="10"/>
      <c r="G109" s="10"/>
      <c r="H109" s="10"/>
    </row>
    <row r="110" spans="1:8" x14ac:dyDescent="0.25">
      <c r="A110" s="27">
        <f t="shared" si="1"/>
        <v>107</v>
      </c>
      <c r="B110" s="28" t="s">
        <v>2401</v>
      </c>
      <c r="C110" s="28" t="s">
        <v>2402</v>
      </c>
      <c r="D110" s="28" t="s">
        <v>2468</v>
      </c>
      <c r="F110" s="10"/>
      <c r="G110" s="10"/>
      <c r="H110" s="10"/>
    </row>
    <row r="111" spans="1:8" x14ac:dyDescent="0.25">
      <c r="A111" s="27">
        <f t="shared" si="1"/>
        <v>108</v>
      </c>
      <c r="B111" s="28" t="s">
        <v>2403</v>
      </c>
      <c r="C111" s="28" t="s">
        <v>2404</v>
      </c>
      <c r="D111" s="28" t="s">
        <v>2473</v>
      </c>
      <c r="F111" s="10"/>
      <c r="G111" s="10"/>
      <c r="H111" s="10"/>
    </row>
    <row r="112" spans="1:8" x14ac:dyDescent="0.25">
      <c r="A112" s="27">
        <f t="shared" si="1"/>
        <v>109</v>
      </c>
      <c r="B112" s="28" t="s">
        <v>2405</v>
      </c>
      <c r="C112" s="28" t="s">
        <v>2406</v>
      </c>
      <c r="D112" s="28" t="s">
        <v>2464</v>
      </c>
      <c r="F112" s="10"/>
      <c r="G112" s="10"/>
      <c r="H112" s="10"/>
    </row>
    <row r="113" spans="1:8" x14ac:dyDescent="0.25">
      <c r="A113" s="27">
        <f t="shared" si="1"/>
        <v>110</v>
      </c>
      <c r="B113" s="28" t="s">
        <v>2407</v>
      </c>
      <c r="C113" s="28" t="s">
        <v>2408</v>
      </c>
      <c r="D113" s="28" t="s">
        <v>2477</v>
      </c>
      <c r="F113" s="10"/>
      <c r="G113" s="10"/>
      <c r="H113" s="10"/>
    </row>
    <row r="114" spans="1:8" x14ac:dyDescent="0.25">
      <c r="A114" s="27">
        <f t="shared" si="1"/>
        <v>111</v>
      </c>
      <c r="B114" s="28" t="s">
        <v>2409</v>
      </c>
      <c r="C114" s="28" t="s">
        <v>2410</v>
      </c>
      <c r="D114" s="28" t="s">
        <v>2463</v>
      </c>
      <c r="F114" s="10"/>
      <c r="G114" s="10"/>
      <c r="H114" s="10"/>
    </row>
    <row r="115" spans="1:8" x14ac:dyDescent="0.25">
      <c r="A115" s="27">
        <f t="shared" si="1"/>
        <v>112</v>
      </c>
      <c r="B115" s="28" t="s">
        <v>2411</v>
      </c>
      <c r="C115" s="28" t="s">
        <v>2412</v>
      </c>
      <c r="D115" s="28" t="s">
        <v>2448</v>
      </c>
      <c r="F115" s="10"/>
      <c r="G115" s="10"/>
      <c r="H115" s="10"/>
    </row>
    <row r="116" spans="1:8" x14ac:dyDescent="0.25">
      <c r="A116" s="27">
        <f t="shared" si="1"/>
        <v>113</v>
      </c>
      <c r="B116" s="28" t="s">
        <v>2413</v>
      </c>
      <c r="C116" s="28" t="s">
        <v>2414</v>
      </c>
      <c r="D116" s="28" t="s">
        <v>2474</v>
      </c>
      <c r="F116" s="10"/>
      <c r="G116" s="10"/>
      <c r="H116" s="10"/>
    </row>
    <row r="117" spans="1:8" x14ac:dyDescent="0.25">
      <c r="A117" s="27">
        <f t="shared" si="1"/>
        <v>114</v>
      </c>
      <c r="B117" s="28" t="s">
        <v>2415</v>
      </c>
      <c r="C117" s="28" t="s">
        <v>2416</v>
      </c>
      <c r="D117" s="28" t="s">
        <v>2441</v>
      </c>
      <c r="F117" s="10"/>
      <c r="G117" s="10"/>
      <c r="H117" s="10"/>
    </row>
    <row r="118" spans="1:8" x14ac:dyDescent="0.25">
      <c r="A118" s="27">
        <f t="shared" si="1"/>
        <v>115</v>
      </c>
      <c r="B118" s="28" t="s">
        <v>2417</v>
      </c>
      <c r="C118" s="28" t="s">
        <v>2418</v>
      </c>
      <c r="D118" s="28" t="s">
        <v>2449</v>
      </c>
      <c r="F118" s="10"/>
      <c r="G118" s="10"/>
      <c r="H118" s="10"/>
    </row>
    <row r="119" spans="1:8" x14ac:dyDescent="0.25">
      <c r="A119" s="27">
        <f t="shared" si="1"/>
        <v>116</v>
      </c>
      <c r="B119" s="28" t="s">
        <v>2419</v>
      </c>
      <c r="C119" s="28" t="s">
        <v>2420</v>
      </c>
      <c r="D119" s="28" t="s">
        <v>2449</v>
      </c>
      <c r="F119" s="10"/>
      <c r="G119" s="10"/>
      <c r="H119" s="10"/>
    </row>
    <row r="120" spans="1:8" x14ac:dyDescent="0.25">
      <c r="A120" s="27">
        <f t="shared" si="1"/>
        <v>117</v>
      </c>
      <c r="B120" s="28" t="s">
        <v>2421</v>
      </c>
      <c r="C120" s="28" t="s">
        <v>2422</v>
      </c>
      <c r="D120" s="28" t="s">
        <v>2446</v>
      </c>
      <c r="F120" s="10"/>
      <c r="G120" s="10"/>
      <c r="H120" s="10"/>
    </row>
    <row r="121" spans="1:8" x14ac:dyDescent="0.25">
      <c r="A121" s="27">
        <f t="shared" si="1"/>
        <v>118</v>
      </c>
      <c r="B121" s="28" t="s">
        <v>913</v>
      </c>
      <c r="C121" s="28" t="s">
        <v>914</v>
      </c>
      <c r="D121" s="28" t="s">
        <v>2478</v>
      </c>
      <c r="F121" s="10"/>
      <c r="G121" s="10"/>
      <c r="H121" s="10"/>
    </row>
    <row r="122" spans="1:8" x14ac:dyDescent="0.25">
      <c r="A122" s="27">
        <f t="shared" si="1"/>
        <v>119</v>
      </c>
      <c r="B122" s="28" t="s">
        <v>2423</v>
      </c>
      <c r="C122" s="28" t="s">
        <v>2424</v>
      </c>
      <c r="D122" s="28" t="s">
        <v>2453</v>
      </c>
      <c r="F122" s="10"/>
      <c r="G122" s="10"/>
      <c r="H122" s="10"/>
    </row>
    <row r="123" spans="1:8" x14ac:dyDescent="0.25">
      <c r="A123" s="27">
        <f t="shared" si="1"/>
        <v>120</v>
      </c>
      <c r="B123" s="28" t="s">
        <v>2425</v>
      </c>
      <c r="C123" s="28" t="s">
        <v>2426</v>
      </c>
      <c r="D123" s="28" t="s">
        <v>2445</v>
      </c>
      <c r="F123" s="10"/>
      <c r="G123" s="10"/>
      <c r="H123" s="10"/>
    </row>
    <row r="124" spans="1:8" x14ac:dyDescent="0.25">
      <c r="A124" s="27">
        <f t="shared" si="1"/>
        <v>121</v>
      </c>
      <c r="B124" s="28" t="s">
        <v>2427</v>
      </c>
      <c r="C124" s="28" t="s">
        <v>2428</v>
      </c>
      <c r="D124" s="28" t="s">
        <v>2459</v>
      </c>
      <c r="F124" s="10"/>
      <c r="G124" s="10"/>
      <c r="H124" s="10"/>
    </row>
    <row r="125" spans="1:8" x14ac:dyDescent="0.25">
      <c r="A125" s="27">
        <f t="shared" si="1"/>
        <v>122</v>
      </c>
      <c r="B125" s="28" t="s">
        <v>2429</v>
      </c>
      <c r="C125" s="28" t="s">
        <v>2430</v>
      </c>
      <c r="D125" s="28" t="s">
        <v>2479</v>
      </c>
      <c r="F125" s="10"/>
      <c r="G125" s="10"/>
      <c r="H125" s="10"/>
    </row>
    <row r="126" spans="1:8" x14ac:dyDescent="0.25">
      <c r="A126" s="27">
        <f t="shared" si="1"/>
        <v>123</v>
      </c>
      <c r="B126" s="28" t="s">
        <v>2431</v>
      </c>
      <c r="C126" s="28" t="s">
        <v>2432</v>
      </c>
      <c r="D126" s="28" t="s">
        <v>2476</v>
      </c>
      <c r="F126" s="10"/>
      <c r="G126" s="10"/>
      <c r="H126" s="10"/>
    </row>
    <row r="127" spans="1:8" x14ac:dyDescent="0.25">
      <c r="A127" s="27">
        <f t="shared" si="1"/>
        <v>124</v>
      </c>
      <c r="B127" s="28" t="s">
        <v>2433</v>
      </c>
      <c r="C127" s="28" t="s">
        <v>2434</v>
      </c>
      <c r="D127" s="28" t="s">
        <v>2460</v>
      </c>
      <c r="F127" s="10"/>
      <c r="G127" s="10"/>
      <c r="H127" s="10"/>
    </row>
    <row r="128" spans="1:8" x14ac:dyDescent="0.25">
      <c r="A128" s="27">
        <f t="shared" si="1"/>
        <v>125</v>
      </c>
      <c r="B128" s="28" t="s">
        <v>2435</v>
      </c>
      <c r="C128" s="28" t="s">
        <v>2436</v>
      </c>
      <c r="D128" s="28" t="s">
        <v>1961</v>
      </c>
      <c r="F128" s="10"/>
      <c r="G128" s="10"/>
      <c r="H128" s="10"/>
    </row>
    <row r="129" spans="1:8" x14ac:dyDescent="0.25">
      <c r="A129" s="27">
        <f t="shared" si="1"/>
        <v>126</v>
      </c>
      <c r="B129" s="28" t="s">
        <v>2437</v>
      </c>
      <c r="C129" s="28" t="s">
        <v>2438</v>
      </c>
      <c r="D129" s="28" t="s">
        <v>2480</v>
      </c>
      <c r="F129" s="10"/>
      <c r="G129" s="10"/>
      <c r="H129" s="10"/>
    </row>
    <row r="130" spans="1:8" x14ac:dyDescent="0.25">
      <c r="A130" s="27">
        <f t="shared" si="1"/>
        <v>127</v>
      </c>
      <c r="B130" s="28" t="s">
        <v>2439</v>
      </c>
      <c r="C130" s="28" t="s">
        <v>2440</v>
      </c>
      <c r="D130" s="28" t="s">
        <v>2474</v>
      </c>
      <c r="F130" s="10"/>
      <c r="G130" s="10"/>
      <c r="H130" s="10"/>
    </row>
    <row r="131" spans="1:8" x14ac:dyDescent="0.25">
      <c r="A131" s="27">
        <f t="shared" si="1"/>
        <v>128</v>
      </c>
      <c r="B131" s="28" t="s">
        <v>2508</v>
      </c>
      <c r="C131" s="28" t="s">
        <v>2509</v>
      </c>
      <c r="D131" s="28" t="s">
        <v>2445</v>
      </c>
      <c r="F131" s="10"/>
      <c r="G131" s="10"/>
      <c r="H131" s="10"/>
    </row>
    <row r="132" spans="1:8" x14ac:dyDescent="0.25">
      <c r="A132" s="27">
        <f t="shared" si="1"/>
        <v>129</v>
      </c>
      <c r="B132" s="28" t="s">
        <v>2510</v>
      </c>
      <c r="C132" s="28" t="s">
        <v>2511</v>
      </c>
      <c r="D132" s="28" t="s">
        <v>2457</v>
      </c>
      <c r="F132" s="10"/>
      <c r="G132" s="10"/>
      <c r="H132" s="10"/>
    </row>
    <row r="133" spans="1:8" x14ac:dyDescent="0.25">
      <c r="A133" s="27">
        <f t="shared" si="1"/>
        <v>130</v>
      </c>
      <c r="B133" s="28" t="s">
        <v>2512</v>
      </c>
      <c r="C133" s="28" t="s">
        <v>2268</v>
      </c>
      <c r="D133" s="28" t="s">
        <v>2455</v>
      </c>
      <c r="F133" s="10"/>
      <c r="G133" s="10"/>
      <c r="H133" s="10"/>
    </row>
    <row r="134" spans="1:8" x14ac:dyDescent="0.25">
      <c r="A134" s="27">
        <f t="shared" ref="A134:A135" si="2">+A133+1</f>
        <v>131</v>
      </c>
      <c r="B134" s="41" t="s">
        <v>2626</v>
      </c>
      <c r="C134" s="41"/>
      <c r="D134" s="41" t="s">
        <v>2627</v>
      </c>
      <c r="F134" s="10"/>
      <c r="G134" s="10"/>
      <c r="H134" s="10"/>
    </row>
    <row r="135" spans="1:8" x14ac:dyDescent="0.25">
      <c r="A135" s="27">
        <f t="shared" si="2"/>
        <v>132</v>
      </c>
      <c r="F135" s="10"/>
      <c r="G135" s="10"/>
      <c r="H135" s="10"/>
    </row>
  </sheetData>
  <hyperlinks>
    <hyperlink ref="A1" location="Main!A1" display="Main " xr:uid="{A5374DA6-36BA-4794-9C84-6A7BC11F849A}"/>
    <hyperlink ref="B4" r:id="rId1" xr:uid="{494BFA84-1E86-468C-B2B4-C34E5FCB4CC3}"/>
    <hyperlink ref="B5" r:id="rId2" xr:uid="{3ABE9671-3E6B-48E5-963A-A64AF9E99100}"/>
    <hyperlink ref="B6" r:id="rId3" xr:uid="{C8E26E7E-6185-4291-8EC0-F9A30626F9B7}"/>
    <hyperlink ref="B43" r:id="rId4" xr:uid="{05D2FD27-9C9A-41F3-A018-7016A34AB6A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BDB4-531E-4509-AF05-6C2E9B67C26E}">
  <dimension ref="A1:E10"/>
  <sheetViews>
    <sheetView zoomScale="200" zoomScaleNormal="200" workbookViewId="0">
      <selection activeCell="B11" sqref="B11"/>
    </sheetView>
  </sheetViews>
  <sheetFormatPr defaultRowHeight="15" x14ac:dyDescent="0.25"/>
  <cols>
    <col min="1" max="1" width="5.42578125" bestFit="1" customWidth="1"/>
    <col min="2" max="2" width="15.5703125" customWidth="1"/>
  </cols>
  <sheetData>
    <row r="1" spans="1:5" x14ac:dyDescent="0.25">
      <c r="A1" s="1" t="s">
        <v>333</v>
      </c>
    </row>
    <row r="2" spans="1:5" x14ac:dyDescent="0.25">
      <c r="B2" s="3"/>
      <c r="C2" s="3"/>
      <c r="D2" s="3"/>
      <c r="E2" s="3"/>
    </row>
    <row r="3" spans="1:5" x14ac:dyDescent="0.25">
      <c r="B3" s="3" t="s">
        <v>334</v>
      </c>
      <c r="C3" s="3">
        <v>1.0900000000000001</v>
      </c>
      <c r="D3" s="3"/>
      <c r="E3" s="3"/>
    </row>
    <row r="4" spans="1:5" x14ac:dyDescent="0.25">
      <c r="B4" s="3" t="s">
        <v>335</v>
      </c>
      <c r="C4" s="3">
        <v>0.14000000000000001</v>
      </c>
      <c r="D4" s="3"/>
      <c r="E4" s="3"/>
    </row>
    <row r="5" spans="1:5" x14ac:dyDescent="0.25">
      <c r="B5" s="3" t="s">
        <v>336</v>
      </c>
      <c r="C5" s="3">
        <v>1.29</v>
      </c>
      <c r="D5" s="3"/>
      <c r="E5" s="3"/>
    </row>
    <row r="6" spans="1:5" x14ac:dyDescent="0.25">
      <c r="B6" s="3" t="s">
        <v>337</v>
      </c>
      <c r="C6" s="3">
        <v>6.6E-3</v>
      </c>
      <c r="D6" s="3"/>
      <c r="E6" s="3"/>
    </row>
    <row r="7" spans="1:5" x14ac:dyDescent="0.25">
      <c r="B7" s="3" t="s">
        <v>2197</v>
      </c>
      <c r="C7" s="3">
        <v>3.1E-2</v>
      </c>
      <c r="D7" s="3"/>
      <c r="E7" s="3"/>
    </row>
    <row r="8" spans="1:5" x14ac:dyDescent="0.25">
      <c r="B8" s="3" t="s">
        <v>2198</v>
      </c>
      <c r="C8" s="3">
        <v>6.9999999999999999E-4</v>
      </c>
      <c r="D8" s="3"/>
      <c r="E8" s="3"/>
    </row>
    <row r="9" spans="1:5" x14ac:dyDescent="0.25">
      <c r="B9" s="3" t="s">
        <v>2212</v>
      </c>
      <c r="C9" s="3">
        <v>0.72</v>
      </c>
      <c r="D9" s="3"/>
      <c r="E9" s="3"/>
    </row>
    <row r="10" spans="1:5" x14ac:dyDescent="0.25">
      <c r="B10" s="26" t="s">
        <v>2599</v>
      </c>
      <c r="C10" s="3">
        <v>1.29</v>
      </c>
      <c r="D10" s="3"/>
      <c r="E10" s="3"/>
    </row>
  </sheetData>
  <hyperlinks>
    <hyperlink ref="A1" location="Main!A1" display="Main" xr:uid="{5BD328DD-1E3C-4BA3-AD8A-212CEC0C5A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Automotive</vt:lpstr>
      <vt:lpstr>Manufacturing</vt:lpstr>
      <vt:lpstr>Transportation</vt:lpstr>
      <vt:lpstr>Defense</vt:lpstr>
      <vt:lpstr>Space</vt:lpstr>
      <vt:lpstr>Marine</vt:lpstr>
      <vt:lpstr>Infrastructure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2025-04-10T11:47:16Z</dcterms:created>
  <dcterms:modified xsi:type="dcterms:W3CDTF">2026-09-14T09:02:31Z</dcterms:modified>
</cp:coreProperties>
</file>