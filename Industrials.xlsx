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8A615B6-306B-4F0F-AB60-594A9B1200FC}" xr6:coauthVersionLast="47" xr6:coauthVersionMax="47" xr10:uidLastSave="{00000000-0000-0000-0000-000000000000}"/>
  <bookViews>
    <workbookView xWindow="225" yWindow="2730" windowWidth="38175" windowHeight="15240" activeTab="4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Space" sheetId="8" r:id="rId6"/>
    <sheet name="Marine" sheetId="9" r:id="rId7"/>
    <sheet name="Infrastructure" sheetId="7" r:id="rId8"/>
    <sheet name="FX" sheetId="4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G16" i="2"/>
  <c r="F16" i="2"/>
  <c r="E16" i="2"/>
  <c r="A92" i="9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G43" i="7"/>
  <c r="F43" i="7"/>
  <c r="H43" i="7" s="1"/>
  <c r="E43" i="7"/>
  <c r="A34" i="8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133" i="7"/>
  <c r="A134" i="7" s="1"/>
  <c r="A135" i="7" s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5" i="8"/>
  <c r="A44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E4" i="5"/>
  <c r="H4" i="5" l="1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<sst xmlns="http://schemas.openxmlformats.org/spreadsheetml/2006/main" count="4327" uniqueCount="2626">
  <si>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</si>
  <si>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</si>
  <si>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</si>
  <si>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</si>
  <si>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</si>
  <si>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</si>
  <si>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</si>
  <si>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</si>
  <si>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</si>
  <si>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</si>
  <si>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</si>
  <si>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</si>
  <si>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</si>
  <si>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</si>
  <si>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</si>
  <si>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</si>
  <si>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</si>
  <si>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</si>
  <si>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</si>
  <si>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</si>
  <si>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</si>
  <si>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</si>
  <si>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</si>
  <si>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</si>
  <si>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</si>
  <si>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</si>
  <si>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</si>
  <si>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</si>
  <si>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</si>
  <si>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</si>
  <si>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</si>
  <si>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</si>
  <si>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</si>
  <si>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</si>
  <si>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</si>
  <si>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</si>
  <si>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</si>
  <si>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</si>
  <si>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</si>
  <si>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</si>
  <si>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</si>
  <si>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</si>
  <si>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</si>
  <si>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</si>
  <si>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</si>
  <si>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</si>
  <si>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</si>
  <si>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</si>
  <si>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</si>
  <si>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</si>
  <si>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</si>
  <si>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</si>
  <si>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</si>
  <si>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</si>
  <si>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</si>
  <si>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</si>
  <si>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</si>
  <si>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</si>
  <si>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</si>
  <si>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</si>
  <si>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</si>
  <si>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</si>
  <si>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</si>
  <si>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</si>
  <si>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</si>
  <si>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</si>
  <si>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</si>
  <si>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</si>
  <si>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</si>
  <si>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</si>
  <si>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</si>
  <si>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</si>
  <si>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</si>
  <si>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</si>
  <si>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</si>
  <si>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</si>
  <si>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</si>
  <si>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</si>
  <si>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</si>
  <si>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</si>
  <si>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</si>
  <si>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</si>
  <si>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</si>
  <si>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</si>
  <si>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</si>
  <si>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</si>
  <si>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</si>
  <si>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</si>
  <si>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</si>
  <si>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</si>
  <si>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</si>
  <si>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</si>
  <si>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</si>
  <si>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</si>
  <si>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</si>
  <si>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</si>
  <si>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</si>
  <si>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</si>
  <si>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</si>
  <si>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</si>
  <si>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</si>
  <si>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</si>
  <si>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</si>
  <si>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</si>
  <si>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</si>
  <si>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</si>
  <si>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</si>
  <si>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</si>
  <si>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</si>
  <si>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</si>
  <si>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</si>
  <si>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</si>
  <si>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</si>
  <si>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</si>
  <si>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</si>
  <si>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</si>
  <si>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</si>
  <si>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</si>
  <si>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</si>
  <si>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</si>
  <si>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</si>
  <si>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</si>
  <si>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</si>
  <si>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</si>
  <si>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</si>
  <si>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</si>
  <si>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</si>
  <si>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</si>
  <si>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</si>
  <si>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</si>
  <si>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</si>
  <si>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</si>
  <si>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</si>
  <si>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</si>
  <si>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</si>
  <si>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</si>
  <si>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</si>
  <si>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</si>
  <si>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</si>
  <si>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</si>
  <si>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</si>
  <si>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</si>
  <si>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</si>
  <si>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</si>
  <si>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</si>
  <si>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</si>
  <si>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</si>
  <si>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</si>
  <si>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</si>
  <si>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</si>
  <si>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</si>
  <si>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</si>
  <si>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</si>
  <si>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</si>
  <si>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</si>
  <si>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</si>
  <si>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</si>
  <si>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</si>
  <si>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</si>
  <si>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</si>
  <si>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</si>
  <si>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</si>
  <si>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</si>
  <si>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</si>
  <si>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</si>
  <si>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</si>
  <si>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</si>
  <si>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</si>
  <si>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</si>
  <si>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</si>
  <si>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</si>
  <si>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</si>
  <si>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</si>
  <si>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</si>
  <si>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</si>
  <si>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</si>
  <si>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</si>
  <si>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</si>
  <si>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</si>
  <si>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</si>
  <si>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</si>
  <si>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</si>
  <si>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</si>
  <si>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</si>
  <si>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</si>
  <si>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</si>
  <si>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</si>
  <si>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</si>
  <si>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</si>
  <si>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</si>
  <si>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</si>
  <si>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</si>
  <si>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</si>
  <si>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</si>
  <si>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</si>
  <si>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</si>
  <si>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</si>
  <si>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</si>
  <si>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</si>
  <si>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</si>
  <si>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</si>
  <si>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</si>
  <si>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</si>
  <si>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</si>
  <si>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</si>
  <si>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</si>
  <si>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</si>
  <si>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</si>
  <si>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</si>
  <si>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</si>
  <si>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</si>
  <si>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</si>
  <si>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</si>
  <si>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</si>
  <si>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</si>
  <si>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</si>
  <si>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</si>
  <si>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</si>
  <si>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</si>
  <si>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</si>
  <si>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</si>
  <si>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</si>
  <si>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</si>
  <si>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</si>
  <si>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</si>
  <si>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</si>
  <si>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</si>
  <si>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</si>
  <si>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</si>
  <si>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</si>
  <si>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</si>
  <si>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</si>
  <si>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</si>
  <si>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</si>
  <si>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</si>
  <si>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</si>
  <si>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</si>
  <si>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</si>
  <si>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</si>
  <si>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</si>
  <si>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</si>
  <si>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</si>
  <si>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</si>
  <si>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</si>
  <si>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</si>
  <si>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</si>
  <si>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</si>
  <si>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</si>
  <si>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</si>
  <si>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</si>
  <si>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</si>
  <si>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</si>
  <si>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</si>
  <si>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</si>
  <si>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</si>
  <si>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</si>
  <si>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</si>
  <si>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</si>
  <si>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</si>
  <si>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</si>
  <si>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</si>
  <si>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</si>
  <si>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</si>
  <si>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</si>
  <si>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</si>
  <si>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</si>
  <si>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</si>
  <si>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</si>
  <si>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</si>
  <si>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</si>
  <si>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</si>
  <si>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</si>
  <si>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</si>
  <si>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</si>
  <si>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</si>
  <si>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</si>
  <si>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</si>
  <si>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</si>
  <si>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</si>
  <si>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</si>
  <si>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</si>
  <si>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</si>
  <si>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</si>
  <si>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</si>
  <si>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</si>
  <si>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</si>
  <si>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</si>
  <si>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</si>
  <si>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</si>
  <si>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</si>
  <si>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</si>
  <si>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</si>
  <si>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</si>
  <si>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</si>
  <si>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</si>
  <si>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</si>
  <si>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</si>
  <si>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</si>
  <si>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</si>
  <si>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</si>
  <si>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</si>
  <si>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</si>
  <si>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</si>
  <si>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</si>
  <si>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</si>
  <si>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</si>
  <si>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</si>
  <si>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</si>
  <si>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</si>
  <si>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</si>
  <si>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</si>
  <si>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</si>
  <si>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</si>
  <si>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</si>
  <si>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</si>
  <si>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</si>
  <si>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</si>
  <si>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</si>
  <si>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</si>
  <si>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</si>
  <si>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</si>
  <si>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</si>
  <si>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</si>
  <si>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</si>
  <si>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</si>
  <si>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</si>
  <si>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</si>
  <si>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</si>
  <si>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</si>
  <si>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</si>
  <si>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</si>
  <si>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</si>
  <si>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</si>
  <si>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</si>
  <si>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</si>
  <si>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</si>
  <si>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</si>
  <si>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</si>
  <si>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</si>
  <si>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</si>
  <si>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</si>
  <si>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</si>
  <si>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</si>
  <si>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</si>
  <si>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</si>
  <si>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</si>
  <si>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</si>
  <si>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</si>
  <si>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</si>
  <si>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</si>
  <si>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</si>
  <si>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</si>
  <si>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</si>
  <si>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</si>
  <si>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</si>
  <si>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</si>
  <si>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</si>
  <si>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</si>
  <si>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</si>
  <si>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</si>
  <si>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</si>
  <si>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</si>
  <si>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</si>
  <si>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</si>
  <si>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</si>
  <si>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</si>
  <si>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</si>
  <si>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</si>
  <si>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</si>
  <si>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</si>
  <si>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</si>
  <si>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</si>
  <si>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</si>
  <si>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</si>
  <si>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</si>
  <si>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</si>
  <si>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</si>
  <si>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</si>
  <si>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</si>
  <si>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</si>
  <si>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</si>
  <si>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</si>
  <si>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</si>
  <si>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</si>
  <si>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</si>
  <si>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</si>
  <si>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</si>
  <si>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</si>
  <si>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</si>
  <si>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</si>
  <si>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</si>
  <si>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</si>
  <si>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</si>
  <si>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</si>
  <si>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</si>
  <si>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</si>
  <si>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</si>
  <si>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</si>
  <si>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</si>
  <si>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</si>
  <si>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</si>
  <si>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</si>
  <si>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</si>
  <si>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</si>
  <si>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</si>
  <si>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</si>
  <si>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</si>
  <si>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</si>
  <si>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</si>
  <si>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</si>
  <si>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</si>
  <si>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</si>
  <si>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</si>
  <si>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</si>
  <si>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</si>
  <si>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</si>
  <si>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</si>
  <si>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</si>
  <si>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</si>
  <si>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</si>
  <si>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</si>
  <si>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</si>
  <si>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</si>
  <si>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</si>
  <si>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</si>
  <si>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</si>
  <si>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</si>
  <si>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</si>
  <si>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</si>
  <si>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</si>
  <si>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</si>
  <si>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</si>
  <si>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</si>
  <si>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</si>
  <si>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</si>
  <si>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</si>
  <si>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</si>
  <si>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</si>
  <si>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</si>
  <si>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</si>
  <si>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</si>
  <si>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</si>
  <si>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</si>
  <si>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</si>
  <si>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</si>
  <si>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</si>
  <si>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</si>
  <si>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</si>
  <si>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</si>
  <si>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</si>
  <si>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</si>
  <si>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</si>
  <si>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</si>
  <si>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</si>
  <si>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</si>
  <si>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</si>
  <si>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</si>
  <si>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</si>
  <si>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</si>
  <si>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</si>
  <si>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</si>
  <si>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</si>
  <si>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</si>
  <si>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</si>
  <si>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</si>
  <si>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</si>
  <si>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</si>
  <si>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</si>
  <si>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</si>
  <si>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</si>
  <si>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</si>
  <si>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</si>
  <si>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</si>
  <si>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</si>
  <si>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</si>
  <si>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</si>
  <si>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</si>
  <si>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</si>
  <si>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</si>
  <si>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</si>
  <si>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</si>
  <si>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</si>
  <si>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</si>
  <si>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</si>
  <si>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</si>
  <si>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</si>
  <si>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</si>
  <si>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</si>
  <si>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</si>
  <si>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</si>
  <si>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</si>
  <si>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</si>
  <si>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</si>
  <si>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</si>
  <si>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</si>
  <si>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</si>
  <si>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</si>
  <si>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</si>
  <si>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</si>
  <si>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</si>
  <si>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</si>
  <si>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</si>
  <si>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</si>
  <si>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</si>
  <si>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</si>
  <si>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</si>
  <si>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</si>
  <si>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</si>
  <si>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</si>
  <si>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</si>
  <si>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</si>
  <si>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</si>
  <si>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</si>
  <si>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</si>
  <si>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</si>
  <si>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</si>
  <si>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</si>
  <si>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</si>
  <si>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</si>
  <si>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</si>
  <si>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</si>
  <si>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</si>
  <si>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</si>
  <si>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</si>
  <si>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</si>
  <si>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</si>
  <si>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</si>
  <si>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</si>
  <si>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</si>
  <si>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</si>
  <si>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</si>
  <si>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</si>
  <si>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</si>
  <si>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</si>
  <si>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</si>
  <si>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</si>
  <si>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</si>
  <si>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</si>
  <si>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</si>
  <si>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</si>
  <si>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</si>
  <si>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</si>
  <si>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</si>
  <si>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</si>
  <si>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</si>
  <si>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</si>
  <si>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</si>
  <si>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</si>
  <si>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</si>
  <si>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</si>
  <si>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</si>
  <si>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</si>
  <si>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</si>
  <si>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</si>
  <si>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</si>
  <si>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</si>
  <si>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</si>
  <si>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</si>
  <si>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</si>
  <si>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</si>
  <si>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</si>
  <si>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</si>
  <si>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</si>
  <si>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</si>
  <si>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</si>
  <si>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</si>
  <si>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</si>
  <si>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</si>
  <si>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</si>
  <si>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</si>
  <si>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</si>
  <si>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</si>
  <si>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</si>
  <si>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</si>
  <si>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</si>
  <si>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</si>
  <si>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</si>
  <si>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</si>
  <si>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</si>
  <si>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</si>
  <si>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</si>
  <si>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</si>
  <si>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</si>
  <si>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</si>
  <si>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</si>
  <si>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</si>
  <si>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</si>
  <si>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</si>
  <si>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</si>
  <si>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</si>
  <si>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</si>
  <si>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</si>
  <si>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</si>
  <si>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</si>
  <si>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</si>
  <si>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</si>
  <si>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</si>
  <si>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</si>
  <si>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</si>
  <si>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</si>
  <si>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</si>
  <si>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</si>
  <si>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</si>
  <si>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</si>
  <si>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</si>
  <si>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</si>
  <si>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</si>
  <si>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</si>
  <si>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</si>
  <si>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</si>
  <si>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</si>
  <si>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</si>
  <si>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</si>
  <si>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</si>
  <si>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</si>
  <si>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</si>
  <si>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</si>
  <si>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</si>
  <si>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</si>
  <si>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</si>
  <si>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</si>
  <si>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</si>
  <si>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</si>
  <si>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</si>
  <si>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</si>
  <si>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</si>
  <si>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</si>
  <si>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</si>
  <si>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</si>
  <si>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</si>
  <si>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</si>
  <si>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</si>
  <si>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</si>
  <si>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</si>
  <si>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</si>
  <si>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</si>
  <si>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</si>
  <si>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</si>
  <si>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</si>
  <si>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</si>
  <si>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</si>
  <si>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</si>
  <si>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</si>
  <si>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</si>
  <si>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</si>
  <si>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</si>
  <si>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</si>
  <si>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</si>
  <si>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</si>
  <si>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</si>
  <si>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</si>
  <si>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</si>
  <si>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</si>
  <si>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</si>
  <si>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</si>
  <si>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</si>
  <si>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</si>
  <si>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</si>
  <si>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</si>
  <si>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</si>
  <si>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</si>
  <si>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</si>
  <si>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</si>
  <si>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</si>
  <si>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</si>
  <si>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</si>
  <si>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</si>
  <si>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</si>
  <si>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</si>
  <si>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</si>
  <si>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</si>
  <si>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</si>
  <si>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</si>
  <si>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</si>
  <si>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</si>
  <si>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</si>
  <si>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</si>
  <si>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</si>
  <si>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</si>
  <si>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</si>
  <si>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</si>
  <si>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</si>
  <si>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</si>
  <si>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</si>
  <si>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</si>
  <si>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</si>
  <si>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</si>
  <si>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</si>
  <si>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</si>
  <si>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</si>
  <si>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</si>
  <si>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</si>
  <si>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</si>
  <si>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</si>
  <si>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</si>
  <si>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</si>
  <si>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</si>
  <si>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</si>
  <si>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</si>
  <si>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</si>
  <si>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</si>
  <si>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</si>
  <si>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</si>
  <si>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</si>
  <si>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</si>
  <si>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</si>
  <si>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</si>
  <si>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</si>
  <si>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</si>
  <si>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</si>
  <si>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</si>
  <si>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</si>
  <si>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</si>
  <si>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</si>
  <si>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</si>
  <si>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</si>
  <si>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</si>
  <si>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</si>
  <si>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</si>
  <si>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</si>
  <si>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</si>
  <si>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</si>
  <si>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</si>
  <si>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</si>
  <si>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</si>
  <si>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</si>
  <si>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</si>
  <si>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</si>
  <si>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</si>
  <si>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</si>
  <si>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</si>
  <si>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</si>
  <si>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</si>
  <si>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</si>
  <si>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</si>
  <si>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</si>
  <si>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</si>
  <si>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</si>
  <si>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</si>
  <si>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</si>
  <si>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</si>
  <si>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</si>
  <si>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</si>
  <si>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</si>
  <si>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</si>
  <si>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</si>
  <si>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</si>
  <si>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</si>
  <si>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</si>
  <si>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</si>
  <si>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</si>
  <si>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</si>
  <si>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</si>
  <si>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</si>
  <si>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</si>
  <si>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</si>
  <si>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</si>
  <si>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</si>
  <si>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</si>
  <si>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</si>
  <si>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</si>
  <si>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</si>
  <si>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</si>
  <si>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</si>
  <si>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</si>
  <si>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</si>
  <si>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</si>
  <si>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</si>
  <si>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</si>
  <si>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</si>
  <si>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</si>
  <si>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</si>
  <si>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</si>
  <si>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</si>
  <si>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</si>
  <si>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</si>
  <si>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</si>
  <si>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</si>
  <si>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</si>
  <si>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</si>
  <si>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</si>
  <si>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</si>
  <si>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</si>
  <si>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</si>
  <si>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</si>
  <si>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</si>
  <si>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</si>
  <si>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</si>
  <si>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</si>
  <si>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</si>
  <si>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</si>
  <si>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</si>
  <si>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</si>
  <si>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</si>
  <si>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</si>
  <si>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</si>
  <si>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</si>
  <si>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</si>
  <si>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</si>
  <si>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</si>
  <si>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</si>
  <si>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</si>
  <si>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</si>
  <si>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</si>
  <si>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</si>
  <si>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</si>
  <si>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</si>
  <si>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</si>
  <si>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</si>
  <si>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</si>
  <si>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</si>
  <si>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</si>
  <si>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</si>
  <si>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</si>
  <si>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</si>
  <si>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</si>
  <si>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</si>
  <si>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</si>
  <si>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</si>
  <si>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</si>
  <si>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</si>
  <si>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</si>
  <si>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</si>
  <si>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</si>
  <si>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</si>
  <si>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</si>
  <si>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</si>
  <si>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</si>
  <si>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</si>
  <si>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</si>
  <si>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</si>
  <si>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</si>
  <si>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</si>
  <si>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</si>
  <si>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</si>
  <si>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</si>
  <si>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</si>
  <si>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</si>
  <si>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</si>
  <si>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</si>
  <si>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</si>
  <si>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</si>
  <si>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</si>
  <si>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</si>
  <si>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</si>
  <si>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</si>
  <si>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</si>
  <si>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</si>
  <si>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</si>
  <si>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</si>
  <si>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</si>
  <si>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</si>
  <si>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</si>
  <si>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</si>
  <si>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</si>
  <si>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</si>
  <si>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</si>
  <si>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</si>
  <si>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</si>
  <si>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</si>
  <si>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</si>
  <si>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</si>
  <si>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</si>
  <si>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</si>
  <si>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</si>
  <si>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</si>
  <si>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</si>
  <si>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</si>
  <si>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</si>
  <si>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</si>
  <si>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</si>
  <si>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</si>
  <si>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</si>
  <si>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</si>
  <si>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</si>
  <si>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</si>
  <si>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</si>
  <si>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</si>
  <si>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</si>
  <si>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</si>
  <si>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</si>
  <si>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</si>
  <si>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</si>
  <si>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</si>
  <si>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</si>
  <si>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</si>
  <si>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</si>
  <si>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</si>
  <si>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</si>
  <si>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</si>
  <si>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</si>
  <si>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</si>
  <si>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</si>
  <si>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</si>
  <si>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</si>
  <si>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</si>
  <si>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</si>
  <si>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</si>
  <si>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</si>
  <si>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</si>
  <si>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</si>
  <si>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</si>
  <si>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</si>
  <si>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</si>
  <si>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</si>
  <si>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</si>
  <si>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</si>
  <si>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</si>
  <si>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</si>
  <si>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</si>
  <si>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</si>
  <si>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</si>
  <si>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</si>
  <si>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</si>
  <si>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</si>
  <si>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</si>
  <si>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</si>
  <si>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</si>
  <si>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</si>
  <si>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</si>
  <si>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</si>
  <si>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</si>
  <si>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</si>
  <si>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</si>
  <si>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</si>
  <si>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</si>
  <si>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</si>
  <si>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</si>
  <si>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</si>
  <si>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</si>
  <si>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</si>
  <si>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</si>
  <si>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</si>
  <si>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</si>
  <si>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</si>
  <si>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</si>
  <si>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</si>
  <si>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</si>
  <si>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</si>
  <si>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</si>
  <si>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</si>
  <si>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</si>
  <si>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</si>
  <si>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</si>
  <si>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</si>
  <si>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</si>
  <si>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</si>
  <si>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</si>
  <si>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</si>
  <si>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</si>
  <si>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</si>
  <si>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</si>
  <si>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</si>
  <si>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</si>
  <si>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</si>
  <si>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</si>
  <si>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</si>
  <si>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</si>
  <si>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</si>
  <si>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</si>
  <si>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</si>
  <si>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</si>
  <si>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</si>
  <si>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</si>
  <si>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</si>
  <si>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</si>
  <si>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</si>
  <si>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</si>
  <si>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</si>
  <si>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</si>
  <si>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</si>
  <si>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</si>
  <si>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</si>
  <si>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</si>
  <si>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</si>
  <si>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</si>
  <si>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</si>
  <si>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</si>
  <si>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</si>
  <si>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</si>
  <si>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</si>
  <si>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</si>
  <si>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</si>
  <si>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</si>
  <si>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</si>
  <si>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</si>
  <si>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</si>
  <si>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</si>
  <si>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</si>
  <si>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</si>
  <si>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</si>
  <si>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</si>
  <si>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</si>
  <si>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</si>
  <si>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</si>
  <si>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</si>
  <si>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</si>
  <si>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</si>
  <si>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</si>
  <si>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</si>
  <si>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</si>
  <si>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</si>
  <si>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</si>
  <si>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</si>
  <si>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</si>
  <si>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</si>
  <si>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</si>
  <si>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</si>
  <si>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</si>
  <si>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</si>
  <si>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</si>
  <si>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</si>
  <si>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</si>
  <si>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</si>
  <si>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</si>
  <si>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</si>
  <si>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</si>
  <si>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</si>
  <si>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</si>
  <si>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</si>
  <si>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</si>
  <si>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</si>
  <si>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</si>
  <si>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</si>
  <si>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</si>
  <si>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</si>
  <si>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</si>
  <si>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</si>
  <si>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</si>
  <si>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</si>
  <si>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</si>
  <si>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</si>
  <si>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</si>
  <si>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</si>
  <si>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</si>
  <si>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</si>
  <si>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</si>
  <si>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</si>
  <si>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</si>
  <si>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</si>
  <si>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</si>
  <si>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</si>
  <si>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</si>
  <si>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</si>
  <si>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</si>
  <si>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</si>
  <si>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</si>
  <si>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</si>
  <si>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</si>
  <si>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</si>
  <si>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</si>
  <si>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</si>
  <si>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</si>
  <si>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</si>
  <si>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</si>
  <si>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</si>
  <si>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</si>
  <si>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</si>
  <si>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</si>
  <si>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</si>
  <si>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</si>
  <si>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</si>
  <si>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</si>
  <si>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</si>
  <si>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</si>
  <si>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</si>
  <si>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</si>
  <si>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</si>
  <si>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</si>
  <si>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</si>
  <si>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</si>
  <si>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</si>
  <si>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</si>
  <si>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</si>
  <si>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</si>
  <si>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</si>
  <si>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</si>
  <si>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</si>
  <si>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</si>
  <si>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</si>
  <si>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</si>
  <si>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</si>
  <si>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</si>
  <si>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</si>
  <si>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</si>
  <si>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</si>
  <si>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</si>
  <si>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</si>
  <si>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</si>
  <si>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</si>
  <si>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</si>
  <si>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</si>
  <si>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</si>
  <si>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</si>
  <si>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</si>
  <si>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</si>
  <si>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</si>
  <si>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</si>
  <si>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</si>
  <si>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</si>
  <si>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</si>
  <si>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</si>
  <si>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</si>
  <si>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</si>
  <si>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</si>
  <si>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</si>
  <si>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</si>
  <si>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</si>
  <si>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</si>
  <si>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</si>
  <si>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</si>
  <si>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</si>
  <si>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</si>
  <si>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</si>
  <si>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</si>
  <si>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</si>
  <si>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</si>
  <si>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</si>
  <si>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</si>
  <si>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</si>
  <si>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</si>
  <si>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</si>
  <si>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</si>
  <si>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</si>
  <si>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</si>
  <si>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</si>
  <si>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</si>
  <si>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</si>
  <si>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</si>
  <si>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</si>
  <si>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</si>
  <si>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</si>
  <si>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</si>
  <si>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</si>
  <si>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</si>
  <si>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</si>
  <si>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</si>
  <si>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</si>
  <si>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</si>
  <si>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</si>
  <si>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</si>
  <si>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</si>
  <si>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</si>
  <si>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</si>
  <si>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</si>
  <si>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</si>
  <si>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</si>
  <si>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</si>
  <si>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</si>
  <si>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</si>
  <si>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</si>
  <si>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</si>
  <si>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</si>
  <si>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</si>
  <si>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</si>
  <si>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</si>
  <si>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</si>
  <si>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</si>
  <si>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</si>
  <si>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</si>
  <si>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</si>
  <si>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</si>
  <si>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</si>
  <si>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</si>
  <si>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</si>
  <si>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</si>
  <si>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</si>
  <si>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</si>
  <si>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</si>
  <si>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</si>
  <si>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</si>
  <si>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</si>
  <si>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</si>
  <si>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</si>
  <si>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</si>
  <si>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</si>
  <si>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</si>
  <si>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</si>
  <si>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</si>
  <si>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</si>
  <si>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</si>
  <si>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</si>
  <si>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</si>
  <si>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</si>
  <si>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</si>
  <si>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</si>
  <si>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</si>
  <si>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</si>
  <si>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</si>
  <si>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</si>
  <si>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</si>
  <si>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</si>
  <si>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</si>
  <si>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</si>
  <si>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</si>
  <si>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</si>
  <si>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</si>
  <si>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</si>
  <si>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</si>
  <si>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</si>
  <si>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</si>
  <si>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</si>
  <si>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</si>
  <si>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</si>
  <si>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</si>
  <si>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</si>
  <si>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</si>
  <si>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</si>
  <si>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</si>
  <si>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</si>
  <si>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</si>
  <si>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</si>
  <si>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</si>
  <si>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</si>
  <si>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</si>
  <si>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</si>
  <si>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</si>
  <si>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</si>
  <si>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</si>
  <si>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</si>
  <si>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</si>
  <si>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</si>
  <si>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</si>
  <si>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</si>
  <si>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</si>
  <si>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</si>
  <si>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</si>
  <si>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</si>
  <si>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</si>
  <si>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</si>
  <si>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</si>
  <si>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</si>
  <si>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</si>
  <si>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</si>
  <si>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</si>
  <si>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</si>
  <si>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</si>
  <si>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</si>
  <si>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</si>
  <si>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</si>
  <si>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</si>
  <si>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</si>
  <si>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</si>
  <si>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</si>
  <si>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</si>
  <si>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</si>
  <si>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</si>
  <si>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</si>
  <si>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</si>
  <si>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</si>
  <si>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</si>
  <si>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</si>
  <si>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</si>
  <si>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</si>
  <si>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</si>
  <si>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</si>
  <si>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</si>
  <si>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</si>
  <si>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</si>
  <si>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</si>
  <si>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</si>
  <si>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</si>
  <si>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</si>
  <si>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</si>
  <si>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</si>
  <si>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</si>
  <si>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</si>
  <si>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</si>
  <si>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</si>
  <si>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</si>
  <si>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</si>
  <si>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</si>
  <si>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</si>
  <si>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</si>
  <si>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</si>
  <si>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</si>
  <si>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</si>
  <si>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</si>
  <si>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</si>
  <si>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</si>
  <si>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</si>
  <si>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</si>
  <si>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</si>
  <si>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</si>
  <si>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</si>
  <si>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</si>
  <si>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</si>
  <si>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</si>
  <si>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</si>
  <si>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</si>
  <si>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</si>
  <si>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</si>
  <si>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</si>
  <si>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</si>
  <si>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</si>
  <si>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</si>
  <si>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</si>
  <si>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</si>
  <si>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</si>
  <si>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</si>
  <si>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</si>
  <si>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</si>
  <si>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</si>
  <si>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</si>
  <si>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</si>
  <si>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</si>
  <si>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</si>
  <si>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</si>
  <si>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</si>
  <si>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</si>
  <si>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</si>
  <si>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</si>
  <si>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</si>
  <si>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</si>
  <si>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</si>
  <si>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</si>
  <si>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</si>
  <si>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</si>
  <si>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</si>
  <si>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</si>
  <si>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</si>
  <si>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</si>
  <si>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</si>
  <si>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</si>
  <si>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</si>
  <si>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</si>
  <si>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</si>
  <si>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</si>
  <si>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</si>
  <si>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</si>
  <si>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</si>
  <si>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</si>
  <si>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</si>
  <si>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</si>
  <si>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</si>
  <si>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</si>
  <si>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</si>
  <si>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</si>
  <si>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</si>
  <si>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</si>
  <si>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</si>
  <si>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</si>
  <si>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</si>
  <si>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</si>
  <si>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</si>
  <si>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</si>
  <si>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</si>
  <si>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</si>
  <si>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</si>
  <si>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</si>
  <si>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</si>
  <si>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</si>
  <si>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</si>
  <si>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</si>
  <si>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</si>
  <si>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</si>
  <si>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</si>
  <si>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</si>
  <si>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</si>
  <si>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</si>
  <si>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</si>
  <si>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</si>
  <si>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</si>
  <si>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</si>
  <si>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</si>
  <si>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</si>
  <si>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</si>
  <si>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</si>
  <si>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</si>
  <si>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</si>
  <si>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</si>
  <si>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</si>
  <si>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</si>
  <si>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</si>
  <si>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</si>
  <si>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</si>
  <si>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</si>
  <si>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</si>
  <si>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</si>
  <si>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</si>
  <si>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</si>
  <si>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</si>
  <si>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</si>
  <si>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</si>
  <si>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</si>
  <si>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</si>
  <si>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</si>
  <si>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</si>
  <si>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</si>
  <si>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</si>
  <si>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</si>
  <si>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</si>
  <si>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</si>
  <si>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</si>
  <si>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</si>
  <si>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</si>
  <si>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</si>
  <si>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</si>
  <si>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</si>
  <si>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</si>
  <si>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</si>
  <si>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</si>
  <si>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</si>
  <si>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</si>
  <si>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</si>
  <si>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</si>
  <si>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</si>
  <si>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</si>
  <si>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</si>
  <si>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</si>
  <si>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</si>
  <si>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</si>
  <si>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</si>
  <si>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</si>
  <si>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</si>
  <si>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</si>
  <si>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</si>
  <si>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</si>
  <si>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</si>
  <si>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</si>
  <si>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</si>
  <si>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</si>
  <si>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</si>
  <si>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</si>
  <si>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</si>
  <si>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</si>
  <si>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</si>
  <si>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</si>
  <si>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</si>
  <si>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</si>
  <si>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</si>
  <si>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</si>
  <si>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</si>
  <si>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</si>
  <si>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</si>
  <si>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</si>
  <si>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</si>
  <si>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</si>
  <si>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</si>
  <si>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</si>
  <si>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</si>
  <si>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</si>
  <si>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</si>
  <si>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</si>
  <si>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</si>
  <si>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</si>
  <si>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</si>
  <si>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</si>
  <si>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</si>
  <si>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</si>
  <si>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</si>
  <si>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</si>
  <si>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</si>
  <si>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</si>
  <si>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</si>
  <si>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</si>
  <si>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</si>
  <si>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</si>
  <si>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</si>
  <si>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</si>
  <si>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</si>
  <si>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</si>
  <si>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</si>
  <si>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</si>
  <si>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</si>
  <si>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</si>
  <si>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</si>
  <si>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</si>
  <si>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</si>
  <si>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</si>
  <si>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</si>
  <si>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</si>
  <si>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</si>
  <si>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</si>
  <si>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</si>
  <si>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</si>
  <si>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</si>
  <si>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</si>
  <si>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</si>
  <si>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</si>
  <si>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</si>
  <si>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</si>
  <si>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</si>
  <si>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</si>
  <si>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</si>
  <si>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</si>
  <si>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</si>
  <si>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</si>
  <si>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</si>
  <si>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</si>
  <si>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</si>
  <si>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</si>
  <si>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</si>
  <si>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</si>
  <si>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</si>
  <si>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</si>
  <si>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</si>
  <si>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</si>
  <si>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</si>
  <si>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</si>
  <si>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</si>
  <si>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</si>
  <si>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</si>
  <si>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</si>
  <si>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</si>
  <si>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</si>
  <si>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</si>
  <si>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</si>
  <si>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</si>
  <si>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</si>
  <si>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</si>
  <si>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</si>
  <si>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</si>
  <si>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</si>
  <si>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</si>
  <si>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</si>
  <si>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</si>
  <si>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</si>
  <si>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</si>
  <si>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</si>
  <si>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</si>
  <si>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</si>
  <si>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</si>
  <si>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</si>
  <si>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</si>
  <si>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</si>
  <si>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</si>
  <si>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</si>
  <si>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</si>
  <si>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</si>
  <si>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</si>
  <si>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</si>
  <si>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</si>
  <si>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</si>
  <si>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</si>
  <si>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</si>
  <si>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</si>
  <si>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</si>
  <si>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</si>
  <si>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</si>
  <si>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</si>
  <si>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</si>
  <si>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</si>
  <si>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</si>
  <si>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</si>
  <si>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</si>
  <si>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</si>
  <si>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</si>
  <si>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</si>
  <si>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</si>
  <si>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</si>
  <si>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</si>
  <si>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</si>
  <si>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</si>
  <si>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</si>
  <si>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</si>
  <si>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</si>
  <si>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</si>
  <si>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</si>
  <si>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</si>
  <si>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</si>
  <si>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</si>
  <si>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</si>
  <si>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</si>
  <si>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</si>
  <si>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</si>
  <si>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</si>
  <si>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</si>
  <si>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</si>
  <si>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</si>
  <si>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</si>
  <si>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</si>
  <si>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</si>
  <si>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</si>
  <si>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</si>
  <si>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</si>
  <si>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</si>
  <si>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</si>
  <si>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</si>
  <si>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</si>
  <si>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</si>
  <si>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</si>
  <si>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</si>
  <si>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</si>
  <si>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</si>
  <si>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</si>
  <si>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</si>
  <si>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</si>
  <si>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</si>
  <si>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</si>
  <si>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</si>
  <si>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</si>
  <si>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</si>
  <si>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</si>
  <si>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</si>
  <si>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</si>
  <si>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</si>
  <si>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</si>
  <si>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</si>
  <si>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</si>
  <si>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</si>
  <si>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</si>
  <si>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</si>
  <si>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</si>
  <si>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</si>
  <si>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</si>
  <si>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</si>
  <si>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</si>
  <si>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</si>
  <si>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</si>
  <si>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</si>
  <si>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</si>
  <si>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</si>
  <si>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</si>
  <si>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</si>
  <si>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</si>
  <si>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</si>
  <si>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</si>
  <si>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</si>
  <si>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</si>
  <si>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</si>
  <si>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</si>
  <si>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</si>
  <si>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</si>
  <si>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</si>
  <si>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</si>
  <si>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</si>
  <si>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</si>
  <si>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</si>
  <si>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</si>
  <si>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</si>
  <si>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</si>
  <si>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</si>
  <si>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</si>
  <si>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</si>
  <si>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</si>
  <si>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</si>
  <si>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</si>
  <si>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</si>
  <si>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</si>
  <si>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</si>
  <si>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</si>
  <si>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</si>
  <si>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</si>
  <si>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</si>
  <si>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</si>
  <si>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</si>
  <si>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</si>
  <si>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</si>
  <si>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</si>
  <si>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</si>
  <si>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</si>
  <si>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</si>
  <si>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</si>
  <si>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</si>
  <si>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</si>
  <si>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</si>
  <si>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</si>
  <si>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</si>
  <si>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</si>
  <si>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</si>
  <si>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</si>
  <si>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</si>
  <si>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</si>
  <si>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</si>
  <si>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</si>
  <si>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</si>
  <si>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</si>
  <si>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</si>
  <si>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</si>
  <si>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</si>
  <si>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</si>
  <si>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</si>
  <si>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</si>
  <si>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</si>
  <si>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</si>
  <si>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</si>
  <si>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</si>
  <si>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</si>
  <si>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</si>
  <si>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</si>
  <si>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</si>
  <si>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</si>
  <si>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</si>
  <si>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</si>
  <si>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</si>
  <si>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</si>
  <si>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</si>
  <si>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</si>
  <si>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</si>
  <si>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</si>
  <si>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</si>
  <si>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</si>
  <si>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</si>
  <si>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</si>
  <si>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</si>
  <si>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</si>
  <si>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</si>
  <si>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</si>
  <si>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</si>
  <si>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</si>
  <si>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</si>
  <si>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</si>
  <si>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</si>
  <si>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</si>
  <si>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</si>
  <si>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</si>
  <si>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</si>
  <si>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</si>
  <si>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</si>
  <si>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</si>
  <si>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</si>
  <si>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</si>
  <si>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</si>
  <si>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</si>
  <si>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</si>
  <si>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</si>
  <si>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</si>
  <si>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</si>
  <si>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</si>
  <si>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</si>
  <si>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</si>
  <si>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</si>
  <si>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</si>
  <si>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</si>
  <si>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</si>
  <si>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</si>
  <si>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</si>
  <si>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</si>
  <si>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</si>
  <si>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</si>
  <si>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</si>
  <si>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</si>
  <si>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</si>
  <si>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</si>
  <si>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</si>
  <si>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</si>
  <si>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</si>
  <si>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</si>
  <si>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</si>
  <si>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</si>
  <si>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</si>
  <si>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</si>
  <si>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</si>
  <si>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</si>
  <si>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</si>
  <si>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</si>
  <si>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</si>
  <si>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</si>
  <si>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</si>
  <si>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</si>
  <si>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</si>
  <si>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</si>
  <si>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</si>
  <si>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</si>
  <si>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</si>
  <si>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</si>
  <si>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</si>
  <si>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</si>
  <si>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</si>
  <si>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</si>
  <si>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</si>
  <si>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</si>
  <si>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</si>
  <si>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</si>
  <si>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</si>
  <si>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</si>
  <si>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</si>
  <si>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</si>
  <si>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</si>
  <si>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</si>
  <si>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</si>
  <si>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</si>
  <si>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</si>
  <si>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</si>
  <si>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</si>
  <si>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</si>
  <si>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</si>
  <si>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</si>
  <si>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</si>
  <si>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</si>
  <si>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</si>
  <si>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</si>
  <si>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</si>
  <si>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</si>
  <si>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</si>
  <si>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</si>
  <si>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</si>
  <si>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</si>
  <si>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</si>
  <si>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</si>
  <si>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</si>
  <si>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</si>
  <si>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</si>
  <si>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</si>
  <si>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</si>
  <si>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</si>
  <si>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</si>
  <si>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</si>
  <si>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</si>
  <si>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</si>
  <si>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</si>
  <si>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</si>
  <si>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</si>
  <si>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</si>
  <si>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</si>
  <si>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</si>
  <si>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</si>
  <si>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</si>
  <si>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</si>
  <si>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</si>
  <si>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</si>
  <si>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</si>
  <si>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</si>
  <si>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</si>
  <si>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</si>
  <si>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</si>
  <si>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</si>
  <si>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</si>
  <si>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</si>
  <si>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</si>
  <si>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</si>
  <si>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</si>
  <si>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</si>
  <si>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</si>
  <si>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</si>
  <si>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</si>
  <si>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</si>
  <si>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</si>
  <si>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</si>
  <si>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</si>
  <si>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</si>
  <si>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</si>
  <si>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</si>
  <si>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</si>
  <si>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</si>
  <si>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</si>
  <si>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</si>
  <si>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</si>
  <si>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</si>
  <si>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</si>
  <si>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</si>
  <si>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</si>
  <si>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</si>
  <si>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</si>
  <si>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</si>
  <si>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</si>
  <si>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</si>
  <si>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</si>
  <si>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</si>
  <si>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</si>
  <si>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</si>
  <si>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</si>
  <si>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</si>
  <si>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</si>
  <si>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</si>
  <si>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</si>
  <si>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</si>
  <si>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</si>
  <si>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</si>
  <si>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</si>
  <si>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</si>
  <si>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</si>
  <si>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</si>
  <si>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</si>
  <si>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</si>
  <si>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</si>
  <si>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</si>
  <si>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</si>
  <si>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</si>
  <si>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</si>
  <si>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</si>
  <si>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</si>
  <si>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</si>
  <si>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</si>
  <si>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</si>
  <si>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</si>
  <si>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</si>
  <si>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</si>
  <si>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</si>
  <si>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</si>
  <si>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</si>
  <si>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</si>
  <si>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</si>
  <si>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</si>
  <si>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</si>
  <si>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</si>
  <si>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</si>
  <si>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</si>
  <si>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</si>
  <si>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</si>
  <si>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</si>
  <si>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</si>
  <si>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</si>
  <si>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</si>
  <si>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</si>
  <si>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</si>
  <si>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</si>
  <si>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</si>
  <si>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</si>
  <si>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</si>
  <si>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</si>
  <si>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</si>
  <si>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</si>
  <si>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</si>
  <si>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</si>
  <si>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</si>
  <si>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</si>
  <si>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</si>
  <si>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</si>
  <si>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</si>
  <si>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</si>
  <si>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</si>
  <si>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</si>
  <si>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</si>
  <si>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</si>
  <si>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</si>
  <si>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</si>
  <si>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</si>
  <si>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</si>
  <si>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</si>
  <si>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</si>
  <si>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</si>
  <si>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</si>
  <si>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</si>
  <si>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</si>
  <si>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</si>
  <si>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</si>
  <si>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</si>
  <si>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</si>
  <si>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</si>
  <si>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</si>
  <si>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</si>
  <si>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</si>
  <si>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</si>
  <si>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</si>
  <si>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</si>
  <si>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</si>
  <si>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</si>
  <si>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</si>
  <si>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</si>
  <si>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</si>
  <si>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</si>
  <si>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</si>
  <si>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</si>
  <si>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</si>
  <si>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</si>
  <si>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</si>
  <si>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</si>
  <si>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</si>
  <si>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</si>
  <si>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</si>
  <si>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</si>
  <si>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</si>
  <si>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</si>
  <si>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</si>
  <si>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</si>
  <si>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</si>
  <si>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</si>
  <si>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</si>
  <si>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</si>
  <si>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</si>
  <si>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</si>
  <si>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</si>
  <si>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</si>
  <si>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</si>
  <si>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</si>
  <si>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</si>
  <si>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</si>
  <si>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</si>
  <si>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</si>
  <si>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</si>
  <si>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</si>
  <si>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</si>
  <si>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</si>
  <si>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</si>
  <si>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</si>
  <si>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</si>
  <si>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</si>
  <si>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</si>
  <si>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</si>
  <si>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</si>
  <si>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</si>
  <si>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</si>
  <si>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</si>
  <si>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</si>
  <si>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</si>
  <si>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</si>
  <si>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</si>
  <si>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</si>
  <si>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</si>
  <si>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</si>
  <si>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</si>
  <si>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</si>
  <si>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</si>
  <si>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</si>
  <si>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</si>
  <si>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</si>
  <si>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</si>
  <si>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</si>
  <si>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</si>
  <si>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</si>
  <si>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</si>
  <si>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</si>
  <si>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</si>
  <si>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</si>
  <si>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</si>
  <si>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</si>
  <si>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</si>
  <si>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</si>
  <si>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</si>
  <si>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</si>
  <si>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</si>
  <si>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</si>
  <si>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</si>
  <si>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</si>
  <si>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</si>
  <si>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</si>
  <si>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</si>
  <si>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</si>
  <si>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</si>
  <si>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</si>
  <si>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</si>
  <si>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</si>
  <si>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</si>
  <si>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</si>
  <si>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</si>
  <si>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</si>
  <si>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</si>
  <si>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</si>
  <si>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</si>
  <si>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</si>
  <si>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</si>
  <si>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</si>
  <si>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</si>
  <si>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</si>
  <si>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</si>
  <si>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</si>
  <si>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</si>
  <si>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</si>
  <si>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</si>
  <si>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</si>
  <si>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</si>
  <si>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</si>
  <si>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</si>
  <si>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</si>
  <si>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</si>
  <si>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</si>
  <si>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</si>
  <si>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</si>
  <si>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</si>
  <si>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</si>
  <si>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</si>
  <si>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</si>
  <si>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</si>
  <si>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</si>
  <si>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</si>
  <si>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</si>
  <si>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</si>
  <si>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</si>
  <si>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</si>
  <si>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</si>
  <si>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</si>
  <si>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</si>
  <si>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</si>
  <si>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</si>
  <si>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</si>
  <si>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</si>
  <si>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</si>
  <si>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</si>
  <si>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</si>
  <si>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</si>
  <si>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</si>
  <si>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</si>
  <si>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</si>
  <si>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</si>
  <si>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</si>
  <si>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</si>
  <si>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</si>
  <si>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</si>
  <si>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</si>
  <si>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</si>
  <si>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</si>
  <si>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</si>
  <si>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</si>
  <si>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</si>
  <si>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</si>
  <si>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</si>
  <si>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</si>
  <si>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</si>
  <si>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</si>
  <si>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</si>
  <si>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</si>
  <si>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</si>
  <si>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</si>
  <si>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</si>
  <si>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</si>
  <si>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</si>
  <si>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</si>
  <si>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</si>
  <si>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</si>
  <si>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</si>
  <si>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</si>
  <si>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</si>
  <si>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</si>
  <si>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</si>
  <si>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</si>
  <si>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</si>
  <si>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</si>
  <si>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</si>
  <si>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</si>
  <si>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</si>
  <si>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</si>
  <si>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</si>
  <si>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</si>
  <si>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</si>
  <si>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</si>
  <si>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</si>
  <si>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</si>
  <si>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</si>
  <si>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</si>
  <si>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</si>
  <si>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</si>
  <si>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</si>
  <si>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</si>
  <si>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</si>
  <si>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</si>
  <si>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</si>
  <si>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</si>
  <si>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</si>
  <si>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</si>
  <si>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</si>
  <si>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</si>
  <si>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</si>
  <si>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</si>
  <si>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</si>
  <si>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</si>
  <si>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</si>
  <si>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</si>
  <si>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</si>
  <si>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</si>
  <si>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</si>
  <si>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</si>
  <si>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</si>
  <si>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</si>
  <si>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</si>
  <si>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</si>
  <si>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</si>
  <si>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</si>
  <si>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</si>
  <si>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</si>
  <si>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</si>
  <si>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</si>
  <si>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</si>
  <si>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</si>
  <si>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</si>
  <si>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</si>
  <si>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</si>
  <si>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</si>
  <si>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</si>
  <si>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</si>
  <si>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</si>
  <si>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</si>
  <si>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</si>
  <si>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</si>
  <si>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</si>
  <si>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</si>
  <si>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</si>
  <si>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</si>
  <si>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</si>
  <si>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</si>
  <si>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</si>
  <si>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</si>
  <si>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</si>
  <si>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</si>
  <si>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</si>
  <si>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</si>
  <si>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</si>
  <si>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</si>
  <si>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</si>
  <si>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</si>
  <si>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</si>
  <si>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</si>
  <si>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</si>
  <si>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</si>
  <si>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</si>
  <si>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</si>
  <si>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</si>
  <si>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</si>
  <si>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</si>
  <si>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</si>
  <si>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</si>
  <si>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</si>
  <si>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</si>
  <si>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</si>
  <si>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</si>
  <si>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</si>
  <si>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</si>
  <si>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</si>
  <si>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</si>
  <si>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</si>
  <si>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</si>
  <si>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</si>
  <si>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</si>
  <si>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</si>
  <si>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</si>
  <si>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</si>
  <si>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</si>
  <si>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</si>
  <si>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</si>
  <si>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</si>
  <si>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</si>
  <si>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</si>
  <si>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</si>
  <si>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</si>
  <si>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</si>
  <si>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</si>
  <si>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</si>
  <si>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</si>
  <si>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</si>
  <si>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</si>
  <si>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</si>
  <si>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</si>
  <si>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</si>
  <si>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</si>
  <si>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</si>
  <si>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</si>
  <si>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</si>
  <si>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</si>
  <si>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</si>
  <si>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</si>
  <si>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</si>
  <si>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</si>
  <si>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</si>
  <si>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</si>
  <si>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</si>
  <si>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</si>
  <si>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</si>
  <si>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</si>
  <si>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</si>
  <si>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</si>
  <si>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</si>
  <si>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</si>
  <si>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</si>
  <si>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</si>
  <si>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</si>
  <si>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</si>
  <si>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</si>
  <si>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</si>
  <si>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</si>
  <si>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</si>
  <si>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</si>
  <si>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</si>
  <si>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</si>
  <si>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</si>
  <si>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</si>
  <si>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</si>
  <si>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</si>
  <si>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</si>
  <si>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</si>
  <si>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</si>
  <si>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</si>
  <si>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</si>
  <si>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</si>
  <si>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</si>
  <si>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</si>
  <si>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</si>
  <si>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</si>
  <si>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</si>
  <si>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</si>
  <si>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</si>
  <si>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</si>
  <si>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</si>
  <si>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</si>
  <si>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</si>
  <si>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</si>
  <si>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</si>
  <si>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</si>
  <si>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</si>
  <si>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</si>
  <si>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</si>
  <si>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</si>
  <si>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</si>
  <si>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</si>
  <si>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</si>
  <si>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</si>
  <si>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</si>
  <si>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</si>
  <si>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</si>
  <si>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</si>
  <si>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</si>
  <si>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</si>
  <si>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</si>
  <si>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</si>
  <si>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</si>
  <si>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</si>
  <si>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</si>
  <si>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</si>
  <si>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</si>
  <si>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</si>
  <si>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</si>
  <si>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</si>
  <si>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</si>
  <si>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</si>
  <si>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</si>
  <si>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</si>
  <si>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</si>
  <si>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</si>
  <si>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</si>
  <si>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</si>
  <si>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</si>
  <si>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</si>
  <si>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</si>
  <si>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</si>
  <si>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</si>
  <si>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</si>
  <si>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</si>
  <si>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</si>
  <si>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</si>
  <si>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</si>
  <si>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</si>
  <si>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</si>
  <si>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</si>
  <si>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</si>
  <si>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</si>
  <si>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</si>
  <si>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</si>
  <si>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</si>
  <si>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</si>
  <si>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</si>
  <si>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</si>
  <si>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</si>
  <si>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</si>
  <si>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</si>
  <si>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</si>
  <si>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</si>
  <si>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</si>
  <si>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</si>
  <si>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</si>
  <si>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</si>
  <si>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</si>
  <si>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</si>
  <si>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</si>
  <si>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</si>
  <si>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</si>
  <si>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</si>
  <si>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</si>
  <si>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</si>
  <si>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</si>
  <si>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</si>
  <si>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</si>
  <si>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</si>
  <si>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</si>
  <si>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</si>
  <si>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IHS Towers</t>
  </si>
  <si>
    <t>IHS</t>
  </si>
  <si>
    <t>Antin Infrastructure Partners</t>
  </si>
  <si>
    <t>ANTIN.PA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</si>
  <si>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</si>
  <si>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</si>
  <si>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</si>
  <si>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</si>
  <si>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</si>
  <si>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</si>
  <si>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</si>
  <si>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</si>
  <si>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</si>
  <si>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</si>
  <si>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</si>
  <si>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</si>
  <si>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</si>
  <si>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</si>
  <si>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</si>
  <si>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</si>
  <si>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</si>
  <si>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</si>
  <si>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</si>
  <si>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</si>
  <si>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</si>
  <si>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</si>
  <si>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</si>
  <si>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</si>
  <si>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</si>
  <si>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</si>
  <si>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</si>
  <si>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</si>
  <si>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</si>
  <si>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</si>
  <si>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</si>
  <si>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</si>
  <si>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</si>
  <si>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</si>
  <si>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</si>
  <si>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</si>
  <si>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</si>
  <si>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</si>
  <si>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</si>
  <si>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</si>
  <si>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</si>
  <si>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</si>
  <si>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</si>
  <si>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</si>
  <si>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</si>
  <si>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</si>
  <si>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</si>
  <si>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</si>
  <si>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</si>
  <si>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</si>
  <si>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</si>
  <si>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</si>
  <si>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</si>
  <si>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</si>
  <si>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</si>
  <si>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</si>
  <si>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</si>
  <si>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</si>
  <si>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</si>
  <si>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</si>
  <si>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</si>
  <si>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</si>
  <si>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</si>
  <si>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</si>
  <si>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</si>
  <si>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</si>
  <si>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</si>
  <si>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</si>
  <si>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</si>
  <si>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</si>
  <si>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</si>
  <si>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</si>
  <si>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</si>
  <si>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</si>
  <si>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</si>
  <si>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</si>
  <si>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</si>
  <si>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</si>
  <si>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</si>
  <si>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</si>
  <si>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</si>
  <si>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</si>
  <si>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</si>
  <si>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</si>
  <si>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</si>
  <si>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</si>
  <si>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</si>
  <si>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</si>
  <si>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</si>
  <si>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</si>
  <si>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</si>
  <si>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</si>
  <si>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</si>
  <si>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</si>
  <si>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</si>
  <si>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</si>
  <si>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</si>
  <si>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</si>
  <si>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</si>
  <si>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</si>
  <si>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</si>
  <si>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</si>
  <si>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</si>
  <si>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</si>
  <si>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</si>
  <si>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</si>
  <si>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</si>
  <si>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</si>
  <si>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</si>
  <si>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</si>
  <si>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</si>
  <si>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</si>
  <si>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</si>
  <si>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</si>
  <si>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</si>
  <si>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</si>
  <si>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</si>
  <si>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</si>
  <si>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</si>
  <si>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</si>
  <si>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</si>
  <si>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</si>
  <si>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</si>
  <si>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</si>
  <si>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</si>
  <si>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</si>
  <si>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</si>
  <si>
    <t>SpaceX</t>
  </si>
  <si>
    <t>General Electric</t>
  </si>
  <si>
    <t>GE</t>
  </si>
  <si>
    <t>Rolls-Royce Holdings</t>
  </si>
  <si>
    <t>RR.L</t>
  </si>
  <si>
    <t>Northrop Grumman</t>
  </si>
  <si>
    <t>HWM</t>
  </si>
  <si>
    <t>Howmet Aerospace</t>
  </si>
  <si>
    <t>BAE Systems</t>
  </si>
  <si>
    <t>TDG</t>
  </si>
  <si>
    <t>Hanwha Aerospace</t>
  </si>
  <si>
    <t>Elbit Systems</t>
  </si>
  <si>
    <t>Bharat Electronics</t>
  </si>
  <si>
    <t>AST SpaceMobile</t>
  </si>
  <si>
    <t>ASTS</t>
  </si>
  <si>
    <t>ZS</t>
  </si>
  <si>
    <t>Aeroports de Paris</t>
  </si>
  <si>
    <t xml:space="preserve">Redeia </t>
  </si>
  <si>
    <t>Enagás</t>
  </si>
  <si>
    <t>Corporación América Airports</t>
  </si>
  <si>
    <t>REN (Redes Energéticas Nacionais)</t>
  </si>
  <si>
    <t>Shikun &amp; Binui</t>
  </si>
  <si>
    <t>SKBN.TA</t>
  </si>
  <si>
    <t>Adani Ports &amp; SEZ</t>
  </si>
  <si>
    <t>ADANIPORTS.NS</t>
  </si>
  <si>
    <t>Westports</t>
  </si>
  <si>
    <t>5246.KL</t>
  </si>
  <si>
    <t>Grupo Aeroportucario del Pacifico</t>
  </si>
  <si>
    <t>TransDigm Group</t>
  </si>
  <si>
    <t>SAAB-B.ST</t>
  </si>
  <si>
    <t>China Satellite Communications</t>
  </si>
  <si>
    <t>601698.SS</t>
  </si>
  <si>
    <t>AVIC Shenyang Aircraft Company Limited</t>
  </si>
  <si>
    <t>600760.SS</t>
  </si>
  <si>
    <t>MTU Aero Engines</t>
  </si>
  <si>
    <t>MTX.DE</t>
  </si>
  <si>
    <t>Hanwha Systems</t>
  </si>
  <si>
    <t>272210.KS</t>
  </si>
  <si>
    <t>EMBJ</t>
  </si>
  <si>
    <t>Korea Aerospace Industries</t>
  </si>
  <si>
    <t>047810.KS</t>
  </si>
  <si>
    <t>AeroVironment</t>
  </si>
  <si>
    <t>LIG Nex1</t>
  </si>
  <si>
    <t>079550.KS</t>
  </si>
  <si>
    <t>NextVision Stabilized Systems</t>
  </si>
  <si>
    <t>NXSN.TA</t>
  </si>
  <si>
    <t>StandardAero</t>
  </si>
  <si>
    <t>SARO</t>
  </si>
  <si>
    <t>CAE Inc.</t>
  </si>
  <si>
    <t>CAE</t>
  </si>
  <si>
    <t>Planet Labs</t>
  </si>
  <si>
    <t>PL</t>
  </si>
  <si>
    <t>Globalstar</t>
  </si>
  <si>
    <t>GSAT</t>
  </si>
  <si>
    <t>Loar Holdings</t>
  </si>
  <si>
    <t>LOAR</t>
  </si>
  <si>
    <t>OHB SE</t>
  </si>
  <si>
    <t>OHB.DE</t>
  </si>
  <si>
    <t>BETA Technologies</t>
  </si>
  <si>
    <t>BETA</t>
  </si>
  <si>
    <t>AAR</t>
  </si>
  <si>
    <t>AIR</t>
  </si>
  <si>
    <t>MDA Ltd.</t>
  </si>
  <si>
    <t>MDA.TO</t>
  </si>
  <si>
    <t>ENAV</t>
  </si>
  <si>
    <t>ENAV.MI</t>
  </si>
  <si>
    <t>SIA Engineering Company</t>
  </si>
  <si>
    <t>S59.SI</t>
  </si>
  <si>
    <t>York Space Systems</t>
  </si>
  <si>
    <t>YSS</t>
  </si>
  <si>
    <t>Astronics Corporation</t>
  </si>
  <si>
    <t>ATRO</t>
  </si>
  <si>
    <t>DroneShield</t>
  </si>
  <si>
    <t>Intuitive Machines</t>
  </si>
  <si>
    <t>LUNR</t>
  </si>
  <si>
    <t>Iridium Communications</t>
  </si>
  <si>
    <t>IRDM</t>
  </si>
  <si>
    <t>Montana Aerospace</t>
  </si>
  <si>
    <t>AERO.SW</t>
  </si>
  <si>
    <t>Avio S.p.A.</t>
  </si>
  <si>
    <t>AVIO.MI</t>
  </si>
  <si>
    <t>Ducommun</t>
  </si>
  <si>
    <t>DCO</t>
  </si>
  <si>
    <t>SPACE42</t>
  </si>
  <si>
    <t>SPACE42.AE</t>
  </si>
  <si>
    <t>Redwire</t>
  </si>
  <si>
    <t>RDW</t>
  </si>
  <si>
    <t>Red Cat Holdings</t>
  </si>
  <si>
    <t>RCAT</t>
  </si>
  <si>
    <t>Telesat</t>
  </si>
  <si>
    <t>TSAT</t>
  </si>
  <si>
    <t>Bristow Group</t>
  </si>
  <si>
    <t>VTOL</t>
  </si>
  <si>
    <t>BlackSky Technology</t>
  </si>
  <si>
    <t>BKSY</t>
  </si>
  <si>
    <t>FACC AG</t>
  </si>
  <si>
    <t>FACC.VI</t>
  </si>
  <si>
    <t>Unusual Machines</t>
  </si>
  <si>
    <t>UMAC</t>
  </si>
  <si>
    <t>Creotech Instruments</t>
  </si>
  <si>
    <t>CRI.WA</t>
  </si>
  <si>
    <t>Park Aerospace</t>
  </si>
  <si>
    <t>PKE</t>
  </si>
  <si>
    <t>Frequency Electronics</t>
  </si>
  <si>
    <t>FEIM</t>
  </si>
  <si>
    <t>Innovative Solutions and Support</t>
  </si>
  <si>
    <t>ISSC</t>
  </si>
  <si>
    <t>Satellogic</t>
  </si>
  <si>
    <t>SATL</t>
  </si>
  <si>
    <t>Parrot S.A.</t>
  </si>
  <si>
    <t>PARRO.PA</t>
  </si>
  <si>
    <t>Private</t>
  </si>
  <si>
    <t>Koenigsegg</t>
  </si>
  <si>
    <t>Q425</t>
  </si>
  <si>
    <t>CHF/USD</t>
  </si>
  <si>
    <t>COSCO Shipping Energy</t>
  </si>
  <si>
    <t>600026.SS</t>
  </si>
  <si>
    <t>South Korea</t>
  </si>
  <si>
    <t>Qatar</t>
  </si>
  <si>
    <t>Seaboard Corporation</t>
  </si>
  <si>
    <t>Monaco</t>
  </si>
  <si>
    <t>CMB.TECH</t>
  </si>
  <si>
    <t>Asyad Shipping Company</t>
  </si>
  <si>
    <t>ASCO.OM</t>
  </si>
  <si>
    <t>Flex LNG</t>
  </si>
  <si>
    <t>TEN</t>
  </si>
  <si>
    <t>Estonia</t>
  </si>
  <si>
    <t>Kuwait</t>
  </si>
  <si>
    <t>Finland</t>
  </si>
  <si>
    <t>Iceland</t>
  </si>
  <si>
    <t>ERAG.DE</t>
  </si>
  <si>
    <t>Cyprus</t>
  </si>
  <si>
    <t>Heidmar Maritime Holdings</t>
  </si>
  <si>
    <t>HMR</t>
  </si>
  <si>
    <t>SVRN</t>
  </si>
  <si>
    <t>TSM1T.TL</t>
  </si>
  <si>
    <t>AS Tallinna Sadam</t>
  </si>
  <si>
    <t>Kawasaki Kisen Kaisha</t>
  </si>
  <si>
    <t xml:space="preserve">Nippon Yusen </t>
  </si>
  <si>
    <t>Genko Shippinh &amp; Trading</t>
  </si>
  <si>
    <t>Vincorion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</si>
</sst>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12" fillId="0" borderId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4" applyNumberFormat="0" applyFill="0" applyAlignment="0" applyProtection="0"/>
    <xf numFmtId="0" fontId="16" fillId="0" borderId="5" applyNumberFormat="0" applyFill="0" applyAlignment="0" applyProtection="0"/>
    <xf numFmtId="0" fontId="17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9" fillId="5" borderId="0" applyNumberFormat="0" applyBorder="0" applyAlignment="0" applyProtection="0"/>
    <xf numFmtId="0" fontId="20" fillId="6" borderId="0" applyNumberFormat="0" applyBorder="0" applyAlignment="0" applyProtection="0"/>
    <xf numFmtId="0" fontId="21" fillId="7" borderId="7" applyNumberFormat="0" applyAlignment="0" applyProtection="0"/>
    <xf numFmtId="0" fontId="22" fillId="8" borderId="8" applyNumberFormat="0" applyAlignment="0" applyProtection="0"/>
    <xf numFmtId="0" fontId="23" fillId="8" borderId="7" applyNumberFormat="0" applyAlignment="0" applyProtection="0"/>
    <xf numFmtId="0" fontId="24" fillId="0" borderId="9" applyNumberFormat="0" applyFill="0" applyAlignment="0" applyProtection="0"/>
    <xf numFmtId="0" fontId="25" fillId="9" borderId="10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28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28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28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28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6" fillId="26" borderId="0" applyNumberFormat="0" applyBorder="0" applyAlignment="0" applyProtection="0"/>
    <xf numFmtId="0" fontId="28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0" borderId="0" applyNumberFormat="0" applyBorder="0" applyAlignment="0" applyProtection="0"/>
    <xf numFmtId="0" fontId="28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0" borderId="0"/>
    <xf numFmtId="0" fontId="6" fillId="10" borderId="11" applyNumberFormat="0" applyFont="0" applyAlignment="0" applyProtection="0"/>
  </cellStyleXfs>
  <cellXfs count="41">
    <xf numFmtId="0" fontId="0" fillId="0" borderId="0" xfId="0"/>
    <xf numFmtId="11" fontId="12" fillId="0" borderId="0" xfId="1"/>
    <xf numFmtId="0" fontId="10" fillId="0" borderId="0" xfId="0" applyFont="1"/>
    <xf numFmtId="0" fontId="9" fillId="0" borderId="0" xfId="0" applyFont="1"/>
    <xf numFmtId="0" fontId="11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3" xfId="0" applyFont="1" applyFill="1" applyBorder="1"/>
    <xf numFmtId="0" fontId="9" fillId="0" borderId="0" xfId="0" applyFont="1" applyAlignment="1">
      <alignment horizontal="center"/>
    </xf>
    <xf numFmtId="2" fontId="9" fillId="0" borderId="0" xfId="0" applyNumberFormat="1" applyFont="1"/>
    <xf numFmtId="164" fontId="9" fillId="0" borderId="0" xfId="0" applyNumberFormat="1" applyFont="1"/>
    <xf numFmtId="0" fontId="9" fillId="0" borderId="0" xfId="0" applyFont="1" applyAlignment="1">
      <alignment horizontal="right"/>
    </xf>
    <xf numFmtId="4" fontId="9" fillId="0" borderId="0" xfId="0" applyNumberFormat="1" applyFont="1"/>
    <xf numFmtId="0" fontId="9" fillId="0" borderId="0" xfId="0" quotePrefix="1" applyFont="1"/>
    <xf numFmtId="0" fontId="10" fillId="3" borderId="0" xfId="0" applyFont="1" applyFill="1" applyAlignment="1">
      <alignment horizontal="center"/>
    </xf>
    <xf numFmtId="0" fontId="10" fillId="3" borderId="0" xfId="0" applyFont="1" applyFill="1"/>
    <xf numFmtId="0" fontId="10" fillId="3" borderId="0" xfId="0" applyFont="1" applyFill="1" applyAlignment="1">
      <alignment horizontal="right"/>
    </xf>
    <xf numFmtId="165" fontId="9" fillId="0" borderId="0" xfId="0" applyNumberFormat="1" applyFont="1"/>
    <xf numFmtId="3" fontId="9" fillId="0" borderId="0" xfId="0" applyNumberFormat="1" applyFont="1"/>
    <xf numFmtId="0" fontId="11" fillId="0" borderId="0" xfId="0" applyFont="1" applyAlignment="1">
      <alignment horizontal="center"/>
    </xf>
    <xf numFmtId="165" fontId="11" fillId="0" borderId="0" xfId="0" applyNumberFormat="1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0" fontId="10" fillId="3" borderId="1" xfId="0" applyFont="1" applyFill="1" applyBorder="1" applyAlignment="1">
      <alignment horizontal="center"/>
    </xf>
    <xf numFmtId="0" fontId="10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10" fillId="3" borderId="3" xfId="0" applyFont="1" applyFill="1" applyBorder="1"/>
    <xf numFmtId="0" fontId="13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42" applyFont="1" applyAlignment="1">
      <alignment horizontal="center"/>
    </xf>
    <xf numFmtId="0" fontId="4" fillId="0" borderId="0" xfId="42" applyFont="1"/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externalLink" Target="externalLinks/externalLink4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HZN.SW.xlsx" TargetMode="External"/><Relationship Id="rId2" Type="http://schemas.openxmlformats.org/officeDocument/2006/relationships/externalLinkPath" Target="file:///E:\1.Finance\Anaylsen\Models\FHZN.SW.xlsx" TargetMode="External"/><Relationship Id="rId1" Type="http://schemas.openxmlformats.org/officeDocument/2006/relationships/externalLinkPath" Target="/1.Finance/Anaylsen/Models/FHZN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639</v>
          </cell>
        </row>
        <row r="4">
          <cell r="K4">
            <v>148695.29999999999</v>
          </cell>
        </row>
        <row r="5">
          <cell r="K5">
            <v>4121</v>
          </cell>
        </row>
        <row r="6">
          <cell r="K6">
            <v>21700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296.39999999999998</v>
          </cell>
        </row>
        <row r="4">
          <cell r="H4">
            <v>52796.249999999993</v>
          </cell>
        </row>
        <row r="5">
          <cell r="H5">
            <v>1545.796</v>
          </cell>
        </row>
        <row r="6">
          <cell r="H6">
            <v>2884.22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200.99</v>
          </cell>
        </row>
        <row r="5">
          <cell r="H5">
            <v>269786.39999924001</v>
          </cell>
        </row>
        <row r="6">
          <cell r="H6">
            <v>7435</v>
          </cell>
        </row>
        <row r="7">
          <cell r="H7">
            <v>34492</v>
          </cell>
        </row>
      </sheetData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244.6</v>
          </cell>
        </row>
        <row r="4">
          <cell r="J4">
            <v>7509.6786250000005</v>
          </cell>
        </row>
        <row r="5">
          <cell r="J5">
            <v>379.6</v>
          </cell>
        </row>
        <row r="6">
          <cell r="J6">
            <v>1720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..\Models\UNP.xlsx" TargetMode="External"/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Relationship Id="rId4" Type="http://schemas.openxmlformats.org/officeDocument/2006/relationships/hyperlink" Target="..\Models\FHZN.SW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D11" sqref="D11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+[2]Main!$K$2</f>
        <v>419.17</v>
      </c>
      <c r="F4" s="10">
        <f>+[2]Main!$K$4</f>
        <v>1351823.25</v>
      </c>
      <c r="G4" s="10">
        <f>+[2]Main!$K$6-[2]Main!$K$5</f>
        <v>-33945</v>
      </c>
      <c r="H4" s="10">
        <f>+F4+G4</f>
        <v>1317878.25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+[4]Main!$J$2</f>
        <v>2420</v>
      </c>
      <c r="F5" s="10">
        <f>+[4]Main!$J$4*FX!C6</f>
        <v>260582.97971111999</v>
      </c>
      <c r="G5" s="10">
        <f>+([4]Main!$J$6-[4]Main!$J$5)*FX!C6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+[7]Main!$I$2</f>
        <v>372</v>
      </c>
      <c r="F6" s="10">
        <f>+[7]Main!$I$4*FX!C4</f>
        <v>151555.88501088004</v>
      </c>
      <c r="G6" s="10">
        <f>+([7]Main!$I$6-[7]Main!$I$5)*FX!C4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+[14]Main!$H$2</f>
        <v>296.39999999999998</v>
      </c>
      <c r="F7" s="10">
        <f>+[14]Main!$H$4*FX!C3</f>
        <v>57547.912499999999</v>
      </c>
      <c r="G7" s="10">
        <f>+([14]Main!$H$6-[14]Main!$H$5)*FX!C3</f>
        <v>1458.8821599999999</v>
      </c>
      <c r="H7" s="10">
        <f>+F7+G7</f>
        <v>59006.79466</v>
      </c>
      <c r="I7" s="38" t="s">
        <v>2598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+[15]Main!$J$2</f>
        <v>101.45</v>
      </c>
      <c r="F11" s="10">
        <f>+[15]Main!$J$4*FX!C3</f>
        <v>54880.578330171506</v>
      </c>
      <c r="G11" s="10">
        <f>+([15]Main!$J$6-[15]Main!$J$5)*FX!C3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+[16]Main!$I$2</f>
        <v>49.8</v>
      </c>
      <c r="F13" s="10">
        <f>+[16]Main!$I$4</f>
        <v>49551.094171799996</v>
      </c>
      <c r="G13" s="10">
        <f>+[16]Main!$I$6-[16]Main!$I$5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+[17]Main!$I$2</f>
        <v>10.039999999999999</v>
      </c>
      <c r="F15" s="10">
        <f>+[17]Main!$I$4</f>
        <v>39910.807471079999</v>
      </c>
      <c r="G15" s="10">
        <f>+[17]Main!$I$6-[17]Main!$I$5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+[18]Main!$I$2</f>
        <v>0.74150000000000005</v>
      </c>
      <c r="F54" s="10">
        <f>+[18]Main!$I$4*FX!C5</f>
        <v>796.21973400000002</v>
      </c>
      <c r="G54" s="10">
        <f>+([18]Main!$I$6-[18]Main!$I$5)*FX!C5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2" t="s">
        <v>2596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2" t="s">
        <v>2597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700" activePane="bottomLeft" state="frozen"/>
      <selection pane="bottomLeft" activeCell="D715" sqref="D715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+[1]Main!$H$2</f>
        <v>1975</v>
      </c>
      <c r="F4" s="18">
        <f>+[1]Main!$H$4*FX!C7</f>
        <v>1587625.4750000001</v>
      </c>
      <c r="G4" s="18">
        <f>+([1]Main!$H$6-[1]Main!$H$5)*FX!C7</f>
        <v>-64338.64</v>
      </c>
      <c r="H4" s="18">
        <f t="shared" ref="H4:H10" si="0">+F4+G4</f>
        <v>1523286.8350000002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+[2]Main!$K$2</f>
        <v>419.17</v>
      </c>
      <c r="F5" s="10">
        <f>+[2]Main!$K$4</f>
        <v>1351823.25</v>
      </c>
      <c r="G5" s="10">
        <f>+[2]Main!$K$6-[2]Main!$K$5</f>
        <v>-33945</v>
      </c>
      <c r="H5" s="10">
        <f t="shared" si="0"/>
        <v>1317878.25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+[3]Main!$J$2</f>
        <v>71500</v>
      </c>
      <c r="F6" s="10">
        <f>+[3]Main!$J$4*FX!C8</f>
        <v>294131.1097725</v>
      </c>
      <c r="G6" s="10">
        <f>+([3]Main!$J$6-[3]Main!$J$5)*FX!C8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+[4]Main!$J$2</f>
        <v>2420</v>
      </c>
      <c r="F7" s="10">
        <f>+[4]Main!$J$4*FX!C6</f>
        <v>260582.97971111999</v>
      </c>
      <c r="G7" s="10">
        <f>+([4]Main!$J$6-[4]Main!$J$5)*FX!C8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+[5]Main!$J$2</f>
        <v>298.69</v>
      </c>
      <c r="F8" s="10">
        <f>+[5]Main!$J$4</f>
        <v>142753.51624856002</v>
      </c>
      <c r="G8" s="10">
        <f>+[5]Main!$J$6-[5]Main!$J$5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+[6]Main!$I$2</f>
        <v>56.2</v>
      </c>
      <c r="F9" s="10">
        <f>+[6]Main!$I$5*FX!C4</f>
        <v>187067.70580176005</v>
      </c>
      <c r="G9" s="10">
        <f>+([6]Main!$I$7-[6]Main!$I$6)*FX!C4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+[7]Main!$I$2</f>
        <v>372</v>
      </c>
      <c r="F10" s="10">
        <f>+[7]Main!$I$4*FX!C4</f>
        <v>151555.88501088004</v>
      </c>
      <c r="G10" s="10">
        <f>+([7]Main!$I$6-[7]Main!$I$5)*FX!C4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+[8]Main!$H$2</f>
        <v>485.5</v>
      </c>
      <c r="F12" s="10">
        <f>+[8]Main!$H$4</f>
        <v>131849.79941100001</v>
      </c>
      <c r="G12" s="10">
        <f>+[8]Main!$H$6-[8]Main!$H$5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+[9]Main!$I$2</f>
        <v>215.01</v>
      </c>
      <c r="F13" s="10">
        <f>+[9]Main!$I$4</f>
        <v>162118.71696474002</v>
      </c>
      <c r="G13" s="10">
        <f>+[9]Main!$I$6-[9]Main!$I$5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+[10]Main!$K$2</f>
        <v>639</v>
      </c>
      <c r="F14" s="10">
        <f>+[10]Main!$K$4</f>
        <v>148695.29999999999</v>
      </c>
      <c r="G14" s="10">
        <f>+[10]Main!$K$6-[10]Main!$K$5</f>
        <v>17579</v>
      </c>
      <c r="H14" s="10">
        <f>+F14+G14</f>
        <v>166274.29999999999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+[11]Main!$J$2</f>
        <v>176.33</v>
      </c>
      <c r="F15" s="10">
        <f>+[11]Main!$J$4</f>
        <v>105088.53324739002</v>
      </c>
      <c r="G15" s="10">
        <f>+[11]Main!$J$6-[11]Main!$J$5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+[12]Main!$K$2</f>
        <v>20</v>
      </c>
      <c r="F16" s="10">
        <f>+[12]Main!$K$4</f>
        <v>85340</v>
      </c>
      <c r="G16" s="10">
        <f>+[12]Main!$K$6-[12]Main!$K$5</f>
        <v>17932</v>
      </c>
      <c r="H16" s="10">
        <f>+F16+G16</f>
        <v>103272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+[13]Main!$J$2</f>
        <v>134.80000000000001</v>
      </c>
      <c r="F88" s="10">
        <f>+[13]Main!$J$4</f>
        <v>14470.152910400002</v>
      </c>
      <c r="G88" s="10">
        <f>+[13]Main!$J$6-[13]Main!$J$5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2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13" activePane="bottomLeft" state="frozen"/>
      <selection pane="bottomLeft" activeCell="B28" sqref="B28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75.69</v>
      </c>
      <c r="F4" s="10">
        <f>+[19]Main!$H$4</f>
        <v>155778.79875327001</v>
      </c>
      <c r="G4" s="10">
        <f>+[19]Main!$H$6-[19]Main!$H$5</f>
        <v>2888</v>
      </c>
      <c r="H4" s="10">
        <f>+F4+G4</f>
        <v>158666.79875327001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1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tabSelected="1" zoomScale="200" zoomScaleNormal="200" workbookViewId="0">
      <selection activeCell="B9" sqref="B9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0" t="s">
        <v>202</v>
      </c>
      <c r="D4" s="30" t="s">
        <v>2</v>
      </c>
      <c r="E4" s="3">
        <f>+[9]Main!$I$2</f>
        <v>215.01</v>
      </c>
      <c r="F4" s="10">
        <f>+[9]Main!$I$4</f>
        <v>162118.71696474002</v>
      </c>
      <c r="G4" s="10">
        <f>+[9]Main!$I$6-[9]Main!$I$5</f>
        <v>29944</v>
      </c>
      <c r="H4" s="10">
        <f>+F4+G4</f>
        <v>192062.71696474002</v>
      </c>
      <c r="I4" s="3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200.99</v>
      </c>
      <c r="F5" s="10">
        <f>+[29]Main!$H$5</f>
        <v>269786.39999924001</v>
      </c>
      <c r="G5" s="10">
        <f>+[29]Main!$H$7-[29]Main!$H$6</f>
        <v>27057</v>
      </c>
      <c r="H5" s="10">
        <f>F5+G5</f>
        <v>296843.39999924001</v>
      </c>
      <c r="I5" s="40" t="s">
        <v>2598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5" si="0">+A5+1</f>
        <v>3</v>
      </c>
      <c r="B6" s="1" t="s">
        <v>344</v>
      </c>
      <c r="C6" s="3" t="s">
        <v>200</v>
      </c>
      <c r="D6" s="3" t="s">
        <v>2</v>
      </c>
      <c r="E6" s="10">
        <f>+[10]Main!$K$2</f>
        <v>639</v>
      </c>
      <c r="F6" s="10">
        <f>+[10]Main!$K$4</f>
        <v>148695.29999999999</v>
      </c>
      <c r="G6" s="10">
        <f>+[10]Main!$K$6-[10]Main!$K$5</f>
        <v>17579</v>
      </c>
      <c r="H6" s="10">
        <f>F6+G6</f>
        <v>166274.29999999999</v>
      </c>
      <c r="I6" s="40" t="s">
        <v>2598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2481</v>
      </c>
      <c r="C43" s="30" t="s">
        <v>2482</v>
      </c>
      <c r="D43" s="30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0" t="s">
        <v>2483</v>
      </c>
      <c r="C44" s="30" t="s">
        <v>2484</v>
      </c>
      <c r="D44" s="30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8">
        <f t="shared" si="0"/>
        <v>42</v>
      </c>
      <c r="B45" s="39" t="s">
        <v>2625</v>
      </c>
      <c r="C45" s="3"/>
      <c r="D45" s="39" t="s">
        <v>31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27" t="s">
        <v>413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 t="s">
        <v>414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9DC4-06D4-4533-8197-234D8A0621AE}">
  <dimension ref="A1:M90"/>
  <sheetViews>
    <sheetView topLeftCell="A3" zoomScale="200" zoomScaleNormal="200" workbookViewId="0">
      <selection activeCell="B3" sqref="B3"/>
    </sheetView>
  </sheetViews>
  <sheetFormatPr defaultRowHeight="12.75" x14ac:dyDescent="0.2"/>
  <cols>
    <col min="1" max="1" width="4.7109375" style="36" customWidth="1"/>
    <col min="2" max="2" width="22.5703125" style="36" customWidth="1"/>
    <col min="3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2485</v>
      </c>
      <c r="D4" s="36" t="s">
        <v>2</v>
      </c>
    </row>
    <row r="5" spans="1:13" x14ac:dyDescent="0.2">
      <c r="A5" s="37">
        <f>+A4+1</f>
        <v>2</v>
      </c>
      <c r="B5" s="36" t="s">
        <v>2486</v>
      </c>
      <c r="C5" s="36" t="s">
        <v>2487</v>
      </c>
      <c r="D5" s="36" t="s">
        <v>2</v>
      </c>
    </row>
    <row r="6" spans="1:13" x14ac:dyDescent="0.2">
      <c r="A6" s="37">
        <f t="shared" ref="A6:A69" si="0">+A5+1</f>
        <v>3</v>
      </c>
      <c r="B6" s="36" t="s">
        <v>342</v>
      </c>
      <c r="C6" s="36" t="s">
        <v>342</v>
      </c>
      <c r="D6" s="36" t="s">
        <v>2</v>
      </c>
    </row>
    <row r="7" spans="1:13" x14ac:dyDescent="0.2">
      <c r="A7" s="37">
        <f t="shared" si="0"/>
        <v>4</v>
      </c>
      <c r="B7" s="36" t="s">
        <v>203</v>
      </c>
      <c r="C7" s="36" t="s">
        <v>202</v>
      </c>
      <c r="D7" s="36" t="s">
        <v>2</v>
      </c>
    </row>
    <row r="8" spans="1:13" x14ac:dyDescent="0.2">
      <c r="A8" s="37">
        <f t="shared" si="0"/>
        <v>5</v>
      </c>
      <c r="B8" s="36" t="s">
        <v>207</v>
      </c>
      <c r="C8" s="36" t="s">
        <v>206</v>
      </c>
      <c r="D8" s="36" t="s">
        <v>119</v>
      </c>
    </row>
    <row r="9" spans="1:13" x14ac:dyDescent="0.2">
      <c r="A9" s="37">
        <f t="shared" si="0"/>
        <v>6</v>
      </c>
      <c r="B9" s="36" t="s">
        <v>345</v>
      </c>
      <c r="C9" s="36" t="s">
        <v>346</v>
      </c>
      <c r="D9" s="36" t="s">
        <v>2</v>
      </c>
    </row>
    <row r="10" spans="1:13" x14ac:dyDescent="0.2">
      <c r="A10" s="37">
        <f t="shared" si="0"/>
        <v>7</v>
      </c>
      <c r="B10" s="36" t="s">
        <v>347</v>
      </c>
      <c r="C10" s="36" t="s">
        <v>348</v>
      </c>
      <c r="D10" s="36" t="s">
        <v>36</v>
      </c>
    </row>
    <row r="11" spans="1:13" x14ac:dyDescent="0.2">
      <c r="A11" s="37">
        <f t="shared" si="0"/>
        <v>8</v>
      </c>
      <c r="B11" s="36" t="s">
        <v>201</v>
      </c>
      <c r="C11" s="36" t="s">
        <v>200</v>
      </c>
      <c r="D11" s="36" t="s">
        <v>2</v>
      </c>
    </row>
    <row r="12" spans="1:13" x14ac:dyDescent="0.2">
      <c r="A12" s="37">
        <f t="shared" si="0"/>
        <v>9</v>
      </c>
      <c r="B12" s="36" t="s">
        <v>2488</v>
      </c>
      <c r="C12" s="36" t="s">
        <v>2489</v>
      </c>
      <c r="D12" s="36" t="s">
        <v>193</v>
      </c>
    </row>
    <row r="13" spans="1:13" x14ac:dyDescent="0.2">
      <c r="A13" s="37">
        <f t="shared" si="0"/>
        <v>10</v>
      </c>
      <c r="B13" s="36" t="s">
        <v>2490</v>
      </c>
      <c r="C13" s="36" t="s">
        <v>352</v>
      </c>
      <c r="D13" s="36" t="s">
        <v>2</v>
      </c>
    </row>
    <row r="14" spans="1:13" x14ac:dyDescent="0.2">
      <c r="A14" s="37">
        <f t="shared" si="0"/>
        <v>11</v>
      </c>
      <c r="B14" s="36" t="s">
        <v>2492</v>
      </c>
      <c r="C14" s="36" t="s">
        <v>2491</v>
      </c>
      <c r="D14" s="36" t="s">
        <v>2</v>
      </c>
    </row>
    <row r="15" spans="1:13" x14ac:dyDescent="0.2">
      <c r="A15" s="37">
        <f t="shared" si="0"/>
        <v>12</v>
      </c>
      <c r="B15" s="36" t="s">
        <v>2493</v>
      </c>
      <c r="C15" s="36" t="s">
        <v>354</v>
      </c>
      <c r="D15" s="36" t="s">
        <v>193</v>
      </c>
    </row>
    <row r="16" spans="1:13" x14ac:dyDescent="0.2">
      <c r="A16" s="37">
        <f t="shared" si="0"/>
        <v>13</v>
      </c>
      <c r="B16" s="36" t="s">
        <v>2513</v>
      </c>
      <c r="C16" s="36" t="s">
        <v>2494</v>
      </c>
      <c r="D16" s="36" t="s">
        <v>2</v>
      </c>
    </row>
    <row r="17" spans="1:4" x14ac:dyDescent="0.2">
      <c r="A17" s="37">
        <f t="shared" si="0"/>
        <v>14</v>
      </c>
      <c r="B17" s="36" t="s">
        <v>2495</v>
      </c>
      <c r="C17" s="36" t="s">
        <v>62</v>
      </c>
      <c r="D17" s="36" t="s">
        <v>61</v>
      </c>
    </row>
    <row r="18" spans="1:4" x14ac:dyDescent="0.2">
      <c r="A18" s="37">
        <f t="shared" si="0"/>
        <v>15</v>
      </c>
      <c r="B18" s="36" t="s">
        <v>368</v>
      </c>
      <c r="C18" s="36" t="s">
        <v>369</v>
      </c>
      <c r="D18" s="36" t="s">
        <v>240</v>
      </c>
    </row>
    <row r="19" spans="1:4" x14ac:dyDescent="0.2">
      <c r="A19" s="37">
        <f t="shared" si="0"/>
        <v>16</v>
      </c>
      <c r="B19" s="36" t="s">
        <v>2496</v>
      </c>
      <c r="C19" s="36" t="s">
        <v>375</v>
      </c>
      <c r="D19" s="36" t="s">
        <v>989</v>
      </c>
    </row>
    <row r="20" spans="1:4" x14ac:dyDescent="0.2">
      <c r="A20" s="37">
        <f t="shared" si="0"/>
        <v>17</v>
      </c>
      <c r="B20" s="36" t="s">
        <v>2483</v>
      </c>
      <c r="C20" s="36" t="s">
        <v>2484</v>
      </c>
      <c r="D20" s="36" t="s">
        <v>2</v>
      </c>
    </row>
    <row r="21" spans="1:4" x14ac:dyDescent="0.2">
      <c r="A21" s="37">
        <f t="shared" si="0"/>
        <v>18</v>
      </c>
      <c r="B21" s="36" t="s">
        <v>370</v>
      </c>
      <c r="C21" s="36" t="s">
        <v>2514</v>
      </c>
      <c r="D21" s="36" t="s">
        <v>56</v>
      </c>
    </row>
    <row r="22" spans="1:4" x14ac:dyDescent="0.2">
      <c r="A22" s="37">
        <f t="shared" si="0"/>
        <v>19</v>
      </c>
      <c r="B22" s="36" t="s">
        <v>2497</v>
      </c>
      <c r="C22" s="36" t="s">
        <v>362</v>
      </c>
      <c r="D22" s="36" t="s">
        <v>47</v>
      </c>
    </row>
    <row r="23" spans="1:4" x14ac:dyDescent="0.2">
      <c r="A23" s="37">
        <f t="shared" si="0"/>
        <v>20</v>
      </c>
      <c r="B23" s="36" t="s">
        <v>365</v>
      </c>
      <c r="C23" s="36" t="s">
        <v>366</v>
      </c>
      <c r="D23" s="36" t="s">
        <v>367</v>
      </c>
    </row>
    <row r="24" spans="1:4" x14ac:dyDescent="0.2">
      <c r="A24" s="37">
        <f t="shared" si="0"/>
        <v>21</v>
      </c>
      <c r="B24" s="36" t="s">
        <v>2498</v>
      </c>
      <c r="C24" s="36" t="s">
        <v>2499</v>
      </c>
      <c r="D24" s="36" t="s">
        <v>2500</v>
      </c>
    </row>
    <row r="25" spans="1:4" x14ac:dyDescent="0.2">
      <c r="A25" s="37">
        <f t="shared" si="0"/>
        <v>22</v>
      </c>
      <c r="B25" s="36" t="s">
        <v>357</v>
      </c>
      <c r="C25" s="36" t="s">
        <v>358</v>
      </c>
    </row>
    <row r="26" spans="1:4" x14ac:dyDescent="0.2">
      <c r="A26" s="37">
        <f t="shared" si="0"/>
        <v>23</v>
      </c>
      <c r="B26" s="36" t="s">
        <v>2515</v>
      </c>
      <c r="C26" s="36" t="s">
        <v>2516</v>
      </c>
    </row>
    <row r="27" spans="1:4" x14ac:dyDescent="0.2">
      <c r="A27" s="37">
        <f t="shared" si="0"/>
        <v>24</v>
      </c>
      <c r="B27" s="36" t="s">
        <v>1007</v>
      </c>
      <c r="C27" s="36" t="s">
        <v>1008</v>
      </c>
    </row>
    <row r="28" spans="1:4" x14ac:dyDescent="0.2">
      <c r="A28" s="37">
        <f t="shared" si="0"/>
        <v>25</v>
      </c>
      <c r="B28" s="36" t="s">
        <v>2517</v>
      </c>
      <c r="C28" s="36" t="s">
        <v>2518</v>
      </c>
    </row>
    <row r="29" spans="1:4" x14ac:dyDescent="0.2">
      <c r="A29" s="37">
        <f t="shared" si="0"/>
        <v>26</v>
      </c>
      <c r="B29" s="36" t="s">
        <v>2519</v>
      </c>
      <c r="C29" s="36" t="s">
        <v>2520</v>
      </c>
    </row>
    <row r="30" spans="1:4" x14ac:dyDescent="0.2">
      <c r="A30" s="37">
        <f t="shared" si="0"/>
        <v>27</v>
      </c>
      <c r="B30" s="36" t="s">
        <v>2521</v>
      </c>
      <c r="C30" s="36" t="s">
        <v>2522</v>
      </c>
    </row>
    <row r="31" spans="1:4" x14ac:dyDescent="0.2">
      <c r="A31" s="37">
        <f t="shared" si="0"/>
        <v>28</v>
      </c>
      <c r="B31" s="36" t="s">
        <v>1099</v>
      </c>
      <c r="C31" s="36" t="s">
        <v>1100</v>
      </c>
    </row>
    <row r="32" spans="1:4" x14ac:dyDescent="0.2">
      <c r="A32" s="37">
        <f t="shared" si="0"/>
        <v>29</v>
      </c>
      <c r="B32" s="36" t="s">
        <v>376</v>
      </c>
      <c r="C32" s="36" t="s">
        <v>377</v>
      </c>
    </row>
    <row r="33" spans="1:3" x14ac:dyDescent="0.2">
      <c r="A33" s="37">
        <f t="shared" si="0"/>
        <v>30</v>
      </c>
      <c r="B33" s="36" t="s">
        <v>1037</v>
      </c>
      <c r="C33" s="36" t="s">
        <v>2523</v>
      </c>
    </row>
    <row r="34" spans="1:3" x14ac:dyDescent="0.2">
      <c r="A34" s="37">
        <f t="shared" si="0"/>
        <v>31</v>
      </c>
      <c r="B34" s="36" t="s">
        <v>2524</v>
      </c>
      <c r="C34" s="36" t="s">
        <v>2525</v>
      </c>
    </row>
    <row r="35" spans="1:3" x14ac:dyDescent="0.2">
      <c r="A35" s="37">
        <f t="shared" si="0"/>
        <v>32</v>
      </c>
      <c r="B35" s="36" t="s">
        <v>2526</v>
      </c>
      <c r="C35" s="36" t="s">
        <v>383</v>
      </c>
    </row>
    <row r="36" spans="1:3" x14ac:dyDescent="0.2">
      <c r="A36" s="37">
        <f t="shared" si="0"/>
        <v>33</v>
      </c>
      <c r="B36" s="36" t="s">
        <v>2527</v>
      </c>
      <c r="C36" s="36" t="s">
        <v>2528</v>
      </c>
    </row>
    <row r="37" spans="1:3" x14ac:dyDescent="0.2">
      <c r="A37" s="37">
        <f t="shared" si="0"/>
        <v>34</v>
      </c>
      <c r="B37" s="36" t="s">
        <v>2529</v>
      </c>
      <c r="C37" s="36" t="s">
        <v>2530</v>
      </c>
    </row>
    <row r="38" spans="1:3" x14ac:dyDescent="0.2">
      <c r="A38" s="37">
        <f t="shared" si="0"/>
        <v>35</v>
      </c>
      <c r="B38" s="36" t="s">
        <v>1135</v>
      </c>
      <c r="C38" s="36" t="s">
        <v>1136</v>
      </c>
    </row>
    <row r="39" spans="1:3" x14ac:dyDescent="0.2">
      <c r="A39" s="37">
        <f t="shared" si="0"/>
        <v>36</v>
      </c>
      <c r="B39" s="36" t="s">
        <v>2531</v>
      </c>
      <c r="C39" s="36" t="s">
        <v>2532</v>
      </c>
    </row>
    <row r="40" spans="1:3" x14ac:dyDescent="0.2">
      <c r="A40" s="37">
        <f t="shared" si="0"/>
        <v>37</v>
      </c>
      <c r="B40" s="36" t="s">
        <v>2533</v>
      </c>
      <c r="C40" s="36" t="s">
        <v>2534</v>
      </c>
    </row>
    <row r="41" spans="1:3" x14ac:dyDescent="0.2">
      <c r="A41" s="37">
        <f t="shared" si="0"/>
        <v>38</v>
      </c>
      <c r="B41" s="36" t="s">
        <v>1060</v>
      </c>
      <c r="C41" s="36" t="s">
        <v>1061</v>
      </c>
    </row>
    <row r="42" spans="1:3" x14ac:dyDescent="0.2">
      <c r="A42" s="37">
        <f t="shared" si="0"/>
        <v>39</v>
      </c>
      <c r="B42" s="36" t="s">
        <v>2535</v>
      </c>
      <c r="C42" s="36" t="s">
        <v>2536</v>
      </c>
    </row>
    <row r="43" spans="1:3" x14ac:dyDescent="0.2">
      <c r="A43" s="37">
        <f t="shared" si="0"/>
        <v>40</v>
      </c>
      <c r="B43" s="36" t="s">
        <v>2537</v>
      </c>
      <c r="C43" s="36" t="s">
        <v>2538</v>
      </c>
    </row>
    <row r="44" spans="1:3" x14ac:dyDescent="0.2">
      <c r="A44" s="37">
        <f t="shared" si="0"/>
        <v>41</v>
      </c>
      <c r="B44" s="36" t="s">
        <v>2539</v>
      </c>
      <c r="C44" s="36" t="s">
        <v>2540</v>
      </c>
    </row>
    <row r="45" spans="1:3" x14ac:dyDescent="0.2">
      <c r="A45" s="37">
        <f t="shared" si="0"/>
        <v>42</v>
      </c>
      <c r="B45" s="36" t="s">
        <v>2541</v>
      </c>
      <c r="C45" s="36" t="s">
        <v>2542</v>
      </c>
    </row>
    <row r="46" spans="1:3" x14ac:dyDescent="0.2">
      <c r="A46" s="37">
        <f t="shared" si="0"/>
        <v>43</v>
      </c>
      <c r="B46" s="36" t="s">
        <v>393</v>
      </c>
      <c r="C46" s="36" t="s">
        <v>394</v>
      </c>
    </row>
    <row r="47" spans="1:3" x14ac:dyDescent="0.2">
      <c r="A47" s="37">
        <f t="shared" si="0"/>
        <v>44</v>
      </c>
      <c r="B47" s="36" t="s">
        <v>2543</v>
      </c>
      <c r="C47" s="36" t="s">
        <v>2544</v>
      </c>
    </row>
    <row r="48" spans="1:3" x14ac:dyDescent="0.2">
      <c r="A48" s="37">
        <f t="shared" si="0"/>
        <v>45</v>
      </c>
      <c r="B48" s="36" t="s">
        <v>1195</v>
      </c>
      <c r="C48" s="36" t="s">
        <v>1196</v>
      </c>
    </row>
    <row r="49" spans="1:3" x14ac:dyDescent="0.2">
      <c r="A49" s="37">
        <f t="shared" si="0"/>
        <v>46</v>
      </c>
      <c r="B49" s="36" t="s">
        <v>2545</v>
      </c>
      <c r="C49" s="36" t="s">
        <v>2546</v>
      </c>
    </row>
    <row r="50" spans="1:3" x14ac:dyDescent="0.2">
      <c r="A50" s="37">
        <f t="shared" si="0"/>
        <v>47</v>
      </c>
      <c r="B50" s="36" t="s">
        <v>2547</v>
      </c>
      <c r="C50" s="36" t="s">
        <v>2548</v>
      </c>
    </row>
    <row r="51" spans="1:3" x14ac:dyDescent="0.2">
      <c r="A51" s="37">
        <f t="shared" si="0"/>
        <v>48</v>
      </c>
      <c r="B51" s="36" t="s">
        <v>2481</v>
      </c>
      <c r="C51" s="36" t="s">
        <v>2482</v>
      </c>
    </row>
    <row r="52" spans="1:3" x14ac:dyDescent="0.2">
      <c r="A52" s="37">
        <f t="shared" si="0"/>
        <v>49</v>
      </c>
      <c r="B52" s="36" t="s">
        <v>2549</v>
      </c>
      <c r="C52" s="36" t="s">
        <v>2550</v>
      </c>
    </row>
    <row r="53" spans="1:3" x14ac:dyDescent="0.2">
      <c r="A53" s="37">
        <f t="shared" si="0"/>
        <v>50</v>
      </c>
      <c r="B53" s="36" t="s">
        <v>2551</v>
      </c>
      <c r="C53" s="36" t="s">
        <v>2552</v>
      </c>
    </row>
    <row r="54" spans="1:3" x14ac:dyDescent="0.2">
      <c r="A54" s="37">
        <f t="shared" si="0"/>
        <v>51</v>
      </c>
      <c r="B54" s="36" t="s">
        <v>2553</v>
      </c>
      <c r="C54" s="36" t="s">
        <v>2554</v>
      </c>
    </row>
    <row r="55" spans="1:3" x14ac:dyDescent="0.2">
      <c r="A55" s="37">
        <f t="shared" si="0"/>
        <v>52</v>
      </c>
      <c r="B55" s="36" t="s">
        <v>2555</v>
      </c>
      <c r="C55" s="36" t="s">
        <v>2556</v>
      </c>
    </row>
    <row r="56" spans="1:3" x14ac:dyDescent="0.2">
      <c r="A56" s="37">
        <f t="shared" si="0"/>
        <v>53</v>
      </c>
      <c r="B56" s="36" t="s">
        <v>2557</v>
      </c>
      <c r="C56" s="36" t="s">
        <v>400</v>
      </c>
    </row>
    <row r="57" spans="1:3" x14ac:dyDescent="0.2">
      <c r="A57" s="37">
        <f t="shared" si="0"/>
        <v>54</v>
      </c>
      <c r="B57" s="36" t="s">
        <v>2558</v>
      </c>
      <c r="C57" s="36" t="s">
        <v>2559</v>
      </c>
    </row>
    <row r="58" spans="1:3" x14ac:dyDescent="0.2">
      <c r="A58" s="37">
        <f t="shared" si="0"/>
        <v>55</v>
      </c>
      <c r="B58" s="36" t="s">
        <v>1476</v>
      </c>
      <c r="C58" s="36" t="s">
        <v>1477</v>
      </c>
    </row>
    <row r="59" spans="1:3" x14ac:dyDescent="0.2">
      <c r="A59" s="37">
        <f t="shared" si="0"/>
        <v>56</v>
      </c>
      <c r="B59" s="36" t="s">
        <v>2560</v>
      </c>
      <c r="C59" s="36" t="s">
        <v>2561</v>
      </c>
    </row>
    <row r="60" spans="1:3" x14ac:dyDescent="0.2">
      <c r="A60" s="37">
        <f t="shared" si="0"/>
        <v>57</v>
      </c>
      <c r="B60" s="36" t="s">
        <v>2562</v>
      </c>
      <c r="C60" s="36" t="s">
        <v>2563</v>
      </c>
    </row>
    <row r="61" spans="1:3" x14ac:dyDescent="0.2">
      <c r="A61" s="37">
        <f t="shared" si="0"/>
        <v>58</v>
      </c>
      <c r="B61" s="36" t="s">
        <v>2564</v>
      </c>
      <c r="C61" s="36" t="s">
        <v>2565</v>
      </c>
    </row>
    <row r="62" spans="1:3" x14ac:dyDescent="0.2">
      <c r="A62" s="37">
        <f t="shared" si="0"/>
        <v>59</v>
      </c>
      <c r="B62" s="36" t="s">
        <v>2566</v>
      </c>
      <c r="C62" s="36" t="s">
        <v>2567</v>
      </c>
    </row>
    <row r="63" spans="1:3" x14ac:dyDescent="0.2">
      <c r="A63" s="37">
        <f t="shared" si="0"/>
        <v>60</v>
      </c>
      <c r="B63" s="36" t="s">
        <v>2568</v>
      </c>
      <c r="C63" s="36" t="s">
        <v>2569</v>
      </c>
    </row>
    <row r="64" spans="1:3" x14ac:dyDescent="0.2">
      <c r="A64" s="37">
        <f t="shared" si="0"/>
        <v>61</v>
      </c>
      <c r="B64" s="36" t="s">
        <v>2570</v>
      </c>
      <c r="C64" s="36" t="s">
        <v>2571</v>
      </c>
    </row>
    <row r="65" spans="1:3" x14ac:dyDescent="0.2">
      <c r="A65" s="37">
        <f t="shared" si="0"/>
        <v>62</v>
      </c>
      <c r="B65" s="36" t="s">
        <v>2572</v>
      </c>
      <c r="C65" s="36" t="s">
        <v>2573</v>
      </c>
    </row>
    <row r="66" spans="1:3" x14ac:dyDescent="0.2">
      <c r="A66" s="37">
        <f t="shared" si="0"/>
        <v>63</v>
      </c>
      <c r="B66" s="36" t="s">
        <v>2574</v>
      </c>
      <c r="C66" s="36" t="s">
        <v>2575</v>
      </c>
    </row>
    <row r="67" spans="1:3" x14ac:dyDescent="0.2">
      <c r="A67" s="37">
        <f t="shared" si="0"/>
        <v>64</v>
      </c>
      <c r="B67" s="36" t="s">
        <v>2214</v>
      </c>
      <c r="C67" s="36" t="s">
        <v>2215</v>
      </c>
    </row>
    <row r="68" spans="1:3" x14ac:dyDescent="0.2">
      <c r="A68" s="37">
        <f t="shared" si="0"/>
        <v>65</v>
      </c>
      <c r="B68" s="36" t="s">
        <v>2576</v>
      </c>
      <c r="C68" s="36" t="s">
        <v>2577</v>
      </c>
    </row>
    <row r="69" spans="1:3" x14ac:dyDescent="0.2">
      <c r="A69" s="37">
        <f t="shared" si="0"/>
        <v>66</v>
      </c>
      <c r="B69" s="36" t="s">
        <v>2578</v>
      </c>
      <c r="C69" s="36" t="s">
        <v>2579</v>
      </c>
    </row>
    <row r="70" spans="1:3" x14ac:dyDescent="0.2">
      <c r="A70" s="37">
        <f t="shared" ref="A70:A90" si="1">+A69+1</f>
        <v>67</v>
      </c>
      <c r="B70" s="36" t="s">
        <v>1543</v>
      </c>
      <c r="C70" s="36" t="s">
        <v>1544</v>
      </c>
    </row>
    <row r="71" spans="1:3" x14ac:dyDescent="0.2">
      <c r="A71" s="37">
        <f t="shared" si="1"/>
        <v>68</v>
      </c>
      <c r="B71" s="36" t="s">
        <v>2580</v>
      </c>
      <c r="C71" s="36" t="s">
        <v>2581</v>
      </c>
    </row>
    <row r="72" spans="1:3" x14ac:dyDescent="0.2">
      <c r="A72" s="37">
        <f t="shared" si="1"/>
        <v>69</v>
      </c>
      <c r="B72" s="36" t="s">
        <v>408</v>
      </c>
      <c r="C72" s="36" t="s">
        <v>409</v>
      </c>
    </row>
    <row r="73" spans="1:3" x14ac:dyDescent="0.2">
      <c r="A73" s="37">
        <f t="shared" si="1"/>
        <v>70</v>
      </c>
      <c r="B73" s="36" t="s">
        <v>2582</v>
      </c>
      <c r="C73" s="36" t="s">
        <v>2583</v>
      </c>
    </row>
    <row r="74" spans="1:3" x14ac:dyDescent="0.2">
      <c r="A74" s="37">
        <f t="shared" si="1"/>
        <v>71</v>
      </c>
      <c r="B74" s="36" t="s">
        <v>2584</v>
      </c>
      <c r="C74" s="36" t="s">
        <v>2585</v>
      </c>
    </row>
    <row r="75" spans="1:3" x14ac:dyDescent="0.2">
      <c r="A75" s="37">
        <f t="shared" si="1"/>
        <v>72</v>
      </c>
      <c r="B75" s="36" t="s">
        <v>2586</v>
      </c>
      <c r="C75" s="36" t="s">
        <v>2587</v>
      </c>
    </row>
    <row r="76" spans="1:3" x14ac:dyDescent="0.2">
      <c r="A76" s="37">
        <f t="shared" si="1"/>
        <v>73</v>
      </c>
      <c r="B76" s="36" t="s">
        <v>2588</v>
      </c>
      <c r="C76" s="36" t="s">
        <v>2589</v>
      </c>
    </row>
    <row r="77" spans="1:3" x14ac:dyDescent="0.2">
      <c r="A77" s="37">
        <f t="shared" si="1"/>
        <v>74</v>
      </c>
      <c r="B77" s="36" t="s">
        <v>2590</v>
      </c>
      <c r="C77" s="36" t="s">
        <v>2591</v>
      </c>
    </row>
    <row r="78" spans="1:3" x14ac:dyDescent="0.2">
      <c r="A78" s="37">
        <f t="shared" si="1"/>
        <v>75</v>
      </c>
      <c r="B78" s="36" t="s">
        <v>2592</v>
      </c>
      <c r="C78" s="36" t="s">
        <v>2593</v>
      </c>
    </row>
    <row r="79" spans="1:3" x14ac:dyDescent="0.2">
      <c r="A79" s="37">
        <f t="shared" si="1"/>
        <v>76</v>
      </c>
      <c r="B79" s="36" t="s">
        <v>1830</v>
      </c>
      <c r="C79" s="36" t="s">
        <v>1831</v>
      </c>
    </row>
    <row r="80" spans="1:3" x14ac:dyDescent="0.2">
      <c r="A80" s="37">
        <f t="shared" si="1"/>
        <v>77</v>
      </c>
      <c r="B80" s="36" t="s">
        <v>2594</v>
      </c>
      <c r="C80" s="36" t="s">
        <v>2595</v>
      </c>
    </row>
    <row r="81" spans="1:1" x14ac:dyDescent="0.2">
      <c r="A81" s="37">
        <f t="shared" si="1"/>
        <v>78</v>
      </c>
    </row>
    <row r="82" spans="1:1" x14ac:dyDescent="0.2">
      <c r="A82" s="37">
        <f t="shared" si="1"/>
        <v>79</v>
      </c>
    </row>
    <row r="83" spans="1:1" x14ac:dyDescent="0.2">
      <c r="A83" s="37">
        <f t="shared" si="1"/>
        <v>80</v>
      </c>
    </row>
    <row r="84" spans="1:1" x14ac:dyDescent="0.2">
      <c r="A84" s="37">
        <f t="shared" si="1"/>
        <v>81</v>
      </c>
    </row>
    <row r="85" spans="1:1" x14ac:dyDescent="0.2">
      <c r="A85" s="37">
        <f t="shared" si="1"/>
        <v>82</v>
      </c>
    </row>
    <row r="86" spans="1:1" x14ac:dyDescent="0.2">
      <c r="A86" s="37">
        <f t="shared" si="1"/>
        <v>83</v>
      </c>
    </row>
    <row r="87" spans="1:1" x14ac:dyDescent="0.2">
      <c r="A87" s="37">
        <f t="shared" si="1"/>
        <v>84</v>
      </c>
    </row>
    <row r="88" spans="1:1" x14ac:dyDescent="0.2">
      <c r="A88" s="37">
        <f t="shared" si="1"/>
        <v>85</v>
      </c>
    </row>
    <row r="89" spans="1:1" x14ac:dyDescent="0.2">
      <c r="A89" s="37">
        <f t="shared" si="1"/>
        <v>86</v>
      </c>
    </row>
    <row r="90" spans="1:1" x14ac:dyDescent="0.2">
      <c r="A90" s="37">
        <f t="shared" si="1"/>
        <v>87</v>
      </c>
    </row>
  </sheetData>
  <hyperlinks>
    <hyperlink ref="A1" location="Main!A1" display="Main" xr:uid="{F07BEEFB-1371-4B22-B77C-938F064C4E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5BB98-9B2D-427A-B20F-8CE5CF42BA03}">
  <dimension ref="A1:M116"/>
  <sheetViews>
    <sheetView zoomScale="200" zoomScaleNormal="200" workbookViewId="0">
      <selection activeCell="A2" sqref="A2"/>
    </sheetView>
  </sheetViews>
  <sheetFormatPr defaultRowHeight="12.75" x14ac:dyDescent="0.2"/>
  <cols>
    <col min="1" max="1" width="4.5703125" style="36" customWidth="1"/>
    <col min="2" max="2" width="36.140625" style="36" customWidth="1"/>
    <col min="3" max="3" width="15.42578125" style="36" bestFit="1" customWidth="1"/>
    <col min="4" max="4" width="19.7109375" style="36" bestFit="1" customWidth="1"/>
    <col min="5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452</v>
      </c>
      <c r="C4" s="36" t="s">
        <v>453</v>
      </c>
      <c r="D4" s="36" t="s">
        <v>2458</v>
      </c>
    </row>
    <row r="5" spans="1:13" x14ac:dyDescent="0.2">
      <c r="A5" s="37">
        <f>+A4+1</f>
        <v>2</v>
      </c>
      <c r="B5" s="36" t="s">
        <v>442</v>
      </c>
      <c r="C5" s="36" t="s">
        <v>443</v>
      </c>
      <c r="D5" s="36" t="s">
        <v>2447</v>
      </c>
    </row>
    <row r="6" spans="1:13" x14ac:dyDescent="0.2">
      <c r="A6" s="37">
        <f t="shared" ref="A6:A69" si="0">+A5+1</f>
        <v>3</v>
      </c>
      <c r="B6" s="36" t="s">
        <v>446</v>
      </c>
      <c r="C6" s="36" t="s">
        <v>447</v>
      </c>
      <c r="D6" s="36" t="s">
        <v>2459</v>
      </c>
    </row>
    <row r="7" spans="1:13" x14ac:dyDescent="0.2">
      <c r="A7" s="37">
        <f t="shared" si="0"/>
        <v>4</v>
      </c>
      <c r="B7" s="36" t="s">
        <v>2600</v>
      </c>
      <c r="C7" s="36" t="s">
        <v>2601</v>
      </c>
      <c r="D7" s="36" t="s">
        <v>2447</v>
      </c>
    </row>
    <row r="8" spans="1:13" x14ac:dyDescent="0.2">
      <c r="A8" s="37">
        <f t="shared" si="0"/>
        <v>5</v>
      </c>
      <c r="B8" s="36" t="s">
        <v>2623</v>
      </c>
      <c r="C8" s="36" t="s">
        <v>477</v>
      </c>
      <c r="D8" s="36" t="s">
        <v>2468</v>
      </c>
    </row>
    <row r="9" spans="1:13" x14ac:dyDescent="0.2">
      <c r="A9" s="37">
        <f t="shared" si="0"/>
        <v>6</v>
      </c>
      <c r="B9" s="36" t="s">
        <v>480</v>
      </c>
      <c r="C9" s="36" t="s">
        <v>481</v>
      </c>
      <c r="D9" s="36" t="s">
        <v>2461</v>
      </c>
    </row>
    <row r="10" spans="1:13" x14ac:dyDescent="0.2">
      <c r="A10" s="37">
        <f t="shared" si="0"/>
        <v>7</v>
      </c>
      <c r="B10" s="36" t="s">
        <v>486</v>
      </c>
      <c r="C10" s="36" t="s">
        <v>487</v>
      </c>
      <c r="D10" s="36" t="s">
        <v>2468</v>
      </c>
    </row>
    <row r="11" spans="1:13" x14ac:dyDescent="0.2">
      <c r="A11" s="37">
        <f t="shared" si="0"/>
        <v>8</v>
      </c>
      <c r="B11" s="36" t="s">
        <v>488</v>
      </c>
      <c r="C11" s="36" t="s">
        <v>489</v>
      </c>
      <c r="D11" s="36" t="s">
        <v>2602</v>
      </c>
    </row>
    <row r="12" spans="1:13" x14ac:dyDescent="0.2">
      <c r="A12" s="37">
        <f t="shared" si="0"/>
        <v>9</v>
      </c>
      <c r="B12" s="36" t="s">
        <v>510</v>
      </c>
      <c r="C12" s="36" t="s">
        <v>511</v>
      </c>
      <c r="D12" s="36" t="s">
        <v>2448</v>
      </c>
    </row>
    <row r="13" spans="1:13" x14ac:dyDescent="0.2">
      <c r="A13" s="37">
        <f t="shared" si="0"/>
        <v>10</v>
      </c>
      <c r="B13" s="36" t="s">
        <v>552</v>
      </c>
      <c r="C13" s="36" t="s">
        <v>553</v>
      </c>
      <c r="D13" s="36" t="s">
        <v>2448</v>
      </c>
    </row>
    <row r="14" spans="1:13" x14ac:dyDescent="0.2">
      <c r="A14" s="37">
        <f t="shared" si="0"/>
        <v>11</v>
      </c>
      <c r="B14" s="36" t="s">
        <v>2622</v>
      </c>
      <c r="C14" s="36" t="s">
        <v>521</v>
      </c>
      <c r="D14" s="36" t="s">
        <v>2468</v>
      </c>
    </row>
    <row r="15" spans="1:13" x14ac:dyDescent="0.2">
      <c r="A15" s="37">
        <f t="shared" si="0"/>
        <v>12</v>
      </c>
      <c r="B15" s="36" t="s">
        <v>536</v>
      </c>
      <c r="C15" s="36" t="s">
        <v>537</v>
      </c>
      <c r="D15" s="36" t="s">
        <v>2457</v>
      </c>
    </row>
    <row r="16" spans="1:13" x14ac:dyDescent="0.2">
      <c r="A16" s="37">
        <f t="shared" si="0"/>
        <v>13</v>
      </c>
      <c r="B16" s="36" t="s">
        <v>548</v>
      </c>
      <c r="C16" s="36" t="s">
        <v>549</v>
      </c>
      <c r="D16" s="36" t="s">
        <v>2448</v>
      </c>
    </row>
    <row r="17" spans="1:4" x14ac:dyDescent="0.2">
      <c r="A17" s="37">
        <f t="shared" si="0"/>
        <v>14</v>
      </c>
      <c r="B17" s="36" t="s">
        <v>622</v>
      </c>
      <c r="C17" s="36" t="s">
        <v>623</v>
      </c>
      <c r="D17" s="36" t="s">
        <v>2452</v>
      </c>
    </row>
    <row r="18" spans="1:4" x14ac:dyDescent="0.2">
      <c r="A18" s="37">
        <f t="shared" si="0"/>
        <v>15</v>
      </c>
      <c r="B18" s="36" t="s">
        <v>554</v>
      </c>
      <c r="C18" s="36" t="s">
        <v>555</v>
      </c>
      <c r="D18" s="36" t="s">
        <v>2461</v>
      </c>
    </row>
    <row r="19" spans="1:4" x14ac:dyDescent="0.2">
      <c r="A19" s="37">
        <f t="shared" si="0"/>
        <v>16</v>
      </c>
      <c r="B19" s="36" t="s">
        <v>538</v>
      </c>
      <c r="C19" s="36" t="s">
        <v>539</v>
      </c>
      <c r="D19" s="36" t="s">
        <v>2603</v>
      </c>
    </row>
    <row r="20" spans="1:4" x14ac:dyDescent="0.2">
      <c r="A20" s="37">
        <f t="shared" si="0"/>
        <v>17</v>
      </c>
      <c r="B20" s="36" t="s">
        <v>566</v>
      </c>
      <c r="C20" s="36" t="s">
        <v>567</v>
      </c>
      <c r="D20" s="36" t="s">
        <v>2441</v>
      </c>
    </row>
    <row r="21" spans="1:4" x14ac:dyDescent="0.2">
      <c r="A21" s="37">
        <f t="shared" si="0"/>
        <v>18</v>
      </c>
      <c r="B21" s="36" t="s">
        <v>528</v>
      </c>
      <c r="C21" s="36" t="s">
        <v>529</v>
      </c>
      <c r="D21" s="36" t="s">
        <v>2461</v>
      </c>
    </row>
    <row r="22" spans="1:4" x14ac:dyDescent="0.2">
      <c r="A22" s="37">
        <f t="shared" si="0"/>
        <v>19</v>
      </c>
      <c r="B22" s="36" t="s">
        <v>624</v>
      </c>
      <c r="C22" s="36" t="s">
        <v>625</v>
      </c>
      <c r="D22" s="36" t="s">
        <v>2476</v>
      </c>
    </row>
    <row r="23" spans="1:4" x14ac:dyDescent="0.2">
      <c r="A23" s="37">
        <f t="shared" si="0"/>
        <v>20</v>
      </c>
      <c r="B23" s="36" t="s">
        <v>616</v>
      </c>
      <c r="C23" s="36" t="s">
        <v>617</v>
      </c>
      <c r="D23" s="36" t="s">
        <v>2441</v>
      </c>
    </row>
    <row r="24" spans="1:4" x14ac:dyDescent="0.2">
      <c r="A24" s="37">
        <f t="shared" si="0"/>
        <v>21</v>
      </c>
      <c r="B24" s="36" t="s">
        <v>2604</v>
      </c>
      <c r="C24" s="36" t="s">
        <v>635</v>
      </c>
      <c r="D24" s="36" t="s">
        <v>2441</v>
      </c>
    </row>
    <row r="25" spans="1:4" x14ac:dyDescent="0.2">
      <c r="A25" s="37">
        <f t="shared" si="0"/>
        <v>22</v>
      </c>
      <c r="B25" s="36" t="s">
        <v>588</v>
      </c>
      <c r="C25" s="36" t="s">
        <v>589</v>
      </c>
      <c r="D25" s="36" t="s">
        <v>2475</v>
      </c>
    </row>
    <row r="26" spans="1:4" x14ac:dyDescent="0.2">
      <c r="A26" s="37">
        <f t="shared" si="0"/>
        <v>23</v>
      </c>
      <c r="B26" s="36" t="s">
        <v>677</v>
      </c>
      <c r="C26" s="36" t="s">
        <v>678</v>
      </c>
      <c r="D26" s="36" t="s">
        <v>2605</v>
      </c>
    </row>
    <row r="27" spans="1:4" x14ac:dyDescent="0.2">
      <c r="A27" s="37">
        <f t="shared" si="0"/>
        <v>24</v>
      </c>
      <c r="B27" s="36" t="s">
        <v>2606</v>
      </c>
      <c r="C27" s="36" t="s">
        <v>686</v>
      </c>
      <c r="D27" s="36" t="s">
        <v>2473</v>
      </c>
    </row>
    <row r="28" spans="1:4" x14ac:dyDescent="0.2">
      <c r="A28" s="37">
        <f t="shared" si="0"/>
        <v>25</v>
      </c>
      <c r="B28" s="36" t="s">
        <v>675</v>
      </c>
      <c r="C28" s="36" t="s">
        <v>676</v>
      </c>
      <c r="D28" s="36" t="s">
        <v>2441</v>
      </c>
    </row>
    <row r="29" spans="1:4" x14ac:dyDescent="0.2">
      <c r="A29" s="37">
        <f t="shared" si="0"/>
        <v>26</v>
      </c>
      <c r="B29" s="36" t="s">
        <v>659</v>
      </c>
      <c r="C29" s="36" t="s">
        <v>660</v>
      </c>
      <c r="D29" s="36" t="s">
        <v>2452</v>
      </c>
    </row>
    <row r="30" spans="1:4" x14ac:dyDescent="0.2">
      <c r="A30" s="37">
        <f t="shared" si="0"/>
        <v>27</v>
      </c>
      <c r="B30" s="36" t="s">
        <v>2607</v>
      </c>
      <c r="C30" s="36" t="s">
        <v>2608</v>
      </c>
      <c r="D30" s="36" t="s">
        <v>1961</v>
      </c>
    </row>
    <row r="31" spans="1:4" x14ac:dyDescent="0.2">
      <c r="A31" s="37">
        <f t="shared" si="0"/>
        <v>28</v>
      </c>
      <c r="B31" s="36" t="s">
        <v>691</v>
      </c>
      <c r="C31" s="36" t="s">
        <v>692</v>
      </c>
      <c r="D31" s="36" t="s">
        <v>2441</v>
      </c>
    </row>
    <row r="32" spans="1:4" x14ac:dyDescent="0.2">
      <c r="A32" s="37">
        <f t="shared" si="0"/>
        <v>29</v>
      </c>
      <c r="B32" s="36" t="s">
        <v>689</v>
      </c>
      <c r="C32" s="36" t="s">
        <v>690</v>
      </c>
      <c r="D32" s="36" t="s">
        <v>2463</v>
      </c>
    </row>
    <row r="33" spans="1:4" x14ac:dyDescent="0.2">
      <c r="A33" s="37">
        <f t="shared" si="0"/>
        <v>30</v>
      </c>
      <c r="B33" s="36" t="s">
        <v>614</v>
      </c>
      <c r="C33" s="36" t="s">
        <v>615</v>
      </c>
      <c r="D33" s="36" t="s">
        <v>2603</v>
      </c>
    </row>
    <row r="34" spans="1:4" x14ac:dyDescent="0.2">
      <c r="A34" s="37">
        <f t="shared" si="0"/>
        <v>31</v>
      </c>
      <c r="B34" s="36" t="s">
        <v>671</v>
      </c>
      <c r="C34" s="36" t="s">
        <v>672</v>
      </c>
      <c r="D34" s="36" t="s">
        <v>2476</v>
      </c>
    </row>
    <row r="35" spans="1:4" x14ac:dyDescent="0.2">
      <c r="A35" s="37">
        <f t="shared" si="0"/>
        <v>32</v>
      </c>
      <c r="B35" s="36" t="s">
        <v>703</v>
      </c>
      <c r="C35" s="36" t="s">
        <v>704</v>
      </c>
      <c r="D35" s="36" t="s">
        <v>2476</v>
      </c>
    </row>
    <row r="36" spans="1:4" x14ac:dyDescent="0.2">
      <c r="A36" s="37">
        <f t="shared" si="0"/>
        <v>33</v>
      </c>
      <c r="B36" s="36" t="s">
        <v>679</v>
      </c>
      <c r="C36" s="36" t="s">
        <v>680</v>
      </c>
      <c r="D36" s="36" t="s">
        <v>2452</v>
      </c>
    </row>
    <row r="37" spans="1:4" x14ac:dyDescent="0.2">
      <c r="A37" s="37">
        <f t="shared" si="0"/>
        <v>34</v>
      </c>
      <c r="B37" s="36" t="s">
        <v>693</v>
      </c>
      <c r="C37" s="36" t="s">
        <v>694</v>
      </c>
      <c r="D37" s="36" t="s">
        <v>2442</v>
      </c>
    </row>
    <row r="38" spans="1:4" x14ac:dyDescent="0.2">
      <c r="A38" s="37">
        <f t="shared" si="0"/>
        <v>35</v>
      </c>
      <c r="B38" s="36" t="s">
        <v>721</v>
      </c>
      <c r="C38" s="36" t="s">
        <v>722</v>
      </c>
      <c r="D38" s="36" t="s">
        <v>2443</v>
      </c>
    </row>
    <row r="39" spans="1:4" x14ac:dyDescent="0.2">
      <c r="A39" s="37">
        <f t="shared" si="0"/>
        <v>36</v>
      </c>
      <c r="B39" s="36" t="s">
        <v>687</v>
      </c>
      <c r="C39" s="36" t="s">
        <v>688</v>
      </c>
      <c r="D39" s="36" t="s">
        <v>2464</v>
      </c>
    </row>
    <row r="40" spans="1:4" x14ac:dyDescent="0.2">
      <c r="A40" s="37">
        <f t="shared" si="0"/>
        <v>37</v>
      </c>
      <c r="B40" s="36" t="s">
        <v>709</v>
      </c>
      <c r="C40" s="36" t="s">
        <v>710</v>
      </c>
      <c r="D40" s="36" t="s">
        <v>2476</v>
      </c>
    </row>
    <row r="41" spans="1:4" x14ac:dyDescent="0.2">
      <c r="A41" s="37">
        <f t="shared" si="0"/>
        <v>38</v>
      </c>
      <c r="B41" s="36" t="s">
        <v>723</v>
      </c>
      <c r="C41" s="36" t="s">
        <v>724</v>
      </c>
      <c r="D41" s="36" t="s">
        <v>2442</v>
      </c>
    </row>
    <row r="42" spans="1:4" x14ac:dyDescent="0.2">
      <c r="A42" s="37">
        <f t="shared" si="0"/>
        <v>39</v>
      </c>
      <c r="B42" s="36" t="s">
        <v>745</v>
      </c>
      <c r="C42" s="36" t="s">
        <v>746</v>
      </c>
      <c r="D42" s="36" t="s">
        <v>2448</v>
      </c>
    </row>
    <row r="43" spans="1:4" x14ac:dyDescent="0.2">
      <c r="A43" s="37">
        <f t="shared" si="0"/>
        <v>40</v>
      </c>
      <c r="B43" s="36" t="s">
        <v>749</v>
      </c>
      <c r="C43" s="36" t="s">
        <v>750</v>
      </c>
      <c r="D43" s="36" t="s">
        <v>2605</v>
      </c>
    </row>
    <row r="44" spans="1:4" x14ac:dyDescent="0.2">
      <c r="A44" s="37">
        <f t="shared" si="0"/>
        <v>41</v>
      </c>
      <c r="B44" s="36" t="s">
        <v>715</v>
      </c>
      <c r="C44" s="36" t="s">
        <v>716</v>
      </c>
      <c r="D44" s="36" t="s">
        <v>2464</v>
      </c>
    </row>
    <row r="45" spans="1:4" x14ac:dyDescent="0.2">
      <c r="A45" s="37">
        <f t="shared" si="0"/>
        <v>42</v>
      </c>
      <c r="B45" s="36" t="s">
        <v>759</v>
      </c>
      <c r="C45" s="36" t="s">
        <v>760</v>
      </c>
      <c r="D45" s="36" t="s">
        <v>2605</v>
      </c>
    </row>
    <row r="46" spans="1:4" x14ac:dyDescent="0.2">
      <c r="A46" s="37">
        <f t="shared" si="0"/>
        <v>43</v>
      </c>
      <c r="B46" s="36" t="s">
        <v>713</v>
      </c>
      <c r="C46" s="36" t="s">
        <v>714</v>
      </c>
      <c r="D46" s="36" t="s">
        <v>2442</v>
      </c>
    </row>
    <row r="47" spans="1:4" x14ac:dyDescent="0.2">
      <c r="A47" s="37">
        <f t="shared" si="0"/>
        <v>44</v>
      </c>
      <c r="B47" s="36" t="s">
        <v>719</v>
      </c>
      <c r="C47" s="36" t="s">
        <v>720</v>
      </c>
      <c r="D47" s="36" t="s">
        <v>2602</v>
      </c>
    </row>
    <row r="48" spans="1:4" x14ac:dyDescent="0.2">
      <c r="A48" s="37">
        <f t="shared" si="0"/>
        <v>45</v>
      </c>
      <c r="B48" s="36" t="s">
        <v>2609</v>
      </c>
      <c r="C48" s="36" t="s">
        <v>728</v>
      </c>
      <c r="D48" s="36" t="s">
        <v>2452</v>
      </c>
    </row>
    <row r="49" spans="1:4" x14ac:dyDescent="0.2">
      <c r="A49" s="37">
        <f t="shared" si="0"/>
        <v>46</v>
      </c>
      <c r="B49" s="36" t="s">
        <v>775</v>
      </c>
      <c r="C49" s="36" t="s">
        <v>776</v>
      </c>
      <c r="D49" s="36" t="s">
        <v>2441</v>
      </c>
    </row>
    <row r="50" spans="1:4" x14ac:dyDescent="0.2">
      <c r="A50" s="37">
        <f t="shared" si="0"/>
        <v>47</v>
      </c>
      <c r="B50" s="36" t="s">
        <v>751</v>
      </c>
      <c r="C50" s="36" t="s">
        <v>752</v>
      </c>
      <c r="D50" s="36" t="s">
        <v>2452</v>
      </c>
    </row>
    <row r="51" spans="1:4" x14ac:dyDescent="0.2">
      <c r="A51" s="37">
        <f t="shared" si="0"/>
        <v>48</v>
      </c>
      <c r="B51" s="36" t="s">
        <v>769</v>
      </c>
      <c r="C51" s="36" t="s">
        <v>770</v>
      </c>
      <c r="D51" s="36" t="s">
        <v>2442</v>
      </c>
    </row>
    <row r="52" spans="1:4" x14ac:dyDescent="0.2">
      <c r="A52" s="37">
        <f t="shared" si="0"/>
        <v>49</v>
      </c>
      <c r="B52" s="36" t="s">
        <v>725</v>
      </c>
      <c r="C52" s="36" t="s">
        <v>726</v>
      </c>
      <c r="D52" s="36" t="s">
        <v>2454</v>
      </c>
    </row>
    <row r="53" spans="1:4" x14ac:dyDescent="0.2">
      <c r="A53" s="37">
        <f t="shared" si="0"/>
        <v>50</v>
      </c>
      <c r="B53" s="36" t="s">
        <v>785</v>
      </c>
      <c r="C53" s="36" t="s">
        <v>786</v>
      </c>
      <c r="D53" s="36" t="s">
        <v>2458</v>
      </c>
    </row>
    <row r="54" spans="1:4" x14ac:dyDescent="0.2">
      <c r="A54" s="37">
        <f t="shared" si="0"/>
        <v>51</v>
      </c>
      <c r="B54" s="36" t="s">
        <v>735</v>
      </c>
      <c r="C54" s="36" t="s">
        <v>736</v>
      </c>
      <c r="D54" s="36" t="s">
        <v>2464</v>
      </c>
    </row>
    <row r="55" spans="1:4" x14ac:dyDescent="0.2">
      <c r="A55" s="37">
        <f t="shared" si="0"/>
        <v>52</v>
      </c>
      <c r="B55" s="36" t="s">
        <v>763</v>
      </c>
      <c r="C55" s="36" t="s">
        <v>2610</v>
      </c>
      <c r="D55" s="36" t="s">
        <v>2464</v>
      </c>
    </row>
    <row r="56" spans="1:4" x14ac:dyDescent="0.2">
      <c r="A56" s="37">
        <f t="shared" si="0"/>
        <v>53</v>
      </c>
      <c r="B56" s="36" t="s">
        <v>827</v>
      </c>
      <c r="C56" s="36" t="s">
        <v>828</v>
      </c>
      <c r="D56" s="36" t="s">
        <v>2452</v>
      </c>
    </row>
    <row r="57" spans="1:4" x14ac:dyDescent="0.2">
      <c r="A57" s="37">
        <f t="shared" si="0"/>
        <v>54</v>
      </c>
      <c r="B57" s="36" t="s">
        <v>787</v>
      </c>
      <c r="C57" s="36" t="s">
        <v>788</v>
      </c>
      <c r="D57" s="36" t="s">
        <v>2468</v>
      </c>
    </row>
    <row r="58" spans="1:4" x14ac:dyDescent="0.2">
      <c r="A58" s="37">
        <f t="shared" si="0"/>
        <v>55</v>
      </c>
      <c r="B58" s="36" t="s">
        <v>807</v>
      </c>
      <c r="C58" s="36" t="s">
        <v>808</v>
      </c>
      <c r="D58" s="36" t="s">
        <v>2468</v>
      </c>
    </row>
    <row r="59" spans="1:4" x14ac:dyDescent="0.2">
      <c r="A59" s="37">
        <f t="shared" si="0"/>
        <v>56</v>
      </c>
      <c r="B59" s="36" t="s">
        <v>805</v>
      </c>
      <c r="C59" s="36" t="s">
        <v>806</v>
      </c>
      <c r="D59" s="36" t="s">
        <v>2476</v>
      </c>
    </row>
    <row r="60" spans="1:4" x14ac:dyDescent="0.2">
      <c r="A60" s="37">
        <f t="shared" si="0"/>
        <v>57</v>
      </c>
      <c r="B60" s="36" t="s">
        <v>825</v>
      </c>
      <c r="C60" s="36" t="s">
        <v>826</v>
      </c>
      <c r="D60" s="36" t="s">
        <v>2443</v>
      </c>
    </row>
    <row r="61" spans="1:4" x14ac:dyDescent="0.2">
      <c r="A61" s="37">
        <f t="shared" si="0"/>
        <v>58</v>
      </c>
      <c r="B61" s="36" t="s">
        <v>2624</v>
      </c>
      <c r="C61" s="36" t="s">
        <v>824</v>
      </c>
      <c r="D61" s="36" t="s">
        <v>2441</v>
      </c>
    </row>
    <row r="62" spans="1:4" x14ac:dyDescent="0.2">
      <c r="A62" s="37">
        <f t="shared" si="0"/>
        <v>59</v>
      </c>
      <c r="B62" s="36" t="s">
        <v>783</v>
      </c>
      <c r="C62" s="36" t="s">
        <v>784</v>
      </c>
      <c r="D62" s="36" t="s">
        <v>2473</v>
      </c>
    </row>
    <row r="63" spans="1:4" x14ac:dyDescent="0.2">
      <c r="A63" s="37">
        <f t="shared" si="0"/>
        <v>60</v>
      </c>
      <c r="B63" s="36" t="s">
        <v>797</v>
      </c>
      <c r="C63" s="36" t="s">
        <v>798</v>
      </c>
      <c r="D63" s="36" t="s">
        <v>2458</v>
      </c>
    </row>
    <row r="64" spans="1:4" x14ac:dyDescent="0.2">
      <c r="A64" s="37">
        <f t="shared" si="0"/>
        <v>61</v>
      </c>
      <c r="B64" s="36" t="s">
        <v>887</v>
      </c>
      <c r="C64" s="36" t="s">
        <v>888</v>
      </c>
      <c r="D64" s="36" t="s">
        <v>2452</v>
      </c>
    </row>
    <row r="65" spans="1:4" x14ac:dyDescent="0.2">
      <c r="A65" s="37">
        <f t="shared" si="0"/>
        <v>62</v>
      </c>
      <c r="B65" s="36" t="s">
        <v>841</v>
      </c>
      <c r="C65" s="36" t="s">
        <v>842</v>
      </c>
      <c r="D65" s="36" t="s">
        <v>2443</v>
      </c>
    </row>
    <row r="66" spans="1:4" x14ac:dyDescent="0.2">
      <c r="A66" s="37">
        <f t="shared" si="0"/>
        <v>63</v>
      </c>
      <c r="B66" s="36" t="s">
        <v>853</v>
      </c>
      <c r="C66" s="36" t="s">
        <v>854</v>
      </c>
      <c r="D66" s="36" t="s">
        <v>2452</v>
      </c>
    </row>
    <row r="67" spans="1:4" x14ac:dyDescent="0.2">
      <c r="A67" s="37">
        <f t="shared" si="0"/>
        <v>64</v>
      </c>
      <c r="B67" s="36" t="s">
        <v>865</v>
      </c>
      <c r="C67" s="36" t="s">
        <v>866</v>
      </c>
      <c r="D67" s="36" t="s">
        <v>2476</v>
      </c>
    </row>
    <row r="68" spans="1:4" x14ac:dyDescent="0.2">
      <c r="A68" s="37">
        <f t="shared" si="0"/>
        <v>65</v>
      </c>
      <c r="B68" s="36" t="s">
        <v>875</v>
      </c>
      <c r="C68" s="36" t="s">
        <v>876</v>
      </c>
      <c r="D68" s="36" t="s">
        <v>2441</v>
      </c>
    </row>
    <row r="69" spans="1:4" x14ac:dyDescent="0.2">
      <c r="A69" s="37">
        <f t="shared" si="0"/>
        <v>66</v>
      </c>
      <c r="B69" s="36" t="s">
        <v>819</v>
      </c>
      <c r="C69" s="36" t="s">
        <v>820</v>
      </c>
      <c r="D69" s="36" t="s">
        <v>2611</v>
      </c>
    </row>
    <row r="70" spans="1:4" x14ac:dyDescent="0.2">
      <c r="A70" s="37">
        <f t="shared" ref="A70:A116" si="1">+A69+1</f>
        <v>67</v>
      </c>
      <c r="B70" s="36" t="s">
        <v>831</v>
      </c>
      <c r="C70" s="36" t="s">
        <v>832</v>
      </c>
      <c r="D70" s="36" t="s">
        <v>2476</v>
      </c>
    </row>
    <row r="71" spans="1:4" x14ac:dyDescent="0.2">
      <c r="A71" s="37">
        <f t="shared" si="1"/>
        <v>68</v>
      </c>
      <c r="B71" s="36" t="s">
        <v>895</v>
      </c>
      <c r="C71" s="36" t="s">
        <v>896</v>
      </c>
      <c r="D71" s="36" t="s">
        <v>2464</v>
      </c>
    </row>
    <row r="72" spans="1:4" x14ac:dyDescent="0.2">
      <c r="A72" s="37">
        <f t="shared" si="1"/>
        <v>69</v>
      </c>
      <c r="B72" s="36" t="s">
        <v>809</v>
      </c>
      <c r="C72" s="36" t="s">
        <v>810</v>
      </c>
      <c r="D72" s="36" t="s">
        <v>2464</v>
      </c>
    </row>
    <row r="73" spans="1:4" x14ac:dyDescent="0.2">
      <c r="A73" s="37">
        <f t="shared" si="1"/>
        <v>70</v>
      </c>
      <c r="B73" s="36" t="s">
        <v>861</v>
      </c>
      <c r="C73" s="36" t="s">
        <v>862</v>
      </c>
      <c r="D73" s="36" t="s">
        <v>2612</v>
      </c>
    </row>
    <row r="74" spans="1:4" x14ac:dyDescent="0.2">
      <c r="A74" s="37">
        <f t="shared" si="1"/>
        <v>71</v>
      </c>
      <c r="B74" s="36" t="s">
        <v>847</v>
      </c>
      <c r="C74" s="36" t="s">
        <v>848</v>
      </c>
      <c r="D74" s="36" t="s">
        <v>2613</v>
      </c>
    </row>
    <row r="75" spans="1:4" x14ac:dyDescent="0.2">
      <c r="A75" s="37">
        <f t="shared" si="1"/>
        <v>72</v>
      </c>
      <c r="B75" s="36" t="s">
        <v>885</v>
      </c>
      <c r="C75" s="36" t="s">
        <v>886</v>
      </c>
      <c r="D75" s="36" t="s">
        <v>2442</v>
      </c>
    </row>
    <row r="76" spans="1:4" x14ac:dyDescent="0.2">
      <c r="A76" s="37">
        <f t="shared" si="1"/>
        <v>73</v>
      </c>
      <c r="B76" s="36" t="s">
        <v>899</v>
      </c>
      <c r="C76" s="36" t="s">
        <v>900</v>
      </c>
      <c r="D76" s="36" t="s">
        <v>2464</v>
      </c>
    </row>
    <row r="77" spans="1:4" x14ac:dyDescent="0.2">
      <c r="A77" s="37">
        <f t="shared" si="1"/>
        <v>74</v>
      </c>
      <c r="B77" s="36" t="s">
        <v>837</v>
      </c>
      <c r="C77" s="36" t="s">
        <v>838</v>
      </c>
      <c r="D77" s="36" t="s">
        <v>2614</v>
      </c>
    </row>
    <row r="78" spans="1:4" x14ac:dyDescent="0.2">
      <c r="A78" s="37">
        <f t="shared" si="1"/>
        <v>75</v>
      </c>
      <c r="B78" s="36" t="s">
        <v>921</v>
      </c>
      <c r="C78" s="36" t="s">
        <v>922</v>
      </c>
      <c r="D78" s="36" t="s">
        <v>2464</v>
      </c>
    </row>
    <row r="79" spans="1:4" x14ac:dyDescent="0.2">
      <c r="A79" s="37">
        <f t="shared" si="1"/>
        <v>76</v>
      </c>
      <c r="B79" s="36" t="s">
        <v>907</v>
      </c>
      <c r="C79" s="36" t="s">
        <v>908</v>
      </c>
      <c r="D79" s="36" t="s">
        <v>2464</v>
      </c>
    </row>
    <row r="80" spans="1:4" x14ac:dyDescent="0.2">
      <c r="A80" s="37">
        <f t="shared" si="1"/>
        <v>77</v>
      </c>
      <c r="B80" s="36" t="s">
        <v>889</v>
      </c>
      <c r="C80" s="36" t="s">
        <v>2615</v>
      </c>
      <c r="D80" s="36" t="s">
        <v>2459</v>
      </c>
    </row>
    <row r="81" spans="1:4" x14ac:dyDescent="0.2">
      <c r="A81" s="37">
        <f t="shared" si="1"/>
        <v>78</v>
      </c>
      <c r="B81" s="36" t="s">
        <v>919</v>
      </c>
      <c r="C81" s="36" t="s">
        <v>920</v>
      </c>
      <c r="D81" s="36" t="s">
        <v>2441</v>
      </c>
    </row>
    <row r="82" spans="1:4" x14ac:dyDescent="0.2">
      <c r="A82" s="37">
        <f t="shared" si="1"/>
        <v>79</v>
      </c>
      <c r="B82" s="36" t="s">
        <v>927</v>
      </c>
      <c r="C82" s="36" t="s">
        <v>928</v>
      </c>
      <c r="D82" s="36" t="s">
        <v>2464</v>
      </c>
    </row>
    <row r="83" spans="1:4" x14ac:dyDescent="0.2">
      <c r="A83" s="37">
        <f t="shared" si="1"/>
        <v>80</v>
      </c>
      <c r="B83" s="36" t="s">
        <v>909</v>
      </c>
      <c r="C83" s="36" t="s">
        <v>910</v>
      </c>
      <c r="D83" s="36" t="s">
        <v>2459</v>
      </c>
    </row>
    <row r="84" spans="1:4" x14ac:dyDescent="0.2">
      <c r="A84" s="37">
        <f t="shared" si="1"/>
        <v>81</v>
      </c>
      <c r="B84" s="36" t="s">
        <v>945</v>
      </c>
      <c r="C84" s="36" t="s">
        <v>946</v>
      </c>
      <c r="D84" s="36" t="s">
        <v>2616</v>
      </c>
    </row>
    <row r="85" spans="1:4" x14ac:dyDescent="0.2">
      <c r="A85" s="37">
        <f t="shared" si="1"/>
        <v>82</v>
      </c>
      <c r="B85" s="36" t="s">
        <v>943</v>
      </c>
      <c r="C85" s="36" t="s">
        <v>944</v>
      </c>
      <c r="D85" s="36" t="s">
        <v>2476</v>
      </c>
    </row>
    <row r="86" spans="1:4" x14ac:dyDescent="0.2">
      <c r="A86" s="37">
        <f t="shared" si="1"/>
        <v>83</v>
      </c>
      <c r="B86" s="36" t="s">
        <v>2617</v>
      </c>
      <c r="C86" s="36" t="s">
        <v>2618</v>
      </c>
      <c r="D86" s="36" t="s">
        <v>2464</v>
      </c>
    </row>
    <row r="87" spans="1:4" x14ac:dyDescent="0.2">
      <c r="A87" s="37">
        <f t="shared" si="1"/>
        <v>84</v>
      </c>
      <c r="B87" s="36" t="s">
        <v>947</v>
      </c>
      <c r="C87" s="36" t="s">
        <v>948</v>
      </c>
      <c r="D87" s="36" t="s">
        <v>2464</v>
      </c>
    </row>
    <row r="88" spans="1:4" x14ac:dyDescent="0.2">
      <c r="A88" s="37">
        <f t="shared" si="1"/>
        <v>85</v>
      </c>
      <c r="B88" s="36" t="s">
        <v>957</v>
      </c>
      <c r="C88" s="36" t="s">
        <v>958</v>
      </c>
      <c r="D88" s="36" t="s">
        <v>2464</v>
      </c>
    </row>
    <row r="89" spans="1:4" x14ac:dyDescent="0.2">
      <c r="A89" s="37">
        <f t="shared" si="1"/>
        <v>86</v>
      </c>
      <c r="B89" s="36" t="s">
        <v>951</v>
      </c>
      <c r="C89" s="36" t="s">
        <v>952</v>
      </c>
      <c r="D89" s="36" t="s">
        <v>2464</v>
      </c>
    </row>
    <row r="90" spans="1:4" x14ac:dyDescent="0.2">
      <c r="A90" s="37">
        <f t="shared" si="1"/>
        <v>87</v>
      </c>
      <c r="B90" s="36" t="s">
        <v>965</v>
      </c>
      <c r="C90" s="36" t="s">
        <v>2619</v>
      </c>
      <c r="D90" s="36" t="s">
        <v>2464</v>
      </c>
    </row>
    <row r="91" spans="1:4" x14ac:dyDescent="0.2">
      <c r="A91" s="37">
        <f t="shared" si="1"/>
        <v>88</v>
      </c>
      <c r="B91" s="36" t="s">
        <v>2508</v>
      </c>
      <c r="C91" s="36" t="s">
        <v>2509</v>
      </c>
      <c r="D91" s="36" t="s">
        <v>2445</v>
      </c>
    </row>
    <row r="92" spans="1:4" x14ac:dyDescent="0.2">
      <c r="A92" s="37">
        <f t="shared" si="1"/>
        <v>89</v>
      </c>
      <c r="B92" s="36" t="s">
        <v>2244</v>
      </c>
      <c r="C92" s="36" t="s">
        <v>2245</v>
      </c>
      <c r="D92" s="36" t="s">
        <v>2448</v>
      </c>
    </row>
    <row r="93" spans="1:4" x14ac:dyDescent="0.2">
      <c r="A93" s="37">
        <f t="shared" si="1"/>
        <v>90</v>
      </c>
      <c r="B93" s="36" t="s">
        <v>2256</v>
      </c>
      <c r="C93" s="36" t="s">
        <v>2257</v>
      </c>
      <c r="D93" s="36" t="s">
        <v>2450</v>
      </c>
    </row>
    <row r="94" spans="1:4" x14ac:dyDescent="0.2">
      <c r="A94" s="37">
        <f t="shared" si="1"/>
        <v>91</v>
      </c>
      <c r="B94" s="36" t="s">
        <v>2254</v>
      </c>
      <c r="C94" s="36" t="s">
        <v>2255</v>
      </c>
      <c r="D94" s="36" t="s">
        <v>2447</v>
      </c>
    </row>
    <row r="95" spans="1:4" x14ac:dyDescent="0.2">
      <c r="A95" s="37">
        <f t="shared" si="1"/>
        <v>92</v>
      </c>
      <c r="B95" s="36" t="s">
        <v>2296</v>
      </c>
      <c r="C95" s="36" t="s">
        <v>2297</v>
      </c>
      <c r="D95" s="36" t="s">
        <v>2447</v>
      </c>
    </row>
    <row r="96" spans="1:4" x14ac:dyDescent="0.2">
      <c r="A96" s="37">
        <f t="shared" si="1"/>
        <v>93</v>
      </c>
      <c r="B96" s="36" t="s">
        <v>2308</v>
      </c>
      <c r="C96" s="36" t="s">
        <v>2309</v>
      </c>
      <c r="D96" s="36" t="s">
        <v>2454</v>
      </c>
    </row>
    <row r="97" spans="1:4" x14ac:dyDescent="0.2">
      <c r="A97" s="37">
        <f t="shared" si="1"/>
        <v>94</v>
      </c>
      <c r="B97" s="36" t="s">
        <v>2510</v>
      </c>
      <c r="C97" s="36" t="s">
        <v>2511</v>
      </c>
      <c r="D97" s="36" t="s">
        <v>2457</v>
      </c>
    </row>
    <row r="98" spans="1:4" x14ac:dyDescent="0.2">
      <c r="A98" s="37">
        <f t="shared" si="1"/>
        <v>95</v>
      </c>
      <c r="B98" s="36" t="s">
        <v>2344</v>
      </c>
      <c r="C98" s="36" t="s">
        <v>2345</v>
      </c>
      <c r="D98" s="36" t="s">
        <v>2460</v>
      </c>
    </row>
    <row r="99" spans="1:4" x14ac:dyDescent="0.2">
      <c r="A99" s="37">
        <f t="shared" si="1"/>
        <v>96</v>
      </c>
      <c r="B99" s="36" t="s">
        <v>2369</v>
      </c>
      <c r="C99" s="36" t="s">
        <v>2370</v>
      </c>
      <c r="D99" s="36" t="s">
        <v>2459</v>
      </c>
    </row>
    <row r="100" spans="1:4" x14ac:dyDescent="0.2">
      <c r="A100" s="37">
        <f t="shared" si="1"/>
        <v>97</v>
      </c>
      <c r="B100" s="36" t="s">
        <v>2371</v>
      </c>
      <c r="C100" s="36" t="s">
        <v>2372</v>
      </c>
      <c r="D100" s="36" t="s">
        <v>2472</v>
      </c>
    </row>
    <row r="101" spans="1:4" x14ac:dyDescent="0.2">
      <c r="A101" s="37">
        <f t="shared" si="1"/>
        <v>98</v>
      </c>
      <c r="B101" s="36" t="s">
        <v>2387</v>
      </c>
      <c r="C101" s="36" t="s">
        <v>2388</v>
      </c>
      <c r="D101" s="36" t="s">
        <v>2474</v>
      </c>
    </row>
    <row r="102" spans="1:4" x14ac:dyDescent="0.2">
      <c r="A102" s="37">
        <f t="shared" si="1"/>
        <v>99</v>
      </c>
      <c r="B102" s="36" t="s">
        <v>2391</v>
      </c>
      <c r="C102" s="36" t="s">
        <v>2392</v>
      </c>
      <c r="D102" s="36" t="s">
        <v>2443</v>
      </c>
    </row>
    <row r="103" spans="1:4" x14ac:dyDescent="0.2">
      <c r="A103" s="37">
        <f t="shared" si="1"/>
        <v>100</v>
      </c>
      <c r="B103" s="36" t="s">
        <v>2621</v>
      </c>
      <c r="C103" s="36" t="s">
        <v>2620</v>
      </c>
      <c r="D103" s="36" t="s">
        <v>2611</v>
      </c>
    </row>
    <row r="104" spans="1:4" x14ac:dyDescent="0.2">
      <c r="A104" s="37">
        <f t="shared" si="1"/>
        <v>101</v>
      </c>
      <c r="B104" s="36" t="s">
        <v>2411</v>
      </c>
      <c r="C104" s="36" t="s">
        <v>2412</v>
      </c>
      <c r="D104" s="36" t="s">
        <v>2474</v>
      </c>
    </row>
    <row r="105" spans="1:4" x14ac:dyDescent="0.2">
      <c r="A105" s="37">
        <f t="shared" si="1"/>
        <v>102</v>
      </c>
      <c r="B105" s="36" t="s">
        <v>2421</v>
      </c>
      <c r="C105" s="36" t="s">
        <v>2422</v>
      </c>
      <c r="D105" s="36" t="s">
        <v>2478</v>
      </c>
    </row>
    <row r="106" spans="1:4" x14ac:dyDescent="0.2">
      <c r="A106" s="37">
        <f t="shared" si="1"/>
        <v>103</v>
      </c>
      <c r="B106" s="36" t="s">
        <v>2433</v>
      </c>
      <c r="C106" s="36" t="s">
        <v>2434</v>
      </c>
      <c r="D106" s="36" t="s">
        <v>1961</v>
      </c>
    </row>
    <row r="107" spans="1:4" x14ac:dyDescent="0.2">
      <c r="A107" s="37">
        <f t="shared" si="1"/>
        <v>104</v>
      </c>
      <c r="B107" s="36" t="s">
        <v>2427</v>
      </c>
      <c r="C107" s="36" t="s">
        <v>2428</v>
      </c>
      <c r="D107" s="36" t="s">
        <v>2479</v>
      </c>
    </row>
    <row r="108" spans="1:4" x14ac:dyDescent="0.2">
      <c r="A108" s="37">
        <f t="shared" si="1"/>
        <v>105</v>
      </c>
      <c r="B108" s="36" t="s">
        <v>2431</v>
      </c>
      <c r="C108" s="36" t="s">
        <v>2432</v>
      </c>
      <c r="D108" s="36" t="s">
        <v>2460</v>
      </c>
    </row>
    <row r="109" spans="1:4" x14ac:dyDescent="0.2">
      <c r="A109" s="37">
        <f t="shared" si="1"/>
        <v>106</v>
      </c>
    </row>
    <row r="110" spans="1:4" x14ac:dyDescent="0.2">
      <c r="A110" s="37">
        <f t="shared" si="1"/>
        <v>107</v>
      </c>
    </row>
    <row r="111" spans="1:4" x14ac:dyDescent="0.2">
      <c r="A111" s="37">
        <f t="shared" si="1"/>
        <v>108</v>
      </c>
    </row>
    <row r="112" spans="1:4" x14ac:dyDescent="0.2">
      <c r="A112" s="37">
        <f t="shared" si="1"/>
        <v>109</v>
      </c>
    </row>
    <row r="113" spans="1:1" x14ac:dyDescent="0.2">
      <c r="A113" s="37">
        <f t="shared" si="1"/>
        <v>110</v>
      </c>
    </row>
    <row r="114" spans="1:1" x14ac:dyDescent="0.2">
      <c r="A114" s="37">
        <f t="shared" si="1"/>
        <v>111</v>
      </c>
    </row>
    <row r="115" spans="1:1" x14ac:dyDescent="0.2">
      <c r="A115" s="37">
        <f t="shared" si="1"/>
        <v>112</v>
      </c>
    </row>
    <row r="116" spans="1:1" x14ac:dyDescent="0.2">
      <c r="A116" s="37">
        <f t="shared" si="1"/>
        <v>113</v>
      </c>
    </row>
  </sheetData>
  <conditionalFormatting sqref="B4:B108">
    <cfRule type="duplicateValues" dxfId="0" priority="47"/>
  </conditionalFormatting>
  <hyperlinks>
    <hyperlink ref="A1" location="Main!A1" display="Main" xr:uid="{CEE6FC22-AECA-43FD-987B-51023C14EEA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CA135"/>
  <sheetViews>
    <sheetView zoomScale="200" zoomScaleNormal="200" workbookViewId="0">
      <pane ySplit="3" topLeftCell="A4" activePane="bottomLeft" state="frozen"/>
      <selection pane="bottomLeft" activeCell="B8" sqref="B8"/>
    </sheetView>
  </sheetViews>
  <sheetFormatPr defaultRowHeight="15" x14ac:dyDescent="0.25"/>
  <cols>
    <col min="1" max="1" width="5.140625" style="32" customWidth="1"/>
    <col min="2" max="2" width="29.5703125" style="32" customWidth="1"/>
    <col min="3" max="3" width="9.140625" style="32"/>
    <col min="4" max="4" width="19.42578125" style="32" bestFit="1" customWidth="1"/>
    <col min="5" max="79" width="9.140625" style="32"/>
  </cols>
  <sheetData>
    <row r="1" spans="1:79" s="4" customFormat="1" ht="13.5" x14ac:dyDescent="0.25">
      <c r="A1" s="1" t="s">
        <v>225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</row>
    <row r="2" spans="1:79" s="4" customFormat="1" ht="13.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</row>
    <row r="3" spans="1:79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</row>
    <row r="4" spans="1:79" x14ac:dyDescent="0.25">
      <c r="A4" s="33">
        <v>1</v>
      </c>
      <c r="B4" s="1" t="s">
        <v>2221</v>
      </c>
      <c r="C4" s="34" t="s">
        <v>2223</v>
      </c>
      <c r="D4" s="34" t="s">
        <v>2441</v>
      </c>
      <c r="E4" s="32">
        <f>+[39]Main!$H$2</f>
        <v>21.5</v>
      </c>
      <c r="F4" s="10">
        <f>+[39]Main!$H$4</f>
        <v>3042.9942225</v>
      </c>
      <c r="G4" s="10">
        <f>+[39]Main!$H$6-[39]Main!$H$5</f>
        <v>1628.3149999999998</v>
      </c>
      <c r="H4" s="10">
        <f>+F4+G4</f>
        <v>4671.3092225</v>
      </c>
      <c r="I4" s="35" t="s">
        <v>2218</v>
      </c>
    </row>
    <row r="5" spans="1:79" x14ac:dyDescent="0.25">
      <c r="A5" s="33">
        <f t="shared" ref="A5:A68" si="0">+A4+1</f>
        <v>2</v>
      </c>
      <c r="B5" s="1" t="s">
        <v>2220</v>
      </c>
      <c r="C5" s="34" t="s">
        <v>2222</v>
      </c>
      <c r="D5" s="34" t="s">
        <v>2441</v>
      </c>
      <c r="E5" s="32">
        <f>+[40]Main!$I$2</f>
        <v>20.58</v>
      </c>
      <c r="F5" s="10">
        <f>+[40]Main!$I$4</f>
        <v>2203.2937298399997</v>
      </c>
      <c r="G5" s="10">
        <f>+[40]Main!$I$6-[40]Main!$I$5</f>
        <v>889.94399999999996</v>
      </c>
      <c r="H5" s="10">
        <f>+F5+G5</f>
        <v>3093.2377298399997</v>
      </c>
      <c r="I5" s="35" t="s">
        <v>2218</v>
      </c>
    </row>
    <row r="6" spans="1:79" x14ac:dyDescent="0.25">
      <c r="A6" s="33">
        <f t="shared" si="0"/>
        <v>3</v>
      </c>
      <c r="B6" s="1" t="s">
        <v>420</v>
      </c>
      <c r="C6" s="34" t="s">
        <v>421</v>
      </c>
      <c r="D6" s="34" t="s">
        <v>2441</v>
      </c>
      <c r="F6" s="10"/>
      <c r="G6" s="10"/>
      <c r="H6" s="10"/>
    </row>
    <row r="7" spans="1:79" x14ac:dyDescent="0.25">
      <c r="A7" s="33">
        <f t="shared" si="0"/>
        <v>4</v>
      </c>
      <c r="B7" s="34" t="s">
        <v>2224</v>
      </c>
      <c r="C7" s="34" t="s">
        <v>2225</v>
      </c>
      <c r="D7" s="34" t="s">
        <v>2441</v>
      </c>
      <c r="F7" s="10"/>
      <c r="G7" s="10"/>
      <c r="H7" s="10"/>
    </row>
    <row r="8" spans="1:79" x14ac:dyDescent="0.25">
      <c r="A8" s="33">
        <f t="shared" si="0"/>
        <v>5</v>
      </c>
      <c r="B8" s="34" t="s">
        <v>2226</v>
      </c>
      <c r="C8" s="34" t="s">
        <v>2227</v>
      </c>
      <c r="D8" s="34" t="s">
        <v>2442</v>
      </c>
      <c r="F8" s="10"/>
      <c r="G8" s="10"/>
      <c r="H8" s="10"/>
    </row>
    <row r="9" spans="1:79" x14ac:dyDescent="0.25">
      <c r="A9" s="33">
        <f t="shared" si="0"/>
        <v>6</v>
      </c>
      <c r="B9" s="34" t="s">
        <v>424</v>
      </c>
      <c r="C9" s="34" t="s">
        <v>425</v>
      </c>
      <c r="D9" s="34" t="s">
        <v>2443</v>
      </c>
      <c r="F9" s="10"/>
      <c r="G9" s="10"/>
      <c r="H9" s="10"/>
    </row>
    <row r="10" spans="1:79" x14ac:dyDescent="0.25">
      <c r="A10" s="33">
        <f t="shared" si="0"/>
        <v>7</v>
      </c>
      <c r="B10" s="34" t="s">
        <v>2228</v>
      </c>
      <c r="C10" s="34" t="s">
        <v>2229</v>
      </c>
      <c r="D10" s="34" t="s">
        <v>2441</v>
      </c>
      <c r="F10" s="10"/>
      <c r="G10" s="10"/>
      <c r="H10" s="10"/>
    </row>
    <row r="11" spans="1:79" x14ac:dyDescent="0.25">
      <c r="A11" s="33">
        <f t="shared" si="0"/>
        <v>8</v>
      </c>
      <c r="B11" s="34" t="s">
        <v>428</v>
      </c>
      <c r="C11" s="34" t="s">
        <v>429</v>
      </c>
      <c r="D11" s="34" t="s">
        <v>2441</v>
      </c>
      <c r="F11" s="10"/>
      <c r="G11" s="10"/>
      <c r="H11" s="10"/>
    </row>
    <row r="12" spans="1:79" x14ac:dyDescent="0.25">
      <c r="A12" s="33">
        <f t="shared" si="0"/>
        <v>9</v>
      </c>
      <c r="B12" s="34" t="s">
        <v>430</v>
      </c>
      <c r="C12" s="34" t="s">
        <v>431</v>
      </c>
      <c r="D12" s="34" t="s">
        <v>2441</v>
      </c>
      <c r="F12" s="10"/>
      <c r="G12" s="10"/>
      <c r="H12" s="10"/>
    </row>
    <row r="13" spans="1:79" x14ac:dyDescent="0.25">
      <c r="A13" s="33">
        <f t="shared" si="0"/>
        <v>10</v>
      </c>
      <c r="B13" s="34" t="s">
        <v>434</v>
      </c>
      <c r="C13" s="34" t="s">
        <v>435</v>
      </c>
      <c r="D13" s="34" t="s">
        <v>2443</v>
      </c>
      <c r="F13" s="10"/>
      <c r="G13" s="10"/>
      <c r="H13" s="10"/>
    </row>
    <row r="14" spans="1:79" x14ac:dyDescent="0.25">
      <c r="A14" s="33">
        <f t="shared" si="0"/>
        <v>11</v>
      </c>
      <c r="B14" s="34" t="s">
        <v>2230</v>
      </c>
      <c r="C14" s="34" t="s">
        <v>2231</v>
      </c>
      <c r="D14" s="34" t="s">
        <v>2441</v>
      </c>
      <c r="F14" s="10"/>
      <c r="G14" s="10"/>
      <c r="H14" s="10"/>
    </row>
    <row r="15" spans="1:79" x14ac:dyDescent="0.25">
      <c r="A15" s="33">
        <f t="shared" si="0"/>
        <v>12</v>
      </c>
      <c r="B15" s="34" t="s">
        <v>2232</v>
      </c>
      <c r="C15" s="34" t="s">
        <v>2233</v>
      </c>
      <c r="D15" s="34" t="s">
        <v>2444</v>
      </c>
      <c r="F15" s="10"/>
      <c r="G15" s="10"/>
      <c r="H15" s="10"/>
    </row>
    <row r="16" spans="1:79" x14ac:dyDescent="0.25">
      <c r="A16" s="33">
        <f t="shared" si="0"/>
        <v>13</v>
      </c>
      <c r="B16" s="34" t="s">
        <v>2234</v>
      </c>
      <c r="C16" s="34" t="s">
        <v>2235</v>
      </c>
      <c r="D16" s="34" t="s">
        <v>2441</v>
      </c>
      <c r="F16" s="10"/>
      <c r="G16" s="10"/>
      <c r="H16" s="10"/>
    </row>
    <row r="17" spans="1:8" x14ac:dyDescent="0.25">
      <c r="A17" s="33">
        <f t="shared" si="0"/>
        <v>14</v>
      </c>
      <c r="B17" s="34" t="s">
        <v>2236</v>
      </c>
      <c r="C17" s="34" t="s">
        <v>2237</v>
      </c>
      <c r="D17" s="34" t="s">
        <v>2444</v>
      </c>
      <c r="F17" s="10"/>
      <c r="G17" s="10"/>
      <c r="H17" s="10"/>
    </row>
    <row r="18" spans="1:8" x14ac:dyDescent="0.25">
      <c r="A18" s="33">
        <f t="shared" si="0"/>
        <v>15</v>
      </c>
      <c r="B18" s="34" t="s">
        <v>2238</v>
      </c>
      <c r="C18" s="34" t="s">
        <v>2239</v>
      </c>
      <c r="D18" s="34" t="s">
        <v>2445</v>
      </c>
      <c r="F18" s="10"/>
      <c r="G18" s="10"/>
      <c r="H18" s="10"/>
    </row>
    <row r="19" spans="1:8" x14ac:dyDescent="0.25">
      <c r="A19" s="33">
        <f t="shared" si="0"/>
        <v>16</v>
      </c>
      <c r="B19" s="34" t="s">
        <v>2240</v>
      </c>
      <c r="C19" s="34" t="s">
        <v>2241</v>
      </c>
      <c r="D19" s="34" t="s">
        <v>2446</v>
      </c>
      <c r="F19" s="10"/>
      <c r="G19" s="10"/>
      <c r="H19" s="10"/>
    </row>
    <row r="20" spans="1:8" x14ac:dyDescent="0.25">
      <c r="A20" s="33">
        <f t="shared" si="0"/>
        <v>17</v>
      </c>
      <c r="B20" s="34" t="s">
        <v>2242</v>
      </c>
      <c r="C20" s="34" t="s">
        <v>2243</v>
      </c>
      <c r="D20" s="34" t="s">
        <v>2447</v>
      </c>
      <c r="F20" s="10"/>
      <c r="G20" s="10"/>
      <c r="H20" s="10"/>
    </row>
    <row r="21" spans="1:8" x14ac:dyDescent="0.25">
      <c r="A21" s="33">
        <f t="shared" si="0"/>
        <v>18</v>
      </c>
      <c r="B21" s="34" t="s">
        <v>2244</v>
      </c>
      <c r="C21" s="34" t="s">
        <v>2245</v>
      </c>
      <c r="D21" s="34" t="s">
        <v>2448</v>
      </c>
      <c r="F21" s="10"/>
      <c r="G21" s="10"/>
      <c r="H21" s="10"/>
    </row>
    <row r="22" spans="1:8" x14ac:dyDescent="0.25">
      <c r="A22" s="33">
        <f t="shared" si="0"/>
        <v>19</v>
      </c>
      <c r="B22" s="34" t="s">
        <v>460</v>
      </c>
      <c r="C22" s="34" t="s">
        <v>461</v>
      </c>
      <c r="D22" s="34" t="s">
        <v>2443</v>
      </c>
      <c r="F22" s="10"/>
      <c r="G22" s="10"/>
      <c r="H22" s="10"/>
    </row>
    <row r="23" spans="1:8" x14ac:dyDescent="0.25">
      <c r="A23" s="33">
        <f t="shared" si="0"/>
        <v>20</v>
      </c>
      <c r="B23" s="34" t="s">
        <v>2246</v>
      </c>
      <c r="C23" s="34" t="s">
        <v>2247</v>
      </c>
      <c r="D23" s="34" t="s">
        <v>2441</v>
      </c>
      <c r="F23" s="10"/>
      <c r="G23" s="10"/>
      <c r="H23" s="10"/>
    </row>
    <row r="24" spans="1:8" x14ac:dyDescent="0.25">
      <c r="A24" s="33">
        <f t="shared" si="0"/>
        <v>21</v>
      </c>
      <c r="B24" s="34" t="s">
        <v>2248</v>
      </c>
      <c r="C24" s="34" t="s">
        <v>2249</v>
      </c>
      <c r="D24" s="34" t="s">
        <v>2449</v>
      </c>
      <c r="F24" s="10"/>
      <c r="G24" s="10"/>
      <c r="H24" s="10"/>
    </row>
    <row r="25" spans="1:8" x14ac:dyDescent="0.25">
      <c r="A25" s="33">
        <f t="shared" si="0"/>
        <v>22</v>
      </c>
      <c r="B25" s="34" t="s">
        <v>2250</v>
      </c>
      <c r="C25" s="34" t="s">
        <v>2251</v>
      </c>
      <c r="D25" s="34" t="s">
        <v>2449</v>
      </c>
      <c r="F25" s="10"/>
      <c r="G25" s="10"/>
      <c r="H25" s="10"/>
    </row>
    <row r="26" spans="1:8" x14ac:dyDescent="0.25">
      <c r="A26" s="33">
        <f t="shared" si="0"/>
        <v>23</v>
      </c>
      <c r="B26" s="34" t="s">
        <v>2252</v>
      </c>
      <c r="C26" s="34" t="s">
        <v>2253</v>
      </c>
      <c r="D26" s="34" t="s">
        <v>2445</v>
      </c>
      <c r="F26" s="10"/>
      <c r="G26" s="10"/>
      <c r="H26" s="10"/>
    </row>
    <row r="27" spans="1:8" x14ac:dyDescent="0.25">
      <c r="A27" s="33">
        <f t="shared" si="0"/>
        <v>24</v>
      </c>
      <c r="B27" s="34" t="s">
        <v>2254</v>
      </c>
      <c r="C27" s="34" t="s">
        <v>2255</v>
      </c>
      <c r="D27" s="34" t="s">
        <v>2447</v>
      </c>
      <c r="F27" s="10"/>
      <c r="G27" s="10"/>
      <c r="H27" s="10"/>
    </row>
    <row r="28" spans="1:8" x14ac:dyDescent="0.25">
      <c r="A28" s="33">
        <f t="shared" si="0"/>
        <v>25</v>
      </c>
      <c r="B28" s="34" t="s">
        <v>2256</v>
      </c>
      <c r="C28" s="34" t="s">
        <v>2257</v>
      </c>
      <c r="D28" s="34" t="s">
        <v>2450</v>
      </c>
      <c r="F28" s="10"/>
      <c r="G28" s="10"/>
      <c r="H28" s="10"/>
    </row>
    <row r="29" spans="1:8" x14ac:dyDescent="0.25">
      <c r="A29" s="33">
        <f t="shared" si="0"/>
        <v>26</v>
      </c>
      <c r="B29" s="34" t="s">
        <v>504</v>
      </c>
      <c r="C29" s="34" t="s">
        <v>505</v>
      </c>
      <c r="D29" s="34" t="s">
        <v>2441</v>
      </c>
      <c r="F29" s="10"/>
      <c r="G29" s="10"/>
      <c r="H29" s="10"/>
    </row>
    <row r="30" spans="1:8" x14ac:dyDescent="0.25">
      <c r="A30" s="33">
        <f t="shared" si="0"/>
        <v>27</v>
      </c>
      <c r="B30" s="34" t="s">
        <v>2258</v>
      </c>
      <c r="C30" s="34" t="s">
        <v>2259</v>
      </c>
      <c r="D30" s="34" t="s">
        <v>2451</v>
      </c>
      <c r="F30" s="10"/>
      <c r="G30" s="10"/>
      <c r="H30" s="10"/>
    </row>
    <row r="31" spans="1:8" x14ac:dyDescent="0.25">
      <c r="A31" s="33">
        <f t="shared" si="0"/>
        <v>28</v>
      </c>
      <c r="B31" s="34" t="s">
        <v>2260</v>
      </c>
      <c r="C31" s="34" t="s">
        <v>2261</v>
      </c>
      <c r="D31" s="34" t="s">
        <v>2448</v>
      </c>
      <c r="F31" s="10"/>
      <c r="G31" s="10"/>
      <c r="H31" s="10"/>
    </row>
    <row r="32" spans="1:8" x14ac:dyDescent="0.25">
      <c r="A32" s="33">
        <f t="shared" si="0"/>
        <v>29</v>
      </c>
      <c r="B32" s="34" t="s">
        <v>2262</v>
      </c>
      <c r="C32" s="34" t="s">
        <v>2263</v>
      </c>
      <c r="D32" s="34" t="s">
        <v>2452</v>
      </c>
      <c r="F32" s="10"/>
      <c r="G32" s="10"/>
      <c r="H32" s="10"/>
    </row>
    <row r="33" spans="1:9" x14ac:dyDescent="0.25">
      <c r="A33" s="33">
        <f t="shared" si="0"/>
        <v>30</v>
      </c>
      <c r="B33" s="34" t="s">
        <v>2501</v>
      </c>
      <c r="C33" s="34" t="s">
        <v>2264</v>
      </c>
      <c r="D33" s="34" t="s">
        <v>2453</v>
      </c>
      <c r="F33" s="10"/>
      <c r="G33" s="10"/>
      <c r="H33" s="10"/>
    </row>
    <row r="34" spans="1:9" x14ac:dyDescent="0.25">
      <c r="A34" s="33">
        <f t="shared" si="0"/>
        <v>31</v>
      </c>
      <c r="B34" s="34" t="s">
        <v>2265</v>
      </c>
      <c r="C34" s="34" t="s">
        <v>2266</v>
      </c>
      <c r="D34" s="34" t="s">
        <v>2454</v>
      </c>
      <c r="F34" s="10"/>
      <c r="G34" s="10"/>
      <c r="H34" s="10"/>
    </row>
    <row r="35" spans="1:9" x14ac:dyDescent="0.25">
      <c r="A35" s="33">
        <f t="shared" si="0"/>
        <v>32</v>
      </c>
      <c r="B35" s="34" t="s">
        <v>2267</v>
      </c>
      <c r="C35" s="34" t="s">
        <v>2268</v>
      </c>
      <c r="D35" s="34" t="s">
        <v>2455</v>
      </c>
      <c r="F35" s="10"/>
      <c r="G35" s="10"/>
      <c r="H35" s="10"/>
    </row>
    <row r="36" spans="1:9" x14ac:dyDescent="0.25">
      <c r="A36" s="33">
        <f t="shared" si="0"/>
        <v>33</v>
      </c>
      <c r="B36" s="34" t="s">
        <v>490</v>
      </c>
      <c r="C36" s="34" t="s">
        <v>491</v>
      </c>
      <c r="D36" s="34" t="s">
        <v>2441</v>
      </c>
      <c r="F36" s="10"/>
      <c r="G36" s="10"/>
      <c r="H36" s="10"/>
    </row>
    <row r="37" spans="1:9" x14ac:dyDescent="0.25">
      <c r="A37" s="33">
        <f t="shared" si="0"/>
        <v>34</v>
      </c>
      <c r="B37" s="34" t="s">
        <v>2269</v>
      </c>
      <c r="C37" s="34" t="s">
        <v>2270</v>
      </c>
      <c r="D37" s="34" t="s">
        <v>2447</v>
      </c>
      <c r="F37" s="10"/>
      <c r="G37" s="10"/>
      <c r="H37" s="10"/>
    </row>
    <row r="38" spans="1:9" x14ac:dyDescent="0.25">
      <c r="A38" s="33">
        <f t="shared" si="0"/>
        <v>35</v>
      </c>
      <c r="B38" s="34" t="s">
        <v>2271</v>
      </c>
      <c r="C38" s="34" t="s">
        <v>2272</v>
      </c>
      <c r="D38" s="34" t="s">
        <v>2445</v>
      </c>
      <c r="F38" s="10"/>
      <c r="G38" s="10"/>
      <c r="H38" s="10"/>
    </row>
    <row r="39" spans="1:9" x14ac:dyDescent="0.25">
      <c r="A39" s="33">
        <f t="shared" si="0"/>
        <v>36</v>
      </c>
      <c r="B39" s="34" t="s">
        <v>2273</v>
      </c>
      <c r="C39" s="34" t="s">
        <v>2274</v>
      </c>
      <c r="D39" s="34" t="s">
        <v>2445</v>
      </c>
      <c r="F39" s="10"/>
      <c r="G39" s="10"/>
      <c r="H39" s="10"/>
    </row>
    <row r="40" spans="1:9" x14ac:dyDescent="0.25">
      <c r="A40" s="33">
        <f t="shared" si="0"/>
        <v>37</v>
      </c>
      <c r="B40" s="34" t="s">
        <v>2275</v>
      </c>
      <c r="C40" s="34" t="s">
        <v>2276</v>
      </c>
      <c r="D40" s="34" t="s">
        <v>2442</v>
      </c>
      <c r="F40" s="10"/>
      <c r="G40" s="10"/>
      <c r="H40" s="10"/>
    </row>
    <row r="41" spans="1:9" x14ac:dyDescent="0.25">
      <c r="A41" s="33">
        <f t="shared" si="0"/>
        <v>38</v>
      </c>
      <c r="B41" s="34" t="s">
        <v>2502</v>
      </c>
      <c r="C41" s="34" t="s">
        <v>2277</v>
      </c>
      <c r="D41" s="34" t="s">
        <v>2444</v>
      </c>
      <c r="F41" s="10"/>
      <c r="G41" s="10"/>
      <c r="H41" s="10"/>
    </row>
    <row r="42" spans="1:9" x14ac:dyDescent="0.25">
      <c r="A42" s="33">
        <f t="shared" si="0"/>
        <v>39</v>
      </c>
      <c r="B42" s="34" t="s">
        <v>2278</v>
      </c>
      <c r="C42" s="34" t="s">
        <v>2279</v>
      </c>
      <c r="D42" s="34" t="s">
        <v>2455</v>
      </c>
      <c r="F42" s="10"/>
      <c r="G42" s="10"/>
      <c r="H42" s="10"/>
    </row>
    <row r="43" spans="1:9" x14ac:dyDescent="0.25">
      <c r="A43" s="33">
        <f t="shared" si="0"/>
        <v>40</v>
      </c>
      <c r="B43" s="1" t="s">
        <v>2280</v>
      </c>
      <c r="C43" s="34" t="s">
        <v>2281</v>
      </c>
      <c r="D43" s="34" t="s">
        <v>2456</v>
      </c>
      <c r="E43" s="32">
        <f>+[41]Main!$J$2</f>
        <v>244.6</v>
      </c>
      <c r="F43" s="10">
        <f>+[41]Main!$J$4*FX!C10</f>
        <v>9687.4854262500012</v>
      </c>
      <c r="G43" s="10">
        <f>+([41]Main!$J$6-[41]Main!$J$5)*FX!C10</f>
        <v>1729.1160000000002</v>
      </c>
      <c r="H43" s="10">
        <f>+F43+G43</f>
        <v>11416.601426250001</v>
      </c>
      <c r="I43" s="32" t="s">
        <v>2598</v>
      </c>
    </row>
    <row r="44" spans="1:9" x14ac:dyDescent="0.25">
      <c r="A44" s="33">
        <f t="shared" si="0"/>
        <v>41</v>
      </c>
      <c r="B44" s="34" t="s">
        <v>2282</v>
      </c>
      <c r="C44" s="34" t="s">
        <v>2283</v>
      </c>
      <c r="D44" s="34" t="s">
        <v>2443</v>
      </c>
      <c r="F44" s="10"/>
      <c r="G44" s="10"/>
      <c r="H44" s="10"/>
    </row>
    <row r="45" spans="1:9" x14ac:dyDescent="0.25">
      <c r="A45" s="33">
        <f t="shared" si="0"/>
        <v>42</v>
      </c>
      <c r="B45" s="34" t="s">
        <v>2284</v>
      </c>
      <c r="C45" s="34" t="s">
        <v>2285</v>
      </c>
      <c r="D45" s="34" t="s">
        <v>2457</v>
      </c>
      <c r="F45" s="10"/>
      <c r="G45" s="10"/>
      <c r="H45" s="10"/>
    </row>
    <row r="46" spans="1:9" x14ac:dyDescent="0.25">
      <c r="A46" s="33">
        <f t="shared" si="0"/>
        <v>43</v>
      </c>
      <c r="B46" s="34" t="s">
        <v>548</v>
      </c>
      <c r="C46" s="34" t="s">
        <v>549</v>
      </c>
      <c r="D46" s="34" t="s">
        <v>2448</v>
      </c>
      <c r="F46" s="10"/>
      <c r="G46" s="10"/>
      <c r="H46" s="10"/>
    </row>
    <row r="47" spans="1:9" x14ac:dyDescent="0.25">
      <c r="A47" s="33">
        <f t="shared" si="0"/>
        <v>44</v>
      </c>
      <c r="B47" s="34" t="s">
        <v>2286</v>
      </c>
      <c r="C47" s="34" t="s">
        <v>2287</v>
      </c>
      <c r="D47" s="34" t="s">
        <v>2458</v>
      </c>
      <c r="F47" s="10"/>
      <c r="G47" s="10"/>
      <c r="H47" s="10"/>
    </row>
    <row r="48" spans="1:9" x14ac:dyDescent="0.25">
      <c r="A48" s="33">
        <f t="shared" si="0"/>
        <v>45</v>
      </c>
      <c r="B48" s="34" t="s">
        <v>2288</v>
      </c>
      <c r="C48" s="34" t="s">
        <v>2289</v>
      </c>
      <c r="D48" s="34" t="s">
        <v>2459</v>
      </c>
      <c r="F48" s="10"/>
      <c r="G48" s="10"/>
      <c r="H48" s="10"/>
    </row>
    <row r="49" spans="1:8" x14ac:dyDescent="0.25">
      <c r="A49" s="33">
        <f t="shared" si="0"/>
        <v>46</v>
      </c>
      <c r="B49" s="34" t="s">
        <v>2290</v>
      </c>
      <c r="C49" s="34" t="s">
        <v>2291</v>
      </c>
      <c r="D49" s="34" t="s">
        <v>2446</v>
      </c>
      <c r="F49" s="10"/>
      <c r="G49" s="10"/>
      <c r="H49" s="10"/>
    </row>
    <row r="50" spans="1:8" x14ac:dyDescent="0.25">
      <c r="A50" s="33">
        <f t="shared" si="0"/>
        <v>47</v>
      </c>
      <c r="B50" s="34" t="s">
        <v>2292</v>
      </c>
      <c r="C50" s="34" t="s">
        <v>2293</v>
      </c>
      <c r="D50" s="34" t="s">
        <v>2460</v>
      </c>
      <c r="F50" s="10"/>
      <c r="G50" s="10"/>
      <c r="H50" s="10"/>
    </row>
    <row r="51" spans="1:8" x14ac:dyDescent="0.25">
      <c r="A51" s="33">
        <f t="shared" si="0"/>
        <v>48</v>
      </c>
      <c r="B51" s="34" t="s">
        <v>2294</v>
      </c>
      <c r="C51" s="34" t="s">
        <v>2295</v>
      </c>
      <c r="D51" s="34" t="s">
        <v>2443</v>
      </c>
      <c r="F51" s="10"/>
      <c r="G51" s="10"/>
      <c r="H51" s="10"/>
    </row>
    <row r="52" spans="1:8" x14ac:dyDescent="0.25">
      <c r="A52" s="33">
        <f t="shared" si="0"/>
        <v>49</v>
      </c>
      <c r="B52" s="34" t="s">
        <v>2296</v>
      </c>
      <c r="C52" s="34" t="s">
        <v>2297</v>
      </c>
      <c r="D52" s="34" t="s">
        <v>2447</v>
      </c>
      <c r="F52" s="10"/>
      <c r="G52" s="10"/>
      <c r="H52" s="10"/>
    </row>
    <row r="53" spans="1:8" x14ac:dyDescent="0.25">
      <c r="A53" s="33">
        <f t="shared" si="0"/>
        <v>50</v>
      </c>
      <c r="B53" s="34" t="s">
        <v>2298</v>
      </c>
      <c r="C53" s="34" t="s">
        <v>2299</v>
      </c>
      <c r="D53" s="34" t="s">
        <v>2460</v>
      </c>
      <c r="F53" s="10"/>
      <c r="G53" s="10"/>
      <c r="H53" s="10"/>
    </row>
    <row r="54" spans="1:8" x14ac:dyDescent="0.25">
      <c r="A54" s="33">
        <f t="shared" si="0"/>
        <v>51</v>
      </c>
      <c r="B54" s="34" t="s">
        <v>2300</v>
      </c>
      <c r="C54" s="34" t="s">
        <v>2301</v>
      </c>
      <c r="D54" s="34" t="s">
        <v>2441</v>
      </c>
      <c r="F54" s="10"/>
      <c r="G54" s="10"/>
      <c r="H54" s="10"/>
    </row>
    <row r="55" spans="1:8" x14ac:dyDescent="0.25">
      <c r="A55" s="33">
        <f t="shared" si="0"/>
        <v>52</v>
      </c>
      <c r="B55" s="34" t="s">
        <v>2302</v>
      </c>
      <c r="C55" s="34" t="s">
        <v>2303</v>
      </c>
      <c r="D55" s="34" t="s">
        <v>2447</v>
      </c>
      <c r="F55" s="10"/>
      <c r="G55" s="10"/>
      <c r="H55" s="10"/>
    </row>
    <row r="56" spans="1:8" x14ac:dyDescent="0.25">
      <c r="A56" s="33">
        <f t="shared" si="0"/>
        <v>53</v>
      </c>
      <c r="B56" s="34" t="s">
        <v>2304</v>
      </c>
      <c r="C56" s="34" t="s">
        <v>2305</v>
      </c>
      <c r="D56" s="34" t="s">
        <v>2443</v>
      </c>
      <c r="F56" s="10"/>
      <c r="G56" s="10"/>
      <c r="H56" s="10"/>
    </row>
    <row r="57" spans="1:8" x14ac:dyDescent="0.25">
      <c r="A57" s="33">
        <f t="shared" si="0"/>
        <v>54</v>
      </c>
      <c r="B57" s="34" t="s">
        <v>2306</v>
      </c>
      <c r="C57" s="34" t="s">
        <v>2307</v>
      </c>
      <c r="D57" s="34" t="s">
        <v>2443</v>
      </c>
      <c r="F57" s="10"/>
      <c r="G57" s="10"/>
      <c r="H57" s="10"/>
    </row>
    <row r="58" spans="1:8" x14ac:dyDescent="0.25">
      <c r="A58" s="33">
        <f t="shared" si="0"/>
        <v>55</v>
      </c>
      <c r="B58" s="34" t="s">
        <v>2308</v>
      </c>
      <c r="C58" s="34" t="s">
        <v>2309</v>
      </c>
      <c r="D58" s="34" t="s">
        <v>2454</v>
      </c>
      <c r="F58" s="10"/>
      <c r="G58" s="10"/>
      <c r="H58" s="10"/>
    </row>
    <row r="59" spans="1:8" x14ac:dyDescent="0.25">
      <c r="A59" s="33">
        <f t="shared" si="0"/>
        <v>56</v>
      </c>
      <c r="B59" s="34" t="s">
        <v>2310</v>
      </c>
      <c r="C59" s="34" t="s">
        <v>2311</v>
      </c>
      <c r="D59" s="34" t="s">
        <v>2455</v>
      </c>
      <c r="F59" s="10"/>
      <c r="G59" s="10"/>
      <c r="H59" s="10"/>
    </row>
    <row r="60" spans="1:8" x14ac:dyDescent="0.25">
      <c r="A60" s="33">
        <f t="shared" si="0"/>
        <v>57</v>
      </c>
      <c r="B60" s="34" t="s">
        <v>2312</v>
      </c>
      <c r="C60" s="34" t="s">
        <v>2313</v>
      </c>
      <c r="D60" s="34" t="s">
        <v>2461</v>
      </c>
      <c r="F60" s="10"/>
      <c r="G60" s="10"/>
      <c r="H60" s="10"/>
    </row>
    <row r="61" spans="1:8" x14ac:dyDescent="0.25">
      <c r="A61" s="33">
        <f t="shared" si="0"/>
        <v>58</v>
      </c>
      <c r="B61" s="34" t="s">
        <v>2314</v>
      </c>
      <c r="C61" s="34" t="s">
        <v>2315</v>
      </c>
      <c r="D61" s="34" t="s">
        <v>2462</v>
      </c>
      <c r="F61" s="10"/>
      <c r="G61" s="10"/>
      <c r="H61" s="10"/>
    </row>
    <row r="62" spans="1:8" x14ac:dyDescent="0.25">
      <c r="A62" s="33">
        <f t="shared" si="0"/>
        <v>59</v>
      </c>
      <c r="B62" s="34" t="s">
        <v>2316</v>
      </c>
      <c r="C62" s="34" t="s">
        <v>2317</v>
      </c>
      <c r="D62" s="34" t="s">
        <v>2445</v>
      </c>
      <c r="F62" s="10"/>
      <c r="G62" s="10"/>
      <c r="H62" s="10"/>
    </row>
    <row r="63" spans="1:8" x14ac:dyDescent="0.25">
      <c r="A63" s="33">
        <f t="shared" si="0"/>
        <v>60</v>
      </c>
      <c r="B63" s="34" t="s">
        <v>2318</v>
      </c>
      <c r="C63" s="34" t="s">
        <v>2319</v>
      </c>
      <c r="D63" s="34" t="s">
        <v>2446</v>
      </c>
      <c r="F63" s="10"/>
      <c r="G63" s="10"/>
      <c r="H63" s="10"/>
    </row>
    <row r="64" spans="1:8" x14ac:dyDescent="0.25">
      <c r="A64" s="33">
        <f t="shared" si="0"/>
        <v>61</v>
      </c>
      <c r="B64" s="34" t="s">
        <v>580</v>
      </c>
      <c r="C64" s="34" t="s">
        <v>581</v>
      </c>
      <c r="D64" s="34" t="s">
        <v>2446</v>
      </c>
      <c r="F64" s="10"/>
      <c r="G64" s="10"/>
      <c r="H64" s="10"/>
    </row>
    <row r="65" spans="1:8" x14ac:dyDescent="0.25">
      <c r="A65" s="33">
        <f t="shared" si="0"/>
        <v>62</v>
      </c>
      <c r="B65" s="34" t="s">
        <v>2320</v>
      </c>
      <c r="C65" s="34" t="s">
        <v>2321</v>
      </c>
      <c r="D65" s="34" t="s">
        <v>2441</v>
      </c>
      <c r="F65" s="10"/>
      <c r="G65" s="10"/>
      <c r="H65" s="10"/>
    </row>
    <row r="66" spans="1:8" x14ac:dyDescent="0.25">
      <c r="A66" s="33">
        <f t="shared" si="0"/>
        <v>63</v>
      </c>
      <c r="B66" s="34" t="s">
        <v>2322</v>
      </c>
      <c r="C66" s="34" t="s">
        <v>2323</v>
      </c>
      <c r="D66" s="34" t="s">
        <v>2452</v>
      </c>
      <c r="F66" s="10"/>
      <c r="G66" s="10"/>
      <c r="H66" s="10"/>
    </row>
    <row r="67" spans="1:8" x14ac:dyDescent="0.25">
      <c r="A67" s="33">
        <f t="shared" si="0"/>
        <v>64</v>
      </c>
      <c r="B67" s="34" t="s">
        <v>2324</v>
      </c>
      <c r="C67" s="34" t="s">
        <v>2325</v>
      </c>
      <c r="D67" s="34" t="s">
        <v>2463</v>
      </c>
      <c r="F67" s="10"/>
      <c r="G67" s="10"/>
      <c r="H67" s="10"/>
    </row>
    <row r="68" spans="1:8" x14ac:dyDescent="0.25">
      <c r="A68" s="33">
        <f t="shared" si="0"/>
        <v>65</v>
      </c>
      <c r="B68" s="34" t="s">
        <v>2326</v>
      </c>
      <c r="C68" s="34" t="s">
        <v>2327</v>
      </c>
      <c r="D68" s="34" t="s">
        <v>2442</v>
      </c>
      <c r="F68" s="10"/>
      <c r="G68" s="10"/>
      <c r="H68" s="10"/>
    </row>
    <row r="69" spans="1:8" x14ac:dyDescent="0.25">
      <c r="A69" s="33">
        <f t="shared" ref="A69:A133" si="1">+A68+1</f>
        <v>66</v>
      </c>
      <c r="B69" s="34" t="s">
        <v>2503</v>
      </c>
      <c r="C69" s="34" t="s">
        <v>2328</v>
      </c>
      <c r="D69" s="34" t="s">
        <v>2444</v>
      </c>
      <c r="F69" s="10"/>
      <c r="G69" s="10"/>
      <c r="H69" s="10"/>
    </row>
    <row r="70" spans="1:8" x14ac:dyDescent="0.25">
      <c r="A70" s="33">
        <f t="shared" si="1"/>
        <v>67</v>
      </c>
      <c r="B70" s="34" t="s">
        <v>2329</v>
      </c>
      <c r="C70" s="34" t="s">
        <v>2330</v>
      </c>
      <c r="D70" s="34" t="s">
        <v>2448</v>
      </c>
      <c r="F70" s="10"/>
      <c r="G70" s="10"/>
      <c r="H70" s="10"/>
    </row>
    <row r="71" spans="1:8" x14ac:dyDescent="0.25">
      <c r="A71" s="33">
        <f t="shared" si="1"/>
        <v>68</v>
      </c>
      <c r="B71" s="34" t="s">
        <v>2331</v>
      </c>
      <c r="C71" s="34" t="s">
        <v>2332</v>
      </c>
      <c r="D71" s="34" t="s">
        <v>2443</v>
      </c>
      <c r="F71" s="10"/>
      <c r="G71" s="10"/>
      <c r="H71" s="10"/>
    </row>
    <row r="72" spans="1:8" x14ac:dyDescent="0.25">
      <c r="A72" s="33">
        <f t="shared" si="1"/>
        <v>69</v>
      </c>
      <c r="B72" s="34" t="s">
        <v>2333</v>
      </c>
      <c r="C72" s="34" t="s">
        <v>2334</v>
      </c>
      <c r="D72" s="34" t="s">
        <v>2464</v>
      </c>
      <c r="F72" s="10"/>
      <c r="G72" s="10"/>
      <c r="H72" s="10"/>
    </row>
    <row r="73" spans="1:8" x14ac:dyDescent="0.25">
      <c r="A73" s="33">
        <f t="shared" si="1"/>
        <v>70</v>
      </c>
      <c r="B73" s="34" t="s">
        <v>2335</v>
      </c>
      <c r="C73" s="34" t="s">
        <v>2336</v>
      </c>
      <c r="D73" s="34" t="s">
        <v>2465</v>
      </c>
      <c r="F73" s="10"/>
      <c r="G73" s="10"/>
      <c r="H73" s="10"/>
    </row>
    <row r="74" spans="1:8" x14ac:dyDescent="0.25">
      <c r="A74" s="33">
        <f t="shared" si="1"/>
        <v>71</v>
      </c>
      <c r="B74" s="34" t="s">
        <v>2337</v>
      </c>
      <c r="C74" s="34" t="s">
        <v>2338</v>
      </c>
      <c r="D74" s="34" t="s">
        <v>2444</v>
      </c>
      <c r="F74" s="10"/>
      <c r="G74" s="10"/>
      <c r="H74" s="10"/>
    </row>
    <row r="75" spans="1:8" x14ac:dyDescent="0.25">
      <c r="A75" s="33">
        <f t="shared" si="1"/>
        <v>72</v>
      </c>
      <c r="B75" s="34" t="s">
        <v>2339</v>
      </c>
      <c r="C75" s="34" t="s">
        <v>2340</v>
      </c>
      <c r="D75" s="34" t="s">
        <v>2466</v>
      </c>
      <c r="F75" s="10"/>
      <c r="G75" s="10"/>
      <c r="H75" s="10"/>
    </row>
    <row r="76" spans="1:8" x14ac:dyDescent="0.25">
      <c r="A76" s="33">
        <f t="shared" si="1"/>
        <v>73</v>
      </c>
      <c r="B76" s="34" t="s">
        <v>2504</v>
      </c>
      <c r="C76" s="34" t="s">
        <v>2341</v>
      </c>
      <c r="D76" s="34" t="s">
        <v>2467</v>
      </c>
      <c r="F76" s="10"/>
      <c r="G76" s="10"/>
      <c r="H76" s="10"/>
    </row>
    <row r="77" spans="1:8" x14ac:dyDescent="0.25">
      <c r="A77" s="33">
        <f t="shared" si="1"/>
        <v>74</v>
      </c>
      <c r="B77" s="34" t="s">
        <v>2342</v>
      </c>
      <c r="C77" s="34" t="s">
        <v>2343</v>
      </c>
      <c r="D77" s="34" t="s">
        <v>2442</v>
      </c>
      <c r="F77" s="10"/>
      <c r="G77" s="10"/>
      <c r="H77" s="10"/>
    </row>
    <row r="78" spans="1:8" x14ac:dyDescent="0.25">
      <c r="A78" s="33">
        <f t="shared" si="1"/>
        <v>75</v>
      </c>
      <c r="B78" s="34" t="s">
        <v>2344</v>
      </c>
      <c r="C78" s="34" t="s">
        <v>2345</v>
      </c>
      <c r="D78" s="34" t="s">
        <v>2460</v>
      </c>
      <c r="F78" s="10"/>
      <c r="G78" s="10"/>
      <c r="H78" s="10"/>
    </row>
    <row r="79" spans="1:8" x14ac:dyDescent="0.25">
      <c r="A79" s="33">
        <f t="shared" si="1"/>
        <v>76</v>
      </c>
      <c r="B79" s="34" t="s">
        <v>2346</v>
      </c>
      <c r="C79" s="34" t="s">
        <v>2347</v>
      </c>
      <c r="D79" s="34" t="s">
        <v>2443</v>
      </c>
      <c r="F79" s="10"/>
      <c r="G79" s="10"/>
      <c r="H79" s="10"/>
    </row>
    <row r="80" spans="1:8" x14ac:dyDescent="0.25">
      <c r="A80" s="33">
        <f t="shared" si="1"/>
        <v>77</v>
      </c>
      <c r="B80" s="34" t="s">
        <v>2348</v>
      </c>
      <c r="C80" s="34" t="s">
        <v>2349</v>
      </c>
      <c r="D80" s="34" t="s">
        <v>2468</v>
      </c>
      <c r="F80" s="10"/>
      <c r="G80" s="10"/>
      <c r="H80" s="10"/>
    </row>
    <row r="81" spans="1:8" x14ac:dyDescent="0.25">
      <c r="A81" s="33">
        <f t="shared" si="1"/>
        <v>78</v>
      </c>
      <c r="B81" s="34" t="s">
        <v>2350</v>
      </c>
      <c r="C81" s="34" t="s">
        <v>2351</v>
      </c>
      <c r="D81" s="34" t="s">
        <v>2443</v>
      </c>
      <c r="F81" s="10"/>
      <c r="G81" s="10"/>
      <c r="H81" s="10"/>
    </row>
    <row r="82" spans="1:8" x14ac:dyDescent="0.25">
      <c r="A82" s="33">
        <f t="shared" si="1"/>
        <v>79</v>
      </c>
      <c r="B82" s="34" t="s">
        <v>636</v>
      </c>
      <c r="C82" s="34" t="s">
        <v>637</v>
      </c>
      <c r="D82" s="34" t="s">
        <v>2451</v>
      </c>
      <c r="F82" s="10"/>
      <c r="G82" s="10"/>
      <c r="H82" s="10"/>
    </row>
    <row r="83" spans="1:8" x14ac:dyDescent="0.25">
      <c r="A83" s="33">
        <f t="shared" si="1"/>
        <v>80</v>
      </c>
      <c r="B83" s="34" t="s">
        <v>2352</v>
      </c>
      <c r="C83" s="34" t="s">
        <v>2353</v>
      </c>
      <c r="D83" s="34" t="s">
        <v>2446</v>
      </c>
      <c r="F83" s="10"/>
      <c r="G83" s="10"/>
      <c r="H83" s="10"/>
    </row>
    <row r="84" spans="1:8" x14ac:dyDescent="0.25">
      <c r="A84" s="33">
        <f t="shared" si="1"/>
        <v>81</v>
      </c>
      <c r="B84" s="34" t="s">
        <v>2506</v>
      </c>
      <c r="C84" s="34" t="s">
        <v>2507</v>
      </c>
      <c r="D84" s="34" t="s">
        <v>2463</v>
      </c>
      <c r="F84" s="10"/>
      <c r="G84" s="10"/>
      <c r="H84" s="10"/>
    </row>
    <row r="85" spans="1:8" x14ac:dyDescent="0.25">
      <c r="A85" s="33">
        <f t="shared" si="1"/>
        <v>82</v>
      </c>
      <c r="B85" s="34" t="s">
        <v>2354</v>
      </c>
      <c r="C85" s="34" t="s">
        <v>2355</v>
      </c>
      <c r="D85" s="34" t="s">
        <v>2442</v>
      </c>
      <c r="F85" s="10"/>
      <c r="G85" s="10"/>
      <c r="H85" s="10"/>
    </row>
    <row r="86" spans="1:8" x14ac:dyDescent="0.25">
      <c r="A86" s="33">
        <f t="shared" si="1"/>
        <v>83</v>
      </c>
      <c r="B86" s="34" t="s">
        <v>2356</v>
      </c>
      <c r="C86" s="34" t="s">
        <v>2357</v>
      </c>
      <c r="D86" s="34" t="s">
        <v>2442</v>
      </c>
      <c r="F86" s="10"/>
      <c r="G86" s="10"/>
      <c r="H86" s="10"/>
    </row>
    <row r="87" spans="1:8" x14ac:dyDescent="0.25">
      <c r="A87" s="33">
        <f t="shared" si="1"/>
        <v>84</v>
      </c>
      <c r="B87" s="34" t="s">
        <v>2505</v>
      </c>
      <c r="C87" s="34" t="s">
        <v>2358</v>
      </c>
      <c r="D87" s="34" t="s">
        <v>2453</v>
      </c>
      <c r="F87" s="10"/>
      <c r="G87" s="10"/>
      <c r="H87" s="10"/>
    </row>
    <row r="88" spans="1:8" x14ac:dyDescent="0.25">
      <c r="A88" s="33">
        <f t="shared" si="1"/>
        <v>85</v>
      </c>
      <c r="B88" s="34" t="s">
        <v>2359</v>
      </c>
      <c r="C88" s="34" t="s">
        <v>2360</v>
      </c>
      <c r="D88" s="34" t="s">
        <v>2469</v>
      </c>
      <c r="F88" s="10"/>
      <c r="G88" s="10"/>
      <c r="H88" s="10"/>
    </row>
    <row r="89" spans="1:8" x14ac:dyDescent="0.25">
      <c r="A89" s="33">
        <f t="shared" si="1"/>
        <v>86</v>
      </c>
      <c r="B89" s="34" t="s">
        <v>2361</v>
      </c>
      <c r="C89" s="34" t="s">
        <v>2362</v>
      </c>
      <c r="D89" s="34" t="s">
        <v>2470</v>
      </c>
      <c r="F89" s="10"/>
      <c r="G89" s="10"/>
      <c r="H89" s="10"/>
    </row>
    <row r="90" spans="1:8" x14ac:dyDescent="0.25">
      <c r="A90" s="33">
        <f t="shared" si="1"/>
        <v>87</v>
      </c>
      <c r="B90" s="34" t="s">
        <v>2363</v>
      </c>
      <c r="C90" s="34" t="s">
        <v>2364</v>
      </c>
      <c r="D90" s="34" t="s">
        <v>2471</v>
      </c>
      <c r="F90" s="10"/>
      <c r="G90" s="10"/>
      <c r="H90" s="10"/>
    </row>
    <row r="91" spans="1:8" x14ac:dyDescent="0.25">
      <c r="A91" s="33">
        <f t="shared" si="1"/>
        <v>88</v>
      </c>
      <c r="B91" s="34" t="s">
        <v>2365</v>
      </c>
      <c r="C91" s="34" t="s">
        <v>2366</v>
      </c>
      <c r="D91" s="34" t="s">
        <v>2442</v>
      </c>
      <c r="F91" s="10"/>
      <c r="G91" s="10"/>
      <c r="H91" s="10"/>
    </row>
    <row r="92" spans="1:8" x14ac:dyDescent="0.25">
      <c r="A92" s="33">
        <f t="shared" si="1"/>
        <v>89</v>
      </c>
      <c r="B92" s="34" t="s">
        <v>2367</v>
      </c>
      <c r="C92" s="34" t="s">
        <v>2368</v>
      </c>
      <c r="D92" s="34" t="s">
        <v>2441</v>
      </c>
      <c r="F92" s="10"/>
      <c r="G92" s="10"/>
      <c r="H92" s="10"/>
    </row>
    <row r="93" spans="1:8" x14ac:dyDescent="0.25">
      <c r="A93" s="33">
        <f t="shared" si="1"/>
        <v>90</v>
      </c>
      <c r="B93" s="34" t="s">
        <v>2369</v>
      </c>
      <c r="C93" s="34" t="s">
        <v>2370</v>
      </c>
      <c r="D93" s="34" t="s">
        <v>2441</v>
      </c>
      <c r="F93" s="10"/>
      <c r="G93" s="10"/>
      <c r="H93" s="10"/>
    </row>
    <row r="94" spans="1:8" x14ac:dyDescent="0.25">
      <c r="A94" s="33">
        <f t="shared" si="1"/>
        <v>91</v>
      </c>
      <c r="B94" s="34" t="s">
        <v>2371</v>
      </c>
      <c r="C94" s="34" t="s">
        <v>2372</v>
      </c>
      <c r="D94" s="34" t="s">
        <v>2459</v>
      </c>
      <c r="F94" s="10"/>
      <c r="G94" s="10"/>
      <c r="H94" s="10"/>
    </row>
    <row r="95" spans="1:8" x14ac:dyDescent="0.25">
      <c r="A95" s="33">
        <f t="shared" si="1"/>
        <v>92</v>
      </c>
      <c r="B95" s="34" t="s">
        <v>2373</v>
      </c>
      <c r="C95" s="34" t="s">
        <v>2374</v>
      </c>
      <c r="D95" s="34" t="s">
        <v>2472</v>
      </c>
      <c r="F95" s="10"/>
      <c r="G95" s="10"/>
      <c r="H95" s="10"/>
    </row>
    <row r="96" spans="1:8" x14ac:dyDescent="0.25">
      <c r="A96" s="33">
        <f t="shared" si="1"/>
        <v>93</v>
      </c>
      <c r="B96" s="34" t="s">
        <v>2375</v>
      </c>
      <c r="C96" s="34" t="s">
        <v>2376</v>
      </c>
      <c r="D96" s="34" t="s">
        <v>1961</v>
      </c>
      <c r="F96" s="10"/>
      <c r="G96" s="10"/>
      <c r="H96" s="10"/>
    </row>
    <row r="97" spans="1:8" x14ac:dyDescent="0.25">
      <c r="A97" s="33">
        <f t="shared" si="1"/>
        <v>94</v>
      </c>
      <c r="B97" s="34" t="s">
        <v>2377</v>
      </c>
      <c r="C97" s="34" t="s">
        <v>2378</v>
      </c>
      <c r="D97" s="34" t="s">
        <v>2441</v>
      </c>
      <c r="F97" s="10"/>
      <c r="G97" s="10"/>
      <c r="H97" s="10"/>
    </row>
    <row r="98" spans="1:8" x14ac:dyDescent="0.25">
      <c r="A98" s="33">
        <f t="shared" si="1"/>
        <v>95</v>
      </c>
      <c r="B98" s="34" t="s">
        <v>2379</v>
      </c>
      <c r="C98" s="34" t="s">
        <v>2380</v>
      </c>
      <c r="D98" s="34" t="s">
        <v>2441</v>
      </c>
      <c r="F98" s="10"/>
      <c r="G98" s="10"/>
      <c r="H98" s="10"/>
    </row>
    <row r="99" spans="1:8" x14ac:dyDescent="0.25">
      <c r="A99" s="33">
        <f t="shared" si="1"/>
        <v>96</v>
      </c>
      <c r="B99" s="34" t="s">
        <v>655</v>
      </c>
      <c r="C99" s="34" t="s">
        <v>656</v>
      </c>
      <c r="D99" s="34" t="s">
        <v>2447</v>
      </c>
      <c r="F99" s="10"/>
      <c r="G99" s="10"/>
      <c r="H99" s="10"/>
    </row>
    <row r="100" spans="1:8" x14ac:dyDescent="0.25">
      <c r="A100" s="33">
        <f t="shared" si="1"/>
        <v>97</v>
      </c>
      <c r="B100" s="34" t="s">
        <v>2381</v>
      </c>
      <c r="C100" s="34" t="s">
        <v>2382</v>
      </c>
      <c r="D100" s="34" t="s">
        <v>2451</v>
      </c>
      <c r="F100" s="10"/>
      <c r="G100" s="10"/>
      <c r="H100" s="10"/>
    </row>
    <row r="101" spans="1:8" x14ac:dyDescent="0.25">
      <c r="A101" s="33">
        <f t="shared" si="1"/>
        <v>98</v>
      </c>
      <c r="B101" s="34" t="s">
        <v>2383</v>
      </c>
      <c r="C101" s="34" t="s">
        <v>2384</v>
      </c>
      <c r="D101" s="34" t="s">
        <v>2459</v>
      </c>
      <c r="F101" s="10"/>
      <c r="G101" s="10"/>
      <c r="H101" s="10"/>
    </row>
    <row r="102" spans="1:8" x14ac:dyDescent="0.25">
      <c r="A102" s="33">
        <f t="shared" si="1"/>
        <v>99</v>
      </c>
      <c r="B102" s="34" t="s">
        <v>2385</v>
      </c>
      <c r="C102" s="34" t="s">
        <v>2386</v>
      </c>
      <c r="D102" s="34" t="s">
        <v>2473</v>
      </c>
      <c r="F102" s="10"/>
      <c r="G102" s="10"/>
      <c r="H102" s="10"/>
    </row>
    <row r="103" spans="1:8" x14ac:dyDescent="0.25">
      <c r="A103" s="33">
        <f t="shared" si="1"/>
        <v>100</v>
      </c>
      <c r="B103" s="34" t="s">
        <v>2387</v>
      </c>
      <c r="C103" s="34" t="s">
        <v>2388</v>
      </c>
      <c r="D103" s="34" t="s">
        <v>2446</v>
      </c>
      <c r="F103" s="10"/>
      <c r="G103" s="10"/>
      <c r="H103" s="10"/>
    </row>
    <row r="104" spans="1:8" x14ac:dyDescent="0.25">
      <c r="A104" s="33">
        <f t="shared" si="1"/>
        <v>101</v>
      </c>
      <c r="B104" s="34" t="s">
        <v>2389</v>
      </c>
      <c r="C104" s="34" t="s">
        <v>2390</v>
      </c>
      <c r="D104" s="34" t="s">
        <v>2474</v>
      </c>
      <c r="F104" s="10"/>
      <c r="G104" s="10"/>
      <c r="H104" s="10"/>
    </row>
    <row r="105" spans="1:8" x14ac:dyDescent="0.25">
      <c r="A105" s="33">
        <f t="shared" si="1"/>
        <v>102</v>
      </c>
      <c r="B105" s="34" t="s">
        <v>2391</v>
      </c>
      <c r="C105" s="34" t="s">
        <v>2392</v>
      </c>
      <c r="D105" s="34" t="s">
        <v>2463</v>
      </c>
      <c r="F105" s="10"/>
      <c r="G105" s="10"/>
      <c r="H105" s="10"/>
    </row>
    <row r="106" spans="1:8" x14ac:dyDescent="0.25">
      <c r="A106" s="33">
        <f t="shared" si="1"/>
        <v>103</v>
      </c>
      <c r="B106" s="34" t="s">
        <v>2393</v>
      </c>
      <c r="C106" s="34" t="s">
        <v>2394</v>
      </c>
      <c r="D106" s="34" t="s">
        <v>2443</v>
      </c>
      <c r="F106" s="10"/>
      <c r="G106" s="10"/>
      <c r="H106" s="10"/>
    </row>
    <row r="107" spans="1:8" x14ac:dyDescent="0.25">
      <c r="A107" s="33">
        <f t="shared" si="1"/>
        <v>104</v>
      </c>
      <c r="B107" s="34" t="s">
        <v>2395</v>
      </c>
      <c r="C107" s="34" t="s">
        <v>2396</v>
      </c>
      <c r="D107" s="34" t="s">
        <v>2441</v>
      </c>
      <c r="F107" s="10"/>
      <c r="G107" s="10"/>
      <c r="H107" s="10"/>
    </row>
    <row r="108" spans="1:8" x14ac:dyDescent="0.25">
      <c r="A108" s="33">
        <f t="shared" si="1"/>
        <v>105</v>
      </c>
      <c r="B108" s="34" t="s">
        <v>2397</v>
      </c>
      <c r="C108" s="34" t="s">
        <v>2398</v>
      </c>
      <c r="D108" s="34" t="s">
        <v>2475</v>
      </c>
      <c r="F108" s="10"/>
      <c r="G108" s="10"/>
      <c r="H108" s="10"/>
    </row>
    <row r="109" spans="1:8" x14ac:dyDescent="0.25">
      <c r="A109" s="33">
        <f t="shared" si="1"/>
        <v>106</v>
      </c>
      <c r="B109" s="34" t="s">
        <v>2399</v>
      </c>
      <c r="C109" s="34" t="s">
        <v>2400</v>
      </c>
      <c r="D109" s="34" t="s">
        <v>2476</v>
      </c>
      <c r="F109" s="10"/>
      <c r="G109" s="10"/>
      <c r="H109" s="10"/>
    </row>
    <row r="110" spans="1:8" x14ac:dyDescent="0.25">
      <c r="A110" s="33">
        <f t="shared" si="1"/>
        <v>107</v>
      </c>
      <c r="B110" s="34" t="s">
        <v>2401</v>
      </c>
      <c r="C110" s="34" t="s">
        <v>2402</v>
      </c>
      <c r="D110" s="34" t="s">
        <v>2468</v>
      </c>
      <c r="F110" s="10"/>
      <c r="G110" s="10"/>
      <c r="H110" s="10"/>
    </row>
    <row r="111" spans="1:8" x14ac:dyDescent="0.25">
      <c r="A111" s="33">
        <f t="shared" si="1"/>
        <v>108</v>
      </c>
      <c r="B111" s="34" t="s">
        <v>2403</v>
      </c>
      <c r="C111" s="34" t="s">
        <v>2404</v>
      </c>
      <c r="D111" s="34" t="s">
        <v>2473</v>
      </c>
      <c r="F111" s="10"/>
      <c r="G111" s="10"/>
      <c r="H111" s="10"/>
    </row>
    <row r="112" spans="1:8" x14ac:dyDescent="0.25">
      <c r="A112" s="33">
        <f t="shared" si="1"/>
        <v>109</v>
      </c>
      <c r="B112" s="34" t="s">
        <v>2405</v>
      </c>
      <c r="C112" s="34" t="s">
        <v>2406</v>
      </c>
      <c r="D112" s="34" t="s">
        <v>2464</v>
      </c>
      <c r="F112" s="10"/>
      <c r="G112" s="10"/>
      <c r="H112" s="10"/>
    </row>
    <row r="113" spans="1:8" x14ac:dyDescent="0.25">
      <c r="A113" s="33">
        <f t="shared" si="1"/>
        <v>110</v>
      </c>
      <c r="B113" s="34" t="s">
        <v>2407</v>
      </c>
      <c r="C113" s="34" t="s">
        <v>2408</v>
      </c>
      <c r="D113" s="34" t="s">
        <v>2477</v>
      </c>
      <c r="F113" s="10"/>
      <c r="G113" s="10"/>
      <c r="H113" s="10"/>
    </row>
    <row r="114" spans="1:8" x14ac:dyDescent="0.25">
      <c r="A114" s="33">
        <f t="shared" si="1"/>
        <v>111</v>
      </c>
      <c r="B114" s="34" t="s">
        <v>2409</v>
      </c>
      <c r="C114" s="34" t="s">
        <v>2410</v>
      </c>
      <c r="D114" s="34" t="s">
        <v>2463</v>
      </c>
      <c r="F114" s="10"/>
      <c r="G114" s="10"/>
      <c r="H114" s="10"/>
    </row>
    <row r="115" spans="1:8" x14ac:dyDescent="0.25">
      <c r="A115" s="33">
        <f t="shared" si="1"/>
        <v>112</v>
      </c>
      <c r="B115" s="34" t="s">
        <v>2411</v>
      </c>
      <c r="C115" s="34" t="s">
        <v>2412</v>
      </c>
      <c r="D115" s="34" t="s">
        <v>2448</v>
      </c>
      <c r="F115" s="10"/>
      <c r="G115" s="10"/>
      <c r="H115" s="10"/>
    </row>
    <row r="116" spans="1:8" x14ac:dyDescent="0.25">
      <c r="A116" s="33">
        <f t="shared" si="1"/>
        <v>113</v>
      </c>
      <c r="B116" s="34" t="s">
        <v>2413</v>
      </c>
      <c r="C116" s="34" t="s">
        <v>2414</v>
      </c>
      <c r="D116" s="34" t="s">
        <v>2474</v>
      </c>
      <c r="F116" s="10"/>
      <c r="G116" s="10"/>
      <c r="H116" s="10"/>
    </row>
    <row r="117" spans="1:8" x14ac:dyDescent="0.25">
      <c r="A117" s="33">
        <f t="shared" si="1"/>
        <v>114</v>
      </c>
      <c r="B117" s="34" t="s">
        <v>2415</v>
      </c>
      <c r="C117" s="34" t="s">
        <v>2416</v>
      </c>
      <c r="D117" s="34" t="s">
        <v>2441</v>
      </c>
      <c r="F117" s="10"/>
      <c r="G117" s="10"/>
      <c r="H117" s="10"/>
    </row>
    <row r="118" spans="1:8" x14ac:dyDescent="0.25">
      <c r="A118" s="33">
        <f t="shared" si="1"/>
        <v>115</v>
      </c>
      <c r="B118" s="34" t="s">
        <v>2417</v>
      </c>
      <c r="C118" s="34" t="s">
        <v>2418</v>
      </c>
      <c r="D118" s="34" t="s">
        <v>2449</v>
      </c>
      <c r="F118" s="10"/>
      <c r="G118" s="10"/>
      <c r="H118" s="10"/>
    </row>
    <row r="119" spans="1:8" x14ac:dyDescent="0.25">
      <c r="A119" s="33">
        <f t="shared" si="1"/>
        <v>116</v>
      </c>
      <c r="B119" s="34" t="s">
        <v>2419</v>
      </c>
      <c r="C119" s="34" t="s">
        <v>2420</v>
      </c>
      <c r="D119" s="34" t="s">
        <v>2449</v>
      </c>
      <c r="F119" s="10"/>
      <c r="G119" s="10"/>
      <c r="H119" s="10"/>
    </row>
    <row r="120" spans="1:8" x14ac:dyDescent="0.25">
      <c r="A120" s="33">
        <f t="shared" si="1"/>
        <v>117</v>
      </c>
      <c r="B120" s="34" t="s">
        <v>2421</v>
      </c>
      <c r="C120" s="34" t="s">
        <v>2422</v>
      </c>
      <c r="D120" s="34" t="s">
        <v>2446</v>
      </c>
      <c r="F120" s="10"/>
      <c r="G120" s="10"/>
      <c r="H120" s="10"/>
    </row>
    <row r="121" spans="1:8" x14ac:dyDescent="0.25">
      <c r="A121" s="33">
        <f t="shared" si="1"/>
        <v>118</v>
      </c>
      <c r="B121" s="34" t="s">
        <v>913</v>
      </c>
      <c r="C121" s="34" t="s">
        <v>914</v>
      </c>
      <c r="D121" s="34" t="s">
        <v>2478</v>
      </c>
      <c r="F121" s="10"/>
      <c r="G121" s="10"/>
      <c r="H121" s="10"/>
    </row>
    <row r="122" spans="1:8" x14ac:dyDescent="0.25">
      <c r="A122" s="33">
        <f t="shared" si="1"/>
        <v>119</v>
      </c>
      <c r="B122" s="34" t="s">
        <v>2423</v>
      </c>
      <c r="C122" s="34" t="s">
        <v>2424</v>
      </c>
      <c r="D122" s="34" t="s">
        <v>2453</v>
      </c>
      <c r="F122" s="10"/>
      <c r="G122" s="10"/>
      <c r="H122" s="10"/>
    </row>
    <row r="123" spans="1:8" x14ac:dyDescent="0.25">
      <c r="A123" s="33">
        <f t="shared" si="1"/>
        <v>120</v>
      </c>
      <c r="B123" s="34" t="s">
        <v>2425</v>
      </c>
      <c r="C123" s="34" t="s">
        <v>2426</v>
      </c>
      <c r="D123" s="34" t="s">
        <v>2445</v>
      </c>
      <c r="F123" s="10"/>
      <c r="G123" s="10"/>
      <c r="H123" s="10"/>
    </row>
    <row r="124" spans="1:8" x14ac:dyDescent="0.25">
      <c r="A124" s="33">
        <f t="shared" si="1"/>
        <v>121</v>
      </c>
      <c r="B124" s="34" t="s">
        <v>2427</v>
      </c>
      <c r="C124" s="34" t="s">
        <v>2428</v>
      </c>
      <c r="D124" s="34" t="s">
        <v>2459</v>
      </c>
      <c r="F124" s="10"/>
      <c r="G124" s="10"/>
      <c r="H124" s="10"/>
    </row>
    <row r="125" spans="1:8" x14ac:dyDescent="0.25">
      <c r="A125" s="33">
        <f t="shared" si="1"/>
        <v>122</v>
      </c>
      <c r="B125" s="34" t="s">
        <v>2429</v>
      </c>
      <c r="C125" s="34" t="s">
        <v>2430</v>
      </c>
      <c r="D125" s="34" t="s">
        <v>2479</v>
      </c>
      <c r="F125" s="10"/>
      <c r="G125" s="10"/>
      <c r="H125" s="10"/>
    </row>
    <row r="126" spans="1:8" x14ac:dyDescent="0.25">
      <c r="A126" s="33">
        <f t="shared" si="1"/>
        <v>123</v>
      </c>
      <c r="B126" s="34" t="s">
        <v>2431</v>
      </c>
      <c r="C126" s="34" t="s">
        <v>2432</v>
      </c>
      <c r="D126" s="34" t="s">
        <v>2476</v>
      </c>
      <c r="F126" s="10"/>
      <c r="G126" s="10"/>
      <c r="H126" s="10"/>
    </row>
    <row r="127" spans="1:8" x14ac:dyDescent="0.25">
      <c r="A127" s="33">
        <f t="shared" si="1"/>
        <v>124</v>
      </c>
      <c r="B127" s="34" t="s">
        <v>2433</v>
      </c>
      <c r="C127" s="34" t="s">
        <v>2434</v>
      </c>
      <c r="D127" s="34" t="s">
        <v>2460</v>
      </c>
      <c r="F127" s="10"/>
      <c r="G127" s="10"/>
      <c r="H127" s="10"/>
    </row>
    <row r="128" spans="1:8" x14ac:dyDescent="0.25">
      <c r="A128" s="33">
        <f t="shared" si="1"/>
        <v>125</v>
      </c>
      <c r="B128" s="34" t="s">
        <v>2435</v>
      </c>
      <c r="C128" s="34" t="s">
        <v>2436</v>
      </c>
      <c r="D128" s="34" t="s">
        <v>1961</v>
      </c>
      <c r="F128" s="10"/>
      <c r="G128" s="10"/>
      <c r="H128" s="10"/>
    </row>
    <row r="129" spans="1:8" x14ac:dyDescent="0.25">
      <c r="A129" s="33">
        <f t="shared" si="1"/>
        <v>126</v>
      </c>
      <c r="B129" s="34" t="s">
        <v>2437</v>
      </c>
      <c r="C129" s="34" t="s">
        <v>2438</v>
      </c>
      <c r="D129" s="34" t="s">
        <v>2480</v>
      </c>
      <c r="F129" s="10"/>
      <c r="G129" s="10"/>
      <c r="H129" s="10"/>
    </row>
    <row r="130" spans="1:8" x14ac:dyDescent="0.25">
      <c r="A130" s="33">
        <f t="shared" si="1"/>
        <v>127</v>
      </c>
      <c r="B130" s="34" t="s">
        <v>2439</v>
      </c>
      <c r="C130" s="34" t="s">
        <v>2440</v>
      </c>
      <c r="D130" s="34" t="s">
        <v>2474</v>
      </c>
      <c r="F130" s="10"/>
      <c r="G130" s="10"/>
      <c r="H130" s="10"/>
    </row>
    <row r="131" spans="1:8" x14ac:dyDescent="0.25">
      <c r="A131" s="33">
        <f t="shared" si="1"/>
        <v>128</v>
      </c>
      <c r="B131" s="34" t="s">
        <v>2508</v>
      </c>
      <c r="C131" s="34" t="s">
        <v>2509</v>
      </c>
      <c r="D131" s="34" t="s">
        <v>2445</v>
      </c>
      <c r="F131" s="10"/>
      <c r="G131" s="10"/>
      <c r="H131" s="10"/>
    </row>
    <row r="132" spans="1:8" x14ac:dyDescent="0.25">
      <c r="A132" s="33">
        <f t="shared" si="1"/>
        <v>129</v>
      </c>
      <c r="B132" s="34" t="s">
        <v>2510</v>
      </c>
      <c r="C132" s="34" t="s">
        <v>2511</v>
      </c>
      <c r="D132" s="34" t="s">
        <v>2457</v>
      </c>
      <c r="F132" s="10"/>
      <c r="G132" s="10"/>
      <c r="H132" s="10"/>
    </row>
    <row r="133" spans="1:8" x14ac:dyDescent="0.25">
      <c r="A133" s="33">
        <f t="shared" si="1"/>
        <v>130</v>
      </c>
      <c r="B133" s="34" t="s">
        <v>2512</v>
      </c>
      <c r="C133" s="34" t="s">
        <v>2268</v>
      </c>
      <c r="D133" s="34" t="s">
        <v>2455</v>
      </c>
      <c r="F133" s="10"/>
      <c r="G133" s="10"/>
      <c r="H133" s="10"/>
    </row>
    <row r="134" spans="1:8" x14ac:dyDescent="0.25">
      <c r="A134" s="33">
        <f t="shared" ref="A134:A135" si="2">+A133+1</f>
        <v>131</v>
      </c>
      <c r="F134" s="10"/>
      <c r="G134" s="10"/>
      <c r="H134" s="10"/>
    </row>
    <row r="135" spans="1:8" x14ac:dyDescent="0.25">
      <c r="A135" s="33">
        <f t="shared" si="2"/>
        <v>132</v>
      </c>
      <c r="F135" s="10"/>
      <c r="G135" s="10"/>
      <c r="H135" s="10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  <hyperlink ref="B6" r:id="rId3" xr:uid="{C8E26E7E-6185-4291-8EC0-F9A30626F9B7}"/>
    <hyperlink ref="B43" r:id="rId4" xr:uid="{05D2FD27-9C9A-41F3-A018-7016A34AB6A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11" sqref="B11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2" t="s">
        <v>2599</v>
      </c>
      <c r="C10" s="3">
        <v>1.29</v>
      </c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Automotive</vt:lpstr>
      <vt:lpstr>Manufacturing</vt:lpstr>
      <vt:lpstr>Transportation</vt:lpstr>
      <vt:lpstr>Defense</vt:lpstr>
      <vt:lpstr>Space</vt:lpstr>
      <vt:lpstr>Marine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2026-03-20T11:03:07Z</dcterms:modified>
</cp:coreProperties>
</file>