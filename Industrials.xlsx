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7B95E10-C8DA-43B1-BD36-4FF1FD50B6B0}" xr6:coauthVersionLast="47" xr6:coauthVersionMax="47" xr10:uidLastSave="{00000000-0000-0000-0000-000000000000}"/>
  <bookViews>
    <workbookView xWindow="225" yWindow="3510" windowWidth="38175" windowHeight="15240" activeTab="4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Infrastructure" sheetId="7" r:id="rId6"/>
    <sheet name="FX" sheetId="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5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H4" i="5" s="1"/>
  <c r="E4" i="5"/>
  <c r="A27" i="7" l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<sst xmlns="http://schemas.openxmlformats.org/spreadsheetml/2006/main" count="3795" uniqueCount="2491">
  <si>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</si>
  <si>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</si>
  <si>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</si>
  <si>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</si>
  <si>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</si>
  <si>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</si>
  <si>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</si>
  <si>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</si>
  <si>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</si>
  <si>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</si>
  <si>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</si>
  <si>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</si>
  <si>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</si>
  <si>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</si>
  <si>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</si>
  <si>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</si>
  <si>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</si>
  <si>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</si>
  <si>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</si>
  <si>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</si>
  <si>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</si>
  <si>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</si>
  <si>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</si>
  <si>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</si>
  <si>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</si>
  <si>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</si>
  <si>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</si>
  <si>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</si>
  <si>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</si>
  <si>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</si>
  <si>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</si>
  <si>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</si>
  <si>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</si>
  <si>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</si>
  <si>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</si>
  <si>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</si>
  <si>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</si>
  <si>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</si>
  <si>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</si>
  <si>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</si>
  <si>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</si>
  <si>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</si>
  <si>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</si>
  <si>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</si>
  <si>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</si>
  <si>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</si>
  <si>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</si>
  <si>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</si>
  <si>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</si>
  <si>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</si>
  <si>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</si>
  <si>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</si>
  <si>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</si>
  <si>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</si>
  <si>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</si>
  <si>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</si>
  <si>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</si>
  <si>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</si>
  <si>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</si>
  <si>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</si>
  <si>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</si>
  <si>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</si>
  <si>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</si>
  <si>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</si>
  <si>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</si>
  <si>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</si>
  <si>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</si>
  <si>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</si>
  <si>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</si>
  <si>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</si>
  <si>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</si>
  <si>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</si>
  <si>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</si>
  <si>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</si>
  <si>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</si>
  <si>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</si>
  <si>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</si>
  <si>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</si>
  <si>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</si>
  <si>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</si>
  <si>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</si>
  <si>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</si>
  <si>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</si>
  <si>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</si>
  <si>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</si>
  <si>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</si>
  <si>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</si>
  <si>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</si>
  <si>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</si>
  <si>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</si>
  <si>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</si>
  <si>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</si>
  <si>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</si>
  <si>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</si>
  <si>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</si>
  <si>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</si>
  <si>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</si>
  <si>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</si>
  <si>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</si>
  <si>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</si>
  <si>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</si>
  <si>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</si>
  <si>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</si>
  <si>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</si>
  <si>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</si>
  <si>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</si>
  <si>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</si>
  <si>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</si>
  <si>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</si>
  <si>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</si>
  <si>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</si>
  <si>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</si>
  <si>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</si>
  <si>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</si>
  <si>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</si>
  <si>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</si>
  <si>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</si>
  <si>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</si>
  <si>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</si>
  <si>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</si>
  <si>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</si>
  <si>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</si>
  <si>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</si>
  <si>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</si>
  <si>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</si>
  <si>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</si>
  <si>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</si>
  <si>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</si>
  <si>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</si>
  <si>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</si>
  <si>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</si>
  <si>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</si>
  <si>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</si>
  <si>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</si>
  <si>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</si>
  <si>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</si>
  <si>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</si>
  <si>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</si>
  <si>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</si>
  <si>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</si>
  <si>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</si>
  <si>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</si>
  <si>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</si>
  <si>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</si>
  <si>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</si>
  <si>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</si>
  <si>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</si>
  <si>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</si>
  <si>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</si>
  <si>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</si>
  <si>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</si>
  <si>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</si>
  <si>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</si>
  <si>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</si>
  <si>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</si>
  <si>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</si>
  <si>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</si>
  <si>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</si>
  <si>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</si>
  <si>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</si>
  <si>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</si>
  <si>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</si>
  <si>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</si>
  <si>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</si>
  <si>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</si>
  <si>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</si>
  <si>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</si>
  <si>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</si>
  <si>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</si>
  <si>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</si>
  <si>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</si>
  <si>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</si>
  <si>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</si>
  <si>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</si>
  <si>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</si>
  <si>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</si>
  <si>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</si>
  <si>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</si>
  <si>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</si>
  <si>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</si>
  <si>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</si>
  <si>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</si>
  <si>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</si>
  <si>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</si>
  <si>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</si>
  <si>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</si>
  <si>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</si>
  <si>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</si>
  <si>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</si>
  <si>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</si>
  <si>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</si>
  <si>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</si>
  <si>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</si>
  <si>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</si>
  <si>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</si>
  <si>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</si>
  <si>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</si>
  <si>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</si>
  <si>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</si>
  <si>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</si>
  <si>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</si>
  <si>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</si>
  <si>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</si>
  <si>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</si>
  <si>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</si>
  <si>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</si>
  <si>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</si>
  <si>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</si>
  <si>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</si>
  <si>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</si>
  <si>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</si>
  <si>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</si>
  <si>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</si>
  <si>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</si>
  <si>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</si>
  <si>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</si>
  <si>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</si>
  <si>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</si>
  <si>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</si>
  <si>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</si>
  <si>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</si>
  <si>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</si>
  <si>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</si>
  <si>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</si>
  <si>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</si>
  <si>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</si>
  <si>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</si>
  <si>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</si>
  <si>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</si>
  <si>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</si>
  <si>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</si>
  <si>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</si>
  <si>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</si>
  <si>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</si>
  <si>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</si>
  <si>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</si>
  <si>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</si>
  <si>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</si>
  <si>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</si>
  <si>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</si>
  <si>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</si>
  <si>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</si>
  <si>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</si>
  <si>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</si>
  <si>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</si>
  <si>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</si>
  <si>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</si>
  <si>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</si>
  <si>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</si>
  <si>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</si>
  <si>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</si>
  <si>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</si>
  <si>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</si>
  <si>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</si>
  <si>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</si>
  <si>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</si>
  <si>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</si>
  <si>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</si>
  <si>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</si>
  <si>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</si>
  <si>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</si>
  <si>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</si>
  <si>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</si>
  <si>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</si>
  <si>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</si>
  <si>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</si>
  <si>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</si>
  <si>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</si>
  <si>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</si>
  <si>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</si>
  <si>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</si>
  <si>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</si>
  <si>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</si>
  <si>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</si>
  <si>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</si>
  <si>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</si>
  <si>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</si>
  <si>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</si>
  <si>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</si>
  <si>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</si>
  <si>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</si>
  <si>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</si>
  <si>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</si>
  <si>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</si>
  <si>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</si>
  <si>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</si>
  <si>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</si>
  <si>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</si>
  <si>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</si>
  <si>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</si>
  <si>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</si>
  <si>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</si>
  <si>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</si>
  <si>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</si>
  <si>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</si>
  <si>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</si>
  <si>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</si>
  <si>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</si>
  <si>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</si>
  <si>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</si>
  <si>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</si>
  <si>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</si>
  <si>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</si>
  <si>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</si>
  <si>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</si>
  <si>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</si>
  <si>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</si>
  <si>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</si>
  <si>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</si>
  <si>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</si>
  <si>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</si>
  <si>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</si>
  <si>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</si>
  <si>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</si>
  <si>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</si>
  <si>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</si>
  <si>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</si>
  <si>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</si>
  <si>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</si>
  <si>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</si>
  <si>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</si>
  <si>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</si>
  <si>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</si>
  <si>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</si>
  <si>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</si>
  <si>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</si>
  <si>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</si>
  <si>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</si>
  <si>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</si>
  <si>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</si>
  <si>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</si>
  <si>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</si>
  <si>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</si>
  <si>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</si>
  <si>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</si>
  <si>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</si>
  <si>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</si>
  <si>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</si>
  <si>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</si>
  <si>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</si>
  <si>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</si>
  <si>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</si>
  <si>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</si>
  <si>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</si>
  <si>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</si>
  <si>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</si>
  <si>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</si>
  <si>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</si>
  <si>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</si>
  <si>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</si>
  <si>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</si>
  <si>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</si>
  <si>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</si>
  <si>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</si>
  <si>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</si>
  <si>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</si>
  <si>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</si>
  <si>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</si>
  <si>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</si>
  <si>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</si>
  <si>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</si>
  <si>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</si>
  <si>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</si>
  <si>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</si>
  <si>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</si>
  <si>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</si>
  <si>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</si>
  <si>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</si>
  <si>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</si>
  <si>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</si>
  <si>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</si>
  <si>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</si>
  <si>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</si>
  <si>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</si>
  <si>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</si>
  <si>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</si>
  <si>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</si>
  <si>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</si>
  <si>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</si>
  <si>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</si>
  <si>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</si>
  <si>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</si>
  <si>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</si>
  <si>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</si>
  <si>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</si>
  <si>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</si>
  <si>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</si>
  <si>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</si>
  <si>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</si>
  <si>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</si>
  <si>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</si>
  <si>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</si>
  <si>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</si>
  <si>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</si>
  <si>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</si>
  <si>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</si>
  <si>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</si>
  <si>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</si>
  <si>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</si>
  <si>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</si>
  <si>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</si>
  <si>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</si>
  <si>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</si>
  <si>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</si>
  <si>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</si>
  <si>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</si>
  <si>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</si>
  <si>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</si>
  <si>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</si>
  <si>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</si>
  <si>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</si>
  <si>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</si>
  <si>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</si>
  <si>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</si>
  <si>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</si>
  <si>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</si>
  <si>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</si>
  <si>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</si>
  <si>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</si>
  <si>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</si>
  <si>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</si>
  <si>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</si>
  <si>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</si>
  <si>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</si>
  <si>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</si>
  <si>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</si>
  <si>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</si>
  <si>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</si>
  <si>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</si>
  <si>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</si>
  <si>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</si>
  <si>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</si>
  <si>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</si>
  <si>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</si>
  <si>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</si>
  <si>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</si>
  <si>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</si>
  <si>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</si>
  <si>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</si>
  <si>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</si>
  <si>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</si>
  <si>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</si>
  <si>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</si>
  <si>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</si>
  <si>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</si>
  <si>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</si>
  <si>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</si>
  <si>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</si>
  <si>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</si>
  <si>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</si>
  <si>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</si>
  <si>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</si>
  <si>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</si>
  <si>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</si>
  <si>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</si>
  <si>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</si>
  <si>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</si>
  <si>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</si>
  <si>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</si>
  <si>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</si>
  <si>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</si>
  <si>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</si>
  <si>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</si>
  <si>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</si>
  <si>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</si>
  <si>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</si>
  <si>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</si>
  <si>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</si>
  <si>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</si>
  <si>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</si>
  <si>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</si>
  <si>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</si>
  <si>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</si>
  <si>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</si>
  <si>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</si>
  <si>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</si>
  <si>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</si>
  <si>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</si>
  <si>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</si>
  <si>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</si>
  <si>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</si>
  <si>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</si>
  <si>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</si>
  <si>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</si>
  <si>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</si>
  <si>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</si>
  <si>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</si>
  <si>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</si>
  <si>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</si>
  <si>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</si>
  <si>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</si>
  <si>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</si>
  <si>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</si>
  <si>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</si>
  <si>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</si>
  <si>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</si>
  <si>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</si>
  <si>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</si>
  <si>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</si>
  <si>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</si>
  <si>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</si>
  <si>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</si>
  <si>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</si>
  <si>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</si>
  <si>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</si>
  <si>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</si>
  <si>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</si>
  <si>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</si>
  <si>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</si>
  <si>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</si>
  <si>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</si>
  <si>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</si>
  <si>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</si>
  <si>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</si>
  <si>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</si>
  <si>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</si>
  <si>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</si>
  <si>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</si>
  <si>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</si>
  <si>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</si>
  <si>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</si>
  <si>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</si>
  <si>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</si>
  <si>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</si>
  <si>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</si>
  <si>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</si>
  <si>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</si>
  <si>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</si>
  <si>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</si>
  <si>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</si>
  <si>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</si>
  <si>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</si>
  <si>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</si>
  <si>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</si>
  <si>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</si>
  <si>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</si>
  <si>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</si>
  <si>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</si>
  <si>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</si>
  <si>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</si>
  <si>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</si>
  <si>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</si>
  <si>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</si>
  <si>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</si>
  <si>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</si>
  <si>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</si>
  <si>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</si>
  <si>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</si>
  <si>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</si>
  <si>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</si>
  <si>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</si>
  <si>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</si>
  <si>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</si>
  <si>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</si>
  <si>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</si>
  <si>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</si>
  <si>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</si>
  <si>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</si>
  <si>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</si>
  <si>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</si>
  <si>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</si>
  <si>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</si>
  <si>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</si>
  <si>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</si>
  <si>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</si>
  <si>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</si>
  <si>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</si>
  <si>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</si>
  <si>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</si>
  <si>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</si>
  <si>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</si>
  <si>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</si>
  <si>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</si>
  <si>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</si>
  <si>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</si>
  <si>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</si>
  <si>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</si>
  <si>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</si>
  <si>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</si>
  <si>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</si>
  <si>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</si>
  <si>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</si>
  <si>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</si>
  <si>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</si>
  <si>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</si>
  <si>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</si>
  <si>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</si>
  <si>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</si>
  <si>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</si>
  <si>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</si>
  <si>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</si>
  <si>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</si>
  <si>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</si>
  <si>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</si>
  <si>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</si>
  <si>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</si>
  <si>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</si>
  <si>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</si>
  <si>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</si>
  <si>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</si>
  <si>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</si>
  <si>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</si>
  <si>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</si>
  <si>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</si>
  <si>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</si>
  <si>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</si>
  <si>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</si>
  <si>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</si>
  <si>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</si>
  <si>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</si>
  <si>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</si>
  <si>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</si>
  <si>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</si>
  <si>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</si>
  <si>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</si>
  <si>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</si>
  <si>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</si>
  <si>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</si>
  <si>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</si>
  <si>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</si>
  <si>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</si>
  <si>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</si>
  <si>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</si>
  <si>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</si>
  <si>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</si>
  <si>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</si>
  <si>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</si>
  <si>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</si>
  <si>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</si>
  <si>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</si>
  <si>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</si>
  <si>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</si>
  <si>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</si>
  <si>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</si>
  <si>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</si>
  <si>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</si>
  <si>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</si>
  <si>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</si>
  <si>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</si>
  <si>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</si>
  <si>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</si>
  <si>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</si>
  <si>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</si>
  <si>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</si>
  <si>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</si>
  <si>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</si>
  <si>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</si>
  <si>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</si>
  <si>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</si>
  <si>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</si>
  <si>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</si>
  <si>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</si>
  <si>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</si>
  <si>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</si>
  <si>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</si>
  <si>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</si>
  <si>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</si>
  <si>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</si>
  <si>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</si>
  <si>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</si>
  <si>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</si>
  <si>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</si>
  <si>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</si>
  <si>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</si>
  <si>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</si>
  <si>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</si>
  <si>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</si>
  <si>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</si>
  <si>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</si>
  <si>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</si>
  <si>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</si>
  <si>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</si>
  <si>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</si>
  <si>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</si>
  <si>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</si>
  <si>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</si>
  <si>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</si>
  <si>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</si>
  <si>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</si>
  <si>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</si>
  <si>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</si>
  <si>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</si>
  <si>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</si>
  <si>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</si>
  <si>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</si>
  <si>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</si>
  <si>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</si>
  <si>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</si>
  <si>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</si>
  <si>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</si>
  <si>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</si>
  <si>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</si>
  <si>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</si>
  <si>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</si>
  <si>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</si>
  <si>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</si>
  <si>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</si>
  <si>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</si>
  <si>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</si>
  <si>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</si>
  <si>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</si>
  <si>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</si>
  <si>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</si>
  <si>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</si>
  <si>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</si>
  <si>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</si>
  <si>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</si>
  <si>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</si>
  <si>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</si>
  <si>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</si>
  <si>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</si>
  <si>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</si>
  <si>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</si>
  <si>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</si>
  <si>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</si>
  <si>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</si>
  <si>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</si>
  <si>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</si>
  <si>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</si>
  <si>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</si>
  <si>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</si>
  <si>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</si>
  <si>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</si>
  <si>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</si>
  <si>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</si>
  <si>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</si>
  <si>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</si>
  <si>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</si>
  <si>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</si>
  <si>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</si>
  <si>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</si>
  <si>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</si>
  <si>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</si>
  <si>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</si>
  <si>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</si>
  <si>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</si>
  <si>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</si>
  <si>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</si>
  <si>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</si>
  <si>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</si>
  <si>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</si>
  <si>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</si>
  <si>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</si>
  <si>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</si>
  <si>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</si>
  <si>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</si>
  <si>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</si>
  <si>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</si>
  <si>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</si>
  <si>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</si>
  <si>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</si>
  <si>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</si>
  <si>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</si>
  <si>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</si>
  <si>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</si>
  <si>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</si>
  <si>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</si>
  <si>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</si>
  <si>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</si>
  <si>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</si>
  <si>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</si>
  <si>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</si>
  <si>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</si>
  <si>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</si>
  <si>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</si>
  <si>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</si>
  <si>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</si>
  <si>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</si>
  <si>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</si>
  <si>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</si>
  <si>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</si>
  <si>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</si>
  <si>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</si>
  <si>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</si>
  <si>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</si>
  <si>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</si>
  <si>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</si>
  <si>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</si>
  <si>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</si>
  <si>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</si>
  <si>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</si>
  <si>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</si>
  <si>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</si>
  <si>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</si>
  <si>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</si>
  <si>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</si>
  <si>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</si>
  <si>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</si>
  <si>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</si>
  <si>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</si>
  <si>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</si>
  <si>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</si>
  <si>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</si>
  <si>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</si>
  <si>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</si>
  <si>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</si>
  <si>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</si>
  <si>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</si>
  <si>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</si>
  <si>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</si>
  <si>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</si>
  <si>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</si>
  <si>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</si>
  <si>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</si>
  <si>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</si>
  <si>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</si>
  <si>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</si>
  <si>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</si>
  <si>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</si>
  <si>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</si>
  <si>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</si>
  <si>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</si>
  <si>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</si>
  <si>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</si>
  <si>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</si>
  <si>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</si>
  <si>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</si>
  <si>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</si>
  <si>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</si>
  <si>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</si>
  <si>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</si>
  <si>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</si>
  <si>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</si>
  <si>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</si>
  <si>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</si>
  <si>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</si>
  <si>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</si>
  <si>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</si>
  <si>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</si>
  <si>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</si>
  <si>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</si>
  <si>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</si>
  <si>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</si>
  <si>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</si>
  <si>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</si>
  <si>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</si>
  <si>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</si>
  <si>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</si>
  <si>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</si>
  <si>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</si>
  <si>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</si>
  <si>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</si>
  <si>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</si>
  <si>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</si>
  <si>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</si>
  <si>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</si>
  <si>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</si>
  <si>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</si>
  <si>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</si>
  <si>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</si>
  <si>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</si>
  <si>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</si>
  <si>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</si>
  <si>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</si>
  <si>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</si>
  <si>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</si>
  <si>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</si>
  <si>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</si>
  <si>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</si>
  <si>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</si>
  <si>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</si>
  <si>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</si>
  <si>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</si>
  <si>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</si>
  <si>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</si>
  <si>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</si>
  <si>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</si>
  <si>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</si>
  <si>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</si>
  <si>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</si>
  <si>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</si>
  <si>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</si>
  <si>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</si>
  <si>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</si>
  <si>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</si>
  <si>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</si>
  <si>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</si>
  <si>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</si>
  <si>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</si>
  <si>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</si>
  <si>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</si>
  <si>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</si>
  <si>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</si>
  <si>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</si>
  <si>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</si>
  <si>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</si>
  <si>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</si>
  <si>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</si>
  <si>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</si>
  <si>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</si>
  <si>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</si>
  <si>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</si>
  <si>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</si>
  <si>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</si>
  <si>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</si>
  <si>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</si>
  <si>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</si>
  <si>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</si>
  <si>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</si>
  <si>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</si>
  <si>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</si>
  <si>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</si>
  <si>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</si>
  <si>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</si>
  <si>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</si>
  <si>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</si>
  <si>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</si>
  <si>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</si>
  <si>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</si>
  <si>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</si>
  <si>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</si>
  <si>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</si>
  <si>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</si>
  <si>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</si>
  <si>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</si>
  <si>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</si>
  <si>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</si>
  <si>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</si>
  <si>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</si>
  <si>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</si>
  <si>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</si>
  <si>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</si>
  <si>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</si>
  <si>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</si>
  <si>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</si>
  <si>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</si>
  <si>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</si>
  <si>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</si>
  <si>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</si>
  <si>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</si>
  <si>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</si>
  <si>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</si>
  <si>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</si>
  <si>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</si>
  <si>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</si>
  <si>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</si>
  <si>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</si>
  <si>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</si>
  <si>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</si>
  <si>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</si>
  <si>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</si>
  <si>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</si>
  <si>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</si>
  <si>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</si>
  <si>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</si>
  <si>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</si>
  <si>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</si>
  <si>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</si>
  <si>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</si>
  <si>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</si>
  <si>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</si>
  <si>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</si>
  <si>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</si>
  <si>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</si>
  <si>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</si>
  <si>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</si>
  <si>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</si>
  <si>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</si>
  <si>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</si>
  <si>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</si>
  <si>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</si>
  <si>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</si>
  <si>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</si>
  <si>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</si>
  <si>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</si>
  <si>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</si>
  <si>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</si>
  <si>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</si>
  <si>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</si>
  <si>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</si>
  <si>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</si>
  <si>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</si>
  <si>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</si>
  <si>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</si>
  <si>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</si>
  <si>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</si>
  <si>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</si>
  <si>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</si>
  <si>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</si>
  <si>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</si>
  <si>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</si>
  <si>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</si>
  <si>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</si>
  <si>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</si>
  <si>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</si>
  <si>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</si>
  <si>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</si>
  <si>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</si>
  <si>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</si>
  <si>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</si>
  <si>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</si>
  <si>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</si>
  <si>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</si>
  <si>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</si>
  <si>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</si>
  <si>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</si>
  <si>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</si>
  <si>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</si>
  <si>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</si>
  <si>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</si>
  <si>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</si>
  <si>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</si>
  <si>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</si>
  <si>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</si>
  <si>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</si>
  <si>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</si>
  <si>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</si>
  <si>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</si>
  <si>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</si>
  <si>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</si>
  <si>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</si>
  <si>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</si>
  <si>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</si>
  <si>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</si>
  <si>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</si>
  <si>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</si>
  <si>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</si>
  <si>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</si>
  <si>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</si>
  <si>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</si>
  <si>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</si>
  <si>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</si>
  <si>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</si>
  <si>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</si>
  <si>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</si>
  <si>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</si>
  <si>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</si>
  <si>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</si>
  <si>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</si>
  <si>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</si>
  <si>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</si>
  <si>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</si>
  <si>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</si>
  <si>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</si>
  <si>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</si>
  <si>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</si>
  <si>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</si>
  <si>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</si>
  <si>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</si>
  <si>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</si>
  <si>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</si>
  <si>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</si>
  <si>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</si>
  <si>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</si>
  <si>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</si>
  <si>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</si>
  <si>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</si>
  <si>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</si>
  <si>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</si>
  <si>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</si>
  <si>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</si>
  <si>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</si>
  <si>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</si>
  <si>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</si>
  <si>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</si>
  <si>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</si>
  <si>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</si>
  <si>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</si>
  <si>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</si>
  <si>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</si>
  <si>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</si>
  <si>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</si>
  <si>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</si>
  <si>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</si>
  <si>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</si>
  <si>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</si>
  <si>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</si>
  <si>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</si>
  <si>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</si>
  <si>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</si>
  <si>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</si>
  <si>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</si>
  <si>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</si>
  <si>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</si>
  <si>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</si>
  <si>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</si>
  <si>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</si>
  <si>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</si>
  <si>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</si>
  <si>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</si>
  <si>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</si>
  <si>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</si>
  <si>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</si>
  <si>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</si>
  <si>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</si>
  <si>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</si>
  <si>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</si>
  <si>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</si>
  <si>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</si>
  <si>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</si>
  <si>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</si>
  <si>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</si>
  <si>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</si>
  <si>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</si>
  <si>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</si>
  <si>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</si>
  <si>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</si>
  <si>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</si>
  <si>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</si>
  <si>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</si>
  <si>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</si>
  <si>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</si>
  <si>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</si>
  <si>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</si>
  <si>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</si>
  <si>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</si>
  <si>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</si>
  <si>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</si>
  <si>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</si>
  <si>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</si>
  <si>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</si>
  <si>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</si>
  <si>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</si>
  <si>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</si>
  <si>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</si>
  <si>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</si>
  <si>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</si>
  <si>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</si>
  <si>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</si>
  <si>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</si>
  <si>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</si>
  <si>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</si>
  <si>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</si>
  <si>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</si>
  <si>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</si>
  <si>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</si>
  <si>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</si>
  <si>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</si>
  <si>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</si>
  <si>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</si>
  <si>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</si>
  <si>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</si>
  <si>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</si>
  <si>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</si>
  <si>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</si>
  <si>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</si>
  <si>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</si>
  <si>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</si>
  <si>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</si>
  <si>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</si>
  <si>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</si>
  <si>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</si>
  <si>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</si>
  <si>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</si>
  <si>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</si>
  <si>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</si>
  <si>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</si>
  <si>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</si>
  <si>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</si>
  <si>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</si>
  <si>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</si>
  <si>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</si>
  <si>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</si>
  <si>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</si>
  <si>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</si>
  <si>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</si>
  <si>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</si>
  <si>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</si>
  <si>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</si>
  <si>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</si>
  <si>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</si>
  <si>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</si>
  <si>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</si>
  <si>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</si>
  <si>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</si>
  <si>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</si>
  <si>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</si>
  <si>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</si>
  <si>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</si>
  <si>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</si>
  <si>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</si>
  <si>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</si>
  <si>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</si>
  <si>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</si>
  <si>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</si>
  <si>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</si>
  <si>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</si>
  <si>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</si>
  <si>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</si>
  <si>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</si>
  <si>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</si>
  <si>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</si>
  <si>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</si>
  <si>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</si>
  <si>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</si>
  <si>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</si>
  <si>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</si>
  <si>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</si>
  <si>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</si>
  <si>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</si>
  <si>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</si>
  <si>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</si>
  <si>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</si>
  <si>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</si>
  <si>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</si>
  <si>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</si>
  <si>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</si>
  <si>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</si>
  <si>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</si>
  <si>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</si>
  <si>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</si>
  <si>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</si>
  <si>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</si>
  <si>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</si>
  <si>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</si>
  <si>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</si>
  <si>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</si>
  <si>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</si>
  <si>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</si>
  <si>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</si>
  <si>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</si>
  <si>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</si>
  <si>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</si>
  <si>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</si>
  <si>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</si>
  <si>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</si>
  <si>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</si>
  <si>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</si>
  <si>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</si>
  <si>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</si>
  <si>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</si>
  <si>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</si>
  <si>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</si>
  <si>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</si>
  <si>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</si>
  <si>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</si>
  <si>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</si>
  <si>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</si>
  <si>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</si>
  <si>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</si>
  <si>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</si>
  <si>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</si>
  <si>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</si>
  <si>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</si>
  <si>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</si>
  <si>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</si>
  <si>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</si>
  <si>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</si>
  <si>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</si>
  <si>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</si>
  <si>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</si>
  <si>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</si>
  <si>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</si>
  <si>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</si>
  <si>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</si>
  <si>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</si>
  <si>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</si>
  <si>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</si>
  <si>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</si>
  <si>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</si>
  <si>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</si>
  <si>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</si>
  <si>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</si>
  <si>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</si>
  <si>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</si>
  <si>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</si>
  <si>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</si>
  <si>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</si>
  <si>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</si>
  <si>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</si>
  <si>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</si>
  <si>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</si>
  <si>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</si>
  <si>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</si>
  <si>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</si>
  <si>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</si>
  <si>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</si>
  <si>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</si>
  <si>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</si>
  <si>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</si>
  <si>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</si>
  <si>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</si>
  <si>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</si>
  <si>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</si>
  <si>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</si>
  <si>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</si>
  <si>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</si>
  <si>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</si>
  <si>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</si>
  <si>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</si>
  <si>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</si>
  <si>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</si>
  <si>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</si>
  <si>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</si>
  <si>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</si>
  <si>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</si>
  <si>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</si>
  <si>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</si>
  <si>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</si>
  <si>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</si>
  <si>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</si>
  <si>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</si>
  <si>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</si>
  <si>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</si>
  <si>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</si>
  <si>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</si>
  <si>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</si>
  <si>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</si>
  <si>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</si>
  <si>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</si>
  <si>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</si>
  <si>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</si>
  <si>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</si>
  <si>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</si>
  <si>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</si>
  <si>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</si>
  <si>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</si>
  <si>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</si>
  <si>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</si>
  <si>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</si>
  <si>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</si>
  <si>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</si>
  <si>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</si>
  <si>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</si>
  <si>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</si>
  <si>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</si>
  <si>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</si>
  <si>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</si>
  <si>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</si>
  <si>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</si>
  <si>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</si>
  <si>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</si>
  <si>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</si>
  <si>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</si>
  <si>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</si>
  <si>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</si>
  <si>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</si>
  <si>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</si>
  <si>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</si>
  <si>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</si>
  <si>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</si>
  <si>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</si>
  <si>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</si>
  <si>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</si>
  <si>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</si>
  <si>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</si>
  <si>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</si>
  <si>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</si>
  <si>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</si>
  <si>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</si>
  <si>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</si>
  <si>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</si>
  <si>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</si>
  <si>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</si>
  <si>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</si>
  <si>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</si>
  <si>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</si>
  <si>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</si>
  <si>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</si>
  <si>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</si>
  <si>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</si>
  <si>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</si>
  <si>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</si>
  <si>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</si>
  <si>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</si>
  <si>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</si>
  <si>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</si>
  <si>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</si>
  <si>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</si>
  <si>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</si>
  <si>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</si>
  <si>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</si>
  <si>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</si>
  <si>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</si>
  <si>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</si>
  <si>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</si>
  <si>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</si>
  <si>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</si>
  <si>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</si>
  <si>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</si>
  <si>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</si>
  <si>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</si>
  <si>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</si>
  <si>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</si>
  <si>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</si>
  <si>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</si>
  <si>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</si>
  <si>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</si>
  <si>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</si>
  <si>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</si>
  <si>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</si>
  <si>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</si>
  <si>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</si>
  <si>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</si>
  <si>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</si>
  <si>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</si>
  <si>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</si>
  <si>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</si>
  <si>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</si>
  <si>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</si>
  <si>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</si>
  <si>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</si>
  <si>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</si>
  <si>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</si>
  <si>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</si>
  <si>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</si>
  <si>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</si>
  <si>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</si>
  <si>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</si>
  <si>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</si>
  <si>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</si>
  <si>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</si>
  <si>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</si>
  <si>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</si>
  <si>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</si>
  <si>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</si>
  <si>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</si>
  <si>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</si>
  <si>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</si>
  <si>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</si>
  <si>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</si>
  <si>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</si>
  <si>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</si>
  <si>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</si>
  <si>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</si>
  <si>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</si>
  <si>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</si>
  <si>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</si>
  <si>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</si>
  <si>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</si>
  <si>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</si>
  <si>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</si>
  <si>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</si>
  <si>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</si>
  <si>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</si>
  <si>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</si>
  <si>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</si>
  <si>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</si>
  <si>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</si>
  <si>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</si>
  <si>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</si>
  <si>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</si>
  <si>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</si>
  <si>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</si>
  <si>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</si>
  <si>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</si>
  <si>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</si>
  <si>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</si>
  <si>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</si>
  <si>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</si>
  <si>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</si>
  <si>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</si>
  <si>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</si>
  <si>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</si>
  <si>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</si>
  <si>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</si>
  <si>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</si>
  <si>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</si>
  <si>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</si>
  <si>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</si>
  <si>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</si>
  <si>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</si>
  <si>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</si>
  <si>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</si>
  <si>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</si>
  <si>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</si>
  <si>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</si>
  <si>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</si>
  <si>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</si>
  <si>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</si>
  <si>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</si>
  <si>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</si>
  <si>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</si>
  <si>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</si>
  <si>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</si>
  <si>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</si>
  <si>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</si>
  <si>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</si>
  <si>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</si>
  <si>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</si>
  <si>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</si>
  <si>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</si>
  <si>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</si>
  <si>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</si>
  <si>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</si>
  <si>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</si>
  <si>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</si>
  <si>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</si>
  <si>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</si>
  <si>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</si>
  <si>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</si>
  <si>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</si>
  <si>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</si>
  <si>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</si>
  <si>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</si>
  <si>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</si>
  <si>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</si>
  <si>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</si>
  <si>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</si>
  <si>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</si>
  <si>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</si>
  <si>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</si>
  <si>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</si>
  <si>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</si>
  <si>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</si>
  <si>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</si>
  <si>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</si>
  <si>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</si>
  <si>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</si>
  <si>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</si>
  <si>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</si>
  <si>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</si>
  <si>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</si>
  <si>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</si>
  <si>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</si>
  <si>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</si>
  <si>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</si>
  <si>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</si>
  <si>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</si>
  <si>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</si>
  <si>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</si>
  <si>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</si>
  <si>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</si>
  <si>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</si>
  <si>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</si>
  <si>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</si>
  <si>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</si>
  <si>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</si>
  <si>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</si>
  <si>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</si>
  <si>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</si>
  <si>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</si>
  <si>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</si>
  <si>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</si>
  <si>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</si>
  <si>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</si>
  <si>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</si>
  <si>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</si>
  <si>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</si>
  <si>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</si>
  <si>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</si>
  <si>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</si>
  <si>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</si>
  <si>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</si>
  <si>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</si>
  <si>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</si>
  <si>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</si>
  <si>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</si>
  <si>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</si>
  <si>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</si>
  <si>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</si>
  <si>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</si>
  <si>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</si>
  <si>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</si>
  <si>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</si>
  <si>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</si>
  <si>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</si>
  <si>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</si>
  <si>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</si>
  <si>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</si>
  <si>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</si>
  <si>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</si>
  <si>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</si>
  <si>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</si>
  <si>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</si>
  <si>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</si>
  <si>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</si>
  <si>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</si>
  <si>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</si>
  <si>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</si>
  <si>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</si>
  <si>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</si>
  <si>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</si>
  <si>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</si>
  <si>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</si>
  <si>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</si>
  <si>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</si>
  <si>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</si>
  <si>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</si>
  <si>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</si>
  <si>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</si>
  <si>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</si>
  <si>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</si>
  <si>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</si>
  <si>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</si>
  <si>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</si>
  <si>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</si>
  <si>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</si>
  <si>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</si>
  <si>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</si>
  <si>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</si>
  <si>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</si>
  <si>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</si>
  <si>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</si>
  <si>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</si>
  <si>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</si>
  <si>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</si>
  <si>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</si>
  <si>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</si>
  <si>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</si>
  <si>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</si>
  <si>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</si>
  <si>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</si>
  <si>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</si>
  <si>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</si>
  <si>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</si>
  <si>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</si>
  <si>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</si>
  <si>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</si>
  <si>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</si>
  <si>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</si>
  <si>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</si>
  <si>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</si>
  <si>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</si>
  <si>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</si>
  <si>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</si>
  <si>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</si>
  <si>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</si>
  <si>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</si>
  <si>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</si>
  <si>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</si>
  <si>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</si>
  <si>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</si>
  <si>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</si>
  <si>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</si>
  <si>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</si>
  <si>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</si>
  <si>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</si>
  <si>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</si>
  <si>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</si>
  <si>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</si>
  <si>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</si>
  <si>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</si>
  <si>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</si>
  <si>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</si>
  <si>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</si>
  <si>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</si>
  <si>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</si>
  <si>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</si>
  <si>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</si>
  <si>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</si>
  <si>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</si>
  <si>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</si>
  <si>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</si>
  <si>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</si>
  <si>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</si>
  <si>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</si>
  <si>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</si>
  <si>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</si>
  <si>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</si>
  <si>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</si>
  <si>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</si>
  <si>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</si>
  <si>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</si>
  <si>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</si>
  <si>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</si>
  <si>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</si>
  <si>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</si>
  <si>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</si>
  <si>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</si>
  <si>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</si>
  <si>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</si>
  <si>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</si>
  <si>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</si>
  <si>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</si>
  <si>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</si>
  <si>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</si>
  <si>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</si>
  <si>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</si>
  <si>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</si>
  <si>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</si>
  <si>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</si>
  <si>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</si>
  <si>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</si>
  <si>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</si>
  <si>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</si>
  <si>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</si>
  <si>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</si>
  <si>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</si>
  <si>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</si>
  <si>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</si>
  <si>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</si>
  <si>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</si>
  <si>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</si>
  <si>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</si>
  <si>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</si>
  <si>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</si>
  <si>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</si>
  <si>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</si>
  <si>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</si>
  <si>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</si>
  <si>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</si>
  <si>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</si>
  <si>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</si>
  <si>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</si>
  <si>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</si>
  <si>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</si>
  <si>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</si>
  <si>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</si>
  <si>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</si>
  <si>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</si>
  <si>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</si>
  <si>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</si>
  <si>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</si>
  <si>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</si>
  <si>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</si>
  <si>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</si>
  <si>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</si>
  <si>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</si>
  <si>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</si>
  <si>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</si>
  <si>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</si>
  <si>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</si>
  <si>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</si>
  <si>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</si>
  <si>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</si>
  <si>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</si>
  <si>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</si>
  <si>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</si>
  <si>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</si>
  <si>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</si>
  <si>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</si>
  <si>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</si>
  <si>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</si>
  <si>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</si>
  <si>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</si>
  <si>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</si>
  <si>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</si>
  <si>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</si>
  <si>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</si>
  <si>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</si>
  <si>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</si>
  <si>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</si>
  <si>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</si>
  <si>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</si>
  <si>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</si>
  <si>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</si>
  <si>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</si>
  <si>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</si>
  <si>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</si>
  <si>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</si>
  <si>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</si>
  <si>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</si>
  <si>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</si>
  <si>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</si>
  <si>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</si>
  <si>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</si>
  <si>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</si>
  <si>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</si>
  <si>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</si>
  <si>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</si>
  <si>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</si>
  <si>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</si>
  <si>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</si>
  <si>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</si>
  <si>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</si>
  <si>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</si>
  <si>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</si>
  <si>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</si>
  <si>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</si>
  <si>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</si>
  <si>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</si>
  <si>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</si>
  <si>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</si>
  <si>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</si>
  <si>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</si>
  <si>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</si>
  <si>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</si>
  <si>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</si>
  <si>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</si>
  <si>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</si>
  <si>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</si>
  <si>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</si>
  <si>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</si>
  <si>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</si>
  <si>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</si>
  <si>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</si>
  <si>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</si>
  <si>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</si>
  <si>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</si>
  <si>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</si>
  <si>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</si>
  <si>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</si>
  <si>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</si>
  <si>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</si>
  <si>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</si>
  <si>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</si>
  <si>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</si>
  <si>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</si>
  <si>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</si>
  <si>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</si>
  <si>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</si>
  <si>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</si>
  <si>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</si>
  <si>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</si>
  <si>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</si>
  <si>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</si>
  <si>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</si>
  <si>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</si>
  <si>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</si>
  <si>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</si>
  <si>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</si>
  <si>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</si>
  <si>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</si>
  <si>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</si>
  <si>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</si>
  <si>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</si>
  <si>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</si>
  <si>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</si>
  <si>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</si>
  <si>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</si>
  <si>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</si>
  <si>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</si>
  <si>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</si>
  <si>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</si>
  <si>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</si>
  <si>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</si>
  <si>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</si>
  <si>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</si>
  <si>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</si>
  <si>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</si>
  <si>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</si>
  <si>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</si>
  <si>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</si>
  <si>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</si>
  <si>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</si>
  <si>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</si>
  <si>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</si>
  <si>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</si>
  <si>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</si>
  <si>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</si>
  <si>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</si>
  <si>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</si>
  <si>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</si>
  <si>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</si>
  <si>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</si>
  <si>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</si>
  <si>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</si>
  <si>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</si>
  <si>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</si>
  <si>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</si>
  <si>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</si>
  <si>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</si>
  <si>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</si>
  <si>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</si>
  <si>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</si>
  <si>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</si>
  <si>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</si>
  <si>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</si>
  <si>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</si>
  <si>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</si>
  <si>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</si>
  <si>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</si>
  <si>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</si>
  <si>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</si>
  <si>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</si>
  <si>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</si>
  <si>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</si>
  <si>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</si>
  <si>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</si>
  <si>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</si>
  <si>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</si>
  <si>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</si>
  <si>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</si>
  <si>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</si>
  <si>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</si>
  <si>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</si>
  <si>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</si>
  <si>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</si>
  <si>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</si>
  <si>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</si>
  <si>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</si>
  <si>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</si>
  <si>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</si>
  <si>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</si>
  <si>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</si>
  <si>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</si>
  <si>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</si>
  <si>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</si>
  <si>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</si>
  <si>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</si>
  <si>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</si>
  <si>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</si>
  <si>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</si>
  <si>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</si>
  <si>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</si>
  <si>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</si>
  <si>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</si>
  <si>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</si>
  <si>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</si>
  <si>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</si>
  <si>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</si>
  <si>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</si>
  <si>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</si>
  <si>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</si>
  <si>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</si>
  <si>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</si>
  <si>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</si>
  <si>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</si>
  <si>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</si>
  <si>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</si>
  <si>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</si>
  <si>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</si>
  <si>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</si>
  <si>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</si>
  <si>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</si>
  <si>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</si>
  <si>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</si>
  <si>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</si>
  <si>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</si>
  <si>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</si>
  <si>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</si>
  <si>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</si>
  <si>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</si>
  <si>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</si>
  <si>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</si>
  <si>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</si>
  <si>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</si>
  <si>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</si>
  <si>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</si>
  <si>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</si>
  <si>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</si>
  <si>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</si>
  <si>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</si>
  <si>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</si>
  <si>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</si>
  <si>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</si>
  <si>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</si>
  <si>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</si>
  <si>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</si>
  <si>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</si>
  <si>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</si>
  <si>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</si>
  <si>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</si>
  <si>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</si>
  <si>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</si>
  <si>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</si>
  <si>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</si>
  <si>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</si>
  <si>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</si>
  <si>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</si>
  <si>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</si>
  <si>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</si>
  <si>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</si>
  <si>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</si>
  <si>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</si>
  <si>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</si>
  <si>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</si>
  <si>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</si>
  <si>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</si>
  <si>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</si>
  <si>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</si>
  <si>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</si>
  <si>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</si>
  <si>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</si>
  <si>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</si>
  <si>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</si>
  <si>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</si>
  <si>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</si>
  <si>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</si>
  <si>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</si>
  <si>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</si>
  <si>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</si>
  <si>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</si>
  <si>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</si>
  <si>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</si>
  <si>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</si>
  <si>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</si>
  <si>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</si>
  <si>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</si>
  <si>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</si>
  <si>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</si>
  <si>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</si>
  <si>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</si>
  <si>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</si>
  <si>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</si>
  <si>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</si>
  <si>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</si>
  <si>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</si>
  <si>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</si>
  <si>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</si>
  <si>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</si>
  <si>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</si>
  <si>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</si>
  <si>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</si>
  <si>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</si>
  <si>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</si>
  <si>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</si>
  <si>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</si>
  <si>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</si>
  <si>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</si>
  <si>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</si>
  <si>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</si>
  <si>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</si>
  <si>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</si>
  <si>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</si>
  <si>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</si>
  <si>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</si>
  <si>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</si>
  <si>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</si>
  <si>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</si>
  <si>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</si>
  <si>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</si>
  <si>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</si>
  <si>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</si>
  <si>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</si>
  <si>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</si>
  <si>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</si>
  <si>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</si>
  <si>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</si>
  <si>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</si>
  <si>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</si>
  <si>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</si>
  <si>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</si>
  <si>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</si>
  <si>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</si>
  <si>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</si>
  <si>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</si>
  <si>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</si>
  <si>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</si>
  <si>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</si>
  <si>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</si>
  <si>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</si>
  <si>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</si>
  <si>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</si>
  <si>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</si>
  <si>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</si>
  <si>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</si>
  <si>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</si>
  <si>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</si>
  <si>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</si>
  <si>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</si>
  <si>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</si>
  <si>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</si>
  <si>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</si>
  <si>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</si>
  <si>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</si>
  <si>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</si>
  <si>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</si>
  <si>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</si>
  <si>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</si>
  <si>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</si>
  <si>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</si>
  <si>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</si>
  <si>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</si>
  <si>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</si>
  <si>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</si>
  <si>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</si>
  <si>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</si>
  <si>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</si>
  <si>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</si>
  <si>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</si>
  <si>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</si>
  <si>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</si>
  <si>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</si>
  <si>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</si>
  <si>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</si>
  <si>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</si>
  <si>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</si>
  <si>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</si>
  <si>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</si>
  <si>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</si>
  <si>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</si>
  <si>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</si>
  <si>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</si>
  <si>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</si>
  <si>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</si>
  <si>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</si>
  <si>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</si>
  <si>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</si>
  <si>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</si>
  <si>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</si>
  <si>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</si>
  <si>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</si>
  <si>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</si>
  <si>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</si>
  <si>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</si>
  <si>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</si>
  <si>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</si>
  <si>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</si>
  <si>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</si>
  <si>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</si>
  <si>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</si>
  <si>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</si>
  <si>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</si>
  <si>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</si>
  <si>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</si>
  <si>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</si>
  <si>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</si>
  <si>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</si>
  <si>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</si>
  <si>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</si>
  <si>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</si>
  <si>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</si>
  <si>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</si>
  <si>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</si>
  <si>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</si>
  <si>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</si>
  <si>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</si>
  <si>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</si>
  <si>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</si>
  <si>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</si>
  <si>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</si>
  <si>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</si>
  <si>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</si>
  <si>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</si>
  <si>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</si>
  <si>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</si>
  <si>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</si>
  <si>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</si>
  <si>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</si>
  <si>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</si>
  <si>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</si>
  <si>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</si>
  <si>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</si>
  <si>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</si>
  <si>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</si>
  <si>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</si>
  <si>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</si>
  <si>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</si>
  <si>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</si>
  <si>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</si>
  <si>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</si>
  <si>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</si>
  <si>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</si>
  <si>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</si>
  <si>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</si>
  <si>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</si>
  <si>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</si>
  <si>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</si>
  <si>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</si>
  <si>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</si>
  <si>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</si>
  <si>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</si>
  <si>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</si>
  <si>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</si>
  <si>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</si>
  <si>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</si>
  <si>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</si>
  <si>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</si>
  <si>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</si>
  <si>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</si>
  <si>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</si>
  <si>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</si>
  <si>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</si>
  <si>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</si>
  <si>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</si>
  <si>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</si>
  <si>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</si>
  <si>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</si>
  <si>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</si>
  <si>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</si>
  <si>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</si>
  <si>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</si>
  <si>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</si>
  <si>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</si>
  <si>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</si>
  <si>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</si>
  <si>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</si>
  <si>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</si>
  <si>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</si>
  <si>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</si>
  <si>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</si>
  <si>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</si>
  <si>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</si>
  <si>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</si>
  <si>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</si>
  <si>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</si>
  <si>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</si>
  <si>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</si>
  <si>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</si>
  <si>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</si>
  <si>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</si>
  <si>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</si>
  <si>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</si>
  <si>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</si>
  <si>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</si>
  <si>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</si>
  <si>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</si>
  <si>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</si>
  <si>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</si>
  <si>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</si>
  <si>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</si>
  <si>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</si>
  <si>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</si>
  <si>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</si>
  <si>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</si>
  <si>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</si>
  <si>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</si>
  <si>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</si>
  <si>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</si>
  <si>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</si>
  <si>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</si>
  <si>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</si>
  <si>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</si>
  <si>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</si>
  <si>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</si>
  <si>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</si>
  <si>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</si>
  <si>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</si>
  <si>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</si>
  <si>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</si>
  <si>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</si>
  <si>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</si>
  <si>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</si>
  <si>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</si>
  <si>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</si>
  <si>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</si>
  <si>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</si>
  <si>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</si>
  <si>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</si>
  <si>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</si>
  <si>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</si>
  <si>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</si>
  <si>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</si>
  <si>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</si>
  <si>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</si>
  <si>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</si>
  <si>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</si>
  <si>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</si>
  <si>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</si>
  <si>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</si>
  <si>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</si>
  <si>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</si>
  <si>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</si>
  <si>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</si>
  <si>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</si>
  <si>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</si>
  <si>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</si>
  <si>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</si>
  <si>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</si>
  <si>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</si>
  <si>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</si>
  <si>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</si>
  <si>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</si>
  <si>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</si>
  <si>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</si>
  <si>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</si>
  <si>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</si>
  <si>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</si>
  <si>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</si>
  <si>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</si>
  <si>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</si>
  <si>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</si>
  <si>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</si>
  <si>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</si>
  <si>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</si>
  <si>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</si>
  <si>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</si>
  <si>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</si>
  <si>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</si>
  <si>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</si>
  <si>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</si>
  <si>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</si>
  <si>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</si>
  <si>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</si>
  <si>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</si>
  <si>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</si>
  <si>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</si>
  <si>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</si>
  <si>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</si>
  <si>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</si>
  <si>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</si>
  <si>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</si>
  <si>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</si>
  <si>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</si>
  <si>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</si>
  <si>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</si>
  <si>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</si>
  <si>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</si>
  <si>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</si>
  <si>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</si>
  <si>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</si>
  <si>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</si>
  <si>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AÃ©roports de Paris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</si>
  <si>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</si>
  <si>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</si>
  <si>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</si>
  <si>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</si>
  <si>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</si>
  <si>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</si>
  <si>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</si>
  <si>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</si>
  <si>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</si>
  <si>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</si>
  <si>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</si>
  <si>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</si>
  <si>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</si>
  <si>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 ElÃ©ctrica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</si>
  <si>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</si>
  <si>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</si>
  <si>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</si>
  <si>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</si>
  <si>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</si>
  <si>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</si>
  <si>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</si>
  <si>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</si>
  <si>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</si>
  <si>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</si>
  <si>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</si>
  <si>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</si>
  <si>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</si>
  <si>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</si>
  <si>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</si>
  <si>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</si>
  <si>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</si>
  <si>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</si>
  <si>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</si>
  <si>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</si>
  <si>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</si>
  <si>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</si>
  <si>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</si>
  <si>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</si>
  <si>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</si>
  <si>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</si>
  <si>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</si>
  <si>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</si>
  <si>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</si>
  <si>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</si>
  <si>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</si>
  <si>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</si>
  <si>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</si>
  <si>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</si>
  <si>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</si>
  <si>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</si>
  <si>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</si>
  <si>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</si>
  <si>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</si>
  <si>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</si>
  <si>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</si>
  <si>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</si>
  <si>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</si>
  <si>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</si>
  <si>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</si>
  <si>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</si>
  <si>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</si>
  <si>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</si>
  <si>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</si>
  <si>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</si>
  <si>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</si>
  <si>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EnagÃ¡s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</si>
  <si>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</si>
  <si>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</si>
  <si>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</si>
  <si>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</si>
  <si>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</si>
  <si>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</si>
  <si>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</si>
  <si>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</si>
  <si>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</si>
  <si>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</si>
  <si>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</si>
  <si>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</si>
  <si>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</si>
  <si>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CorporaciÃ³n AmÃ©rica Airports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</si>
  <si>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</si>
  <si>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</si>
  <si>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</si>
  <si>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</si>
  <si>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</si>
  <si>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</si>
  <si>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</si>
  <si>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</si>
  <si>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</si>
  <si>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</si>
  <si>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</si>
  <si>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</si>
  <si>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</si>
  <si>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Shikun &amp;amp</t>
  </si>
  <si>
    <t>IHS Towers</t>
  </si>
  <si>
    <t>IHS</t>
  </si>
  <si>
    <t>Antin Infrastructure Partners</t>
  </si>
  <si>
    <t>ANTIN.PA</t>
  </si>
  <si>
    <t>REN (Redes EnergÃ©ticas Nacionais)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</si>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</sst>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9" fillId="0" borderId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4" fillId="0" borderId="0" applyNumberFormat="0" applyFill="0" applyBorder="0" applyAlignment="0" applyProtection="0"/>
    <xf numFmtId="0" fontId="15" fillId="4" borderId="0" applyNumberFormat="0" applyBorder="0" applyAlignment="0" applyProtection="0"/>
    <xf numFmtId="0" fontId="16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7" applyNumberFormat="0" applyAlignment="0" applyProtection="0"/>
    <xf numFmtId="0" fontId="19" fillId="8" borderId="8" applyNumberFormat="0" applyAlignment="0" applyProtection="0"/>
    <xf numFmtId="0" fontId="20" fillId="8" borderId="7" applyNumberFormat="0" applyAlignment="0" applyProtection="0"/>
    <xf numFmtId="0" fontId="21" fillId="0" borderId="9" applyNumberFormat="0" applyFill="0" applyAlignment="0" applyProtection="0"/>
    <xf numFmtId="0" fontId="22" fillId="9" borderId="10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7" fillId="0" borderId="12" applyNumberFormat="0" applyFill="0" applyAlignment="0" applyProtection="0"/>
    <xf numFmtId="0" fontId="25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25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25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25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25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25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  <xf numFmtId="0" fontId="3" fillId="0" borderId="0"/>
    <xf numFmtId="0" fontId="3" fillId="10" borderId="11" applyNumberFormat="0" applyFont="0" applyAlignment="0" applyProtection="0"/>
  </cellStyleXfs>
  <cellXfs count="36">
    <xf numFmtId="0" fontId="0" fillId="0" borderId="0" xfId="0"/>
    <xf numFmtId="11" fontId="9" fillId="0" borderId="0" xfId="1"/>
    <xf numFmtId="0" fontId="7" fillId="0" borderId="0" xfId="0" applyFont="1"/>
    <xf numFmtId="0" fontId="6" fillId="0" borderId="0" xfId="0" applyFont="1"/>
    <xf numFmtId="0" fontId="8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3" xfId="0" applyFont="1" applyFill="1" applyBorder="1"/>
    <xf numFmtId="0" fontId="6" fillId="0" borderId="0" xfId="0" applyFont="1" applyAlignment="1">
      <alignment horizontal="center"/>
    </xf>
    <xf numFmtId="2" fontId="6" fillId="0" borderId="0" xfId="0" applyNumberFormat="1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4" fontId="6" fillId="0" borderId="0" xfId="0" applyNumberFormat="1" applyFont="1"/>
    <xf numFmtId="0" fontId="6" fillId="0" borderId="0" xfId="0" quotePrefix="1" applyFont="1"/>
    <xf numFmtId="0" fontId="7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right"/>
    </xf>
    <xf numFmtId="165" fontId="6" fillId="0" borderId="0" xfId="0" applyNumberFormat="1" applyFont="1"/>
    <xf numFmtId="3" fontId="6" fillId="0" borderId="0" xfId="0" applyNumberFormat="1" applyFont="1"/>
    <xf numFmtId="0" fontId="8" fillId="0" borderId="0" xfId="0" applyFont="1" applyAlignment="1">
      <alignment horizontal="center"/>
    </xf>
    <xf numFmtId="165" fontId="8" fillId="0" borderId="0" xfId="0" applyNumberFormat="1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0" fontId="7" fillId="3" borderId="1" xfId="0" applyFont="1" applyFill="1" applyBorder="1" applyAlignment="1">
      <alignment horizontal="center"/>
    </xf>
    <xf numFmtId="0" fontId="7" fillId="3" borderId="2" xfId="0" applyFont="1" applyFill="1" applyBorder="1"/>
    <xf numFmtId="0" fontId="7" fillId="3" borderId="2" xfId="0" applyFont="1" applyFill="1" applyBorder="1" applyAlignment="1">
      <alignment horizontal="right"/>
    </xf>
    <xf numFmtId="0" fontId="7" fillId="3" borderId="3" xfId="0" applyFont="1" applyFill="1" applyBorder="1"/>
    <xf numFmtId="0" fontId="10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42"/>
    <xf numFmtId="0" fontId="2" fillId="0" borderId="0" xfId="42" applyFont="1"/>
    <xf numFmtId="0" fontId="3" fillId="0" borderId="0" xfId="42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right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externalLink" Target="externalLinks/externalLink3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9" Type="http://schemas.openxmlformats.org/officeDocument/2006/relationships/externalLink" Target="externalLinks/externalLink22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A2" sqref="A2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+[1]Main!$K$2</f>
        <v>312.19</v>
      </c>
      <c r="F4" s="10">
        <f>+[1]Main!$K$4</f>
        <v>1006952.8886569099</v>
      </c>
      <c r="G4" s="10">
        <f>+[1]Main!$K$6-[1]Main!$K$5</f>
        <v>-29562</v>
      </c>
      <c r="H4" s="10">
        <f>+F4+G4</f>
        <v>977390.88865690993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+[2]Main!$J$2</f>
        <v>2420</v>
      </c>
      <c r="F5" s="10">
        <f>+[2]Main!$J$4*FX!C6</f>
        <v>260582.97971111999</v>
      </c>
      <c r="G5" s="10">
        <f>+([2]Main!$J$6-[2]Main!$J$5)*FX!C6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+[3]Main!$I$2</f>
        <v>372</v>
      </c>
      <c r="F6" s="10">
        <f>+[3]Main!$I$4*FX!C4</f>
        <v>151555.88501088004</v>
      </c>
      <c r="G6" s="10">
        <f>+([3]Main!$I$6-[3]Main!$I$5)*FX!C4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+[4]Main!$H$2</f>
        <v>399</v>
      </c>
      <c r="F7" s="10">
        <f>+[4]Main!$H$4*FX!C3</f>
        <v>78280.320719999989</v>
      </c>
      <c r="G7" s="10">
        <f>+([4]Main!$H$6-[4]Main!$H$5)*FX!C3</f>
        <v>1727.2881199999999</v>
      </c>
      <c r="H7" s="10">
        <f>+F7+G7</f>
        <v>80007.608839999986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+[5]Main!$J$2</f>
        <v>101.45</v>
      </c>
      <c r="F11" s="10">
        <f>+[5]Main!$J$4*FX!C3</f>
        <v>54880.578330171506</v>
      </c>
      <c r="G11" s="10">
        <f>+([5]Main!$J$6-[5]Main!$J$5)*FX!C3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+[6]Main!$I$2</f>
        <v>49.8</v>
      </c>
      <c r="F13" s="10">
        <f>+[6]Main!$I$4</f>
        <v>49551.094171799996</v>
      </c>
      <c r="G13" s="10">
        <f>+[6]Main!$I$6-[6]Main!$I$5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+[7]Main!$I$2</f>
        <v>10.039999999999999</v>
      </c>
      <c r="F15" s="10">
        <f>+[7]Main!$I$4</f>
        <v>39910.807471079999</v>
      </c>
      <c r="G15" s="10">
        <f>+[7]Main!$I$6-[7]Main!$I$5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+[8]Main!$I$2</f>
        <v>0.74150000000000005</v>
      </c>
      <c r="F54" s="10">
        <f>+[8]Main!$I$4*FX!C5</f>
        <v>796.21973400000002</v>
      </c>
      <c r="G54" s="10">
        <f>+([8]Main!$I$6-[8]Main!$I$5)*FX!C5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B13" sqref="B13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+[9]Main!$H$2</f>
        <v>1255</v>
      </c>
      <c r="F4" s="18">
        <f>+[9]Main!$H$4*FX!C7</f>
        <v>1008767.745</v>
      </c>
      <c r="G4" s="18">
        <f>+([9]Main!$H$6-[9]Main!$H$5)*FX!C7</f>
        <v>-52442.080000000002</v>
      </c>
      <c r="H4" s="18">
        <f t="shared" ref="H4:H10" si="0">+F4+G4</f>
        <v>956325.66500000004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+[1]Main!$K$2</f>
        <v>312.19</v>
      </c>
      <c r="F5" s="10">
        <f>+[1]Main!$K$4</f>
        <v>1006952.8886569099</v>
      </c>
      <c r="G5" s="10">
        <f>+[1]Main!$K$6-[1]Main!$K$5</f>
        <v>-29562</v>
      </c>
      <c r="H5" s="10">
        <f t="shared" si="0"/>
        <v>977390.88865690993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+[10]Main!$J$2</f>
        <v>71500</v>
      </c>
      <c r="F6" s="10">
        <f>+[10]Main!$J$4*FX!C8</f>
        <v>294131.1097725</v>
      </c>
      <c r="G6" s="10">
        <f>+([10]Main!$J$6-[10]Main!$J$5)*FX!C8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+[2]Main!$J$2</f>
        <v>2420</v>
      </c>
      <c r="F7" s="10">
        <f>+[2]Main!$J$4*FX!C6</f>
        <v>260582.97971111999</v>
      </c>
      <c r="G7" s="10">
        <f>+([2]Main!$J$6-[2]Main!$J$5)*FX!C8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+[11]Main!$J$2</f>
        <v>298.69</v>
      </c>
      <c r="F8" s="10">
        <f>+[11]Main!$J$4</f>
        <v>142753.51624856002</v>
      </c>
      <c r="G8" s="10">
        <f>+[11]Main!$J$6-[11]Main!$J$5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+[12]Main!$I$2</f>
        <v>56.2</v>
      </c>
      <c r="F9" s="10">
        <f>+[12]Main!$I$5*FX!C4</f>
        <v>187067.70580176005</v>
      </c>
      <c r="G9" s="10">
        <f>+([12]Main!$I$7-[12]Main!$I$6)*FX!C4</f>
        <v>-11416.8614</v>
      </c>
      <c r="H9" s="10">
        <f t="shared" si="0"/>
        <v>175650.84440176006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+[3]Main!$I$2</f>
        <v>372</v>
      </c>
      <c r="F10" s="10">
        <f>+[3]Main!$I$4*FX!C4</f>
        <v>151555.88501088004</v>
      </c>
      <c r="G10" s="10">
        <f>+([3]Main!$I$6-[3]Main!$I$5)*FX!C4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+[13]Main!$H$2</f>
        <v>485.5</v>
      </c>
      <c r="F12" s="10">
        <f>+[13]Main!$H$4</f>
        <v>131849.79941100001</v>
      </c>
      <c r="G12" s="10">
        <f>+[13]Main!$H$6-[13]Main!$H$5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+[14]Main!$I$2</f>
        <v>215.01</v>
      </c>
      <c r="F13" s="10">
        <f>+[14]Main!$I$4</f>
        <v>162118.71696474002</v>
      </c>
      <c r="G13" s="10">
        <f>+[14]Main!$I$6-[14]Main!$I$5</f>
        <v>29944</v>
      </c>
      <c r="H13" s="10">
        <f>+F13+G13</f>
        <v>192062.71696474002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+[15]Main!$K$2</f>
        <v>475.99</v>
      </c>
      <c r="F14" s="10">
        <f>+[15]Main!$K$4</f>
        <v>113456.02584797</v>
      </c>
      <c r="G14" s="10">
        <f>+[15]Main!$K$6-[15]Main!$K$5</f>
        <v>16592.142</v>
      </c>
      <c r="H14" s="10">
        <f>+F14+G14</f>
        <v>130048.16784797001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+[16]Main!$J$2</f>
        <v>176.33</v>
      </c>
      <c r="F15" s="10">
        <f>+[16]Main!$J$4</f>
        <v>105088.53324739002</v>
      </c>
      <c r="G15" s="10">
        <f>+[16]Main!$J$6-[16]Main!$J$5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+[17]Main!$L$2</f>
        <v>0</v>
      </c>
      <c r="F16" s="10">
        <f>+[17]Main!$L$4</f>
        <v>0</v>
      </c>
      <c r="G16" s="10" t="e">
        <f>+[17]Main!$L$6-[17]Main!$L$5</f>
        <v>#VALUE!</v>
      </c>
      <c r="H16" s="10" t="e">
        <f>+F16+G16</f>
        <v>#VALUE!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+[18]Main!$J$2</f>
        <v>134.80000000000001</v>
      </c>
      <c r="F88" s="10">
        <f>+[18]Main!$J$4</f>
        <v>14470.152910400002</v>
      </c>
      <c r="G88" s="10">
        <f>+[18]Main!$J$6-[18]Main!$J$5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4" activePane="bottomLeft" state="frozen"/>
      <selection pane="bottomLeft" activeCell="G1" sqref="G1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90.18</v>
      </c>
      <c r="F4" s="10">
        <f>+[19]Main!$H$4</f>
        <v>188063.05620167998</v>
      </c>
      <c r="G4" s="10">
        <f>+[19]Main!$H$6-[19]Main!$H$5</f>
        <v>1370</v>
      </c>
      <c r="H4" s="10">
        <f>+F4+G4</f>
        <v>189433.05620167998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tabSelected="1" topLeftCell="A34" zoomScale="200" zoomScaleNormal="200" workbookViewId="0">
      <selection activeCell="D45" sqref="D45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34" t="s">
        <v>202</v>
      </c>
      <c r="D4" s="34" t="s">
        <v>2</v>
      </c>
      <c r="E4" s="3">
        <f>+[14]Main!$I$2</f>
        <v>215.01</v>
      </c>
      <c r="F4" s="10">
        <f>+[14]Main!$I$4</f>
        <v>162118.71696474002</v>
      </c>
      <c r="G4" s="10">
        <f>+[14]Main!$I$6-[14]Main!$I$5</f>
        <v>29944</v>
      </c>
      <c r="H4" s="10">
        <f>+F4+G4</f>
        <v>192062.71696474002</v>
      </c>
      <c r="I4" s="35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+[29]Main!$H$3</f>
        <v>118.44</v>
      </c>
      <c r="F5" s="10">
        <f>+[29]Main!$H$5</f>
        <v>157553.55050904001</v>
      </c>
      <c r="G5" s="10">
        <f>+[29]Main!$H$7-[29]Main!$H$6</f>
        <v>36140</v>
      </c>
      <c r="H5" s="10">
        <f>F5+G5</f>
        <v>193693.55050904001</v>
      </c>
      <c r="I5" s="11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4" si="0">+A5+1</f>
        <v>3</v>
      </c>
      <c r="B6" s="1" t="s">
        <v>344</v>
      </c>
      <c r="C6" s="3" t="s">
        <v>200</v>
      </c>
      <c r="D6" s="3" t="s">
        <v>2</v>
      </c>
      <c r="E6" s="10">
        <f>+[15]Main!$K$2</f>
        <v>475.99</v>
      </c>
      <c r="F6" s="10">
        <f>+[15]Main!$K$4</f>
        <v>113456.02584797</v>
      </c>
      <c r="G6" s="10">
        <f>+[15]Main!$K$6-[15]Main!$K$5</f>
        <v>16592.142</v>
      </c>
      <c r="H6" s="10">
        <f>F6+G6</f>
        <v>130048.16784797001</v>
      </c>
      <c r="I6" s="11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+[30]Main!$K$3</f>
        <v>198.13</v>
      </c>
      <c r="F7" s="10">
        <f>+[30]Main!$K$5</f>
        <v>128719.35485599999</v>
      </c>
      <c r="G7" s="10">
        <f>+[30]Main!$K$7-[30]Main!$K$6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+[31]Main!$H$2</f>
        <v>304.8</v>
      </c>
      <c r="F9" s="10">
        <f>+[31]Main!$H$4</f>
        <v>83752.206079199997</v>
      </c>
      <c r="G9" s="10">
        <f>+[31]Main!$H$6-[31]Main!$H$5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+[32]Main!$K$2</f>
        <v>519.92999999999995</v>
      </c>
      <c r="F10" s="10">
        <f>+[32]Main!$K$4</f>
        <v>76037.290752779998</v>
      </c>
      <c r="G10" s="10">
        <f>+[32]Main!$K$6-[32]Main!$K$5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+[33]Main!$I$3</f>
        <v>227.23</v>
      </c>
      <c r="F12" s="10">
        <f>+[33]Main!$I$5</f>
        <v>43106.710323699997</v>
      </c>
      <c r="G12" s="10">
        <f>+[33]Main!$I$7-[33]Main!$I$6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+[34]Main!$K$2</f>
        <v>628.66999999999996</v>
      </c>
      <c r="F14" s="10">
        <f>+[34]Main!$K$4</f>
        <v>48170.74863622</v>
      </c>
      <c r="G14" s="10">
        <f>+[34]Main!$K$6-[34]Main!$K$5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+[35]Main!$I$2</f>
        <v>1332</v>
      </c>
      <c r="F17" s="10">
        <f>+[35]Main!$I$4*FX!C3</f>
        <v>62576.028000000013</v>
      </c>
      <c r="G17" s="10">
        <f>+([35]Main!$I$6-[35]Main!$I$5)*FX!C3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+[36]Main!$I$2</f>
        <v>265.20999999999998</v>
      </c>
      <c r="F22" s="10">
        <f>+[36]Main!$I$4</f>
        <v>10400.271678719999</v>
      </c>
      <c r="G22" s="10">
        <f>+[36]Main!$I$6-[36]Main!$I$5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+[37]Main!$K$2</f>
        <v>52.3</v>
      </c>
      <c r="F41" s="10">
        <f>+[37]Main!$K$4</f>
        <v>2580.9004</v>
      </c>
      <c r="G41" s="10">
        <f>+[37]Main!$K$6-[37]Main!$K$5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+[38]Main!$I$2</f>
        <v>8.2799999999999994</v>
      </c>
      <c r="F42" s="10">
        <f>+[38]Main!$I$4</f>
        <v>367.14994667999997</v>
      </c>
      <c r="G42" s="10">
        <f>+[38]Main!$I$6-[38]Main!$I$5</f>
        <v>72.963999999999999</v>
      </c>
      <c r="H42" s="10">
        <f>+F42+G42</f>
        <v>440.11394667999997</v>
      </c>
      <c r="I42" s="29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2487</v>
      </c>
      <c r="C43" s="34" t="s">
        <v>2488</v>
      </c>
      <c r="D43" s="34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34" t="s">
        <v>2489</v>
      </c>
      <c r="C44" s="34" t="s">
        <v>2490</v>
      </c>
      <c r="D44" s="34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27" t="s">
        <v>413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 t="s">
        <v>414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AG133"/>
  <sheetViews>
    <sheetView zoomScale="200" zoomScaleNormal="200" workbookViewId="0">
      <pane ySplit="3" topLeftCell="A4" activePane="bottomLeft" state="frozen"/>
      <selection pane="bottomLeft" activeCell="B5" sqref="B5"/>
    </sheetView>
  </sheetViews>
  <sheetFormatPr defaultRowHeight="15" x14ac:dyDescent="0.25"/>
  <cols>
    <col min="1" max="1" width="5.140625" customWidth="1"/>
    <col min="2" max="2" width="29.5703125" customWidth="1"/>
    <col min="4" max="4" width="19.42578125" bestFit="1" customWidth="1"/>
  </cols>
  <sheetData>
    <row r="1" spans="1:33" s="4" customFormat="1" ht="13.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s="4" customFormat="1" ht="13.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3">
        <v>1</v>
      </c>
      <c r="B4" s="1" t="s">
        <v>2221</v>
      </c>
      <c r="C4" s="31" t="s">
        <v>2223</v>
      </c>
      <c r="D4" s="31" t="s">
        <v>2447</v>
      </c>
      <c r="E4">
        <f>+[39]Main!$H$2</f>
        <v>21.5</v>
      </c>
      <c r="F4">
        <f>+[39]Main!$H$4</f>
        <v>3042.9942225</v>
      </c>
      <c r="G4">
        <f>+[39]Main!$H$6-[39]Main!$H$5</f>
        <v>1628.3149999999998</v>
      </c>
      <c r="H4">
        <f>+F4+G4</f>
        <v>4671.3092225</v>
      </c>
      <c r="I4" s="30" t="s">
        <v>2218</v>
      </c>
    </row>
    <row r="5" spans="1:33" x14ac:dyDescent="0.25">
      <c r="A5" s="33">
        <f t="shared" ref="A5:A68" si="0">+A4+1</f>
        <v>2</v>
      </c>
      <c r="B5" s="1" t="s">
        <v>2220</v>
      </c>
      <c r="C5" s="31" t="s">
        <v>2222</v>
      </c>
      <c r="D5" s="31" t="s">
        <v>2447</v>
      </c>
      <c r="E5">
        <f>+[40]Main!$I$2</f>
        <v>20.58</v>
      </c>
      <c r="F5">
        <f>+[40]Main!$I$4</f>
        <v>2203.2937298399997</v>
      </c>
      <c r="G5">
        <f>+[40]Main!$I$6-[40]Main!$I$5</f>
        <v>889.94399999999996</v>
      </c>
      <c r="H5">
        <f>+F5+G5</f>
        <v>3093.2377298399997</v>
      </c>
      <c r="I5" s="30" t="s">
        <v>2218</v>
      </c>
    </row>
    <row r="6" spans="1:33" x14ac:dyDescent="0.25">
      <c r="A6" s="33">
        <f t="shared" si="0"/>
        <v>3</v>
      </c>
      <c r="B6" s="32" t="s">
        <v>420</v>
      </c>
      <c r="C6" s="31" t="s">
        <v>421</v>
      </c>
      <c r="D6" s="31" t="s">
        <v>2447</v>
      </c>
    </row>
    <row r="7" spans="1:33" x14ac:dyDescent="0.25">
      <c r="A7" s="33">
        <f t="shared" si="0"/>
        <v>4</v>
      </c>
      <c r="B7" s="31" t="s">
        <v>2224</v>
      </c>
      <c r="C7" s="31" t="s">
        <v>2225</v>
      </c>
      <c r="D7" s="31" t="s">
        <v>2447</v>
      </c>
    </row>
    <row r="8" spans="1:33" x14ac:dyDescent="0.25">
      <c r="A8" s="33">
        <f t="shared" si="0"/>
        <v>5</v>
      </c>
      <c r="B8" s="31" t="s">
        <v>2226</v>
      </c>
      <c r="C8" s="31" t="s">
        <v>2227</v>
      </c>
      <c r="D8" s="31" t="s">
        <v>2448</v>
      </c>
    </row>
    <row r="9" spans="1:33" x14ac:dyDescent="0.25">
      <c r="A9" s="33">
        <f t="shared" si="0"/>
        <v>6</v>
      </c>
      <c r="B9" s="31" t="s">
        <v>424</v>
      </c>
      <c r="C9" s="31" t="s">
        <v>425</v>
      </c>
      <c r="D9" s="31" t="s">
        <v>2449</v>
      </c>
    </row>
    <row r="10" spans="1:33" x14ac:dyDescent="0.25">
      <c r="A10" s="33">
        <f t="shared" si="0"/>
        <v>7</v>
      </c>
      <c r="B10" s="31" t="s">
        <v>2228</v>
      </c>
      <c r="C10" s="31" t="s">
        <v>2229</v>
      </c>
      <c r="D10" s="31" t="s">
        <v>2447</v>
      </c>
    </row>
    <row r="11" spans="1:33" x14ac:dyDescent="0.25">
      <c r="A11" s="33">
        <f t="shared" si="0"/>
        <v>8</v>
      </c>
      <c r="B11" s="31" t="s">
        <v>428</v>
      </c>
      <c r="C11" s="31" t="s">
        <v>429</v>
      </c>
      <c r="D11" s="31" t="s">
        <v>2447</v>
      </c>
    </row>
    <row r="12" spans="1:33" x14ac:dyDescent="0.25">
      <c r="A12" s="33">
        <f t="shared" si="0"/>
        <v>9</v>
      </c>
      <c r="B12" s="31" t="s">
        <v>430</v>
      </c>
      <c r="C12" s="31" t="s">
        <v>431</v>
      </c>
      <c r="D12" s="31" t="s">
        <v>2447</v>
      </c>
    </row>
    <row r="13" spans="1:33" x14ac:dyDescent="0.25">
      <c r="A13" s="33">
        <f t="shared" si="0"/>
        <v>10</v>
      </c>
      <c r="B13" s="31" t="s">
        <v>434</v>
      </c>
      <c r="C13" s="31" t="s">
        <v>435</v>
      </c>
      <c r="D13" s="31" t="s">
        <v>2449</v>
      </c>
    </row>
    <row r="14" spans="1:33" x14ac:dyDescent="0.25">
      <c r="A14" s="33">
        <f t="shared" si="0"/>
        <v>11</v>
      </c>
      <c r="B14" s="31" t="s">
        <v>2230</v>
      </c>
      <c r="C14" s="31" t="s">
        <v>2231</v>
      </c>
      <c r="D14" s="31" t="s">
        <v>2447</v>
      </c>
    </row>
    <row r="15" spans="1:33" x14ac:dyDescent="0.25">
      <c r="A15" s="33">
        <f t="shared" si="0"/>
        <v>12</v>
      </c>
      <c r="B15" s="31" t="s">
        <v>2232</v>
      </c>
      <c r="C15" s="31" t="s">
        <v>2233</v>
      </c>
      <c r="D15" s="31" t="s">
        <v>2450</v>
      </c>
    </row>
    <row r="16" spans="1:33" x14ac:dyDescent="0.25">
      <c r="A16" s="33">
        <f t="shared" si="0"/>
        <v>13</v>
      </c>
      <c r="B16" s="31" t="s">
        <v>2234</v>
      </c>
      <c r="C16" s="31" t="s">
        <v>2235</v>
      </c>
      <c r="D16" s="31" t="s">
        <v>2447</v>
      </c>
    </row>
    <row r="17" spans="1:4" x14ac:dyDescent="0.25">
      <c r="A17" s="33">
        <f t="shared" si="0"/>
        <v>14</v>
      </c>
      <c r="B17" s="31" t="s">
        <v>2236</v>
      </c>
      <c r="C17" s="31" t="s">
        <v>2237</v>
      </c>
      <c r="D17" s="31" t="s">
        <v>2450</v>
      </c>
    </row>
    <row r="18" spans="1:4" x14ac:dyDescent="0.25">
      <c r="A18" s="33">
        <f t="shared" si="0"/>
        <v>15</v>
      </c>
      <c r="B18" s="31" t="s">
        <v>2238</v>
      </c>
      <c r="C18" s="31" t="s">
        <v>2239</v>
      </c>
      <c r="D18" s="31" t="s">
        <v>2451</v>
      </c>
    </row>
    <row r="19" spans="1:4" x14ac:dyDescent="0.25">
      <c r="A19" s="33">
        <f t="shared" si="0"/>
        <v>16</v>
      </c>
      <c r="B19" s="31" t="s">
        <v>2240</v>
      </c>
      <c r="C19" s="31" t="s">
        <v>2241</v>
      </c>
      <c r="D19" s="31" t="s">
        <v>2452</v>
      </c>
    </row>
    <row r="20" spans="1:4" x14ac:dyDescent="0.25">
      <c r="A20" s="33">
        <f t="shared" si="0"/>
        <v>17</v>
      </c>
      <c r="B20" s="31" t="s">
        <v>2242</v>
      </c>
      <c r="C20" s="31" t="s">
        <v>2243</v>
      </c>
      <c r="D20" s="31" t="s">
        <v>2453</v>
      </c>
    </row>
    <row r="21" spans="1:4" x14ac:dyDescent="0.25">
      <c r="A21" s="33">
        <f t="shared" si="0"/>
        <v>18</v>
      </c>
      <c r="B21" s="31" t="s">
        <v>2244</v>
      </c>
      <c r="C21" s="31" t="s">
        <v>2245</v>
      </c>
      <c r="D21" s="31" t="s">
        <v>2454</v>
      </c>
    </row>
    <row r="22" spans="1:4" x14ac:dyDescent="0.25">
      <c r="A22" s="33">
        <f t="shared" si="0"/>
        <v>19</v>
      </c>
      <c r="B22" s="31" t="s">
        <v>460</v>
      </c>
      <c r="C22" s="31" t="s">
        <v>461</v>
      </c>
      <c r="D22" s="31" t="s">
        <v>2449</v>
      </c>
    </row>
    <row r="23" spans="1:4" x14ac:dyDescent="0.25">
      <c r="A23" s="33">
        <f t="shared" si="0"/>
        <v>20</v>
      </c>
      <c r="B23" s="31" t="s">
        <v>2246</v>
      </c>
      <c r="C23" s="31" t="s">
        <v>2247</v>
      </c>
      <c r="D23" s="31" t="s">
        <v>2447</v>
      </c>
    </row>
    <row r="24" spans="1:4" x14ac:dyDescent="0.25">
      <c r="A24" s="33">
        <f t="shared" si="0"/>
        <v>21</v>
      </c>
      <c r="B24" s="31" t="s">
        <v>2248</v>
      </c>
      <c r="C24" s="31" t="s">
        <v>2249</v>
      </c>
      <c r="D24" s="31" t="s">
        <v>2455</v>
      </c>
    </row>
    <row r="25" spans="1:4" x14ac:dyDescent="0.25">
      <c r="A25" s="33">
        <f t="shared" si="0"/>
        <v>22</v>
      </c>
      <c r="B25" s="31" t="s">
        <v>2250</v>
      </c>
      <c r="C25" s="31" t="s">
        <v>2251</v>
      </c>
      <c r="D25" s="31" t="s">
        <v>2455</v>
      </c>
    </row>
    <row r="26" spans="1:4" x14ac:dyDescent="0.25">
      <c r="A26" s="33">
        <f t="shared" si="0"/>
        <v>23</v>
      </c>
      <c r="B26" s="31" t="s">
        <v>2252</v>
      </c>
      <c r="C26" s="31" t="s">
        <v>2253</v>
      </c>
      <c r="D26" s="31" t="s">
        <v>2451</v>
      </c>
    </row>
    <row r="27" spans="1:4" x14ac:dyDescent="0.25">
      <c r="A27" s="33">
        <f t="shared" si="0"/>
        <v>24</v>
      </c>
      <c r="B27" s="31" t="s">
        <v>2254</v>
      </c>
      <c r="C27" s="31" t="s">
        <v>2255</v>
      </c>
      <c r="D27" s="31" t="s">
        <v>2453</v>
      </c>
    </row>
    <row r="28" spans="1:4" x14ac:dyDescent="0.25">
      <c r="A28" s="33">
        <f t="shared" si="0"/>
        <v>25</v>
      </c>
      <c r="B28" s="31" t="s">
        <v>2256</v>
      </c>
      <c r="C28" s="31" t="s">
        <v>2257</v>
      </c>
      <c r="D28" s="31" t="s">
        <v>2456</v>
      </c>
    </row>
    <row r="29" spans="1:4" x14ac:dyDescent="0.25">
      <c r="A29" s="33">
        <f t="shared" si="0"/>
        <v>26</v>
      </c>
      <c r="B29" s="31" t="s">
        <v>504</v>
      </c>
      <c r="C29" s="31" t="s">
        <v>505</v>
      </c>
      <c r="D29" s="31" t="s">
        <v>2447</v>
      </c>
    </row>
    <row r="30" spans="1:4" x14ac:dyDescent="0.25">
      <c r="A30" s="33">
        <f t="shared" si="0"/>
        <v>27</v>
      </c>
      <c r="B30" s="31" t="s">
        <v>2258</v>
      </c>
      <c r="C30" s="31" t="s">
        <v>2259</v>
      </c>
      <c r="D30" s="31" t="s">
        <v>2457</v>
      </c>
    </row>
    <row r="31" spans="1:4" x14ac:dyDescent="0.25">
      <c r="A31" s="33">
        <f t="shared" si="0"/>
        <v>28</v>
      </c>
      <c r="B31" s="31" t="s">
        <v>2260</v>
      </c>
      <c r="C31" s="31" t="s">
        <v>2261</v>
      </c>
      <c r="D31" s="31" t="s">
        <v>2454</v>
      </c>
    </row>
    <row r="32" spans="1:4" x14ac:dyDescent="0.25">
      <c r="A32" s="33">
        <f t="shared" si="0"/>
        <v>29</v>
      </c>
      <c r="B32" s="31" t="s">
        <v>2262</v>
      </c>
      <c r="C32" s="31" t="s">
        <v>2263</v>
      </c>
      <c r="D32" s="31" t="s">
        <v>2458</v>
      </c>
    </row>
    <row r="33" spans="1:4" x14ac:dyDescent="0.25">
      <c r="A33" s="33">
        <f t="shared" si="0"/>
        <v>30</v>
      </c>
      <c r="B33" s="31" t="s">
        <v>2264</v>
      </c>
      <c r="C33" s="31" t="s">
        <v>2265</v>
      </c>
      <c r="D33" s="31" t="s">
        <v>2459</v>
      </c>
    </row>
    <row r="34" spans="1:4" x14ac:dyDescent="0.25">
      <c r="A34" s="33">
        <f t="shared" si="0"/>
        <v>31</v>
      </c>
      <c r="B34" s="31" t="s">
        <v>2266</v>
      </c>
      <c r="C34" s="31" t="s">
        <v>2267</v>
      </c>
      <c r="D34" s="31" t="s">
        <v>2460</v>
      </c>
    </row>
    <row r="35" spans="1:4" x14ac:dyDescent="0.25">
      <c r="A35" s="33">
        <f t="shared" si="0"/>
        <v>32</v>
      </c>
      <c r="B35" s="31" t="s">
        <v>2268</v>
      </c>
      <c r="C35" s="31" t="s">
        <v>2269</v>
      </c>
      <c r="D35" s="31" t="s">
        <v>2461</v>
      </c>
    </row>
    <row r="36" spans="1:4" x14ac:dyDescent="0.25">
      <c r="A36" s="33">
        <f t="shared" si="0"/>
        <v>33</v>
      </c>
      <c r="B36" s="31" t="s">
        <v>490</v>
      </c>
      <c r="C36" s="31" t="s">
        <v>491</v>
      </c>
      <c r="D36" s="31" t="s">
        <v>2447</v>
      </c>
    </row>
    <row r="37" spans="1:4" x14ac:dyDescent="0.25">
      <c r="A37" s="33">
        <f t="shared" si="0"/>
        <v>34</v>
      </c>
      <c r="B37" s="31" t="s">
        <v>2270</v>
      </c>
      <c r="C37" s="31" t="s">
        <v>2271</v>
      </c>
      <c r="D37" s="31" t="s">
        <v>2453</v>
      </c>
    </row>
    <row r="38" spans="1:4" x14ac:dyDescent="0.25">
      <c r="A38" s="33">
        <f t="shared" si="0"/>
        <v>35</v>
      </c>
      <c r="B38" s="31" t="s">
        <v>2272</v>
      </c>
      <c r="C38" s="31" t="s">
        <v>2273</v>
      </c>
      <c r="D38" s="31" t="s">
        <v>2451</v>
      </c>
    </row>
    <row r="39" spans="1:4" x14ac:dyDescent="0.25">
      <c r="A39" s="33">
        <f t="shared" si="0"/>
        <v>36</v>
      </c>
      <c r="B39" s="31" t="s">
        <v>2274</v>
      </c>
      <c r="C39" s="31" t="s">
        <v>2275</v>
      </c>
      <c r="D39" s="31" t="s">
        <v>2451</v>
      </c>
    </row>
    <row r="40" spans="1:4" x14ac:dyDescent="0.25">
      <c r="A40" s="33">
        <f t="shared" si="0"/>
        <v>37</v>
      </c>
      <c r="B40" s="31" t="s">
        <v>2276</v>
      </c>
      <c r="C40" s="31" t="s">
        <v>2277</v>
      </c>
      <c r="D40" s="31" t="s">
        <v>2448</v>
      </c>
    </row>
    <row r="41" spans="1:4" x14ac:dyDescent="0.25">
      <c r="A41" s="33">
        <f t="shared" si="0"/>
        <v>38</v>
      </c>
      <c r="B41" s="31" t="s">
        <v>2278</v>
      </c>
      <c r="C41" s="31" t="s">
        <v>2279</v>
      </c>
      <c r="D41" s="31" t="s">
        <v>2450</v>
      </c>
    </row>
    <row r="42" spans="1:4" x14ac:dyDescent="0.25">
      <c r="A42" s="33">
        <f t="shared" si="0"/>
        <v>39</v>
      </c>
      <c r="B42" s="31" t="s">
        <v>2280</v>
      </c>
      <c r="C42" s="31" t="s">
        <v>2281</v>
      </c>
      <c r="D42" s="31" t="s">
        <v>2461</v>
      </c>
    </row>
    <row r="43" spans="1:4" x14ac:dyDescent="0.25">
      <c r="A43" s="33">
        <f t="shared" si="0"/>
        <v>40</v>
      </c>
      <c r="B43" s="31" t="s">
        <v>2282</v>
      </c>
      <c r="C43" s="31" t="s">
        <v>2283</v>
      </c>
      <c r="D43" s="31" t="s">
        <v>2462</v>
      </c>
    </row>
    <row r="44" spans="1:4" x14ac:dyDescent="0.25">
      <c r="A44" s="33">
        <f t="shared" si="0"/>
        <v>41</v>
      </c>
      <c r="B44" s="31" t="s">
        <v>2284</v>
      </c>
      <c r="C44" s="31" t="s">
        <v>2285</v>
      </c>
      <c r="D44" s="31" t="s">
        <v>2449</v>
      </c>
    </row>
    <row r="45" spans="1:4" x14ac:dyDescent="0.25">
      <c r="A45" s="33">
        <f t="shared" si="0"/>
        <v>42</v>
      </c>
      <c r="B45" s="31" t="s">
        <v>2286</v>
      </c>
      <c r="C45" s="31" t="s">
        <v>2287</v>
      </c>
      <c r="D45" s="31" t="s">
        <v>2463</v>
      </c>
    </row>
    <row r="46" spans="1:4" x14ac:dyDescent="0.25">
      <c r="A46" s="33">
        <f t="shared" si="0"/>
        <v>43</v>
      </c>
      <c r="B46" s="31" t="s">
        <v>548</v>
      </c>
      <c r="C46" s="31" t="s">
        <v>549</v>
      </c>
      <c r="D46" s="31" t="s">
        <v>2454</v>
      </c>
    </row>
    <row r="47" spans="1:4" x14ac:dyDescent="0.25">
      <c r="A47" s="33">
        <f t="shared" si="0"/>
        <v>44</v>
      </c>
      <c r="B47" s="31" t="s">
        <v>2288</v>
      </c>
      <c r="C47" s="31" t="s">
        <v>2289</v>
      </c>
      <c r="D47" s="31" t="s">
        <v>2464</v>
      </c>
    </row>
    <row r="48" spans="1:4" x14ac:dyDescent="0.25">
      <c r="A48" s="33">
        <f t="shared" si="0"/>
        <v>45</v>
      </c>
      <c r="B48" s="31" t="s">
        <v>2290</v>
      </c>
      <c r="C48" s="31" t="s">
        <v>2291</v>
      </c>
      <c r="D48" s="31" t="s">
        <v>2465</v>
      </c>
    </row>
    <row r="49" spans="1:4" x14ac:dyDescent="0.25">
      <c r="A49" s="33">
        <f t="shared" si="0"/>
        <v>46</v>
      </c>
      <c r="B49" s="31" t="s">
        <v>2292</v>
      </c>
      <c r="C49" s="31" t="s">
        <v>2293</v>
      </c>
      <c r="D49" s="31" t="s">
        <v>2452</v>
      </c>
    </row>
    <row r="50" spans="1:4" x14ac:dyDescent="0.25">
      <c r="A50" s="33">
        <f t="shared" si="0"/>
        <v>47</v>
      </c>
      <c r="B50" s="31" t="s">
        <v>2294</v>
      </c>
      <c r="C50" s="31" t="s">
        <v>2295</v>
      </c>
      <c r="D50" s="31" t="s">
        <v>2466</v>
      </c>
    </row>
    <row r="51" spans="1:4" x14ac:dyDescent="0.25">
      <c r="A51" s="33">
        <f t="shared" si="0"/>
        <v>48</v>
      </c>
      <c r="B51" s="31" t="s">
        <v>2296</v>
      </c>
      <c r="C51" s="31" t="s">
        <v>2297</v>
      </c>
      <c r="D51" s="31" t="s">
        <v>2449</v>
      </c>
    </row>
    <row r="52" spans="1:4" x14ac:dyDescent="0.25">
      <c r="A52" s="33">
        <f t="shared" si="0"/>
        <v>49</v>
      </c>
      <c r="B52" s="31" t="s">
        <v>2298</v>
      </c>
      <c r="C52" s="31" t="s">
        <v>2299</v>
      </c>
      <c r="D52" s="31" t="s">
        <v>2453</v>
      </c>
    </row>
    <row r="53" spans="1:4" x14ac:dyDescent="0.25">
      <c r="A53" s="33">
        <f t="shared" si="0"/>
        <v>50</v>
      </c>
      <c r="B53" s="31" t="s">
        <v>2300</v>
      </c>
      <c r="C53" s="31" t="s">
        <v>2301</v>
      </c>
      <c r="D53" s="31" t="s">
        <v>2466</v>
      </c>
    </row>
    <row r="54" spans="1:4" x14ac:dyDescent="0.25">
      <c r="A54" s="33">
        <f t="shared" si="0"/>
        <v>51</v>
      </c>
      <c r="B54" s="31" t="s">
        <v>2302</v>
      </c>
      <c r="C54" s="31" t="s">
        <v>2303</v>
      </c>
      <c r="D54" s="31" t="s">
        <v>2447</v>
      </c>
    </row>
    <row r="55" spans="1:4" x14ac:dyDescent="0.25">
      <c r="A55" s="33">
        <f t="shared" si="0"/>
        <v>52</v>
      </c>
      <c r="B55" s="31" t="s">
        <v>2304</v>
      </c>
      <c r="C55" s="31" t="s">
        <v>2305</v>
      </c>
      <c r="D55" s="31" t="s">
        <v>2453</v>
      </c>
    </row>
    <row r="56" spans="1:4" x14ac:dyDescent="0.25">
      <c r="A56" s="33">
        <f t="shared" si="0"/>
        <v>53</v>
      </c>
      <c r="B56" s="31" t="s">
        <v>2306</v>
      </c>
      <c r="C56" s="31" t="s">
        <v>2307</v>
      </c>
      <c r="D56" s="31" t="s">
        <v>2449</v>
      </c>
    </row>
    <row r="57" spans="1:4" x14ac:dyDescent="0.25">
      <c r="A57" s="33">
        <f t="shared" si="0"/>
        <v>54</v>
      </c>
      <c r="B57" s="31" t="s">
        <v>2308</v>
      </c>
      <c r="C57" s="31" t="s">
        <v>2309</v>
      </c>
      <c r="D57" s="31" t="s">
        <v>2449</v>
      </c>
    </row>
    <row r="58" spans="1:4" x14ac:dyDescent="0.25">
      <c r="A58" s="33">
        <f t="shared" si="0"/>
        <v>55</v>
      </c>
      <c r="B58" s="31" t="s">
        <v>2310</v>
      </c>
      <c r="C58" s="31" t="s">
        <v>2311</v>
      </c>
      <c r="D58" s="31" t="s">
        <v>2460</v>
      </c>
    </row>
    <row r="59" spans="1:4" x14ac:dyDescent="0.25">
      <c r="A59" s="33">
        <f t="shared" si="0"/>
        <v>56</v>
      </c>
      <c r="B59" s="31" t="s">
        <v>2312</v>
      </c>
      <c r="C59" s="31" t="s">
        <v>2313</v>
      </c>
      <c r="D59" s="31" t="s">
        <v>2461</v>
      </c>
    </row>
    <row r="60" spans="1:4" x14ac:dyDescent="0.25">
      <c r="A60" s="33">
        <f t="shared" si="0"/>
        <v>57</v>
      </c>
      <c r="B60" s="31" t="s">
        <v>2314</v>
      </c>
      <c r="C60" s="31" t="s">
        <v>2315</v>
      </c>
      <c r="D60" s="31" t="s">
        <v>2467</v>
      </c>
    </row>
    <row r="61" spans="1:4" x14ac:dyDescent="0.25">
      <c r="A61" s="33">
        <f t="shared" si="0"/>
        <v>58</v>
      </c>
      <c r="B61" s="31" t="s">
        <v>2316</v>
      </c>
      <c r="C61" s="31" t="s">
        <v>2317</v>
      </c>
      <c r="D61" s="31" t="s">
        <v>2468</v>
      </c>
    </row>
    <row r="62" spans="1:4" x14ac:dyDescent="0.25">
      <c r="A62" s="33">
        <f t="shared" si="0"/>
        <v>59</v>
      </c>
      <c r="B62" s="31" t="s">
        <v>2318</v>
      </c>
      <c r="C62" s="31" t="s">
        <v>2319</v>
      </c>
      <c r="D62" s="31" t="s">
        <v>2451</v>
      </c>
    </row>
    <row r="63" spans="1:4" x14ac:dyDescent="0.25">
      <c r="A63" s="33">
        <f t="shared" si="0"/>
        <v>60</v>
      </c>
      <c r="B63" s="31" t="s">
        <v>2320</v>
      </c>
      <c r="C63" s="31" t="s">
        <v>2321</v>
      </c>
      <c r="D63" s="31" t="s">
        <v>2452</v>
      </c>
    </row>
    <row r="64" spans="1:4" x14ac:dyDescent="0.25">
      <c r="A64" s="33">
        <f t="shared" si="0"/>
        <v>61</v>
      </c>
      <c r="B64" s="31" t="s">
        <v>580</v>
      </c>
      <c r="C64" s="31" t="s">
        <v>581</v>
      </c>
      <c r="D64" s="31" t="s">
        <v>2452</v>
      </c>
    </row>
    <row r="65" spans="1:4" x14ac:dyDescent="0.25">
      <c r="A65" s="33">
        <f t="shared" si="0"/>
        <v>62</v>
      </c>
      <c r="B65" s="31" t="s">
        <v>2322</v>
      </c>
      <c r="C65" s="31" t="s">
        <v>2323</v>
      </c>
      <c r="D65" s="31" t="s">
        <v>2447</v>
      </c>
    </row>
    <row r="66" spans="1:4" x14ac:dyDescent="0.25">
      <c r="A66" s="33">
        <f t="shared" si="0"/>
        <v>63</v>
      </c>
      <c r="B66" s="31" t="s">
        <v>2324</v>
      </c>
      <c r="C66" s="31" t="s">
        <v>2325</v>
      </c>
      <c r="D66" s="31" t="s">
        <v>2458</v>
      </c>
    </row>
    <row r="67" spans="1:4" x14ac:dyDescent="0.25">
      <c r="A67" s="33">
        <f t="shared" si="0"/>
        <v>64</v>
      </c>
      <c r="B67" s="31" t="s">
        <v>2326</v>
      </c>
      <c r="C67" s="31" t="s">
        <v>2327</v>
      </c>
      <c r="D67" s="31" t="s">
        <v>2469</v>
      </c>
    </row>
    <row r="68" spans="1:4" x14ac:dyDescent="0.25">
      <c r="A68" s="33">
        <f t="shared" si="0"/>
        <v>65</v>
      </c>
      <c r="B68" s="31" t="s">
        <v>2328</v>
      </c>
      <c r="C68" s="31" t="s">
        <v>2329</v>
      </c>
      <c r="D68" s="31" t="s">
        <v>2448</v>
      </c>
    </row>
    <row r="69" spans="1:4" x14ac:dyDescent="0.25">
      <c r="A69" s="33">
        <f t="shared" ref="A69:A132" si="1">+A68+1</f>
        <v>66</v>
      </c>
      <c r="B69" s="31" t="s">
        <v>2330</v>
      </c>
      <c r="C69" s="31" t="s">
        <v>2331</v>
      </c>
      <c r="D69" s="31" t="s">
        <v>2450</v>
      </c>
    </row>
    <row r="70" spans="1:4" x14ac:dyDescent="0.25">
      <c r="A70" s="33">
        <f t="shared" si="1"/>
        <v>67</v>
      </c>
      <c r="B70" s="31" t="s">
        <v>2332</v>
      </c>
      <c r="C70" s="31" t="s">
        <v>2333</v>
      </c>
      <c r="D70" s="31" t="s">
        <v>2454</v>
      </c>
    </row>
    <row r="71" spans="1:4" x14ac:dyDescent="0.25">
      <c r="A71" s="33">
        <f t="shared" si="1"/>
        <v>68</v>
      </c>
      <c r="B71" s="31" t="s">
        <v>2334</v>
      </c>
      <c r="C71" s="31" t="s">
        <v>2335</v>
      </c>
      <c r="D71" s="31" t="s">
        <v>2449</v>
      </c>
    </row>
    <row r="72" spans="1:4" x14ac:dyDescent="0.25">
      <c r="A72" s="33">
        <f t="shared" si="1"/>
        <v>69</v>
      </c>
      <c r="B72" s="31" t="s">
        <v>2336</v>
      </c>
      <c r="C72" s="31" t="s">
        <v>2337</v>
      </c>
      <c r="D72" s="31" t="s">
        <v>2470</v>
      </c>
    </row>
    <row r="73" spans="1:4" x14ac:dyDescent="0.25">
      <c r="A73" s="33">
        <f t="shared" si="1"/>
        <v>70</v>
      </c>
      <c r="B73" s="31" t="s">
        <v>2338</v>
      </c>
      <c r="C73" s="31" t="s">
        <v>2339</v>
      </c>
      <c r="D73" s="31" t="s">
        <v>2471</v>
      </c>
    </row>
    <row r="74" spans="1:4" x14ac:dyDescent="0.25">
      <c r="A74" s="33">
        <f t="shared" si="1"/>
        <v>71</v>
      </c>
      <c r="B74" s="31" t="s">
        <v>2340</v>
      </c>
      <c r="C74" s="31" t="s">
        <v>2341</v>
      </c>
      <c r="D74" s="31" t="s">
        <v>2450</v>
      </c>
    </row>
    <row r="75" spans="1:4" x14ac:dyDescent="0.25">
      <c r="A75" s="33">
        <f t="shared" si="1"/>
        <v>72</v>
      </c>
      <c r="B75" s="31" t="s">
        <v>2342</v>
      </c>
      <c r="C75" s="31" t="s">
        <v>2343</v>
      </c>
      <c r="D75" s="31" t="s">
        <v>2472</v>
      </c>
    </row>
    <row r="76" spans="1:4" x14ac:dyDescent="0.25">
      <c r="A76" s="33">
        <f t="shared" si="1"/>
        <v>73</v>
      </c>
      <c r="B76" s="31" t="s">
        <v>2344</v>
      </c>
      <c r="C76" s="31" t="s">
        <v>2345</v>
      </c>
      <c r="D76" s="31" t="s">
        <v>2473</v>
      </c>
    </row>
    <row r="77" spans="1:4" x14ac:dyDescent="0.25">
      <c r="A77" s="33">
        <f t="shared" si="1"/>
        <v>74</v>
      </c>
      <c r="B77" s="31" t="s">
        <v>2346</v>
      </c>
      <c r="C77" s="31" t="s">
        <v>2347</v>
      </c>
      <c r="D77" s="31" t="s">
        <v>2448</v>
      </c>
    </row>
    <row r="78" spans="1:4" x14ac:dyDescent="0.25">
      <c r="A78" s="33">
        <f t="shared" si="1"/>
        <v>75</v>
      </c>
      <c r="B78" s="31" t="s">
        <v>2348</v>
      </c>
      <c r="C78" s="31" t="s">
        <v>2349</v>
      </c>
      <c r="D78" s="31" t="s">
        <v>2466</v>
      </c>
    </row>
    <row r="79" spans="1:4" x14ac:dyDescent="0.25">
      <c r="A79" s="33">
        <f t="shared" si="1"/>
        <v>76</v>
      </c>
      <c r="B79" s="31" t="s">
        <v>2350</v>
      </c>
      <c r="C79" s="31" t="s">
        <v>2351</v>
      </c>
      <c r="D79" s="31" t="s">
        <v>2449</v>
      </c>
    </row>
    <row r="80" spans="1:4" x14ac:dyDescent="0.25">
      <c r="A80" s="33">
        <f t="shared" si="1"/>
        <v>77</v>
      </c>
      <c r="B80" s="31" t="s">
        <v>2352</v>
      </c>
      <c r="C80" s="31" t="s">
        <v>2353</v>
      </c>
      <c r="D80" s="31" t="s">
        <v>2474</v>
      </c>
    </row>
    <row r="81" spans="1:4" x14ac:dyDescent="0.25">
      <c r="A81" s="33">
        <f t="shared" si="1"/>
        <v>78</v>
      </c>
      <c r="B81" s="31" t="s">
        <v>2354</v>
      </c>
      <c r="C81" s="31" t="s">
        <v>2355</v>
      </c>
      <c r="D81" s="31" t="s">
        <v>2449</v>
      </c>
    </row>
    <row r="82" spans="1:4" x14ac:dyDescent="0.25">
      <c r="A82" s="33">
        <f t="shared" si="1"/>
        <v>79</v>
      </c>
      <c r="B82" s="31" t="s">
        <v>636</v>
      </c>
      <c r="C82" s="31" t="s">
        <v>637</v>
      </c>
      <c r="D82" s="31" t="s">
        <v>2457</v>
      </c>
    </row>
    <row r="83" spans="1:4" x14ac:dyDescent="0.25">
      <c r="A83" s="33">
        <f t="shared" si="1"/>
        <v>80</v>
      </c>
      <c r="B83" s="31" t="s">
        <v>2356</v>
      </c>
      <c r="C83" s="31" t="s">
        <v>2357</v>
      </c>
      <c r="D83" s="31" t="s">
        <v>2452</v>
      </c>
    </row>
    <row r="84" spans="1:4" x14ac:dyDescent="0.25">
      <c r="A84" s="33">
        <f t="shared" si="1"/>
        <v>81</v>
      </c>
      <c r="B84" s="31" t="s">
        <v>2358</v>
      </c>
      <c r="C84" s="31"/>
    </row>
    <row r="85" spans="1:4" x14ac:dyDescent="0.25">
      <c r="A85" s="33">
        <f t="shared" si="1"/>
        <v>82</v>
      </c>
      <c r="B85" s="31" t="s">
        <v>2359</v>
      </c>
      <c r="C85" s="31" t="s">
        <v>2360</v>
      </c>
    </row>
    <row r="86" spans="1:4" x14ac:dyDescent="0.25">
      <c r="A86" s="33">
        <f t="shared" si="1"/>
        <v>83</v>
      </c>
      <c r="B86" s="31" t="s">
        <v>2361</v>
      </c>
      <c r="C86" s="31" t="s">
        <v>2362</v>
      </c>
      <c r="D86" s="31" t="s">
        <v>2448</v>
      </c>
    </row>
    <row r="87" spans="1:4" x14ac:dyDescent="0.25">
      <c r="A87" s="33">
        <f t="shared" si="1"/>
        <v>84</v>
      </c>
      <c r="B87" s="31" t="s">
        <v>2363</v>
      </c>
      <c r="C87" s="31" t="s">
        <v>2364</v>
      </c>
      <c r="D87" s="31" t="s">
        <v>2459</v>
      </c>
    </row>
    <row r="88" spans="1:4" x14ac:dyDescent="0.25">
      <c r="A88" s="33">
        <f t="shared" si="1"/>
        <v>85</v>
      </c>
      <c r="B88" s="31" t="s">
        <v>2365</v>
      </c>
      <c r="C88" s="31" t="s">
        <v>2366</v>
      </c>
      <c r="D88" s="31" t="s">
        <v>2475</v>
      </c>
    </row>
    <row r="89" spans="1:4" x14ac:dyDescent="0.25">
      <c r="A89" s="33">
        <f t="shared" si="1"/>
        <v>86</v>
      </c>
      <c r="B89" s="31" t="s">
        <v>2367</v>
      </c>
      <c r="C89" s="31" t="s">
        <v>2368</v>
      </c>
      <c r="D89" s="31" t="s">
        <v>2476</v>
      </c>
    </row>
    <row r="90" spans="1:4" x14ac:dyDescent="0.25">
      <c r="A90" s="33">
        <f t="shared" si="1"/>
        <v>87</v>
      </c>
      <c r="B90" s="31" t="s">
        <v>2369</v>
      </c>
      <c r="C90" s="31" t="s">
        <v>2370</v>
      </c>
      <c r="D90" s="31" t="s">
        <v>2477</v>
      </c>
    </row>
    <row r="91" spans="1:4" x14ac:dyDescent="0.25">
      <c r="A91" s="33">
        <f t="shared" si="1"/>
        <v>88</v>
      </c>
      <c r="B91" s="31" t="s">
        <v>2371</v>
      </c>
      <c r="C91" s="31" t="s">
        <v>2372</v>
      </c>
      <c r="D91" s="31" t="s">
        <v>2448</v>
      </c>
    </row>
    <row r="92" spans="1:4" x14ac:dyDescent="0.25">
      <c r="A92" s="33">
        <f t="shared" si="1"/>
        <v>89</v>
      </c>
      <c r="B92" s="31" t="s">
        <v>2373</v>
      </c>
      <c r="C92" s="31" t="s">
        <v>2374</v>
      </c>
      <c r="D92" s="31" t="s">
        <v>2447</v>
      </c>
    </row>
    <row r="93" spans="1:4" x14ac:dyDescent="0.25">
      <c r="A93" s="33">
        <f t="shared" si="1"/>
        <v>90</v>
      </c>
      <c r="B93" s="31" t="s">
        <v>2375</v>
      </c>
      <c r="C93" s="31" t="s">
        <v>2376</v>
      </c>
      <c r="D93" s="31" t="s">
        <v>2447</v>
      </c>
    </row>
    <row r="94" spans="1:4" x14ac:dyDescent="0.25">
      <c r="A94" s="33">
        <f t="shared" si="1"/>
        <v>91</v>
      </c>
      <c r="B94" s="31" t="s">
        <v>2377</v>
      </c>
      <c r="C94" s="31" t="s">
        <v>2378</v>
      </c>
      <c r="D94" s="31" t="s">
        <v>2465</v>
      </c>
    </row>
    <row r="95" spans="1:4" x14ac:dyDescent="0.25">
      <c r="A95" s="33">
        <f t="shared" si="1"/>
        <v>92</v>
      </c>
      <c r="B95" s="31" t="s">
        <v>2379</v>
      </c>
      <c r="C95" s="31" t="s">
        <v>2380</v>
      </c>
      <c r="D95" s="31" t="s">
        <v>2478</v>
      </c>
    </row>
    <row r="96" spans="1:4" x14ac:dyDescent="0.25">
      <c r="A96" s="33">
        <f t="shared" si="1"/>
        <v>93</v>
      </c>
      <c r="B96" s="31" t="s">
        <v>2381</v>
      </c>
      <c r="C96" s="31" t="s">
        <v>2382</v>
      </c>
      <c r="D96" s="31" t="s">
        <v>1961</v>
      </c>
    </row>
    <row r="97" spans="1:4" x14ac:dyDescent="0.25">
      <c r="A97" s="33">
        <f t="shared" si="1"/>
        <v>94</v>
      </c>
      <c r="B97" s="31" t="s">
        <v>2383</v>
      </c>
      <c r="C97" s="31" t="s">
        <v>2384</v>
      </c>
      <c r="D97" s="31" t="s">
        <v>2447</v>
      </c>
    </row>
    <row r="98" spans="1:4" x14ac:dyDescent="0.25">
      <c r="A98" s="33">
        <f t="shared" si="1"/>
        <v>95</v>
      </c>
      <c r="B98" s="31" t="s">
        <v>2385</v>
      </c>
      <c r="C98" s="31" t="s">
        <v>2386</v>
      </c>
      <c r="D98" s="31" t="s">
        <v>2447</v>
      </c>
    </row>
    <row r="99" spans="1:4" x14ac:dyDescent="0.25">
      <c r="A99" s="33">
        <f t="shared" si="1"/>
        <v>96</v>
      </c>
      <c r="B99" s="31" t="s">
        <v>655</v>
      </c>
      <c r="C99" s="31" t="s">
        <v>656</v>
      </c>
      <c r="D99" s="31" t="s">
        <v>2453</v>
      </c>
    </row>
    <row r="100" spans="1:4" x14ac:dyDescent="0.25">
      <c r="A100" s="33">
        <f t="shared" si="1"/>
        <v>97</v>
      </c>
      <c r="B100" s="31" t="s">
        <v>2387</v>
      </c>
      <c r="C100" s="31" t="s">
        <v>2388</v>
      </c>
      <c r="D100" s="31" t="s">
        <v>2457</v>
      </c>
    </row>
    <row r="101" spans="1:4" x14ac:dyDescent="0.25">
      <c r="A101" s="33">
        <f t="shared" si="1"/>
        <v>98</v>
      </c>
      <c r="B101" s="31" t="s">
        <v>2389</v>
      </c>
      <c r="C101" s="31" t="s">
        <v>2390</v>
      </c>
      <c r="D101" s="31" t="s">
        <v>2465</v>
      </c>
    </row>
    <row r="102" spans="1:4" x14ac:dyDescent="0.25">
      <c r="A102" s="33">
        <f t="shared" si="1"/>
        <v>99</v>
      </c>
      <c r="B102" s="31" t="s">
        <v>2391</v>
      </c>
      <c r="C102" s="31" t="s">
        <v>2392</v>
      </c>
      <c r="D102" s="31" t="s">
        <v>2479</v>
      </c>
    </row>
    <row r="103" spans="1:4" x14ac:dyDescent="0.25">
      <c r="A103" s="33">
        <f t="shared" si="1"/>
        <v>100</v>
      </c>
      <c r="B103" s="31" t="s">
        <v>2393</v>
      </c>
      <c r="C103" s="31" t="s">
        <v>2394</v>
      </c>
      <c r="D103" s="31" t="s">
        <v>2452</v>
      </c>
    </row>
    <row r="104" spans="1:4" x14ac:dyDescent="0.25">
      <c r="A104" s="33">
        <f t="shared" si="1"/>
        <v>101</v>
      </c>
      <c r="B104" s="31" t="s">
        <v>2395</v>
      </c>
      <c r="C104" s="31" t="s">
        <v>2396</v>
      </c>
      <c r="D104" s="31" t="s">
        <v>2480</v>
      </c>
    </row>
    <row r="105" spans="1:4" x14ac:dyDescent="0.25">
      <c r="A105" s="33">
        <f t="shared" si="1"/>
        <v>102</v>
      </c>
      <c r="B105" s="31" t="s">
        <v>2397</v>
      </c>
      <c r="C105" s="31" t="s">
        <v>2398</v>
      </c>
      <c r="D105" s="31" t="s">
        <v>2469</v>
      </c>
    </row>
    <row r="106" spans="1:4" x14ac:dyDescent="0.25">
      <c r="A106" s="33">
        <f t="shared" si="1"/>
        <v>103</v>
      </c>
      <c r="B106" s="31" t="s">
        <v>2399</v>
      </c>
      <c r="C106" s="31" t="s">
        <v>2400</v>
      </c>
      <c r="D106" s="31" t="s">
        <v>2449</v>
      </c>
    </row>
    <row r="107" spans="1:4" x14ac:dyDescent="0.25">
      <c r="A107" s="33">
        <f t="shared" si="1"/>
        <v>104</v>
      </c>
      <c r="B107" s="31" t="s">
        <v>2401</v>
      </c>
      <c r="C107" s="31" t="s">
        <v>2402</v>
      </c>
      <c r="D107" s="31" t="s">
        <v>2447</v>
      </c>
    </row>
    <row r="108" spans="1:4" x14ac:dyDescent="0.25">
      <c r="A108" s="33">
        <f t="shared" si="1"/>
        <v>105</v>
      </c>
      <c r="B108" s="31" t="s">
        <v>2403</v>
      </c>
      <c r="C108" s="31" t="s">
        <v>2404</v>
      </c>
      <c r="D108" s="31" t="s">
        <v>2481</v>
      </c>
    </row>
    <row r="109" spans="1:4" x14ac:dyDescent="0.25">
      <c r="A109" s="33">
        <f t="shared" si="1"/>
        <v>106</v>
      </c>
      <c r="B109" s="31" t="s">
        <v>2405</v>
      </c>
      <c r="C109" s="31" t="s">
        <v>2406</v>
      </c>
      <c r="D109" s="31" t="s">
        <v>2482</v>
      </c>
    </row>
    <row r="110" spans="1:4" x14ac:dyDescent="0.25">
      <c r="A110" s="33">
        <f t="shared" si="1"/>
        <v>107</v>
      </c>
      <c r="B110" s="31" t="s">
        <v>2407</v>
      </c>
      <c r="C110" s="31" t="s">
        <v>2408</v>
      </c>
      <c r="D110" s="31" t="s">
        <v>2474</v>
      </c>
    </row>
    <row r="111" spans="1:4" x14ac:dyDescent="0.25">
      <c r="A111" s="33">
        <f t="shared" si="1"/>
        <v>108</v>
      </c>
      <c r="B111" s="31" t="s">
        <v>2409</v>
      </c>
      <c r="C111" s="31" t="s">
        <v>2410</v>
      </c>
      <c r="D111" s="31" t="s">
        <v>2479</v>
      </c>
    </row>
    <row r="112" spans="1:4" x14ac:dyDescent="0.25">
      <c r="A112" s="33">
        <f t="shared" si="1"/>
        <v>109</v>
      </c>
      <c r="B112" s="31" t="s">
        <v>2411</v>
      </c>
      <c r="C112" s="31" t="s">
        <v>2412</v>
      </c>
      <c r="D112" s="31" t="s">
        <v>2470</v>
      </c>
    </row>
    <row r="113" spans="1:4" x14ac:dyDescent="0.25">
      <c r="A113" s="33">
        <f t="shared" si="1"/>
        <v>110</v>
      </c>
      <c r="B113" s="31" t="s">
        <v>2413</v>
      </c>
      <c r="C113" s="31" t="s">
        <v>2414</v>
      </c>
      <c r="D113" s="31" t="s">
        <v>2483</v>
      </c>
    </row>
    <row r="114" spans="1:4" x14ac:dyDescent="0.25">
      <c r="A114" s="33">
        <f t="shared" si="1"/>
        <v>111</v>
      </c>
      <c r="B114" s="31" t="s">
        <v>2415</v>
      </c>
      <c r="C114" s="31" t="s">
        <v>2416</v>
      </c>
      <c r="D114" s="31" t="s">
        <v>2469</v>
      </c>
    </row>
    <row r="115" spans="1:4" x14ac:dyDescent="0.25">
      <c r="A115" s="33">
        <f t="shared" si="1"/>
        <v>112</v>
      </c>
      <c r="B115" s="31" t="s">
        <v>2417</v>
      </c>
      <c r="C115" s="31" t="s">
        <v>2418</v>
      </c>
      <c r="D115" s="31" t="s">
        <v>2454</v>
      </c>
    </row>
    <row r="116" spans="1:4" x14ac:dyDescent="0.25">
      <c r="A116" s="33">
        <f t="shared" si="1"/>
        <v>113</v>
      </c>
      <c r="B116" s="31" t="s">
        <v>2419</v>
      </c>
      <c r="C116" s="31" t="s">
        <v>2420</v>
      </c>
      <c r="D116" s="31" t="s">
        <v>2480</v>
      </c>
    </row>
    <row r="117" spans="1:4" x14ac:dyDescent="0.25">
      <c r="A117" s="33">
        <f t="shared" si="1"/>
        <v>114</v>
      </c>
      <c r="B117" s="31" t="s">
        <v>2421</v>
      </c>
      <c r="C117" s="31" t="s">
        <v>2422</v>
      </c>
      <c r="D117" s="31" t="s">
        <v>2447</v>
      </c>
    </row>
    <row r="118" spans="1:4" x14ac:dyDescent="0.25">
      <c r="A118" s="33">
        <f t="shared" si="1"/>
        <v>115</v>
      </c>
      <c r="B118" s="31" t="s">
        <v>2423</v>
      </c>
      <c r="C118" s="31" t="s">
        <v>2424</v>
      </c>
      <c r="D118" s="31" t="s">
        <v>2455</v>
      </c>
    </row>
    <row r="119" spans="1:4" x14ac:dyDescent="0.25">
      <c r="A119" s="33">
        <f t="shared" si="1"/>
        <v>116</v>
      </c>
      <c r="B119" s="31" t="s">
        <v>2425</v>
      </c>
      <c r="C119" s="31" t="s">
        <v>2426</v>
      </c>
      <c r="D119" s="31" t="s">
        <v>2455</v>
      </c>
    </row>
    <row r="120" spans="1:4" x14ac:dyDescent="0.25">
      <c r="A120" s="33">
        <f t="shared" si="1"/>
        <v>117</v>
      </c>
      <c r="B120" s="31" t="s">
        <v>2427</v>
      </c>
      <c r="C120" s="31" t="s">
        <v>2428</v>
      </c>
      <c r="D120" s="31" t="s">
        <v>2452</v>
      </c>
    </row>
    <row r="121" spans="1:4" x14ac:dyDescent="0.25">
      <c r="A121" s="33">
        <f t="shared" si="1"/>
        <v>118</v>
      </c>
      <c r="B121" s="31" t="s">
        <v>913</v>
      </c>
      <c r="C121" s="31" t="s">
        <v>914</v>
      </c>
      <c r="D121" s="31" t="s">
        <v>2484</v>
      </c>
    </row>
    <row r="122" spans="1:4" x14ac:dyDescent="0.25">
      <c r="A122" s="33">
        <f t="shared" si="1"/>
        <v>119</v>
      </c>
      <c r="B122" s="31" t="s">
        <v>2429</v>
      </c>
      <c r="C122" s="31" t="s">
        <v>2430</v>
      </c>
      <c r="D122" s="31" t="s">
        <v>2459</v>
      </c>
    </row>
    <row r="123" spans="1:4" x14ac:dyDescent="0.25">
      <c r="A123" s="33">
        <f t="shared" si="1"/>
        <v>120</v>
      </c>
      <c r="B123" s="31" t="s">
        <v>2431</v>
      </c>
      <c r="C123" s="31" t="s">
        <v>2432</v>
      </c>
      <c r="D123" s="31" t="s">
        <v>2451</v>
      </c>
    </row>
    <row r="124" spans="1:4" x14ac:dyDescent="0.25">
      <c r="A124" s="33">
        <f t="shared" si="1"/>
        <v>121</v>
      </c>
      <c r="B124" s="31" t="s">
        <v>2433</v>
      </c>
      <c r="C124" s="31" t="s">
        <v>2434</v>
      </c>
      <c r="D124" s="31" t="s">
        <v>2465</v>
      </c>
    </row>
    <row r="125" spans="1:4" x14ac:dyDescent="0.25">
      <c r="A125" s="33">
        <f t="shared" si="1"/>
        <v>122</v>
      </c>
      <c r="B125" s="31" t="s">
        <v>2435</v>
      </c>
      <c r="C125" s="31" t="s">
        <v>2436</v>
      </c>
      <c r="D125" s="31" t="s">
        <v>2485</v>
      </c>
    </row>
    <row r="126" spans="1:4" x14ac:dyDescent="0.25">
      <c r="A126" s="33">
        <f t="shared" si="1"/>
        <v>123</v>
      </c>
      <c r="B126" s="31" t="s">
        <v>2437</v>
      </c>
      <c r="C126" s="31" t="s">
        <v>2438</v>
      </c>
      <c r="D126" s="31" t="s">
        <v>2482</v>
      </c>
    </row>
    <row r="127" spans="1:4" x14ac:dyDescent="0.25">
      <c r="A127" s="33">
        <f t="shared" si="1"/>
        <v>124</v>
      </c>
      <c r="B127" s="31" t="s">
        <v>2439</v>
      </c>
      <c r="C127" s="31" t="s">
        <v>2440</v>
      </c>
      <c r="D127" s="31" t="s">
        <v>2466</v>
      </c>
    </row>
    <row r="128" spans="1:4" x14ac:dyDescent="0.25">
      <c r="A128" s="33">
        <f t="shared" si="1"/>
        <v>125</v>
      </c>
      <c r="B128" s="31" t="s">
        <v>2441</v>
      </c>
      <c r="C128" s="31" t="s">
        <v>2442</v>
      </c>
      <c r="D128" s="31" t="s">
        <v>1961</v>
      </c>
    </row>
    <row r="129" spans="1:4" x14ac:dyDescent="0.25">
      <c r="A129" s="33">
        <f t="shared" si="1"/>
        <v>126</v>
      </c>
      <c r="B129" s="31" t="s">
        <v>2443</v>
      </c>
      <c r="C129" s="31" t="s">
        <v>2444</v>
      </c>
      <c r="D129" s="31" t="s">
        <v>2486</v>
      </c>
    </row>
    <row r="130" spans="1:4" x14ac:dyDescent="0.25">
      <c r="A130" s="33">
        <f t="shared" si="1"/>
        <v>127</v>
      </c>
      <c r="B130" s="31" t="s">
        <v>2445</v>
      </c>
      <c r="C130" s="31" t="s">
        <v>2446</v>
      </c>
      <c r="D130" s="31" t="s">
        <v>2480</v>
      </c>
    </row>
    <row r="131" spans="1:4" x14ac:dyDescent="0.25">
      <c r="A131" s="33">
        <f t="shared" si="1"/>
        <v>128</v>
      </c>
      <c r="D131" s="31" t="s">
        <v>2465</v>
      </c>
    </row>
    <row r="132" spans="1:4" x14ac:dyDescent="0.25">
      <c r="A132" s="33">
        <f t="shared" si="1"/>
        <v>129</v>
      </c>
    </row>
    <row r="133" spans="1:4" x14ac:dyDescent="0.25">
      <c r="A133" s="31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Automotive</vt:lpstr>
      <vt:lpstr>Manufacturing</vt:lpstr>
      <vt:lpstr>Transportation</vt:lpstr>
      <vt:lpstr>Defense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2025-09-25T12:33:17Z</dcterms:modified>
</cp:coreProperties>
</file>