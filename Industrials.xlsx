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A8551842-0626-4ED2-A642-6917B3C59888}" xr6:coauthVersionLast="47" xr6:coauthVersionMax="47" xr10:uidLastSave="{00000000-0000-0000-0000-000000000000}"/>
  <bookViews>
    <workbookView xWindow="225" yWindow="2730" windowWidth="38175" windowHeight="15240" activeTab="2" xr2:uid="{BC09624D-2BC9-4D8E-825C-85DD97F4255E}"/>
  </bookViews>
  <sheets>
    <sheet name="Main" sheetId="1" r:id="rId1"/>
    <sheet name="Automotive" sheetId="3" r:id="rId2"/>
    <sheet name="Manufacturing" sheetId="2" r:id="rId3"/>
    <sheet name="Transportation" sheetId="6" r:id="rId4"/>
    <sheet name="Defense" sheetId="5" r:id="rId5"/>
    <sheet name="Space" sheetId="8" r:id="rId6"/>
    <sheet name="Marine" sheetId="9" r:id="rId7"/>
    <sheet name="Infrastructure" sheetId="7" r:id="rId8"/>
    <sheet name="FX" sheetId="4" r:id="rId9"/>
  </sheets>
  <externalReferences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" i="2" l="1"/>
  <c r="F16" i="2"/>
  <c r="E16" i="2"/>
  <c r="A92" i="9"/>
  <c r="A93" i="9" s="1"/>
  <c r="A94" i="9" s="1"/>
  <c r="A95" i="9" s="1"/>
  <c r="A96" i="9" s="1"/>
  <c r="A97" i="9" s="1"/>
  <c r="A98" i="9" s="1"/>
  <c r="A99" i="9" s="1"/>
  <c r="A100" i="9" s="1"/>
  <c r="A101" i="9" s="1"/>
  <c r="A102" i="9" s="1"/>
  <c r="A103" i="9" s="1"/>
  <c r="A104" i="9" s="1"/>
  <c r="A105" i="9" s="1"/>
  <c r="A106" i="9" s="1"/>
  <c r="A107" i="9" s="1"/>
  <c r="A108" i="9" s="1"/>
  <c r="A109" i="9" s="1"/>
  <c r="A110" i="9" s="1"/>
  <c r="A111" i="9" s="1"/>
  <c r="A112" i="9" s="1"/>
  <c r="A113" i="9" s="1"/>
  <c r="A114" i="9" s="1"/>
  <c r="A115" i="9" s="1"/>
  <c r="A116" i="9" s="1"/>
  <c r="A5" i="9"/>
  <c r="A6" i="9" s="1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A44" i="9" s="1"/>
  <c r="A45" i="9" s="1"/>
  <c r="A46" i="9" s="1"/>
  <c r="A47" i="9" s="1"/>
  <c r="A48" i="9" s="1"/>
  <c r="A49" i="9" s="1"/>
  <c r="A50" i="9" s="1"/>
  <c r="A51" i="9" s="1"/>
  <c r="A52" i="9" s="1"/>
  <c r="A53" i="9" s="1"/>
  <c r="A54" i="9" s="1"/>
  <c r="A55" i="9" s="1"/>
  <c r="A56" i="9" s="1"/>
  <c r="A57" i="9" s="1"/>
  <c r="A58" i="9" s="1"/>
  <c r="A59" i="9" s="1"/>
  <c r="A60" i="9" s="1"/>
  <c r="A61" i="9" s="1"/>
  <c r="A62" i="9" s="1"/>
  <c r="A63" i="9" s="1"/>
  <c r="A64" i="9" s="1"/>
  <c r="A65" i="9" s="1"/>
  <c r="A66" i="9" s="1"/>
  <c r="A67" i="9" s="1"/>
  <c r="A68" i="9" s="1"/>
  <c r="A69" i="9" s="1"/>
  <c r="A70" i="9" s="1"/>
  <c r="A71" i="9" s="1"/>
  <c r="A72" i="9" s="1"/>
  <c r="A73" i="9" s="1"/>
  <c r="A74" i="9" s="1"/>
  <c r="A75" i="9" s="1"/>
  <c r="A76" i="9" s="1"/>
  <c r="A77" i="9" s="1"/>
  <c r="A78" i="9" s="1"/>
  <c r="A79" i="9" s="1"/>
  <c r="A80" i="9" s="1"/>
  <c r="A81" i="9" s="1"/>
  <c r="A82" i="9" s="1"/>
  <c r="A83" i="9" s="1"/>
  <c r="A84" i="9" s="1"/>
  <c r="A85" i="9" s="1"/>
  <c r="A86" i="9" s="1"/>
  <c r="A87" i="9" s="1"/>
  <c r="A88" i="9" s="1"/>
  <c r="A89" i="9" s="1"/>
  <c r="A90" i="9" s="1"/>
  <c r="A91" i="9" s="1"/>
  <c r="G43" i="7"/>
  <c r="F43" i="7"/>
  <c r="H43" i="7" s="1"/>
  <c r="E43" i="7"/>
  <c r="A34" i="8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133" i="7"/>
  <c r="A134" i="7" s="1"/>
  <c r="A135" i="7" s="1"/>
  <c r="A6" i="8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5" i="8"/>
  <c r="A44" i="5"/>
  <c r="A6" i="5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5" i="5"/>
  <c r="G4" i="5"/>
  <c r="F4" i="5"/>
  <c r="E4" i="5"/>
  <c r="H4" i="5" l="1"/>
  <c r="A27" i="7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A118" i="7" s="1"/>
  <c r="A119" i="7" s="1"/>
  <c r="A120" i="7" s="1"/>
  <c r="A121" i="7" s="1"/>
  <c r="A122" i="7" s="1"/>
  <c r="A123" i="7" s="1"/>
  <c r="A124" i="7" s="1"/>
  <c r="A125" i="7" s="1"/>
  <c r="A126" i="7" s="1"/>
  <c r="A127" i="7" s="1"/>
  <c r="A128" i="7" s="1"/>
  <c r="A129" i="7" s="1"/>
  <c r="A130" i="7" s="1"/>
  <c r="A131" i="7" s="1"/>
  <c r="A132" i="7" s="1"/>
  <c r="A5" i="7"/>
  <c r="A6" i="7" s="1"/>
  <c r="G5" i="7"/>
  <c r="F5" i="7"/>
  <c r="H5" i="7" s="1"/>
  <c r="E5" i="7"/>
  <c r="G4" i="7" l="1"/>
  <c r="F4" i="7"/>
  <c r="E4" i="7"/>
  <c r="A7" i="7"/>
  <c r="G42" i="5"/>
  <c r="F42" i="5"/>
  <c r="H42" i="5" s="1"/>
  <c r="E42" i="5"/>
  <c r="G31" i="6"/>
  <c r="F31" i="6"/>
  <c r="E31" i="6"/>
  <c r="G74" i="6"/>
  <c r="F74" i="6"/>
  <c r="E74" i="6"/>
  <c r="G41" i="5"/>
  <c r="F41" i="5"/>
  <c r="E41" i="5"/>
  <c r="G9" i="2"/>
  <c r="F9" i="2"/>
  <c r="E9" i="2"/>
  <c r="G15" i="6"/>
  <c r="F15" i="6"/>
  <c r="E15" i="6"/>
  <c r="G6" i="6"/>
  <c r="F6" i="6"/>
  <c r="H6" i="6" s="1"/>
  <c r="E6" i="6"/>
  <c r="A8" i="7" l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H4" i="7"/>
  <c r="H15" i="6"/>
  <c r="H74" i="6"/>
  <c r="H31" i="6"/>
  <c r="H9" i="2"/>
  <c r="H41" i="5"/>
  <c r="G8" i="6"/>
  <c r="F8" i="6"/>
  <c r="E8" i="6"/>
  <c r="H8" i="6" l="1"/>
  <c r="G7" i="6"/>
  <c r="F7" i="6"/>
  <c r="E7" i="6"/>
  <c r="G14" i="5"/>
  <c r="F14" i="5"/>
  <c r="E14" i="5"/>
  <c r="A285" i="6"/>
  <c r="A286" i="6" s="1"/>
  <c r="A284" i="6"/>
  <c r="G15" i="2"/>
  <c r="F15" i="2"/>
  <c r="E15" i="2"/>
  <c r="G13" i="2"/>
  <c r="F13" i="2"/>
  <c r="E13" i="2"/>
  <c r="G88" i="2"/>
  <c r="F88" i="2"/>
  <c r="E88" i="2"/>
  <c r="H7" i="6" l="1"/>
  <c r="H13" i="2"/>
  <c r="H14" i="5"/>
  <c r="H88" i="2"/>
  <c r="H15" i="2"/>
  <c r="G8" i="2"/>
  <c r="F8" i="2"/>
  <c r="E8" i="2"/>
  <c r="G17" i="6"/>
  <c r="F17" i="6"/>
  <c r="E17" i="6"/>
  <c r="G20" i="6"/>
  <c r="F20" i="6"/>
  <c r="E20" i="6"/>
  <c r="H8" i="2" l="1"/>
  <c r="H16" i="2"/>
  <c r="H20" i="6"/>
  <c r="H17" i="6"/>
  <c r="G14" i="2"/>
  <c r="F14" i="2"/>
  <c r="E14" i="2"/>
  <c r="H14" i="2" l="1"/>
  <c r="G12" i="2"/>
  <c r="F12" i="2"/>
  <c r="E12" i="2"/>
  <c r="H12" i="2" l="1"/>
  <c r="G10" i="2"/>
  <c r="F10" i="2"/>
  <c r="E10" i="2"/>
  <c r="G7" i="2"/>
  <c r="E7" i="2"/>
  <c r="F7" i="2"/>
  <c r="G6" i="2"/>
  <c r="F6" i="2"/>
  <c r="E6" i="2"/>
  <c r="G5" i="2"/>
  <c r="F5" i="2"/>
  <c r="E5" i="2"/>
  <c r="H7" i="2" l="1"/>
  <c r="H5" i="2"/>
  <c r="H6" i="2"/>
  <c r="H10" i="2"/>
  <c r="G4" i="2"/>
  <c r="F4" i="2"/>
  <c r="H4" i="2" s="1"/>
  <c r="E4" i="2"/>
  <c r="G4" i="6" l="1"/>
  <c r="F4" i="6"/>
  <c r="E4" i="6"/>
  <c r="H4" i="6" l="1"/>
  <c r="G5" i="6"/>
  <c r="F5" i="6"/>
  <c r="E5" i="6"/>
  <c r="H5" i="6" l="1"/>
  <c r="A104" i="2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6" i="6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s="1"/>
  <c r="A126" i="6" s="1"/>
  <c r="A127" i="6" s="1"/>
  <c r="A128" i="6" s="1"/>
  <c r="A129" i="6" s="1"/>
  <c r="A130" i="6" s="1"/>
  <c r="A131" i="6" s="1"/>
  <c r="A132" i="6" s="1"/>
  <c r="A133" i="6" s="1"/>
  <c r="A134" i="6" s="1"/>
  <c r="A135" i="6" s="1"/>
  <c r="A136" i="6" s="1"/>
  <c r="A137" i="6" s="1"/>
  <c r="A138" i="6" s="1"/>
  <c r="A139" i="6" s="1"/>
  <c r="A140" i="6" s="1"/>
  <c r="A141" i="6" s="1"/>
  <c r="A142" i="6" s="1"/>
  <c r="A143" i="6" s="1"/>
  <c r="A144" i="6" s="1"/>
  <c r="A145" i="6" s="1"/>
  <c r="A146" i="6" s="1"/>
  <c r="A147" i="6" s="1"/>
  <c r="A148" i="6" s="1"/>
  <c r="A149" i="6" s="1"/>
  <c r="A150" i="6" s="1"/>
  <c r="A151" i="6" s="1"/>
  <c r="A152" i="6" s="1"/>
  <c r="A153" i="6" s="1"/>
  <c r="A154" i="6" s="1"/>
  <c r="A155" i="6" s="1"/>
  <c r="A156" i="6" s="1"/>
  <c r="A157" i="6" s="1"/>
  <c r="A158" i="6" s="1"/>
  <c r="A159" i="6" s="1"/>
  <c r="A160" i="6" s="1"/>
  <c r="A161" i="6" s="1"/>
  <c r="A162" i="6" s="1"/>
  <c r="A163" i="6" s="1"/>
  <c r="A164" i="6" s="1"/>
  <c r="A165" i="6" s="1"/>
  <c r="A166" i="6" s="1"/>
  <c r="A167" i="6" s="1"/>
  <c r="A168" i="6" s="1"/>
  <c r="A169" i="6" s="1"/>
  <c r="A170" i="6" s="1"/>
  <c r="A171" i="6" s="1"/>
  <c r="A172" i="6" s="1"/>
  <c r="A173" i="6" s="1"/>
  <c r="A174" i="6" s="1"/>
  <c r="A175" i="6" s="1"/>
  <c r="A176" i="6" s="1"/>
  <c r="A177" i="6" s="1"/>
  <c r="A178" i="6" s="1"/>
  <c r="A179" i="6" s="1"/>
  <c r="A180" i="6" s="1"/>
  <c r="A181" i="6" s="1"/>
  <c r="A182" i="6" s="1"/>
  <c r="A183" i="6" s="1"/>
  <c r="A184" i="6" s="1"/>
  <c r="A185" i="6" s="1"/>
  <c r="A186" i="6" s="1"/>
  <c r="A187" i="6" s="1"/>
  <c r="A188" i="6" s="1"/>
  <c r="A189" i="6" s="1"/>
  <c r="A190" i="6" s="1"/>
  <c r="A191" i="6" s="1"/>
  <c r="A192" i="6" s="1"/>
  <c r="A193" i="6" s="1"/>
  <c r="A194" i="6" s="1"/>
  <c r="A195" i="6" s="1"/>
  <c r="A196" i="6" s="1"/>
  <c r="A197" i="6" s="1"/>
  <c r="A198" i="6" s="1"/>
  <c r="A199" i="6" s="1"/>
  <c r="A200" i="6" s="1"/>
  <c r="A201" i="6" s="1"/>
  <c r="A202" i="6" s="1"/>
  <c r="A203" i="6" s="1"/>
  <c r="A204" i="6" s="1"/>
  <c r="A205" i="6" s="1"/>
  <c r="A206" i="6" s="1"/>
  <c r="A207" i="6" s="1"/>
  <c r="A208" i="6" s="1"/>
  <c r="A209" i="6" s="1"/>
  <c r="A210" i="6" s="1"/>
  <c r="A211" i="6" s="1"/>
  <c r="A212" i="6" s="1"/>
  <c r="A213" i="6" s="1"/>
  <c r="A214" i="6" s="1"/>
  <c r="A215" i="6" s="1"/>
  <c r="A216" i="6" s="1"/>
  <c r="A217" i="6" s="1"/>
  <c r="A218" i="6" s="1"/>
  <c r="A219" i="6" s="1"/>
  <c r="A220" i="6" s="1"/>
  <c r="A221" i="6" s="1"/>
  <c r="A222" i="6" s="1"/>
  <c r="A223" i="6" s="1"/>
  <c r="A224" i="6" s="1"/>
  <c r="A225" i="6" s="1"/>
  <c r="A226" i="6" s="1"/>
  <c r="A227" i="6" s="1"/>
  <c r="A228" i="6" s="1"/>
  <c r="A229" i="6" s="1"/>
  <c r="A230" i="6" s="1"/>
  <c r="A231" i="6" s="1"/>
  <c r="A232" i="6" s="1"/>
  <c r="A233" i="6" s="1"/>
  <c r="A234" i="6" s="1"/>
  <c r="A235" i="6" s="1"/>
  <c r="A236" i="6" s="1"/>
  <c r="A237" i="6" s="1"/>
  <c r="A238" i="6" s="1"/>
  <c r="A239" i="6" s="1"/>
  <c r="A240" i="6" s="1"/>
  <c r="A241" i="6" s="1"/>
  <c r="A242" i="6" s="1"/>
  <c r="A243" i="6" s="1"/>
  <c r="A244" i="6" s="1"/>
  <c r="A245" i="6" s="1"/>
  <c r="A246" i="6" s="1"/>
  <c r="A247" i="6" s="1"/>
  <c r="A248" i="6" s="1"/>
  <c r="A249" i="6" s="1"/>
  <c r="A250" i="6" s="1"/>
  <c r="A251" i="6" s="1"/>
  <c r="A252" i="6" s="1"/>
  <c r="A253" i="6" s="1"/>
  <c r="A254" i="6" s="1"/>
  <c r="A255" i="6" s="1"/>
  <c r="A256" i="6" s="1"/>
  <c r="A257" i="6" s="1"/>
  <c r="A258" i="6" s="1"/>
  <c r="A259" i="6" s="1"/>
  <c r="A260" i="6" s="1"/>
  <c r="A261" i="6" s="1"/>
  <c r="A262" i="6" s="1"/>
  <c r="A263" i="6" s="1"/>
  <c r="A264" i="6" s="1"/>
  <c r="A265" i="6" s="1"/>
  <c r="A266" i="6" s="1"/>
  <c r="A267" i="6" s="1"/>
  <c r="A268" i="6" s="1"/>
  <c r="A269" i="6" s="1"/>
  <c r="A270" i="6" s="1"/>
  <c r="A271" i="6" s="1"/>
  <c r="A272" i="6" s="1"/>
  <c r="A273" i="6" s="1"/>
  <c r="A274" i="6" s="1"/>
  <c r="A275" i="6" s="1"/>
  <c r="A276" i="6" s="1"/>
  <c r="A277" i="6" s="1"/>
  <c r="A278" i="6" s="1"/>
  <c r="A279" i="6" s="1"/>
  <c r="A280" i="6" s="1"/>
  <c r="A281" i="6" s="1"/>
  <c r="A282" i="6" s="1"/>
  <c r="A283" i="6" s="1"/>
  <c r="A5" i="6"/>
  <c r="G54" i="3"/>
  <c r="F54" i="3"/>
  <c r="G11" i="3"/>
  <c r="F11" i="3"/>
  <c r="G7" i="3"/>
  <c r="F7" i="3"/>
  <c r="G6" i="3"/>
  <c r="F6" i="3"/>
  <c r="G5" i="3"/>
  <c r="F5" i="3"/>
  <c r="G17" i="5"/>
  <c r="F17" i="5"/>
  <c r="G22" i="5" l="1"/>
  <c r="F22" i="5"/>
  <c r="E22" i="5"/>
  <c r="E17" i="5"/>
  <c r="G12" i="5"/>
  <c r="F12" i="5"/>
  <c r="E12" i="5"/>
  <c r="G10" i="5"/>
  <c r="F10" i="5"/>
  <c r="E10" i="5"/>
  <c r="G9" i="5"/>
  <c r="F9" i="5"/>
  <c r="E9" i="5"/>
  <c r="G7" i="5"/>
  <c r="F7" i="5"/>
  <c r="E7" i="5"/>
  <c r="G6" i="5"/>
  <c r="F6" i="5"/>
  <c r="E6" i="5"/>
  <c r="G5" i="5"/>
  <c r="F5" i="5"/>
  <c r="E5" i="5"/>
  <c r="H7" i="5" l="1"/>
  <c r="H9" i="5"/>
  <c r="H22" i="5"/>
  <c r="H12" i="5"/>
  <c r="H6" i="5"/>
  <c r="H10" i="5"/>
  <c r="H17" i="5"/>
  <c r="H5" i="5"/>
  <c r="E54" i="3" l="1"/>
  <c r="G15" i="3"/>
  <c r="F15" i="3"/>
  <c r="E15" i="3"/>
  <c r="G13" i="3"/>
  <c r="F13" i="3"/>
  <c r="E13" i="3"/>
  <c r="H11" i="3"/>
  <c r="E11" i="3"/>
  <c r="H7" i="3"/>
  <c r="E7" i="3"/>
  <c r="H6" i="3"/>
  <c r="E6" i="3"/>
  <c r="E5" i="3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G4" i="3"/>
  <c r="F4" i="3"/>
  <c r="E4" i="3"/>
  <c r="H13" i="3" l="1"/>
  <c r="H15" i="3"/>
  <c r="H4" i="3"/>
  <c r="H5" i="3"/>
  <c r="H54" i="3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</calcChain>
</file>

<file path=xl/sharedStrings.xml><?xml version="1.0" encoding="utf-8"?>
<sst xmlns="http://schemas.openxmlformats.org/spreadsheetml/2006/main" count="4325" uniqueCount="2625">
  <si>
    <t>Industrials Universe</t>
  </si>
  <si>
    <t>numbers in mio USD</t>
  </si>
  <si>
    <t>US</t>
  </si>
  <si>
    <t>SWK</t>
  </si>
  <si>
    <t>Stanley Black &amp; Decker</t>
  </si>
  <si>
    <t>CH</t>
  </si>
  <si>
    <t>601238.SS</t>
  </si>
  <si>
    <t>GAC</t>
  </si>
  <si>
    <t>ILMN</t>
  </si>
  <si>
    <t>Illumina</t>
  </si>
  <si>
    <t>JAP</t>
  </si>
  <si>
    <t>5802.T</t>
  </si>
  <si>
    <t>Sumitomo Denki</t>
  </si>
  <si>
    <t>SING</t>
  </si>
  <si>
    <t>FLEX</t>
  </si>
  <si>
    <t>Flex</t>
  </si>
  <si>
    <t>6988.T</t>
  </si>
  <si>
    <t>Nitto Denko</t>
  </si>
  <si>
    <t>TXT</t>
  </si>
  <si>
    <t>Textron</t>
  </si>
  <si>
    <t>FSLR</t>
  </si>
  <si>
    <t>First Solar</t>
  </si>
  <si>
    <t>8113.T</t>
  </si>
  <si>
    <t>Unicharm</t>
  </si>
  <si>
    <t>6326.T</t>
  </si>
  <si>
    <t>Kubota</t>
  </si>
  <si>
    <t>AVY</t>
  </si>
  <si>
    <t>Avery Dennisom</t>
  </si>
  <si>
    <t>FIN</t>
  </si>
  <si>
    <t>UPM.HE</t>
  </si>
  <si>
    <t>UPM.Kymmene</t>
  </si>
  <si>
    <t>GER</t>
  </si>
  <si>
    <t>KBX.DE</t>
  </si>
  <si>
    <t>Knorr-Bremse</t>
  </si>
  <si>
    <t>MAS</t>
  </si>
  <si>
    <t>Masco</t>
  </si>
  <si>
    <t>FRA</t>
  </si>
  <si>
    <t>RNO.PA</t>
  </si>
  <si>
    <t>Renault</t>
  </si>
  <si>
    <t>JBL</t>
  </si>
  <si>
    <t>Jabil</t>
  </si>
  <si>
    <t>RIVN</t>
  </si>
  <si>
    <t xml:space="preserve">Rivian </t>
  </si>
  <si>
    <t>000625.SZ</t>
  </si>
  <si>
    <t>Chongqing Changan</t>
  </si>
  <si>
    <t>6971.T</t>
  </si>
  <si>
    <t>Kyocera</t>
  </si>
  <si>
    <t>IN</t>
  </si>
  <si>
    <t>EICHERMOT.NS</t>
  </si>
  <si>
    <t>Eicher Motors</t>
  </si>
  <si>
    <t>SNA</t>
  </si>
  <si>
    <t>Snap-on</t>
  </si>
  <si>
    <t>6594.T</t>
  </si>
  <si>
    <t xml:space="preserve">Nidec </t>
  </si>
  <si>
    <t>2338.HK</t>
  </si>
  <si>
    <t>Weichai Power</t>
  </si>
  <si>
    <t>SW</t>
  </si>
  <si>
    <t>STM</t>
  </si>
  <si>
    <t>STM Microelectronics</t>
  </si>
  <si>
    <t>XPEV</t>
  </si>
  <si>
    <t>Xpeng</t>
  </si>
  <si>
    <t>SK</t>
  </si>
  <si>
    <t>012450.KS</t>
  </si>
  <si>
    <t>Hawha Aerospace</t>
  </si>
  <si>
    <t>300274.SZ</t>
  </si>
  <si>
    <t>Sungrow Power Supply</t>
  </si>
  <si>
    <t>WAT</t>
  </si>
  <si>
    <t>Waters Corporation</t>
  </si>
  <si>
    <t>LUX</t>
  </si>
  <si>
    <t>TS</t>
  </si>
  <si>
    <t>Tenaris</t>
  </si>
  <si>
    <t>000725.SZ</t>
  </si>
  <si>
    <t>BOE Technolgies</t>
  </si>
  <si>
    <t>HK</t>
  </si>
  <si>
    <t>0669.HK</t>
  </si>
  <si>
    <t>Techtronic Industries</t>
  </si>
  <si>
    <t>0175.HK</t>
  </si>
  <si>
    <t>Geely</t>
  </si>
  <si>
    <t>SWE</t>
  </si>
  <si>
    <t>EPI-AST</t>
  </si>
  <si>
    <t>Epiroc</t>
  </si>
  <si>
    <t>6273.T</t>
  </si>
  <si>
    <t>SMC</t>
  </si>
  <si>
    <t>7269.T</t>
  </si>
  <si>
    <t>Suzuki Motor</t>
  </si>
  <si>
    <t>MTD</t>
  </si>
  <si>
    <t>Mettler Toledo</t>
  </si>
  <si>
    <t>DOV</t>
  </si>
  <si>
    <t xml:space="preserve">Dover </t>
  </si>
  <si>
    <t>TH</t>
  </si>
  <si>
    <t>DELTA.BK</t>
  </si>
  <si>
    <t>Delta Electronics</t>
  </si>
  <si>
    <t>000270.KS</t>
  </si>
  <si>
    <t>Kia</t>
  </si>
  <si>
    <t>600104.SS</t>
  </si>
  <si>
    <t>SAI Motor</t>
  </si>
  <si>
    <t>6954.T</t>
  </si>
  <si>
    <t>Fanuc</t>
  </si>
  <si>
    <t>AM.PA</t>
  </si>
  <si>
    <t>Dassault Aviation</t>
  </si>
  <si>
    <t>SAND.ST</t>
  </si>
  <si>
    <t>Sandvik</t>
  </si>
  <si>
    <t>601633.SS</t>
  </si>
  <si>
    <t>Great Wall Motors</t>
  </si>
  <si>
    <t>TWN</t>
  </si>
  <si>
    <t>2382.TW</t>
  </si>
  <si>
    <t>Quanta Computer</t>
  </si>
  <si>
    <t>6301.T</t>
  </si>
  <si>
    <t>Komatsu</t>
  </si>
  <si>
    <t>LR.PA</t>
  </si>
  <si>
    <t>Legrand</t>
  </si>
  <si>
    <t>601127.SS</t>
  </si>
  <si>
    <t>Seres Group</t>
  </si>
  <si>
    <t>IP</t>
  </si>
  <si>
    <t>International Paper</t>
  </si>
  <si>
    <t>DTG.F</t>
  </si>
  <si>
    <t>Daimler Truck</t>
  </si>
  <si>
    <t>6376.T</t>
  </si>
  <si>
    <t>Daikin</t>
  </si>
  <si>
    <t>NE</t>
  </si>
  <si>
    <t>STLA</t>
  </si>
  <si>
    <t>Stellantis</t>
  </si>
  <si>
    <t>A</t>
  </si>
  <si>
    <t>Agilent Technologies</t>
  </si>
  <si>
    <t>SCHN.SW</t>
  </si>
  <si>
    <t>Schindler Group</t>
  </si>
  <si>
    <t>HYMTF</t>
  </si>
  <si>
    <t>Hyundai</t>
  </si>
  <si>
    <t>000651.SZ</t>
  </si>
  <si>
    <t xml:space="preserve">Gree Elecetric </t>
  </si>
  <si>
    <t>6902.T</t>
  </si>
  <si>
    <t>Denso</t>
  </si>
  <si>
    <t>CEHC</t>
  </si>
  <si>
    <t>GE Healtcare</t>
  </si>
  <si>
    <t>7741.T</t>
  </si>
  <si>
    <t>Hoya</t>
  </si>
  <si>
    <t>6530.T</t>
  </si>
  <si>
    <t>Mitsubishi Electric</t>
  </si>
  <si>
    <t>300760.SZ</t>
  </si>
  <si>
    <t>Mindray</t>
  </si>
  <si>
    <t>F</t>
  </si>
  <si>
    <t>Ford</t>
  </si>
  <si>
    <t>HMC</t>
  </si>
  <si>
    <t>Honda</t>
  </si>
  <si>
    <t>AME</t>
  </si>
  <si>
    <t>Ametek</t>
  </si>
  <si>
    <t>OTIS</t>
  </si>
  <si>
    <t>Otis Worldwide</t>
  </si>
  <si>
    <t>MARUTI.NS</t>
  </si>
  <si>
    <t>Maruti Szuzuki</t>
  </si>
  <si>
    <t>CMI</t>
  </si>
  <si>
    <t>Cummins</t>
  </si>
  <si>
    <t>P911.DE</t>
  </si>
  <si>
    <t>Porsche</t>
  </si>
  <si>
    <t>GM</t>
  </si>
  <si>
    <t>General Motors</t>
  </si>
  <si>
    <t>KMB</t>
  </si>
  <si>
    <t>Kimberley Clark</t>
  </si>
  <si>
    <t>BMW.DE</t>
  </si>
  <si>
    <t>BMW</t>
  </si>
  <si>
    <t>207940.KS</t>
  </si>
  <si>
    <t>Samsung Biologics</t>
  </si>
  <si>
    <t>VOW3.DE</t>
  </si>
  <si>
    <t>Volkswagen</t>
  </si>
  <si>
    <t>PCAR</t>
  </si>
  <si>
    <t>Paccar</t>
  </si>
  <si>
    <t>FR</t>
  </si>
  <si>
    <t>SGO.PA</t>
  </si>
  <si>
    <t>Compagnie de Saint Cobain</t>
  </si>
  <si>
    <t>MRVL</t>
  </si>
  <si>
    <t>Marvell Technology</t>
  </si>
  <si>
    <t>601138.SS</t>
  </si>
  <si>
    <t>Foxconn Industrial Internet</t>
  </si>
  <si>
    <t>MBG.DE</t>
  </si>
  <si>
    <t>Mercedes Benz</t>
  </si>
  <si>
    <t>Volvo.AST</t>
  </si>
  <si>
    <t>Volvo Group</t>
  </si>
  <si>
    <t>EMR</t>
  </si>
  <si>
    <t>Emerson</t>
  </si>
  <si>
    <t>TW</t>
  </si>
  <si>
    <t>2317.TW</t>
  </si>
  <si>
    <t>Foxconn</t>
  </si>
  <si>
    <t>ITW</t>
  </si>
  <si>
    <t>Illinois Tools Work</t>
  </si>
  <si>
    <t>ATCO.BST</t>
  </si>
  <si>
    <t>Atlas Copco</t>
  </si>
  <si>
    <t>IT</t>
  </si>
  <si>
    <t>RACE</t>
  </si>
  <si>
    <t>Ferrari</t>
  </si>
  <si>
    <t>000333.SZ</t>
  </si>
  <si>
    <t>Midea</t>
  </si>
  <si>
    <t>APH</t>
  </si>
  <si>
    <t>Amphenol</t>
  </si>
  <si>
    <t>UK</t>
  </si>
  <si>
    <t>RL.L</t>
  </si>
  <si>
    <t>Rolls Royce</t>
  </si>
  <si>
    <t>INTC</t>
  </si>
  <si>
    <t xml:space="preserve">Intel </t>
  </si>
  <si>
    <t>ADI</t>
  </si>
  <si>
    <t>Analog Devices</t>
  </si>
  <si>
    <t>LMT</t>
  </si>
  <si>
    <t>Lockheed Martin</t>
  </si>
  <si>
    <t>BA</t>
  </si>
  <si>
    <t>Boeing</t>
  </si>
  <si>
    <t>DE</t>
  </si>
  <si>
    <t>Deere &amp; Company</t>
  </si>
  <si>
    <t>AIR.PA</t>
  </si>
  <si>
    <t>Airbus</t>
  </si>
  <si>
    <t>002594.SZ</t>
  </si>
  <si>
    <t>BYD</t>
  </si>
  <si>
    <t>Xiaomi</t>
  </si>
  <si>
    <t>CAT</t>
  </si>
  <si>
    <t>Caterpillar</t>
  </si>
  <si>
    <t>TM</t>
  </si>
  <si>
    <t>Toyota</t>
  </si>
  <si>
    <t>005930.KS</t>
  </si>
  <si>
    <t>Samsung</t>
  </si>
  <si>
    <t>TSLA</t>
  </si>
  <si>
    <t>Tesla</t>
  </si>
  <si>
    <t>TSM</t>
  </si>
  <si>
    <t>TSMC</t>
  </si>
  <si>
    <t>Country</t>
  </si>
  <si>
    <t>Ticker</t>
  </si>
  <si>
    <t>Name</t>
  </si>
  <si>
    <t>#</t>
  </si>
  <si>
    <t xml:space="preserve">Main </t>
  </si>
  <si>
    <t>Automakers</t>
  </si>
  <si>
    <t>Numbers in mm USD</t>
  </si>
  <si>
    <t>TICKR</t>
  </si>
  <si>
    <t>Price</t>
  </si>
  <si>
    <t>MC</t>
  </si>
  <si>
    <t>Net Debt</t>
  </si>
  <si>
    <t>EV</t>
  </si>
  <si>
    <t>Last Update</t>
  </si>
  <si>
    <t>Next Results</t>
  </si>
  <si>
    <t>Rev</t>
  </si>
  <si>
    <t>Q424</t>
  </si>
  <si>
    <t>FQ325</t>
  </si>
  <si>
    <t>CHI</t>
  </si>
  <si>
    <t>Q324</t>
  </si>
  <si>
    <t>ITA</t>
  </si>
  <si>
    <t>Stellanis</t>
  </si>
  <si>
    <t>XIACF</t>
  </si>
  <si>
    <t>HYMFT</t>
  </si>
  <si>
    <t>KOR</t>
  </si>
  <si>
    <t>Maruti Szuki</t>
  </si>
  <si>
    <t>IND</t>
  </si>
  <si>
    <t>TATA Motors</t>
  </si>
  <si>
    <t>TATAMOTORS.NS</t>
  </si>
  <si>
    <t>Mahindra &amp; Mahindra</t>
  </si>
  <si>
    <t>M&amp;M.NS</t>
  </si>
  <si>
    <t>KIA</t>
  </si>
  <si>
    <t>000270.SK</t>
  </si>
  <si>
    <t>Suzuki</t>
  </si>
  <si>
    <t>Li Auto</t>
  </si>
  <si>
    <t>LI</t>
  </si>
  <si>
    <t>SAIC Motor</t>
  </si>
  <si>
    <t>Chongquing Chagan</t>
  </si>
  <si>
    <t>601127.SZ</t>
  </si>
  <si>
    <t>Rivian</t>
  </si>
  <si>
    <t>Subaru</t>
  </si>
  <si>
    <t>7270.T</t>
  </si>
  <si>
    <t>Nissan</t>
  </si>
  <si>
    <t>7201.T</t>
  </si>
  <si>
    <t>Ford Otosan</t>
  </si>
  <si>
    <t>FROTO.IS</t>
  </si>
  <si>
    <t>TUR</t>
  </si>
  <si>
    <t>VinFast Auto</t>
  </si>
  <si>
    <t>VFS</t>
  </si>
  <si>
    <t>VTN</t>
  </si>
  <si>
    <t>Hotai Motor</t>
  </si>
  <si>
    <t>2207.TW</t>
  </si>
  <si>
    <t>Isuzu</t>
  </si>
  <si>
    <t>7202.T</t>
  </si>
  <si>
    <t>Nio</t>
  </si>
  <si>
    <t>NIO</t>
  </si>
  <si>
    <t>Volvo</t>
  </si>
  <si>
    <t>VOLCAR.BST</t>
  </si>
  <si>
    <t>XPENG</t>
  </si>
  <si>
    <t>Lucid Motors</t>
  </si>
  <si>
    <t>LCID</t>
  </si>
  <si>
    <t>Mazda</t>
  </si>
  <si>
    <t>7261.T</t>
  </si>
  <si>
    <t>JAC Motors</t>
  </si>
  <si>
    <t>600418.SS</t>
  </si>
  <si>
    <t>FAW Car</t>
  </si>
  <si>
    <t>000800.SZ</t>
  </si>
  <si>
    <t xml:space="preserve">Tofas Türk Otomobil </t>
  </si>
  <si>
    <t>TOASO.IS</t>
  </si>
  <si>
    <t>Zeekr</t>
  </si>
  <si>
    <t>ZK</t>
  </si>
  <si>
    <t>Mitsubishi Motors</t>
  </si>
  <si>
    <t>7211.T</t>
  </si>
  <si>
    <t>Lotus Techn.</t>
  </si>
  <si>
    <t>LOT</t>
  </si>
  <si>
    <t>Polaris</t>
  </si>
  <si>
    <t>PII</t>
  </si>
  <si>
    <t>Leapmotor</t>
  </si>
  <si>
    <t>9863.HK</t>
  </si>
  <si>
    <t>Dongfeng Motor</t>
  </si>
  <si>
    <t>0489.HK</t>
  </si>
  <si>
    <t>Youlon Motor Company</t>
  </si>
  <si>
    <t>2201.TW</t>
  </si>
  <si>
    <t>Polestar</t>
  </si>
  <si>
    <t>PSNY</t>
  </si>
  <si>
    <t>Aston Martin</t>
  </si>
  <si>
    <t>AML.L</t>
  </si>
  <si>
    <t>GB</t>
  </si>
  <si>
    <t>Force Motors</t>
  </si>
  <si>
    <t>FORCEMOT.NS</t>
  </si>
  <si>
    <t>Nikolia</t>
  </si>
  <si>
    <t>NKLA</t>
  </si>
  <si>
    <t>NWTN</t>
  </si>
  <si>
    <t>UAE</t>
  </si>
  <si>
    <t>Kandi Technolgies</t>
  </si>
  <si>
    <t>KNDI</t>
  </si>
  <si>
    <t>Canoo</t>
  </si>
  <si>
    <t>GOEV</t>
  </si>
  <si>
    <t>Cenntro Electric Group</t>
  </si>
  <si>
    <t>CENN</t>
  </si>
  <si>
    <t>REE Automotive</t>
  </si>
  <si>
    <t>REE</t>
  </si>
  <si>
    <t>ISRL</t>
  </si>
  <si>
    <t>Mullen Automotive</t>
  </si>
  <si>
    <t>MULN</t>
  </si>
  <si>
    <t>Phoenix Motor</t>
  </si>
  <si>
    <t>PEV</t>
  </si>
  <si>
    <t>Fraraday Future</t>
  </si>
  <si>
    <t>FFIE</t>
  </si>
  <si>
    <t>Acrimoto</t>
  </si>
  <si>
    <t>FUV</t>
  </si>
  <si>
    <t>Porsche Holding</t>
  </si>
  <si>
    <t>PAH003</t>
  </si>
  <si>
    <t>Main</t>
  </si>
  <si>
    <t>EUR/USD</t>
  </si>
  <si>
    <t>RMB/USD</t>
  </si>
  <si>
    <t>GBP/USD</t>
  </si>
  <si>
    <t>YEN/USD</t>
  </si>
  <si>
    <t>Tickr</t>
  </si>
  <si>
    <t>Update</t>
  </si>
  <si>
    <t>Notes</t>
  </si>
  <si>
    <t>Raytheon Technologies</t>
  </si>
  <si>
    <t>RTX</t>
  </si>
  <si>
    <t>Q224</t>
  </si>
  <si>
    <t>Lockhead Martin</t>
  </si>
  <si>
    <t>Honeywell</t>
  </si>
  <si>
    <t>HON</t>
  </si>
  <si>
    <t>Safran</t>
  </si>
  <si>
    <t>SAF.PA</t>
  </si>
  <si>
    <t>General Dynamics</t>
  </si>
  <si>
    <t>GD</t>
  </si>
  <si>
    <t>Northgroup Norman</t>
  </si>
  <si>
    <t>NOC</t>
  </si>
  <si>
    <t>BAE Systemns</t>
  </si>
  <si>
    <t>BA.L</t>
  </si>
  <si>
    <t>L3Harris</t>
  </si>
  <si>
    <t>LHX</t>
  </si>
  <si>
    <t>Hindustan Aeronautics</t>
  </si>
  <si>
    <t>HAL.NS</t>
  </si>
  <si>
    <t>Thales</t>
  </si>
  <si>
    <t>HO.PA</t>
  </si>
  <si>
    <t>Bharat Eletronics</t>
  </si>
  <si>
    <t>BEL.NS</t>
  </si>
  <si>
    <t>Rheinmetall</t>
  </si>
  <si>
    <t>RHM.F</t>
  </si>
  <si>
    <t>Kongsberg Gruppen</t>
  </si>
  <si>
    <t>KOG.OL</t>
  </si>
  <si>
    <t>NOR</t>
  </si>
  <si>
    <t>Leonardo</t>
  </si>
  <si>
    <t>LDO.MI</t>
  </si>
  <si>
    <t>SAAB AB</t>
  </si>
  <si>
    <t>SAAB.B-ST</t>
  </si>
  <si>
    <t>Huntingtion Ingalls</t>
  </si>
  <si>
    <t>HII</t>
  </si>
  <si>
    <t>ELBIT Systems</t>
  </si>
  <si>
    <t>ESLT</t>
  </si>
  <si>
    <t>Leonardo DRS</t>
  </si>
  <si>
    <t>DRS</t>
  </si>
  <si>
    <t>Aselsan</t>
  </si>
  <si>
    <t>ASELS.IS</t>
  </si>
  <si>
    <t>Bharat Dynamics</t>
  </si>
  <si>
    <t>BDL.NS</t>
  </si>
  <si>
    <t>Aero Viroment</t>
  </si>
  <si>
    <t>AVAV</t>
  </si>
  <si>
    <t>Hensfoldt</t>
  </si>
  <si>
    <t>HAG.F</t>
  </si>
  <si>
    <t>QinteiQ</t>
  </si>
  <si>
    <t>QQ.L</t>
  </si>
  <si>
    <t>Kratos DSS</t>
  </si>
  <si>
    <t>KTOS</t>
  </si>
  <si>
    <t>Indra Sistemas</t>
  </si>
  <si>
    <t>IDR.MC</t>
  </si>
  <si>
    <t>SPA</t>
  </si>
  <si>
    <t>Mercury Systems</t>
  </si>
  <si>
    <t>MRCY</t>
  </si>
  <si>
    <t>V2X</t>
  </si>
  <si>
    <t>VVX</t>
  </si>
  <si>
    <t>VSE Corp</t>
  </si>
  <si>
    <t>VSEC</t>
  </si>
  <si>
    <t>Drone Shield</t>
  </si>
  <si>
    <t>DRO.AX</t>
  </si>
  <si>
    <t>AUS</t>
  </si>
  <si>
    <t>Sturm, Ruger &amp; CO</t>
  </si>
  <si>
    <t>RGR</t>
  </si>
  <si>
    <t>Avon Protection</t>
  </si>
  <si>
    <t>AVON.L</t>
  </si>
  <si>
    <t>AMMO</t>
  </si>
  <si>
    <t>POWW</t>
  </si>
  <si>
    <t>TAT Technologies</t>
  </si>
  <si>
    <t>TATT</t>
  </si>
  <si>
    <t>Lubawa</t>
  </si>
  <si>
    <t>LBW.WA</t>
  </si>
  <si>
    <t>POL</t>
  </si>
  <si>
    <t xml:space="preserve">Privat </t>
  </si>
  <si>
    <t>Anduril Industries</t>
  </si>
  <si>
    <t xml:space="preserve">Price </t>
  </si>
  <si>
    <t>Updated</t>
  </si>
  <si>
    <t>Nxt Rslt</t>
  </si>
  <si>
    <t>Uber</t>
  </si>
  <si>
    <t>UBER</t>
  </si>
  <si>
    <t>Union Pacific Corporation</t>
  </si>
  <si>
    <t>UNP</t>
  </si>
  <si>
    <t>United Parcel Service</t>
  </si>
  <si>
    <t>UPS</t>
  </si>
  <si>
    <t>Canadian Pacific Railway</t>
  </si>
  <si>
    <t>CP</t>
  </si>
  <si>
    <t>Canadian National Railway</t>
  </si>
  <si>
    <t>CNI</t>
  </si>
  <si>
    <t>Kinder Morgan</t>
  </si>
  <si>
    <t>KMI</t>
  </si>
  <si>
    <t>CSX Corporation</t>
  </si>
  <si>
    <t>CSX</t>
  </si>
  <si>
    <t>FedEx</t>
  </si>
  <si>
    <t>FDX</t>
  </si>
  <si>
    <t>TC Energy</t>
  </si>
  <si>
    <t>TRP</t>
  </si>
  <si>
    <t>DHL Group (Deutsche Post)</t>
  </si>
  <si>
    <t>DHL.DE</t>
  </si>
  <si>
    <t>DSV</t>
  </si>
  <si>
    <t>DSV.VI</t>
  </si>
  <si>
    <t>Old Dominion Freight Line</t>
  </si>
  <si>
    <t>ODFL</t>
  </si>
  <si>
    <t>COSCO Shipping</t>
  </si>
  <si>
    <t>601919.SS</t>
  </si>
  <si>
    <t>Delta Air Lines</t>
  </si>
  <si>
    <t>DAL</t>
  </si>
  <si>
    <t>Hapag-Lloyd</t>
  </si>
  <si>
    <t>HLAG.DE</t>
  </si>
  <si>
    <t>Kühne + Nagel</t>
  </si>
  <si>
    <t>KNIN.SW</t>
  </si>
  <si>
    <t>East Japan Railway</t>
  </si>
  <si>
    <t>9020.T</t>
  </si>
  <si>
    <t>Maersk</t>
  </si>
  <si>
    <t>MAERSK-B.CO</t>
  </si>
  <si>
    <t>InterGlobe Aviation</t>
  </si>
  <si>
    <t>INDIGO.NS</t>
  </si>
  <si>
    <t>Ryanair</t>
  </si>
  <si>
    <t>RYAAY</t>
  </si>
  <si>
    <t>United Airlines Holdings</t>
  </si>
  <si>
    <t>UAL</t>
  </si>
  <si>
    <t>Pembina Pipeline</t>
  </si>
  <si>
    <t>PBA</t>
  </si>
  <si>
    <t>Central Japan Railway</t>
  </si>
  <si>
    <t>9022.T</t>
  </si>
  <si>
    <t>Brambles</t>
  </si>
  <si>
    <t>BXB.AX</t>
  </si>
  <si>
    <t>DiDi</t>
  </si>
  <si>
    <t>DIDIY</t>
  </si>
  <si>
    <t>International Consolidated Airlines</t>
  </si>
  <si>
    <t>BABWF</t>
  </si>
  <si>
    <t>Air China</t>
  </si>
  <si>
    <t>601111.SS</t>
  </si>
  <si>
    <t>Expeditors</t>
  </si>
  <si>
    <t>EXPD</t>
  </si>
  <si>
    <t>Southwest Airlines</t>
  </si>
  <si>
    <t>LUV</t>
  </si>
  <si>
    <t>Nippon Yūsen</t>
  </si>
  <si>
    <t>9101.T</t>
  </si>
  <si>
    <t>Singapore Airlines</t>
  </si>
  <si>
    <t>C6L.SI</t>
  </si>
  <si>
    <t>Evergreen Marine</t>
  </si>
  <si>
    <t>2603.TW</t>
  </si>
  <si>
    <t>J. B. Hunt</t>
  </si>
  <si>
    <t>JBHT</t>
  </si>
  <si>
    <t>China Southern Airlines</t>
  </si>
  <si>
    <t>600029.SS</t>
  </si>
  <si>
    <t>Mitsui O.S.K. Lines</t>
  </si>
  <si>
    <t>9104.T</t>
  </si>
  <si>
    <t>HMM</t>
  </si>
  <si>
    <t>011200.KS</t>
  </si>
  <si>
    <t>Plains All American Pipeline</t>
  </si>
  <si>
    <t>PAA</t>
  </si>
  <si>
    <t>XPO Logistics</t>
  </si>
  <si>
    <t>XPO</t>
  </si>
  <si>
    <t>Turkish Airlines</t>
  </si>
  <si>
    <t>THYAO.IS</t>
  </si>
  <si>
    <t>Full Truck Alliance</t>
  </si>
  <si>
    <t>YMM</t>
  </si>
  <si>
    <t>C. H. Robinson</t>
  </si>
  <si>
    <t>CHRW</t>
  </si>
  <si>
    <t>China Eastern Airlines</t>
  </si>
  <si>
    <t>600115.SS</t>
  </si>
  <si>
    <t>West Japan Railway</t>
  </si>
  <si>
    <t>9021.T</t>
  </si>
  <si>
    <t>FTAI Aviation</t>
  </si>
  <si>
    <t>FTAI</t>
  </si>
  <si>
    <t>Getlink</t>
  </si>
  <si>
    <t>GET.PA</t>
  </si>
  <si>
    <t>Saia</t>
  </si>
  <si>
    <t>SAIA</t>
  </si>
  <si>
    <t>Orient Overseas Container Line</t>
  </si>
  <si>
    <t>0316.HK</t>
  </si>
  <si>
    <t>ANA Holdings</t>
  </si>
  <si>
    <t>9202.T</t>
  </si>
  <si>
    <t>ADNOC Logistics &amp; Services</t>
  </si>
  <si>
    <t>ADNOCLS.AE</t>
  </si>
  <si>
    <t>LATAM Airlines</t>
  </si>
  <si>
    <t>LTM</t>
  </si>
  <si>
    <t>Hainan Airlines</t>
  </si>
  <si>
    <t>900945.SS</t>
  </si>
  <si>
    <t>“K” Line</t>
  </si>
  <si>
    <t>9107.T</t>
  </si>
  <si>
    <t>Lufthansa</t>
  </si>
  <si>
    <t>LHA.DE</t>
  </si>
  <si>
    <t>Qantas Airways</t>
  </si>
  <si>
    <t>QAN.AX</t>
  </si>
  <si>
    <t>Japan Airlines</t>
  </si>
  <si>
    <t>9201.T</t>
  </si>
  <si>
    <t>Yang Ming</t>
  </si>
  <si>
    <t>2609.TW</t>
  </si>
  <si>
    <t>Cathay Pacific</t>
  </si>
  <si>
    <t>0293.HK</t>
  </si>
  <si>
    <t>InPost</t>
  </si>
  <si>
    <t>INPST.AS</t>
  </si>
  <si>
    <t>Spring Airlines</t>
  </si>
  <si>
    <t>601021.SS</t>
  </si>
  <si>
    <t>MISC Berhad</t>
  </si>
  <si>
    <t>3816.KL</t>
  </si>
  <si>
    <t>Qatar Gas Transport Company</t>
  </si>
  <si>
    <t>QGTS.QA</t>
  </si>
  <si>
    <t>Tokyu</t>
  </si>
  <si>
    <t>9005.T</t>
  </si>
  <si>
    <t>TFI International</t>
  </si>
  <si>
    <t>TFII</t>
  </si>
  <si>
    <t>Hankyu Hanshin Holdings</t>
  </si>
  <si>
    <t>9042.T</t>
  </si>
  <si>
    <t>EVA Air</t>
  </si>
  <si>
    <t>2618.TW</t>
  </si>
  <si>
    <t>China Merchants Port</t>
  </si>
  <si>
    <t>0144.HK</t>
  </si>
  <si>
    <t>Knight-Swift</t>
  </si>
  <si>
    <t>KNX</t>
  </si>
  <si>
    <t>SITC International</t>
  </si>
  <si>
    <t>1308.HK</t>
  </si>
  <si>
    <t>Wan Hai Lines</t>
  </si>
  <si>
    <t>2615.TW</t>
  </si>
  <si>
    <t>American Airlines</t>
  </si>
  <si>
    <t>AAL</t>
  </si>
  <si>
    <t>Ryder</t>
  </si>
  <si>
    <t>R</t>
  </si>
  <si>
    <t>Korean Air Lines</t>
  </si>
  <si>
    <t>003495.KS</t>
  </si>
  <si>
    <t>Hyundai Glovis</t>
  </si>
  <si>
    <t>086280.KS</t>
  </si>
  <si>
    <t>Alaska Airlines</t>
  </si>
  <si>
    <t>ALK</t>
  </si>
  <si>
    <t>Kirby Corporation</t>
  </si>
  <si>
    <t>KEX</t>
  </si>
  <si>
    <t>Jindal Stainless</t>
  </si>
  <si>
    <t>JSL.NS</t>
  </si>
  <si>
    <t>Landstar System</t>
  </si>
  <si>
    <t>LSTR</t>
  </si>
  <si>
    <t>Container Corporation of India</t>
  </si>
  <si>
    <t>CONCOR.NS</t>
  </si>
  <si>
    <t>Nippon Express</t>
  </si>
  <si>
    <t>9147.T</t>
  </si>
  <si>
    <t>Yamato Holdings</t>
  </si>
  <si>
    <t>9064.T</t>
  </si>
  <si>
    <t>easyJet</t>
  </si>
  <si>
    <t>EZJ.L</t>
  </si>
  <si>
    <t>Qube Holdings</t>
  </si>
  <si>
    <t>QUB.AX</t>
  </si>
  <si>
    <t>Logista (Compañía de Distribución Integral Logista)</t>
  </si>
  <si>
    <t>LOG.MC</t>
  </si>
  <si>
    <t>Kintetsu GHD</t>
  </si>
  <si>
    <t>9041.T</t>
  </si>
  <si>
    <t>China Airlines</t>
  </si>
  <si>
    <t>2610.TW</t>
  </si>
  <si>
    <t>National Shipping Company of Saudi Arabia (Bahri)</t>
  </si>
  <si>
    <t>4030.SR</t>
  </si>
  <si>
    <t>Kyushu Railway Company</t>
  </si>
  <si>
    <t>9142.T</t>
  </si>
  <si>
    <t>Schneider</t>
  </si>
  <si>
    <t>SNDR</t>
  </si>
  <si>
    <t>SAL Saudi Logistics Services</t>
  </si>
  <si>
    <t>4263.SR</t>
  </si>
  <si>
    <t>Odakyu Electric Railway</t>
  </si>
  <si>
    <t>9007.T</t>
  </si>
  <si>
    <t>Tobu Railway</t>
  </si>
  <si>
    <t>9001.T</t>
  </si>
  <si>
    <t>Brink's</t>
  </si>
  <si>
    <t>BCO</t>
  </si>
  <si>
    <t>Mainfreight</t>
  </si>
  <si>
    <t>MFT.NZ</t>
  </si>
  <si>
    <t>Jet2</t>
  </si>
  <si>
    <t>JET2.L</t>
  </si>
  <si>
    <t>Copa Holdings</t>
  </si>
  <si>
    <t>CPA</t>
  </si>
  <si>
    <t>Pegasus Airlines</t>
  </si>
  <si>
    <t>PGSUS.IS</t>
  </si>
  <si>
    <t>SkyWest</t>
  </si>
  <si>
    <t>SKYW</t>
  </si>
  <si>
    <t>Aurizon Holdings</t>
  </si>
  <si>
    <t>AZJ.AX</t>
  </si>
  <si>
    <t>Milaha - Qatar Navigation</t>
  </si>
  <si>
    <t>QNNS.QA</t>
  </si>
  <si>
    <t>Matson</t>
  </si>
  <si>
    <t>MATX</t>
  </si>
  <si>
    <t>Air Canada</t>
  </si>
  <si>
    <t>AC.TO</t>
  </si>
  <si>
    <t>Keio Corporation</t>
  </si>
  <si>
    <t>9008.T</t>
  </si>
  <si>
    <t>Frontline</t>
  </si>
  <si>
    <t>FRO</t>
  </si>
  <si>
    <t>Wallenius Wilhelmsen</t>
  </si>
  <si>
    <t>WAWI.OL</t>
  </si>
  <si>
    <t>WeRide</t>
  </si>
  <si>
    <t>WRD</t>
  </si>
  <si>
    <t>Loomis AB</t>
  </si>
  <si>
    <t>LOOMIS.ST</t>
  </si>
  <si>
    <t>Atlantica</t>
  </si>
  <si>
    <t>AY</t>
  </si>
  <si>
    <t>Vietnam Airlines</t>
  </si>
  <si>
    <t>HVN.VN</t>
  </si>
  <si>
    <t>Seaboard</t>
  </si>
  <si>
    <t>SEB</t>
  </si>
  <si>
    <t>Bangkok Expressway and Metro (BEM)</t>
  </si>
  <si>
    <t>BEM.BK</t>
  </si>
  <si>
    <t>ID Logistics Group</t>
  </si>
  <si>
    <t>IDL.PA</t>
  </si>
  <si>
    <t>Meitetsu</t>
  </si>
  <si>
    <t>9048.T</t>
  </si>
  <si>
    <t>Seino Holdings</t>
  </si>
  <si>
    <t>9076.T</t>
  </si>
  <si>
    <t>Kamigumi</t>
  </si>
  <si>
    <t>9364.T</t>
  </si>
  <si>
    <t>RXO</t>
  </si>
  <si>
    <t>ComfortDelGro</t>
  </si>
  <si>
    <t>C52.SI</t>
  </si>
  <si>
    <t>Air France-KLM</t>
  </si>
  <si>
    <t>AF.PA</t>
  </si>
  <si>
    <t>Sankyu</t>
  </si>
  <si>
    <t>9065.T</t>
  </si>
  <si>
    <t>Delhivery</t>
  </si>
  <si>
    <t>DELHIVERY.NS</t>
  </si>
  <si>
    <t>BTS Group</t>
  </si>
  <si>
    <t>BTS.BK</t>
  </si>
  <si>
    <t>Jahez International Company for Information Systems Technology</t>
  </si>
  <si>
    <t>9526.SR</t>
  </si>
  <si>
    <t>Hafnia Limited</t>
  </si>
  <si>
    <t>HAFN</t>
  </si>
  <si>
    <t>Wizz Air</t>
  </si>
  <si>
    <t>WIZZ.L</t>
  </si>
  <si>
    <t>Nankai Electric Railway</t>
  </si>
  <si>
    <t>9044.T</t>
  </si>
  <si>
    <t>VietJet Aviation</t>
  </si>
  <si>
    <t>VJC.VN</t>
  </si>
  <si>
    <t>Werner Enterprises</t>
  </si>
  <si>
    <t>WERN</t>
  </si>
  <si>
    <t>Exchange Income Corporation</t>
  </si>
  <si>
    <t>EIF.TO</t>
  </si>
  <si>
    <t>DOF Group</t>
  </si>
  <si>
    <t>DOFG.OL</t>
  </si>
  <si>
    <t>Blue Dart Express</t>
  </si>
  <si>
    <t>BLUEDART.NS</t>
  </si>
  <si>
    <t>Tidewater</t>
  </si>
  <si>
    <t>TDW</t>
  </si>
  <si>
    <t>Scorpio Tankers</t>
  </si>
  <si>
    <t>STNG</t>
  </si>
  <si>
    <t>DHT Holdings</t>
  </si>
  <si>
    <t>DHT</t>
  </si>
  <si>
    <t>Genesis Energy L.P.</t>
  </si>
  <si>
    <t>GEL</t>
  </si>
  <si>
    <t>Abu Dhabi Aviation</t>
  </si>
  <si>
    <t>ADAVIATION.AE</t>
  </si>
  <si>
    <t>Cmb.Tech</t>
  </si>
  <si>
    <t>CMBT</t>
  </si>
  <si>
    <t>Star Bulk Carriers</t>
  </si>
  <si>
    <t>SBLK</t>
  </si>
  <si>
    <t>ZIM Integrated Shipping Services</t>
  </si>
  <si>
    <t>ZIM</t>
  </si>
  <si>
    <t>International Seaways</t>
  </si>
  <si>
    <t>INSW</t>
  </si>
  <si>
    <t>TORM</t>
  </si>
  <si>
    <t>TRMD</t>
  </si>
  <si>
    <t>Air Transport Services Group</t>
  </si>
  <si>
    <t>ATSG</t>
  </si>
  <si>
    <t>Kerry Logistics Network</t>
  </si>
  <si>
    <t>0636.HK</t>
  </si>
  <si>
    <t>ArcBest</t>
  </si>
  <si>
    <t>ARCB</t>
  </si>
  <si>
    <t>Pitney Bowes</t>
  </si>
  <si>
    <t>PBI</t>
  </si>
  <si>
    <t>Wilh. Wilhelmsen Holding</t>
  </si>
  <si>
    <t>WWI.OL</t>
  </si>
  <si>
    <t>Asiana Airlines</t>
  </si>
  <si>
    <t>020560.KS</t>
  </si>
  <si>
    <t>Golden Ocean Group</t>
  </si>
  <si>
    <t>GOGL</t>
  </si>
  <si>
    <t>Höegh Autoliners</t>
  </si>
  <si>
    <t>HAUTO.OL</t>
  </si>
  <si>
    <t>Jetblue Airways</t>
  </si>
  <si>
    <t>JBLU</t>
  </si>
  <si>
    <t>Clarkson PLC</t>
  </si>
  <si>
    <t>CKN.L</t>
  </si>
  <si>
    <t>Danaos</t>
  </si>
  <si>
    <t>DAC</t>
  </si>
  <si>
    <t>Jungfraubahn Holding AG</t>
  </si>
  <si>
    <t>JFN.SW</t>
  </si>
  <si>
    <t>Pan Ocean</t>
  </si>
  <si>
    <t>028670.KS</t>
  </si>
  <si>
    <t>Teekay Tankers</t>
  </si>
  <si>
    <t>TNK</t>
  </si>
  <si>
    <t>Stolt-Nielsen Limited</t>
  </si>
  <si>
    <t>0OHK.L</t>
  </si>
  <si>
    <t>Gulf Navigation Holding</t>
  </si>
  <si>
    <t>GULFNAV.AE</t>
  </si>
  <si>
    <t>Flex Lng</t>
  </si>
  <si>
    <t>FLNG</t>
  </si>
  <si>
    <t>FirstGroup</t>
  </si>
  <si>
    <t>FGP.L</t>
  </si>
  <si>
    <t>Nishi-Nippon Railroad</t>
  </si>
  <si>
    <t>9031.T</t>
  </si>
  <si>
    <t>Air New Zealand</t>
  </si>
  <si>
    <t>AIR.NZ</t>
  </si>
  <si>
    <t>GasLog</t>
  </si>
  <si>
    <t>GLOP-PA</t>
  </si>
  <si>
    <t>Prosegur Cash</t>
  </si>
  <si>
    <t>CASH.MC</t>
  </si>
  <si>
    <t>Andlauer Healthcare Group</t>
  </si>
  <si>
    <t>AND.TO</t>
  </si>
  <si>
    <t>Marten Transport</t>
  </si>
  <si>
    <t>MRTN</t>
  </si>
  <si>
    <t>Freightways</t>
  </si>
  <si>
    <t>FRW.NZ</t>
  </si>
  <si>
    <t>Pacific Basin Shipping</t>
  </si>
  <si>
    <t>2343.HK</t>
  </si>
  <si>
    <t>Norwegian Air Shuttle</t>
  </si>
  <si>
    <t>NAS.OL</t>
  </si>
  <si>
    <t>Costamare</t>
  </si>
  <si>
    <t>CMRE</t>
  </si>
  <si>
    <t>SFL Corp</t>
  </si>
  <si>
    <t>SFL</t>
  </si>
  <si>
    <t>Transport Corporation of India</t>
  </si>
  <si>
    <t>TCI.NS</t>
  </si>
  <si>
    <t>Bangkok Airways</t>
  </si>
  <si>
    <t>BA.BK</t>
  </si>
  <si>
    <t>Konoike Transport</t>
  </si>
  <si>
    <t>9025.T</t>
  </si>
  <si>
    <t>Navios Maritime Partners</t>
  </si>
  <si>
    <t>NMM</t>
  </si>
  <si>
    <t>Singapore Post</t>
  </si>
  <si>
    <t>S08.SI</t>
  </si>
  <si>
    <t>Tsakos Energy Navigation</t>
  </si>
  <si>
    <t>TNP</t>
  </si>
  <si>
    <t>Allegiant Air</t>
  </si>
  <si>
    <t>ALGT</t>
  </si>
  <si>
    <t>Cargojet</t>
  </si>
  <si>
    <t>CJT.TO</t>
  </si>
  <si>
    <t>Navigator Holdings</t>
  </si>
  <si>
    <t>NVGS</t>
  </si>
  <si>
    <t>Frontier Airlines</t>
  </si>
  <si>
    <t>ULCC</t>
  </si>
  <si>
    <t>SBS Holdings</t>
  </si>
  <si>
    <t>2384.T</t>
  </si>
  <si>
    <t>Dorian LPG</t>
  </si>
  <si>
    <t>LPG</t>
  </si>
  <si>
    <t>Mullen Group</t>
  </si>
  <si>
    <t>MTL.TO</t>
  </si>
  <si>
    <t>GOL Airlines</t>
  </si>
  <si>
    <t>GOLL4.SA</t>
  </si>
  <si>
    <t>NTG Nordic Transport Group A/S</t>
  </si>
  <si>
    <t>NTG.CO</t>
  </si>
  <si>
    <t>Exmar</t>
  </si>
  <si>
    <t>EXM.BR</t>
  </si>
  <si>
    <t>D/S Norden (Dampskibsselskabet Norden)</t>
  </si>
  <si>
    <t>DNORD.CO</t>
  </si>
  <si>
    <t>Iino Kaiun Kaisha</t>
  </si>
  <si>
    <t>9119.T</t>
  </si>
  <si>
    <t>Gram Car Carriers</t>
  </si>
  <si>
    <t>GCC.OL</t>
  </si>
  <si>
    <t>Jazeera Airways</t>
  </si>
  <si>
    <t>JAZEERA.KW</t>
  </si>
  <si>
    <t>Universal Logistics Holdings</t>
  </si>
  <si>
    <t>ULH</t>
  </si>
  <si>
    <t>Capital A (Air Asia)</t>
  </si>
  <si>
    <t>5099.KL</t>
  </si>
  <si>
    <t>DFDS A/S</t>
  </si>
  <si>
    <t>DFDS.CO</t>
  </si>
  <si>
    <t>Heartland Express</t>
  </si>
  <si>
    <t>HTLD</t>
  </si>
  <si>
    <t>Finnair</t>
  </si>
  <si>
    <t>FIA1S.HE</t>
  </si>
  <si>
    <t>Trancom</t>
  </si>
  <si>
    <t>9058.T</t>
  </si>
  <si>
    <t>MPC Container Ships</t>
  </si>
  <si>
    <t>MPCC.OL</t>
  </si>
  <si>
    <t>NS United Kaiun Kaisha</t>
  </si>
  <si>
    <t>9110.T</t>
  </si>
  <si>
    <t>Attica Holdings</t>
  </si>
  <si>
    <t>ATTICA.AT</t>
  </si>
  <si>
    <t>Volaris</t>
  </si>
  <si>
    <t>VLRS</t>
  </si>
  <si>
    <t>Transport International Holdings</t>
  </si>
  <si>
    <t>0062.HK</t>
  </si>
  <si>
    <t>SAPTCO (Saudi Public Transport Company)</t>
  </si>
  <si>
    <t>4040.SR</t>
  </si>
  <si>
    <t>Sun Country Airlines</t>
  </si>
  <si>
    <t>SNCY</t>
  </si>
  <si>
    <t>Tallink Grupp</t>
  </si>
  <si>
    <t>T5N.F</t>
  </si>
  <si>
    <t>Covenant Logistics</t>
  </si>
  <si>
    <t>CVLG</t>
  </si>
  <si>
    <t>Genco Shipping &amp; Trading</t>
  </si>
  <si>
    <t>GNK</t>
  </si>
  <si>
    <t>Teekay</t>
  </si>
  <si>
    <t>TK</t>
  </si>
  <si>
    <t>Nordic American Tankers</t>
  </si>
  <si>
    <t>NAT</t>
  </si>
  <si>
    <t>Gulf Warehousing Company</t>
  </si>
  <si>
    <t>GWCS.QA</t>
  </si>
  <si>
    <t>Belships ASA</t>
  </si>
  <si>
    <t>BELCO.OL</t>
  </si>
  <si>
    <t>VRL Logistics</t>
  </si>
  <si>
    <t>VRLLOG.NS</t>
  </si>
  <si>
    <t>Mobico Group</t>
  </si>
  <si>
    <t>MCG.L</t>
  </si>
  <si>
    <t>Eimskipafélag Íslands</t>
  </si>
  <si>
    <t>EIM.IC</t>
  </si>
  <si>
    <t>Nissin Corporation</t>
  </si>
  <si>
    <t>9066.T</t>
  </si>
  <si>
    <t>Algoma Central Corporation</t>
  </si>
  <si>
    <t>ALC.TO</t>
  </si>
  <si>
    <t>Kelsian Group</t>
  </si>
  <si>
    <t>KLS.AX</t>
  </si>
  <si>
    <t>Forward Air</t>
  </si>
  <si>
    <t>FWRD</t>
  </si>
  <si>
    <t>Viking Line Abp</t>
  </si>
  <si>
    <t>VIK1V.HE</t>
  </si>
  <si>
    <t>Jeju Air</t>
  </si>
  <si>
    <t>089590.KS</t>
  </si>
  <si>
    <t>Gateway Distriparks</t>
  </si>
  <si>
    <t>GATEWAY.NS</t>
  </si>
  <si>
    <t>Ardmore Shipping</t>
  </si>
  <si>
    <t>ASC</t>
  </si>
  <si>
    <t>Chorus Aviation</t>
  </si>
  <si>
    <t>CHR.TO</t>
  </si>
  <si>
    <t>Safe Bulkers</t>
  </si>
  <si>
    <t>SB</t>
  </si>
  <si>
    <t>Icelandair</t>
  </si>
  <si>
    <t>ICEAIR.IC</t>
  </si>
  <si>
    <t>Independent Petroleum Group K.S.C.P.</t>
  </si>
  <si>
    <t>IPG.KW</t>
  </si>
  <si>
    <t>Clean Energy Fuels</t>
  </si>
  <si>
    <t>CLNE</t>
  </si>
  <si>
    <t>Klaveness Combination Carriers</t>
  </si>
  <si>
    <t>KCC.OL</t>
  </si>
  <si>
    <t>Allcargo Logistics</t>
  </si>
  <si>
    <t>ALLCARGO.NS</t>
  </si>
  <si>
    <t>SpiceJet</t>
  </si>
  <si>
    <t>SPICEJET.BO</t>
  </si>
  <si>
    <t>Jin Air</t>
  </si>
  <si>
    <t>272450.KS</t>
  </si>
  <si>
    <t>T’way Air</t>
  </si>
  <si>
    <t>091810.KS</t>
  </si>
  <si>
    <t>Pangaea Logistics Solutions</t>
  </si>
  <si>
    <t>PANL</t>
  </si>
  <si>
    <t>Radiant Logistics</t>
  </si>
  <si>
    <t>RLGT</t>
  </si>
  <si>
    <t>CoolCo (Cool Company)</t>
  </si>
  <si>
    <t>CLCO</t>
  </si>
  <si>
    <t>flyExclusive</t>
  </si>
  <si>
    <t>FLYX</t>
  </si>
  <si>
    <t>BVZ Holding</t>
  </si>
  <si>
    <t>BVZN.SW</t>
  </si>
  <si>
    <t>KNOT Offshore Partners</t>
  </si>
  <si>
    <t>KNOP</t>
  </si>
  <si>
    <t>Himalaya Shipping</t>
  </si>
  <si>
    <t>HSHP</t>
  </si>
  <si>
    <t>Ernst Russ</t>
  </si>
  <si>
    <t>HXCK.DE</t>
  </si>
  <si>
    <t>Proficient Auto Logistics</t>
  </si>
  <si>
    <t>PAL</t>
  </si>
  <si>
    <t>Blade Air Mobility</t>
  </si>
  <si>
    <t>BLDE</t>
  </si>
  <si>
    <t>Euroseas</t>
  </si>
  <si>
    <t>ESEA</t>
  </si>
  <si>
    <t>Pkp Cargo</t>
  </si>
  <si>
    <t>PKP.WA</t>
  </si>
  <si>
    <t>StealthGas</t>
  </si>
  <si>
    <t>GASS</t>
  </si>
  <si>
    <t>Azul</t>
  </si>
  <si>
    <t>AZUL</t>
  </si>
  <si>
    <t>Marti Technologies</t>
  </si>
  <si>
    <t>MRT</t>
  </si>
  <si>
    <t>Bergbahnen Engelberg-Trübsee-Titlis</t>
  </si>
  <si>
    <t>TIBN.SW</t>
  </si>
  <si>
    <t>Diana Shipping</t>
  </si>
  <si>
    <t>DSX</t>
  </si>
  <si>
    <t>Sloman Neptun</t>
  </si>
  <si>
    <t>NEP.HM</t>
  </si>
  <si>
    <t>Air Busan</t>
  </si>
  <si>
    <t>298690.KS</t>
  </si>
  <si>
    <t>Compagnie Du Mont-Blanc</t>
  </si>
  <si>
    <t>MLCMB.PA</t>
  </si>
  <si>
    <t>Navkar Corp</t>
  </si>
  <si>
    <t>NAVKARCORP.NS</t>
  </si>
  <si>
    <t>Lindsay Australia</t>
  </si>
  <si>
    <t>LAU.AX</t>
  </si>
  <si>
    <t>SEACOR Marine</t>
  </si>
  <si>
    <t>SMHI</t>
  </si>
  <si>
    <t>Seanergy Maritime</t>
  </si>
  <si>
    <t>SHIP</t>
  </si>
  <si>
    <t>SIEC (Saudi Industrial Export Company)</t>
  </si>
  <si>
    <t>4140.SR</t>
  </si>
  <si>
    <t>Freightos</t>
  </si>
  <si>
    <t>CRGO</t>
  </si>
  <si>
    <t>Imperial Petroleum</t>
  </si>
  <si>
    <t>IMPP</t>
  </si>
  <si>
    <t>Shengfeng Development</t>
  </si>
  <si>
    <t>SFWL</t>
  </si>
  <si>
    <t>Norse Atlantic ASA</t>
  </si>
  <si>
    <t>NORSE.OL</t>
  </si>
  <si>
    <t>OT Logistics</t>
  </si>
  <si>
    <t>OTS.WA</t>
  </si>
  <si>
    <t>Spirit Airlines</t>
  </si>
  <si>
    <t>SAVEQ</t>
  </si>
  <si>
    <t>Mesa Air</t>
  </si>
  <si>
    <t>MESA</t>
  </si>
  <si>
    <t>Kuwait and Gulf Link Transport Company</t>
  </si>
  <si>
    <t>KGL.KW</t>
  </si>
  <si>
    <t>Müller - Die lila Logistik</t>
  </si>
  <si>
    <t>MLL.DE</t>
  </si>
  <si>
    <t>Western Bulk</t>
  </si>
  <si>
    <t>WEST.OL</t>
  </si>
  <si>
    <t>Toro Corp.</t>
  </si>
  <si>
    <t>TORO</t>
  </si>
  <si>
    <t>Pyxis Tankers</t>
  </si>
  <si>
    <t>PXS</t>
  </si>
  <si>
    <t>Swvl Holdings</t>
  </si>
  <si>
    <t>SWVL</t>
  </si>
  <si>
    <t>Top Ships</t>
  </si>
  <si>
    <t>TOPS</t>
  </si>
  <si>
    <t>Nebelhornbahn-Aktiengesellschaft</t>
  </si>
  <si>
    <t>NHB0.MU</t>
  </si>
  <si>
    <t>Yellow Corporation</t>
  </si>
  <si>
    <t>YELLQ</t>
  </si>
  <si>
    <t>Performance Shipping</t>
  </si>
  <si>
    <t>PSHG</t>
  </si>
  <si>
    <t>Fly Play</t>
  </si>
  <si>
    <t>PLAY.IC</t>
  </si>
  <si>
    <t>Globavend</t>
  </si>
  <si>
    <t>GVH</t>
  </si>
  <si>
    <t>ryde</t>
  </si>
  <si>
    <t>RYDE</t>
  </si>
  <si>
    <t>OceanPal</t>
  </si>
  <si>
    <t>OP</t>
  </si>
  <si>
    <t>Nok Air</t>
  </si>
  <si>
    <t>NOKPF</t>
  </si>
  <si>
    <t>Dubai Taxi Company</t>
  </si>
  <si>
    <t>DTC.AE</t>
  </si>
  <si>
    <t>Agility Global</t>
  </si>
  <si>
    <t>AGILITY.AE</t>
  </si>
  <si>
    <t>Aramex</t>
  </si>
  <si>
    <t>ARMX.AE</t>
  </si>
  <si>
    <t>CA</t>
  </si>
  <si>
    <t>IRE</t>
  </si>
  <si>
    <t>AX</t>
  </si>
  <si>
    <t>MAL</t>
  </si>
  <si>
    <t>QA</t>
  </si>
  <si>
    <t>SA</t>
  </si>
  <si>
    <t>NZ</t>
  </si>
  <si>
    <t>PAN</t>
  </si>
  <si>
    <t>BER</t>
  </si>
  <si>
    <t>VIE</t>
  </si>
  <si>
    <t>JAR</t>
  </si>
  <si>
    <t>MONC</t>
  </si>
  <si>
    <t>BEL</t>
  </si>
  <si>
    <t>GRE</t>
  </si>
  <si>
    <t>IS</t>
  </si>
  <si>
    <t>MON</t>
  </si>
  <si>
    <t>BR</t>
  </si>
  <si>
    <t>KW</t>
  </si>
  <si>
    <t>MEX</t>
  </si>
  <si>
    <t>EST</t>
  </si>
  <si>
    <t>ICE</t>
  </si>
  <si>
    <t>MONA</t>
  </si>
  <si>
    <t>CYP</t>
  </si>
  <si>
    <t>HELLA</t>
  </si>
  <si>
    <t>HLE.F</t>
  </si>
  <si>
    <t>Nordson</t>
  </si>
  <si>
    <t>NDSN</t>
  </si>
  <si>
    <t>CG Power and Industrial Solutions</t>
  </si>
  <si>
    <t>CGPOWER.NS</t>
  </si>
  <si>
    <t>VAT Group</t>
  </si>
  <si>
    <t>VACN.SW</t>
  </si>
  <si>
    <t>ITT</t>
  </si>
  <si>
    <t>Woodward</t>
  </si>
  <si>
    <t>WWD</t>
  </si>
  <si>
    <t>Wärtsilä</t>
  </si>
  <si>
    <t>WRT1V.HE</t>
  </si>
  <si>
    <t>Crown Holdings</t>
  </si>
  <si>
    <t>CCK</t>
  </si>
  <si>
    <t>Alstom</t>
  </si>
  <si>
    <t>ALO.PA</t>
  </si>
  <si>
    <t>Indutrade</t>
  </si>
  <si>
    <t>INDT.ST</t>
  </si>
  <si>
    <t>AptarGroup</t>
  </si>
  <si>
    <t>ATR</t>
  </si>
  <si>
    <t>Polycab India</t>
  </si>
  <si>
    <t>POLYCAB.NS</t>
  </si>
  <si>
    <t>Celestica</t>
  </si>
  <si>
    <t>CLS</t>
  </si>
  <si>
    <t>Accton Technology</t>
  </si>
  <si>
    <t>2345.TW</t>
  </si>
  <si>
    <t>Hero MotoCorp</t>
  </si>
  <si>
    <t>HEROMOTOCO.NS</t>
  </si>
  <si>
    <t>Zoomlion</t>
  </si>
  <si>
    <t>1157.HK</t>
  </si>
  <si>
    <t>Rockwool</t>
  </si>
  <si>
    <t>ROCK-B.CO</t>
  </si>
  <si>
    <t>Ryohin Keikaku</t>
  </si>
  <si>
    <t>7453.T</t>
  </si>
  <si>
    <t>Wistron Corporation</t>
  </si>
  <si>
    <t>3231.TW</t>
  </si>
  <si>
    <t>Mueller Industries</t>
  </si>
  <si>
    <t>MLI</t>
  </si>
  <si>
    <t>Embraer</t>
  </si>
  <si>
    <t>ERJ</t>
  </si>
  <si>
    <t>BELIMO Holding</t>
  </si>
  <si>
    <t>BEAN.SW</t>
  </si>
  <si>
    <t>Metso</t>
  </si>
  <si>
    <t>METSO.HE</t>
  </si>
  <si>
    <t>Berry Global</t>
  </si>
  <si>
    <t>BERY</t>
  </si>
  <si>
    <t>Makita</t>
  </si>
  <si>
    <t>6586.T</t>
  </si>
  <si>
    <t>Zhuzhou CRRC Times Electric</t>
  </si>
  <si>
    <t>3898.HK</t>
  </si>
  <si>
    <t>Yamaha Motor</t>
  </si>
  <si>
    <t>7272.T</t>
  </si>
  <si>
    <t>Ashok Leyland</t>
  </si>
  <si>
    <t>ASHOKLEY.NS</t>
  </si>
  <si>
    <t>Yageo</t>
  </si>
  <si>
    <t>2327.TW</t>
  </si>
  <si>
    <t>Ecopro BM</t>
  </si>
  <si>
    <t>247540.KQ</t>
  </si>
  <si>
    <t>ESAB</t>
  </si>
  <si>
    <t>Sanwa Holdings</t>
  </si>
  <si>
    <t>5929.T</t>
  </si>
  <si>
    <t>Melrose Industries</t>
  </si>
  <si>
    <t>MRO.L</t>
  </si>
  <si>
    <t>The AZEK Company</t>
  </si>
  <si>
    <t>AZEK</t>
  </si>
  <si>
    <t>Aaon</t>
  </si>
  <si>
    <t>AAON</t>
  </si>
  <si>
    <t>Ebara Corporation</t>
  </si>
  <si>
    <t>6361.T</t>
  </si>
  <si>
    <t>Generac Power Systems</t>
  </si>
  <si>
    <t>GNRC</t>
  </si>
  <si>
    <t>Pegatron</t>
  </si>
  <si>
    <t>4938.TW</t>
  </si>
  <si>
    <t>Thyssenkrupp</t>
  </si>
  <si>
    <t>TKA.F</t>
  </si>
  <si>
    <t>AGCO</t>
  </si>
  <si>
    <t>AGC</t>
  </si>
  <si>
    <t>5201.T</t>
  </si>
  <si>
    <t>Mondi</t>
  </si>
  <si>
    <t>MNDI.L</t>
  </si>
  <si>
    <t>Gildan</t>
  </si>
  <si>
    <t>GIL</t>
  </si>
  <si>
    <t>Lite-On Technology</t>
  </si>
  <si>
    <t>2301.TW</t>
  </si>
  <si>
    <t>Hoa Phat Group</t>
  </si>
  <si>
    <t>HPG.VN</t>
  </si>
  <si>
    <t>Lattice Semiconductor</t>
  </si>
  <si>
    <t>LSCC</t>
  </si>
  <si>
    <t>Bruker</t>
  </si>
  <si>
    <t>BRKR</t>
  </si>
  <si>
    <t>Page Industries</t>
  </si>
  <si>
    <t>PAGEIND.NS</t>
  </si>
  <si>
    <t>Armstrong World Industries</t>
  </si>
  <si>
    <t>AWI</t>
  </si>
  <si>
    <t>DiaSorin</t>
  </si>
  <si>
    <t>DIA.MI</t>
  </si>
  <si>
    <t>Tube Investments of India</t>
  </si>
  <si>
    <t>TIINDIA.NS</t>
  </si>
  <si>
    <t>Hitachi Construction Machinery</t>
  </si>
  <si>
    <t>6305.T</t>
  </si>
  <si>
    <t>Bombardier</t>
  </si>
  <si>
    <t>BBD-B.TO</t>
  </si>
  <si>
    <t>Valmont Industries</t>
  </si>
  <si>
    <t>VMI</t>
  </si>
  <si>
    <t>Georg Fischer</t>
  </si>
  <si>
    <t>GF.SW</t>
  </si>
  <si>
    <t>Spirax-Sarco Engineering</t>
  </si>
  <si>
    <t>SPX.L</t>
  </si>
  <si>
    <t>Schaeffler India</t>
  </si>
  <si>
    <t>SCHAEFFLER.NS</t>
  </si>
  <si>
    <t>Oshkosh Corporation</t>
  </si>
  <si>
    <t>OSK</t>
  </si>
  <si>
    <t>Far Eastern New Century</t>
  </si>
  <si>
    <t>1402.TW</t>
  </si>
  <si>
    <t>Badger Meter</t>
  </si>
  <si>
    <t>BMI</t>
  </si>
  <si>
    <t>Crocs</t>
  </si>
  <si>
    <t>CROX</t>
  </si>
  <si>
    <t>Sulzer</t>
  </si>
  <si>
    <t>SUN.SW</t>
  </si>
  <si>
    <t>Vanguard International Semiconductor</t>
  </si>
  <si>
    <t>5347.TWO</t>
  </si>
  <si>
    <t>Volvo Car</t>
  </si>
  <si>
    <t>VOLCAR-B.ST</t>
  </si>
  <si>
    <t>RENK Group</t>
  </si>
  <si>
    <t>R3NK.DE</t>
  </si>
  <si>
    <t>Silgan Holdings</t>
  </si>
  <si>
    <t>SLGN</t>
  </si>
  <si>
    <t>Ternium</t>
  </si>
  <si>
    <t>TX</t>
  </si>
  <si>
    <t>JBT Marel Corporation</t>
  </si>
  <si>
    <t>JBTM</t>
  </si>
  <si>
    <t>Zurn Water Solutions</t>
  </si>
  <si>
    <t>ZWS</t>
  </si>
  <si>
    <t>Kimberly-Clark de México</t>
  </si>
  <si>
    <t>KIMBERA.MX</t>
  </si>
  <si>
    <t>Joby Aviation</t>
  </si>
  <si>
    <t>JOBY</t>
  </si>
  <si>
    <t>SFS Group</t>
  </si>
  <si>
    <t>SFSN.SW</t>
  </si>
  <si>
    <t>Valmet</t>
  </si>
  <si>
    <t>VALMT.HE</t>
  </si>
  <si>
    <t>AirTAC International</t>
  </si>
  <si>
    <t>1590.TW</t>
  </si>
  <si>
    <t>Konecranes</t>
  </si>
  <si>
    <t>KCR.HE</t>
  </si>
  <si>
    <t>Federal Signal</t>
  </si>
  <si>
    <t>FSS</t>
  </si>
  <si>
    <t>Whirlpool</t>
  </si>
  <si>
    <t>WHR</t>
  </si>
  <si>
    <t>Seatrium</t>
  </si>
  <si>
    <t>5E2.SI</t>
  </si>
  <si>
    <t>Accelleron Industries</t>
  </si>
  <si>
    <t>ACLN.SW</t>
  </si>
  <si>
    <t>Gates Industrial Corp</t>
  </si>
  <si>
    <t>GTES</t>
  </si>
  <si>
    <t>Timken Company</t>
  </si>
  <si>
    <t>TKR</t>
  </si>
  <si>
    <t>MISUMI Group</t>
  </si>
  <si>
    <t>9962.T</t>
  </si>
  <si>
    <t>Trina Solar</t>
  </si>
  <si>
    <t>688599.SS</t>
  </si>
  <si>
    <t>Azbil Corporation</t>
  </si>
  <si>
    <t>6845.T</t>
  </si>
  <si>
    <t>Nordex</t>
  </si>
  <si>
    <t>NDX1.F</t>
  </si>
  <si>
    <t>DMG Mori Aktiengesellschaft</t>
  </si>
  <si>
    <t>GIL.F</t>
  </si>
  <si>
    <t>Lear Corporation</t>
  </si>
  <si>
    <t>LEA</t>
  </si>
  <si>
    <t>Escorts Kubota</t>
  </si>
  <si>
    <t>ESCORTS.NS</t>
  </si>
  <si>
    <t>Sanmina</t>
  </si>
  <si>
    <t>SANM</t>
  </si>
  <si>
    <t>Oji Holdings</t>
  </si>
  <si>
    <t>3861.T</t>
  </si>
  <si>
    <t>Krones</t>
  </si>
  <si>
    <t>KRN.F</t>
  </si>
  <si>
    <t>Novanta</t>
  </si>
  <si>
    <t>NOVT</t>
  </si>
  <si>
    <t>Grupo Simec</t>
  </si>
  <si>
    <t>SIM</t>
  </si>
  <si>
    <t>Cognex</t>
  </si>
  <si>
    <t>CGNX</t>
  </si>
  <si>
    <t>Integer Holdings</t>
  </si>
  <si>
    <t>ITGR</t>
  </si>
  <si>
    <t>Iveco Group</t>
  </si>
  <si>
    <t>IVG.MI</t>
  </si>
  <si>
    <t>Xinyi Glass Holdings</t>
  </si>
  <si>
    <t>0868.HK</t>
  </si>
  <si>
    <t>Vallourec</t>
  </si>
  <si>
    <t>VK.PA</t>
  </si>
  <si>
    <t>Spirit AeroSystems</t>
  </si>
  <si>
    <t>SPR</t>
  </si>
  <si>
    <t>Yunnan Energy New Material</t>
  </si>
  <si>
    <t>002812.SZ</t>
  </si>
  <si>
    <t>Archer Aviation</t>
  </si>
  <si>
    <t>ACHR</t>
  </si>
  <si>
    <t>ESCO Technologies</t>
  </si>
  <si>
    <t>ESE</t>
  </si>
  <si>
    <t>Technoprobe</t>
  </si>
  <si>
    <t>TPRO.MI</t>
  </si>
  <si>
    <t>Haitian International Holdings</t>
  </si>
  <si>
    <t>1882.HK</t>
  </si>
  <si>
    <t>Belden</t>
  </si>
  <si>
    <t>BDC</t>
  </si>
  <si>
    <t>Exide Industries</t>
  </si>
  <si>
    <t>EXIDEIND.NS</t>
  </si>
  <si>
    <t>Schaeffler</t>
  </si>
  <si>
    <t>SHA0.DE</t>
  </si>
  <si>
    <t>Fincantieri</t>
  </si>
  <si>
    <t>FCT.MI</t>
  </si>
  <si>
    <t>Sharp Corporation</t>
  </si>
  <si>
    <t>6753.T</t>
  </si>
  <si>
    <t>Coway</t>
  </si>
  <si>
    <t>021240.KS</t>
  </si>
  <si>
    <t>Mycronic</t>
  </si>
  <si>
    <t>MYCR.ST</t>
  </si>
  <si>
    <t>Hirose Electric</t>
  </si>
  <si>
    <t>6806.T</t>
  </si>
  <si>
    <t>Century Textiles and Industries</t>
  </si>
  <si>
    <t>CENTURYTEX.NS</t>
  </si>
  <si>
    <t>Vidrala</t>
  </si>
  <si>
    <t>VID.MC</t>
  </si>
  <si>
    <t>SP</t>
  </si>
  <si>
    <t>NGK Insulators</t>
  </si>
  <si>
    <t>5333.T</t>
  </si>
  <si>
    <t>Interpump Group</t>
  </si>
  <si>
    <t>IP.MI</t>
  </si>
  <si>
    <t>Koito Manufacturing</t>
  </si>
  <si>
    <t>7276.T</t>
  </si>
  <si>
    <t>Innolux</t>
  </si>
  <si>
    <t>3481.TW</t>
  </si>
  <si>
    <t>Plexus</t>
  </si>
  <si>
    <t>PLXS</t>
  </si>
  <si>
    <t>Brady Corporation</t>
  </si>
  <si>
    <t>BRC</t>
  </si>
  <si>
    <t>Rotork</t>
  </si>
  <si>
    <t>ROR.L</t>
  </si>
  <si>
    <t>OSI Systems</t>
  </si>
  <si>
    <t>OSIS</t>
  </si>
  <si>
    <t>Rinnai Corporation</t>
  </si>
  <si>
    <t>5947.T</t>
  </si>
  <si>
    <t>The Yokohama Rubber Company</t>
  </si>
  <si>
    <t>5101.T</t>
  </si>
  <si>
    <t>EnPro Industries</t>
  </si>
  <si>
    <t>NPO</t>
  </si>
  <si>
    <t>Amada Co., Ltd.</t>
  </si>
  <si>
    <t>6113.T</t>
  </si>
  <si>
    <t>Doosan Bobcat</t>
  </si>
  <si>
    <t>241560.KS</t>
  </si>
  <si>
    <t>Brunswick Corporation</t>
  </si>
  <si>
    <t>BC</t>
  </si>
  <si>
    <t>Şişecam</t>
  </si>
  <si>
    <t>SISE.IS</t>
  </si>
  <si>
    <t>KEI Industries</t>
  </si>
  <si>
    <t>KEI.NS</t>
  </si>
  <si>
    <t>Acer</t>
  </si>
  <si>
    <t>2353.TW</t>
  </si>
  <si>
    <t>Sumitomo Rubber Industries</t>
  </si>
  <si>
    <t>5110.T</t>
  </si>
  <si>
    <t>ZF Commercial Vehicle Control Systems India</t>
  </si>
  <si>
    <t>ZFCVINDIA.NS</t>
  </si>
  <si>
    <t>THK Co.</t>
  </si>
  <si>
    <t>6481.T</t>
  </si>
  <si>
    <t>Toyo Seikan Group Holdings</t>
  </si>
  <si>
    <t>5901.T</t>
  </si>
  <si>
    <t>Harley-Davidson</t>
  </si>
  <si>
    <t>HOG</t>
  </si>
  <si>
    <t>Stanley Electric</t>
  </si>
  <si>
    <t>6923.T</t>
  </si>
  <si>
    <t>BIC</t>
  </si>
  <si>
    <t>BB.PA</t>
  </si>
  <si>
    <t>HORIBA</t>
  </si>
  <si>
    <t>6856.T</t>
  </si>
  <si>
    <t>Camtek</t>
  </si>
  <si>
    <t>CAMT</t>
  </si>
  <si>
    <t>Brembo</t>
  </si>
  <si>
    <t>BRE.MI</t>
  </si>
  <si>
    <t>Bombardier Recreational Products</t>
  </si>
  <si>
    <t>DOOO</t>
  </si>
  <si>
    <t>Takasago Thermal Engineering</t>
  </si>
  <si>
    <t>1969.T</t>
  </si>
  <si>
    <t>Greif</t>
  </si>
  <si>
    <t>GEF</t>
  </si>
  <si>
    <t>Crompton Greaves Consumer Electricals</t>
  </si>
  <si>
    <t>CROMPTON.NS</t>
  </si>
  <si>
    <t>Signify</t>
  </si>
  <si>
    <t>LIGHT.AS</t>
  </si>
  <si>
    <t>Ola Electric Mobility</t>
  </si>
  <si>
    <t>OLAELEC.NS</t>
  </si>
  <si>
    <t>Stadler Rail</t>
  </si>
  <si>
    <t>SRAIL.SW</t>
  </si>
  <si>
    <t>Topcon Corporation</t>
  </si>
  <si>
    <t>7732.T</t>
  </si>
  <si>
    <t>Venture Corporation</t>
  </si>
  <si>
    <t>V03.SI</t>
  </si>
  <si>
    <t>Worthington Enterprises</t>
  </si>
  <si>
    <t>WOR</t>
  </si>
  <si>
    <t>DMG Mori</t>
  </si>
  <si>
    <t>6141.T</t>
  </si>
  <si>
    <t>Dätwyler</t>
  </si>
  <si>
    <t>DAE.SW</t>
  </si>
  <si>
    <t>Maruwa</t>
  </si>
  <si>
    <t>5344.T</t>
  </si>
  <si>
    <t>Terex</t>
  </si>
  <si>
    <t>TEX</t>
  </si>
  <si>
    <t>IPG Photonics</t>
  </si>
  <si>
    <t>IPGP</t>
  </si>
  <si>
    <t>Estun Automation</t>
  </si>
  <si>
    <t>002747.SZ</t>
  </si>
  <si>
    <t>Nifco Inc.</t>
  </si>
  <si>
    <t>7988.T</t>
  </si>
  <si>
    <t>Gerresheimer</t>
  </si>
  <si>
    <t>GXI.F</t>
  </si>
  <si>
    <t>Einhell Germany</t>
  </si>
  <si>
    <t>EIN3.DE</t>
  </si>
  <si>
    <t>NOK Corporation</t>
  </si>
  <si>
    <t>7240.T</t>
  </si>
  <si>
    <t>Enerpac Tool Group</t>
  </si>
  <si>
    <t>EPAC</t>
  </si>
  <si>
    <t>JTEKT Corporation</t>
  </si>
  <si>
    <t>6473.T</t>
  </si>
  <si>
    <t>Carborundum Universal</t>
  </si>
  <si>
    <t>CARBORUNIV.NS</t>
  </si>
  <si>
    <t>Kokuyo</t>
  </si>
  <si>
    <t>7984.T</t>
  </si>
  <si>
    <t>Burckhardt Compression</t>
  </si>
  <si>
    <t>BCHN.SW</t>
  </si>
  <si>
    <t>Toyoda Gosei</t>
  </si>
  <si>
    <t>7282.T</t>
  </si>
  <si>
    <t>Arçelik</t>
  </si>
  <si>
    <t>ARCLK.IS</t>
  </si>
  <si>
    <t>Tofaş Türk Otomobil Fabrikası</t>
  </si>
  <si>
    <t>Furukawa Electric</t>
  </si>
  <si>
    <t>5801.T</t>
  </si>
  <si>
    <t>Trigano</t>
  </si>
  <si>
    <t>TRI.PA</t>
  </si>
  <si>
    <t>Linamar</t>
  </si>
  <si>
    <t>LNR.TO</t>
  </si>
  <si>
    <t>Alamo Group</t>
  </si>
  <si>
    <t>ALG</t>
  </si>
  <si>
    <t>NHK Spring</t>
  </si>
  <si>
    <t>5991.T</t>
  </si>
  <si>
    <t>Carel Industries</t>
  </si>
  <si>
    <t>CRL.MI</t>
  </si>
  <si>
    <t>Sino-American Silicon Products</t>
  </si>
  <si>
    <t>5483.TWO</t>
  </si>
  <si>
    <t>Atkore</t>
  </si>
  <si>
    <t>ATKR</t>
  </si>
  <si>
    <t>Impinj</t>
  </si>
  <si>
    <t>PI</t>
  </si>
  <si>
    <t>Welspun India</t>
  </si>
  <si>
    <t>WELSPUNIND.NS</t>
  </si>
  <si>
    <t>Amano Corporation</t>
  </si>
  <si>
    <t>6436.T</t>
  </si>
  <si>
    <t>Makino Milling Machine</t>
  </si>
  <si>
    <t>6135.T</t>
  </si>
  <si>
    <t>Mabuchi Motor</t>
  </si>
  <si>
    <t>6592.T</t>
  </si>
  <si>
    <t>Wacoal Holdings</t>
  </si>
  <si>
    <t>3591.T</t>
  </si>
  <si>
    <t>Visteon</t>
  </si>
  <si>
    <t>VC</t>
  </si>
  <si>
    <t>Dexerials Corporation</t>
  </si>
  <si>
    <t>4980.T</t>
  </si>
  <si>
    <t>NV Bekaert</t>
  </si>
  <si>
    <t>BEKB.BR</t>
  </si>
  <si>
    <t>QuidelOrtho</t>
  </si>
  <si>
    <t>QDEL</t>
  </si>
  <si>
    <t>Powerchip Semiconductor Manufacturing</t>
  </si>
  <si>
    <t>6770.TW</t>
  </si>
  <si>
    <t>CIE Automotive India</t>
  </si>
  <si>
    <t>CIEINDIA.NS</t>
  </si>
  <si>
    <t>Maruichi Steel Tube</t>
  </si>
  <si>
    <t>5463.T</t>
  </si>
  <si>
    <t>CASIO</t>
  </si>
  <si>
    <t>6952.T</t>
  </si>
  <si>
    <t>Taiyo Yuden</t>
  </si>
  <si>
    <t>6976.T</t>
  </si>
  <si>
    <t>Pfeiffer Vacuum</t>
  </si>
  <si>
    <t>PFV.F</t>
  </si>
  <si>
    <t>Interroll</t>
  </si>
  <si>
    <t>INRN.SW</t>
  </si>
  <si>
    <t>Standex</t>
  </si>
  <si>
    <t>SXI</t>
  </si>
  <si>
    <t>Diodes Incorporated</t>
  </si>
  <si>
    <t>DIOD</t>
  </si>
  <si>
    <t>Hino Motors</t>
  </si>
  <si>
    <t>7205.T</t>
  </si>
  <si>
    <t>Landis+Gyr</t>
  </si>
  <si>
    <t>LAND.SW</t>
  </si>
  <si>
    <t>REV Group</t>
  </si>
  <si>
    <t>REVG</t>
  </si>
  <si>
    <t>O-I Glass</t>
  </si>
  <si>
    <t>OI</t>
  </si>
  <si>
    <t>ARB Corporation Limited</t>
  </si>
  <si>
    <t>ARB.AX</t>
  </si>
  <si>
    <t>UFP Technologies</t>
  </si>
  <si>
    <t>UFPT</t>
  </si>
  <si>
    <t>Wacker Neuson</t>
  </si>
  <si>
    <t>WAC.F</t>
  </si>
  <si>
    <t>JEOL Ltd.</t>
  </si>
  <si>
    <t>6951.T</t>
  </si>
  <si>
    <t>Ramkrishna Forgings</t>
  </si>
  <si>
    <t>RKFORGE.NS</t>
  </si>
  <si>
    <t>Trident</t>
  </si>
  <si>
    <t>TRIDENT.NS</t>
  </si>
  <si>
    <t>Coats Group</t>
  </si>
  <si>
    <t>COA.L</t>
  </si>
  <si>
    <t>PHINIA</t>
  </si>
  <si>
    <t>PHIN</t>
  </si>
  <si>
    <t>TKH Group</t>
  </si>
  <si>
    <t>TWEKA.AS</t>
  </si>
  <si>
    <t>KSB SE &amp; Co. KGaA</t>
  </si>
  <si>
    <t>KSB.DE</t>
  </si>
  <si>
    <t>Rorze Corporation</t>
  </si>
  <si>
    <t>6323.T</t>
  </si>
  <si>
    <t>MasterBrand</t>
  </si>
  <si>
    <t>MBC</t>
  </si>
  <si>
    <t>Kajaria Ceramics</t>
  </si>
  <si>
    <t>KAJARIACER.NS</t>
  </si>
  <si>
    <t>Construcciones y Auxiliar de Ferrocarriles</t>
  </si>
  <si>
    <t>CAF.MC</t>
  </si>
  <si>
    <t>Axcelis Technologies</t>
  </si>
  <si>
    <t>ACLS</t>
  </si>
  <si>
    <t>Ariston Holding</t>
  </si>
  <si>
    <t>ARIS.MI</t>
  </si>
  <si>
    <t>Daido Steel</t>
  </si>
  <si>
    <t>5471.T</t>
  </si>
  <si>
    <t>United Natural Foods</t>
  </si>
  <si>
    <t>UNFI</t>
  </si>
  <si>
    <t>engcon AB</t>
  </si>
  <si>
    <t>ENGCON-B.ST</t>
  </si>
  <si>
    <t>Pigeon</t>
  </si>
  <si>
    <t>7956.T</t>
  </si>
  <si>
    <t>Huber+Suhner</t>
  </si>
  <si>
    <t>HUBN.SW</t>
  </si>
  <si>
    <t>Orora Limited</t>
  </si>
  <si>
    <t>ORA.AX</t>
  </si>
  <si>
    <t>Mitsubishi Logisnext</t>
  </si>
  <si>
    <t>7105.T</t>
  </si>
  <si>
    <t>OPmobility</t>
  </si>
  <si>
    <t>OPM.PA</t>
  </si>
  <si>
    <t>Lisi S.A.</t>
  </si>
  <si>
    <t>FII.PA</t>
  </si>
  <si>
    <t>Nolato AB</t>
  </si>
  <si>
    <t>NOLA-B.ST</t>
  </si>
  <si>
    <t>Lindsay Corporation</t>
  </si>
  <si>
    <t>LNN</t>
  </si>
  <si>
    <t>TI Fluid Systems</t>
  </si>
  <si>
    <t>TIFS.L</t>
  </si>
  <si>
    <t>Richelieu Hardware</t>
  </si>
  <si>
    <t>RCH.TO</t>
  </si>
  <si>
    <t>Ingersoll Rand India</t>
  </si>
  <si>
    <t>INGERRAND.NS</t>
  </si>
  <si>
    <t>Knowles</t>
  </si>
  <si>
    <t>KN</t>
  </si>
  <si>
    <t>The Greenbrier Companies</t>
  </si>
  <si>
    <t>GBX</t>
  </si>
  <si>
    <t>TS TECH</t>
  </si>
  <si>
    <t>7313.T</t>
  </si>
  <si>
    <t>Benchmark Electronics</t>
  </si>
  <si>
    <t>BHE</t>
  </si>
  <si>
    <t>OC Oerlikon</t>
  </si>
  <si>
    <t>OERL.SW</t>
  </si>
  <si>
    <t>Aixtron</t>
  </si>
  <si>
    <t>AIXA.F</t>
  </si>
  <si>
    <t>Merida Industry</t>
  </si>
  <si>
    <t>9914.TW</t>
  </si>
  <si>
    <t>Yulon Motor Company</t>
  </si>
  <si>
    <t>Forvia SE</t>
  </si>
  <si>
    <t>FRVIA.PA</t>
  </si>
  <si>
    <t>East Pipes Integrated Company for Industry</t>
  </si>
  <si>
    <t>1321.SR</t>
  </si>
  <si>
    <t>Steelcase</t>
  </si>
  <si>
    <t>SCS</t>
  </si>
  <si>
    <t>Bet Shemesh Engines</t>
  </si>
  <si>
    <t>BSEN.TA</t>
  </si>
  <si>
    <t>Barco NV</t>
  </si>
  <si>
    <t>BAR.BR</t>
  </si>
  <si>
    <t>Anritsu Corporation</t>
  </si>
  <si>
    <t>6754.T</t>
  </si>
  <si>
    <t>CTS Corporation</t>
  </si>
  <si>
    <t>CTS</t>
  </si>
  <si>
    <t>Meidensha Corporation</t>
  </si>
  <si>
    <t>6508.T</t>
  </si>
  <si>
    <t>Olectra Greentech</t>
  </si>
  <si>
    <t>OLECTRA.NS</t>
  </si>
  <si>
    <t>Nakanishi</t>
  </si>
  <si>
    <t>7716.T</t>
  </si>
  <si>
    <t>Ferrum S.A. de Cerámica y Metalurgia</t>
  </si>
  <si>
    <t>FERR.BA</t>
  </si>
  <si>
    <t>ARG</t>
  </si>
  <si>
    <t>Sanlorenzo</t>
  </si>
  <si>
    <t>SL.MI</t>
  </si>
  <si>
    <t>Genuit Group</t>
  </si>
  <si>
    <t>GEN.L</t>
  </si>
  <si>
    <t>Blue Bird Corporation</t>
  </si>
  <si>
    <t>BLBD</t>
  </si>
  <si>
    <t>Mitani Corporation</t>
  </si>
  <si>
    <t>8066.T</t>
  </si>
  <si>
    <t>Marcopolo</t>
  </si>
  <si>
    <t>POMO4.SA</t>
  </si>
  <si>
    <t>CompoSecure</t>
  </si>
  <si>
    <t>CMPO</t>
  </si>
  <si>
    <t>MITSUI E&amp;S</t>
  </si>
  <si>
    <t>7003.T</t>
  </si>
  <si>
    <t>Sinfonia Technology</t>
  </si>
  <si>
    <t>6507.T</t>
  </si>
  <si>
    <t>Lenzing</t>
  </si>
  <si>
    <t>LEN.F</t>
  </si>
  <si>
    <t>Noritsu Koki</t>
  </si>
  <si>
    <t>7744.T</t>
  </si>
  <si>
    <t>Pilot Corporation</t>
  </si>
  <si>
    <t>7846.T</t>
  </si>
  <si>
    <t>WIN Semiconductors</t>
  </si>
  <si>
    <t>3105.TWO</t>
  </si>
  <si>
    <t>Eve Air Mobility</t>
  </si>
  <si>
    <t>EVEX</t>
  </si>
  <si>
    <t>Palfinger</t>
  </si>
  <si>
    <t>PFI.F</t>
  </si>
  <si>
    <t>Seiko Group</t>
  </si>
  <si>
    <t>8050.T</t>
  </si>
  <si>
    <t>Meiko Electronics</t>
  </si>
  <si>
    <t>6787.T</t>
  </si>
  <si>
    <t>Syrma SGS Technology</t>
  </si>
  <si>
    <t>SYRMA.NS</t>
  </si>
  <si>
    <t>Bunka Shutter</t>
  </si>
  <si>
    <t>5930.T</t>
  </si>
  <si>
    <t>NFI Group</t>
  </si>
  <si>
    <t>NFI.TO</t>
  </si>
  <si>
    <t>Glory Ltd.</t>
  </si>
  <si>
    <t>6457.T</t>
  </si>
  <si>
    <t>Musashi Seimitsu Industry</t>
  </si>
  <si>
    <t>7220.T</t>
  </si>
  <si>
    <t>Troax Group AB</t>
  </si>
  <si>
    <t>TROAX.ST</t>
  </si>
  <si>
    <t>DAIHEN Corporation</t>
  </si>
  <si>
    <t>6622.T</t>
  </si>
  <si>
    <t>DEUTZ</t>
  </si>
  <si>
    <t>DEZ.DE</t>
  </si>
  <si>
    <t>Paul Hartmann</t>
  </si>
  <si>
    <t>PHH2.F</t>
  </si>
  <si>
    <t>EHang Holdings</t>
  </si>
  <si>
    <t>EH</t>
  </si>
  <si>
    <t>OSG Corporation</t>
  </si>
  <si>
    <t>6136.T</t>
  </si>
  <si>
    <t>Symphony Limited</t>
  </si>
  <si>
    <t>SYMPHONY.NS</t>
  </si>
  <si>
    <t>Wolverine World Wide</t>
  </si>
  <si>
    <t>WWW</t>
  </si>
  <si>
    <t>Alok Industries</t>
  </si>
  <si>
    <t>ALOKINDS.NS</t>
  </si>
  <si>
    <t>Daqo New Energy</t>
  </si>
  <si>
    <t>DQ</t>
  </si>
  <si>
    <t>Helios Technologies</t>
  </si>
  <si>
    <t>HLIO</t>
  </si>
  <si>
    <t>Ferretti</t>
  </si>
  <si>
    <t>F3T1.F</t>
  </si>
  <si>
    <t>Janus International Group</t>
  </si>
  <si>
    <t>JBI</t>
  </si>
  <si>
    <t>Winnebago Industries</t>
  </si>
  <si>
    <t>WGO</t>
  </si>
  <si>
    <t>Nitto Boseki</t>
  </si>
  <si>
    <t>3110.T</t>
  </si>
  <si>
    <t>Comer Industries</t>
  </si>
  <si>
    <t>COM.MI</t>
  </si>
  <si>
    <t>Kumho Tire</t>
  </si>
  <si>
    <t>073240.KS</t>
  </si>
  <si>
    <t>LEM Holding</t>
  </si>
  <si>
    <t>LEHN.SW</t>
  </si>
  <si>
    <t>Cembre S.p.A.</t>
  </si>
  <si>
    <t>CMB.MI</t>
  </si>
  <si>
    <t>TriMas</t>
  </si>
  <si>
    <t>TRS</t>
  </si>
  <si>
    <t>Bel Fuse</t>
  </si>
  <si>
    <t>BELFB</t>
  </si>
  <si>
    <t>Fox Factory Holding</t>
  </si>
  <si>
    <t>FOXF</t>
  </si>
  <si>
    <t>Quanex Building Products</t>
  </si>
  <si>
    <t>NX</t>
  </si>
  <si>
    <t>Tadano</t>
  </si>
  <si>
    <t>6395.T</t>
  </si>
  <si>
    <t>Kornit Digital</t>
  </si>
  <si>
    <t>KRNT</t>
  </si>
  <si>
    <t>Piovan S.p.A.</t>
  </si>
  <si>
    <t>PVN.MI</t>
  </si>
  <si>
    <t>Aisan Industry</t>
  </si>
  <si>
    <t>7283.T</t>
  </si>
  <si>
    <t>Astra Microwave</t>
  </si>
  <si>
    <t>ASTRAMICRO.NS</t>
  </si>
  <si>
    <t>Savaria Corporation</t>
  </si>
  <si>
    <t>SIS.TO</t>
  </si>
  <si>
    <t>Lotus Technology</t>
  </si>
  <si>
    <t>JOST Werke SE</t>
  </si>
  <si>
    <t>JST.DE</t>
  </si>
  <si>
    <t>Mitsui High-tec</t>
  </si>
  <si>
    <t>6966.T</t>
  </si>
  <si>
    <t>Jindal Worldwide</t>
  </si>
  <si>
    <t>JINDWORLD.NS</t>
  </si>
  <si>
    <t>NTN Corporation</t>
  </si>
  <si>
    <t>6472.T</t>
  </si>
  <si>
    <t>Newag</t>
  </si>
  <si>
    <t>NWG.WA</t>
  </si>
  <si>
    <t>Autoneum Holding</t>
  </si>
  <si>
    <t>AUTN.SW</t>
  </si>
  <si>
    <t>R&amp;S Group</t>
  </si>
  <si>
    <t>RSGN.SW</t>
  </si>
  <si>
    <t>GELEX Group Joint Stock Company</t>
  </si>
  <si>
    <t>GEX.VN</t>
  </si>
  <si>
    <t>Astec Industries</t>
  </si>
  <si>
    <t>ASTE</t>
  </si>
  <si>
    <t>Mani, Inc.</t>
  </si>
  <si>
    <t>7730.T</t>
  </si>
  <si>
    <t>Kempower</t>
  </si>
  <si>
    <t>KEMPOWR.HE</t>
  </si>
  <si>
    <t>Canada Goose</t>
  </si>
  <si>
    <t>GOOS</t>
  </si>
  <si>
    <t>Manitou Group</t>
  </si>
  <si>
    <t>MTU.PA</t>
  </si>
  <si>
    <t>Saudi Steel Pipes</t>
  </si>
  <si>
    <t>1320.SR</t>
  </si>
  <si>
    <t>Al-Babtain Power and Telecommunications</t>
  </si>
  <si>
    <t>2320.SR</t>
  </si>
  <si>
    <t>Piaggio</t>
  </si>
  <si>
    <t>PIA.MI</t>
  </si>
  <si>
    <t>AMS-Osram</t>
  </si>
  <si>
    <t>AMS.SW</t>
  </si>
  <si>
    <t>Jinko Solar</t>
  </si>
  <si>
    <t>JKS</t>
  </si>
  <si>
    <t>Preformed Line Products</t>
  </si>
  <si>
    <t>PLPC</t>
  </si>
  <si>
    <t>Bénéteau</t>
  </si>
  <si>
    <t>BEN.PA</t>
  </si>
  <si>
    <t>Noritake</t>
  </si>
  <si>
    <t>5331.T</t>
  </si>
  <si>
    <t>Morgan Advanced Materials</t>
  </si>
  <si>
    <t>MGAM.L</t>
  </si>
  <si>
    <t>Nitta Corporation</t>
  </si>
  <si>
    <t>5186.T</t>
  </si>
  <si>
    <t>Hammond Power Solutions</t>
  </si>
  <si>
    <t>HPS-A.TO</t>
  </si>
  <si>
    <t>Mepco (Middle East Company for Manufacturing and Producing Paper)</t>
  </si>
  <si>
    <t>1202.SR</t>
  </si>
  <si>
    <t>Gokaldas Exports</t>
  </si>
  <si>
    <t>GOKEX.NS</t>
  </si>
  <si>
    <t>Saudi Paper Manufacturing Company</t>
  </si>
  <si>
    <t>2300.SR</t>
  </si>
  <si>
    <t>Zehnder Group</t>
  </si>
  <si>
    <t>ZEHN.SW</t>
  </si>
  <si>
    <t>Vetropack</t>
  </si>
  <si>
    <t>VETN.SW</t>
  </si>
  <si>
    <t>TOCALO Co.,Ltd.</t>
  </si>
  <si>
    <t>3433.T</t>
  </si>
  <si>
    <t>Amotiv Limited</t>
  </si>
  <si>
    <t>AOV.AX</t>
  </si>
  <si>
    <t>Scanfil</t>
  </si>
  <si>
    <t>SCANFL.HE</t>
  </si>
  <si>
    <t>Avalon Technologies</t>
  </si>
  <si>
    <t>AVALON.NS</t>
  </si>
  <si>
    <t>KITZ Corporation</t>
  </si>
  <si>
    <t>6498.T</t>
  </si>
  <si>
    <t>Suprajit Engineering</t>
  </si>
  <si>
    <t>SUPRAJIT.NS</t>
  </si>
  <si>
    <t>IFB Industries</t>
  </si>
  <si>
    <t>IFBIND.NS</t>
  </si>
  <si>
    <t>Stabilus</t>
  </si>
  <si>
    <t>STM.DE</t>
  </si>
  <si>
    <t>Bystronic AG</t>
  </si>
  <si>
    <t>BYS.SW</t>
  </si>
  <si>
    <t>Zojirushi</t>
  </si>
  <si>
    <t>7965.T</t>
  </si>
  <si>
    <t>Okamoto Industries</t>
  </si>
  <si>
    <t>5122.T</t>
  </si>
  <si>
    <t>Kyokuto Kaihatsu Kogyo</t>
  </si>
  <si>
    <t>7226.T</t>
  </si>
  <si>
    <t>Applied Optoelectronics</t>
  </si>
  <si>
    <t>AAOI</t>
  </si>
  <si>
    <t>Sinko Industries</t>
  </si>
  <si>
    <t>6458.T</t>
  </si>
  <si>
    <t>Shibaura Mechatronics</t>
  </si>
  <si>
    <t>6590.T</t>
  </si>
  <si>
    <t>Komax Holding</t>
  </si>
  <si>
    <t>KOMN.SW</t>
  </si>
  <si>
    <t>Skipper Limited</t>
  </si>
  <si>
    <t>SKIPPER.NS</t>
  </si>
  <si>
    <t>Shibaura Machine</t>
  </si>
  <si>
    <t>6104.T</t>
  </si>
  <si>
    <t>Kyoei Steel</t>
  </si>
  <si>
    <t>5440.T</t>
  </si>
  <si>
    <t>Daiwa Industries</t>
  </si>
  <si>
    <t>6459.T</t>
  </si>
  <si>
    <t>HOMAG Group</t>
  </si>
  <si>
    <t>HG1.F</t>
  </si>
  <si>
    <t>Magnera</t>
  </si>
  <si>
    <t>MAGN</t>
  </si>
  <si>
    <t>LiveWire Group</t>
  </si>
  <si>
    <t>LVWR</t>
  </si>
  <si>
    <t>Hampiðjan</t>
  </si>
  <si>
    <t>HAMP.IC</t>
  </si>
  <si>
    <t>Palram Industries</t>
  </si>
  <si>
    <t>PLRM.TA</t>
  </si>
  <si>
    <t>Malibu Boats</t>
  </si>
  <si>
    <t>MBUU</t>
  </si>
  <si>
    <t>Hexatronic Group AB</t>
  </si>
  <si>
    <t>HTRO.ST</t>
  </si>
  <si>
    <t>Douglas Dynamics</t>
  </si>
  <si>
    <t>PLOW</t>
  </si>
  <si>
    <t>Villeroy &amp; Boch</t>
  </si>
  <si>
    <t>VIB3.DE</t>
  </si>
  <si>
    <t>Universal Entertainment Corporation</t>
  </si>
  <si>
    <t>6425.T</t>
  </si>
  <si>
    <t>BOE Varitronix</t>
  </si>
  <si>
    <t>0710.HK</t>
  </si>
  <si>
    <t>Riso Kagaku Corporation</t>
  </si>
  <si>
    <t>6413.T</t>
  </si>
  <si>
    <t>Cicor Technologies</t>
  </si>
  <si>
    <t>CICN.SW</t>
  </si>
  <si>
    <t>2G Energy AG</t>
  </si>
  <si>
    <t>2GB.DE</t>
  </si>
  <si>
    <t>Shibaura Electronics</t>
  </si>
  <si>
    <t>6957.T</t>
  </si>
  <si>
    <t>Eiken Chemical</t>
  </si>
  <si>
    <t>4549.T</t>
  </si>
  <si>
    <t>Fujimori Kogyo</t>
  </si>
  <si>
    <t>7917.T</t>
  </si>
  <si>
    <t>Mersen</t>
  </si>
  <si>
    <t>MRN.PA</t>
  </si>
  <si>
    <t>Standard Motor Products (SMP)</t>
  </si>
  <si>
    <t>SMP</t>
  </si>
  <si>
    <t>LSI Industries</t>
  </si>
  <si>
    <t>LYTS</t>
  </si>
  <si>
    <t>Jensen-Group</t>
  </si>
  <si>
    <t>JEN.BR</t>
  </si>
  <si>
    <t>Canadian Solar</t>
  </si>
  <si>
    <t>CSIQ</t>
  </si>
  <si>
    <t>Birla Carbon (Thailand)</t>
  </si>
  <si>
    <t>BCT.BK</t>
  </si>
  <si>
    <t>Lux Industries</t>
  </si>
  <si>
    <t>LUXIND.NS</t>
  </si>
  <si>
    <t>Skellerup Holdings</t>
  </si>
  <si>
    <t>SKL.NZ</t>
  </si>
  <si>
    <t>Pacific Industrial</t>
  </si>
  <si>
    <t>7250.T</t>
  </si>
  <si>
    <t>Cytek Biosciences</t>
  </si>
  <si>
    <t>CTKB</t>
  </si>
  <si>
    <t>Plastika Kritis</t>
  </si>
  <si>
    <t>PLAKR.AT</t>
  </si>
  <si>
    <t>EuroGroup Laminations</t>
  </si>
  <si>
    <t>EGLA.MI</t>
  </si>
  <si>
    <t>Nachi-Fujikoshi</t>
  </si>
  <si>
    <t>6474.T</t>
  </si>
  <si>
    <t>Teikoku Sen-i Co., Ltd.</t>
  </si>
  <si>
    <t>3302.T</t>
  </si>
  <si>
    <t>Van de Velde</t>
  </si>
  <si>
    <t>VAN.BR</t>
  </si>
  <si>
    <t>Wabash National</t>
  </si>
  <si>
    <t>WNC</t>
  </si>
  <si>
    <t>Standard BioTools</t>
  </si>
  <si>
    <t>LAB</t>
  </si>
  <si>
    <t>Chofu Seisakusho</t>
  </si>
  <si>
    <t>5946.T</t>
  </si>
  <si>
    <t>Mattr Corp.</t>
  </si>
  <si>
    <t>MATR.TO</t>
  </si>
  <si>
    <t>Millat Tractors</t>
  </si>
  <si>
    <t>MTL.PK</t>
  </si>
  <si>
    <t>PAR</t>
  </si>
  <si>
    <t>Union Tool</t>
  </si>
  <si>
    <t>6278.T</t>
  </si>
  <si>
    <t>Talgo S.A.</t>
  </si>
  <si>
    <t>TLGO.MC</t>
  </si>
  <si>
    <t>IFL (Ibrahim Fibres)</t>
  </si>
  <si>
    <t>IBFL.PK</t>
  </si>
  <si>
    <t>Nippon Seiki</t>
  </si>
  <si>
    <t>7287.T</t>
  </si>
  <si>
    <t>United Heavy Machinery</t>
  </si>
  <si>
    <t>OMZZP.ME</t>
  </si>
  <si>
    <t>RS</t>
  </si>
  <si>
    <t>The National Company for Glass Industries</t>
  </si>
  <si>
    <t>2150.SR</t>
  </si>
  <si>
    <t>Grenevia</t>
  </si>
  <si>
    <t>GEA.WA</t>
  </si>
  <si>
    <t>Vst Tillers Tractors</t>
  </si>
  <si>
    <t>VSTTILLERS.NS</t>
  </si>
  <si>
    <t>Clearfield</t>
  </si>
  <si>
    <t>CLFD</t>
  </si>
  <si>
    <t>Arabian Pipes Company</t>
  </si>
  <si>
    <t>2200.SR</t>
  </si>
  <si>
    <t>Columbus McKinnon</t>
  </si>
  <si>
    <t>CMCO</t>
  </si>
  <si>
    <t>Fujibo Holdings</t>
  </si>
  <si>
    <t>3104.T</t>
  </si>
  <si>
    <t>Norma Group</t>
  </si>
  <si>
    <t>NOEJ.F</t>
  </si>
  <si>
    <t>Nexen Tire Corporation</t>
  </si>
  <si>
    <t>002350.KS</t>
  </si>
  <si>
    <t>Martinrea International</t>
  </si>
  <si>
    <t>MRE.TO</t>
  </si>
  <si>
    <t>Rieter Holding</t>
  </si>
  <si>
    <t>RIEN.SW</t>
  </si>
  <si>
    <t>Middle East Specialized Cables Company</t>
  </si>
  <si>
    <t>2370.SR</t>
  </si>
  <si>
    <t>Incap Oyj</t>
  </si>
  <si>
    <t>ICP1V.HE</t>
  </si>
  <si>
    <t>Aluflexpack AG</t>
  </si>
  <si>
    <t>AFP.SW</t>
  </si>
  <si>
    <t>Star Micronics</t>
  </si>
  <si>
    <t>7718.T</t>
  </si>
  <si>
    <t>Kimball Electronics</t>
  </si>
  <si>
    <t>KE</t>
  </si>
  <si>
    <t>ElringKlinger</t>
  </si>
  <si>
    <t>ZIL2.DE</t>
  </si>
  <si>
    <t>Acco Brands</t>
  </si>
  <si>
    <t>ACCO</t>
  </si>
  <si>
    <t>Deceuninck</t>
  </si>
  <si>
    <t>DECB.BR</t>
  </si>
  <si>
    <t>The Italian Sea Group</t>
  </si>
  <si>
    <t>TISG.MI</t>
  </si>
  <si>
    <t>Raoom trading Company</t>
  </si>
  <si>
    <t>9529.SR</t>
  </si>
  <si>
    <t>Nilfisk Holding</t>
  </si>
  <si>
    <t>NLFSK.CO</t>
  </si>
  <si>
    <t>Mikron Holding</t>
  </si>
  <si>
    <t>MIKN.SW</t>
  </si>
  <si>
    <t>Iwaki Co.</t>
  </si>
  <si>
    <t>6237.T</t>
  </si>
  <si>
    <t>Rosenbauer International</t>
  </si>
  <si>
    <t>ROS.VI</t>
  </si>
  <si>
    <t>Semperit</t>
  </si>
  <si>
    <t>SEM.VI</t>
  </si>
  <si>
    <t>Vertical Aerospace</t>
  </si>
  <si>
    <t>EVTL</t>
  </si>
  <si>
    <t>The Shyft Group</t>
  </si>
  <si>
    <t>SHYF</t>
  </si>
  <si>
    <t>SML Isuzu</t>
  </si>
  <si>
    <t>SMLISUZU.NS</t>
  </si>
  <si>
    <t>Relais Group Oyj</t>
  </si>
  <si>
    <t>RELAIS.HE</t>
  </si>
  <si>
    <t>XANO Industri</t>
  </si>
  <si>
    <t>XANO-B.ST</t>
  </si>
  <si>
    <t>Medistim</t>
  </si>
  <si>
    <t>MEDI.OL</t>
  </si>
  <si>
    <t>Holley</t>
  </si>
  <si>
    <t>HLLY</t>
  </si>
  <si>
    <t>Park-Ohio Holdings</t>
  </si>
  <si>
    <t>PKOH</t>
  </si>
  <si>
    <t>The Manitowoc Company</t>
  </si>
  <si>
    <t>MTW</t>
  </si>
  <si>
    <t>Luxfer</t>
  </si>
  <si>
    <t>LXFR</t>
  </si>
  <si>
    <t>Vishay Precision Group</t>
  </si>
  <si>
    <t>VPG</t>
  </si>
  <si>
    <t>MasterCraft Boat</t>
  </si>
  <si>
    <t>MCFT</t>
  </si>
  <si>
    <t>The Saudi Arabian Amiantit Company</t>
  </si>
  <si>
    <t>2160.SR</t>
  </si>
  <si>
    <t>MAX Automation</t>
  </si>
  <si>
    <t>MXHN.DE</t>
  </si>
  <si>
    <t>Al Obeikan Glass Company</t>
  </si>
  <si>
    <t>9531.SR</t>
  </si>
  <si>
    <t>Mayville Engineering Company</t>
  </si>
  <si>
    <t>MEC</t>
  </si>
  <si>
    <t>Group Five Pipe Saudi Company</t>
  </si>
  <si>
    <t>9523.SR</t>
  </si>
  <si>
    <t>Sandhar</t>
  </si>
  <si>
    <t>SANDHAR.NS</t>
  </si>
  <si>
    <t>Dollar Industries</t>
  </si>
  <si>
    <t>DOLLAR.NS</t>
  </si>
  <si>
    <t>Funko</t>
  </si>
  <si>
    <t>FNKO</t>
  </si>
  <si>
    <t>Tredegar</t>
  </si>
  <si>
    <t>TG</t>
  </si>
  <si>
    <t>StarragTornos Group</t>
  </si>
  <si>
    <t>STGN.SW</t>
  </si>
  <si>
    <t>Pact Group</t>
  </si>
  <si>
    <t>PGH.AX</t>
  </si>
  <si>
    <t>Velan</t>
  </si>
  <si>
    <t>VLN.TO</t>
  </si>
  <si>
    <t>Johnson Outdoors</t>
  </si>
  <si>
    <t>JOUT</t>
  </si>
  <si>
    <t>LPKF Laser &amp; Electronics</t>
  </si>
  <si>
    <t>LPK.DE</t>
  </si>
  <si>
    <t>Stelrad Group</t>
  </si>
  <si>
    <t>SRAD.L</t>
  </si>
  <si>
    <t>Federal-Mogul Goetze</t>
  </si>
  <si>
    <t>FMGOETZE.NS</t>
  </si>
  <si>
    <t>Saudi Cable Company</t>
  </si>
  <si>
    <t>2110.SR</t>
  </si>
  <si>
    <t>Aumann AG</t>
  </si>
  <si>
    <t>AAG.DE</t>
  </si>
  <si>
    <t>Akwel SA</t>
  </si>
  <si>
    <t>AKW.PA</t>
  </si>
  <si>
    <t>Zumtobel Group</t>
  </si>
  <si>
    <t>ZAG.VI</t>
  </si>
  <si>
    <t>Himatsingka Seide</t>
  </si>
  <si>
    <t>HIMATSEIDE.NS</t>
  </si>
  <si>
    <t>Civitanavi Systems</t>
  </si>
  <si>
    <t>CNS.MI</t>
  </si>
  <si>
    <t>Steyr Motors AG</t>
  </si>
  <si>
    <t>4X0.DE</t>
  </si>
  <si>
    <t>Escalade Sports</t>
  </si>
  <si>
    <t>ESCA</t>
  </si>
  <si>
    <t>Pro-Dex</t>
  </si>
  <si>
    <t>PDEX</t>
  </si>
  <si>
    <t>Exacompta Clairefontaine</t>
  </si>
  <si>
    <t>ALEXA.PA</t>
  </si>
  <si>
    <t>Sabaf S.p.A.</t>
  </si>
  <si>
    <t>SAB.MI</t>
  </si>
  <si>
    <t>Stille AB</t>
  </si>
  <si>
    <t>STIL.ST</t>
  </si>
  <si>
    <t>Feintool International</t>
  </si>
  <si>
    <t>FTON.SW</t>
  </si>
  <si>
    <t>Filatex India</t>
  </si>
  <si>
    <t>FILATEX.NS</t>
  </si>
  <si>
    <t>TT Electronics</t>
  </si>
  <si>
    <t>TTG.L</t>
  </si>
  <si>
    <t>Vista Alegre Atlantis</t>
  </si>
  <si>
    <t>VAF.LS</t>
  </si>
  <si>
    <t>POR</t>
  </si>
  <si>
    <t>Leclanché</t>
  </si>
  <si>
    <t>LECN.SW</t>
  </si>
  <si>
    <t>Biesse</t>
  </si>
  <si>
    <t>BSS.MI</t>
  </si>
  <si>
    <t>MM Forgings</t>
  </si>
  <si>
    <t>MMFL.NS</t>
  </si>
  <si>
    <t>Groupe SFPI</t>
  </si>
  <si>
    <t>SFPI.PA</t>
  </si>
  <si>
    <t>United Wire Factories Company</t>
  </si>
  <si>
    <t>1301.SR</t>
  </si>
  <si>
    <t>Schaffer Corporation</t>
  </si>
  <si>
    <t>SFC.AX</t>
  </si>
  <si>
    <t>Takween Advanced Industries</t>
  </si>
  <si>
    <t>1201.SR</t>
  </si>
  <si>
    <t>Kendrion</t>
  </si>
  <si>
    <t>KENDR.AS</t>
  </si>
  <si>
    <t>Cosmo First</t>
  </si>
  <si>
    <t>COSMOFIRST.NS</t>
  </si>
  <si>
    <t>Superior Group of Companies</t>
  </si>
  <si>
    <t>SGC</t>
  </si>
  <si>
    <t>Carlo Gavazzi Holding</t>
  </si>
  <si>
    <t>GAV.SW</t>
  </si>
  <si>
    <t>Desktop Metal</t>
  </si>
  <si>
    <t>DM</t>
  </si>
  <si>
    <t>Nueva Expresión Textil</t>
  </si>
  <si>
    <t>NXT.MC</t>
  </si>
  <si>
    <t>Virco Manufacturing</t>
  </si>
  <si>
    <t>VIRC</t>
  </si>
  <si>
    <t>Precia S.A.</t>
  </si>
  <si>
    <t>ALPM.PA</t>
  </si>
  <si>
    <t>Knaus Tabbert AG</t>
  </si>
  <si>
    <t>KTA.DE</t>
  </si>
  <si>
    <t>Agfa-Gevaert</t>
  </si>
  <si>
    <t>AGFB.BR</t>
  </si>
  <si>
    <t>Gévelot SA</t>
  </si>
  <si>
    <t>ALGEV.PA</t>
  </si>
  <si>
    <t>Strattec Security</t>
  </si>
  <si>
    <t>STRT</t>
  </si>
  <si>
    <t>Westag AG</t>
  </si>
  <si>
    <t>WUG3.F</t>
  </si>
  <si>
    <t>Voltamp Energy</t>
  </si>
  <si>
    <t>VOES.OM</t>
  </si>
  <si>
    <t>Oman</t>
  </si>
  <si>
    <t>Castings P.L.C.</t>
  </si>
  <si>
    <t>CGS.L</t>
  </si>
  <si>
    <t>OMER S.p.A.</t>
  </si>
  <si>
    <t>OMER.MI</t>
  </si>
  <si>
    <t>Bassett Furniture</t>
  </si>
  <si>
    <t>BSET</t>
  </si>
  <si>
    <t>Core Molding Technologies</t>
  </si>
  <si>
    <t>CMT</t>
  </si>
  <si>
    <t>Nicolás Correa</t>
  </si>
  <si>
    <t>NEA.MC</t>
  </si>
  <si>
    <t>Sadr Logistics Company</t>
  </si>
  <si>
    <t>1832.SR</t>
  </si>
  <si>
    <t>Mpac Group</t>
  </si>
  <si>
    <t>MPAC.L</t>
  </si>
  <si>
    <t>Sanok Rubber Company</t>
  </si>
  <si>
    <t>SNK.WA</t>
  </si>
  <si>
    <t>Saudi Vitrified Clay Pipe Company</t>
  </si>
  <si>
    <t>2360.SR</t>
  </si>
  <si>
    <t>SCHMID Group</t>
  </si>
  <si>
    <t>SHMD</t>
  </si>
  <si>
    <t>M-tron Industries</t>
  </si>
  <si>
    <t>MPTI</t>
  </si>
  <si>
    <t>Kopin Corporation</t>
  </si>
  <si>
    <t>KOPN</t>
  </si>
  <si>
    <t>Catana Group</t>
  </si>
  <si>
    <t>CATG.PA</t>
  </si>
  <si>
    <t>technotrans</t>
  </si>
  <si>
    <t>TTR1.DE</t>
  </si>
  <si>
    <t>R. Stahl AG</t>
  </si>
  <si>
    <t>RSL2.DE</t>
  </si>
  <si>
    <t>TOYA S.A.</t>
  </si>
  <si>
    <t>TOA.WA</t>
  </si>
  <si>
    <t>Bulten AB</t>
  </si>
  <si>
    <t>BULTEN.ST</t>
  </si>
  <si>
    <t>Al Jazeera Steel Products</t>
  </si>
  <si>
    <t>ATMI.OM</t>
  </si>
  <si>
    <t>Klingelnberg AG</t>
  </si>
  <si>
    <t>KLIN.SW</t>
  </si>
  <si>
    <t>Solid State Group</t>
  </si>
  <si>
    <t>SOLI.L</t>
  </si>
  <si>
    <t>Trifast</t>
  </si>
  <si>
    <t>TRI.L</t>
  </si>
  <si>
    <t>Kongsberg Automotive ASA</t>
  </si>
  <si>
    <t>KOA.OL</t>
  </si>
  <si>
    <t>Renold</t>
  </si>
  <si>
    <t>RNO.L</t>
  </si>
  <si>
    <t>Grammer AG</t>
  </si>
  <si>
    <t>GMM.DE</t>
  </si>
  <si>
    <t>VIGO Photonics</t>
  </si>
  <si>
    <t>VGO.WA</t>
  </si>
  <si>
    <t>Massimo Motor</t>
  </si>
  <si>
    <t>MAMO</t>
  </si>
  <si>
    <t>Ringmetall</t>
  </si>
  <si>
    <t>HP3A.DE</t>
  </si>
  <si>
    <t>NWTN Inc.</t>
  </si>
  <si>
    <t>Kandi Technologies Group</t>
  </si>
  <si>
    <t>BAUER Group</t>
  </si>
  <si>
    <t>B5A.HM</t>
  </si>
  <si>
    <t>Masterflex</t>
  </si>
  <si>
    <t>MZX.DE</t>
  </si>
  <si>
    <t>Taylor Devices</t>
  </si>
  <si>
    <t>TAYD</t>
  </si>
  <si>
    <t>Rocky Brands</t>
  </si>
  <si>
    <t>RCKY</t>
  </si>
  <si>
    <t>Caesarstone</t>
  </si>
  <si>
    <t>CSTE</t>
  </si>
  <si>
    <t>Twin Disc</t>
  </si>
  <si>
    <t>TWIN</t>
  </si>
  <si>
    <t>Garo Aktiebolag</t>
  </si>
  <si>
    <t>GARO.ST</t>
  </si>
  <si>
    <t>NN, Inc.</t>
  </si>
  <si>
    <t>NNBR</t>
  </si>
  <si>
    <t>Linz Textil</t>
  </si>
  <si>
    <t>LTH.VI</t>
  </si>
  <si>
    <t>PWO AG</t>
  </si>
  <si>
    <t>PWO.DE</t>
  </si>
  <si>
    <t>Electrovaya</t>
  </si>
  <si>
    <t>ELVA</t>
  </si>
  <si>
    <t>Wielton</t>
  </si>
  <si>
    <t>WLT.WA</t>
  </si>
  <si>
    <t>Haulotte Group</t>
  </si>
  <si>
    <t>PIG.PA</t>
  </si>
  <si>
    <t>Amaero International Ltd</t>
  </si>
  <si>
    <t>3DA.AX</t>
  </si>
  <si>
    <t>Hurco Companies</t>
  </si>
  <si>
    <t>HURC</t>
  </si>
  <si>
    <t>FreightCar America</t>
  </si>
  <si>
    <t>RAIL</t>
  </si>
  <si>
    <t>DATA MODUL</t>
  </si>
  <si>
    <t>DAM.DE</t>
  </si>
  <si>
    <t>KG Mobility (SsangYong Motor)</t>
  </si>
  <si>
    <t>003620.KS</t>
  </si>
  <si>
    <t>MGI Digital Technology</t>
  </si>
  <si>
    <t>ALMDG.PA</t>
  </si>
  <si>
    <t>centrotherm international</t>
  </si>
  <si>
    <t>CTNK.F</t>
  </si>
  <si>
    <t>Unifi</t>
  </si>
  <si>
    <t>UFI</t>
  </si>
  <si>
    <t>Poujoulat</t>
  </si>
  <si>
    <t>ALPJT.PA</t>
  </si>
  <si>
    <t>Geospace Technologies</t>
  </si>
  <si>
    <t>GEOS</t>
  </si>
  <si>
    <t>FRIWO</t>
  </si>
  <si>
    <t>CEA.DE</t>
  </si>
  <si>
    <t>Ultralife Corporation</t>
  </si>
  <si>
    <t>ULBI</t>
  </si>
  <si>
    <t>VEEM Ltd</t>
  </si>
  <si>
    <t>VEE.AX</t>
  </si>
  <si>
    <t>inTEST Corporation</t>
  </si>
  <si>
    <t>INTT</t>
  </si>
  <si>
    <t>NeoVolta</t>
  </si>
  <si>
    <t>NEOV</t>
  </si>
  <si>
    <t>Meyer Burger Technology</t>
  </si>
  <si>
    <t>MBTN.SW</t>
  </si>
  <si>
    <t>SergeFerrari Group</t>
  </si>
  <si>
    <t>SEFER.PA</t>
  </si>
  <si>
    <t>Al Anwar Ceramic Tiles</t>
  </si>
  <si>
    <t>AACT.OM</t>
  </si>
  <si>
    <t>Grand Twins International Cambodia</t>
  </si>
  <si>
    <t>GTI.KH</t>
  </si>
  <si>
    <t>CAM</t>
  </si>
  <si>
    <t>Polytec Holding</t>
  </si>
  <si>
    <t>PYT.VI</t>
  </si>
  <si>
    <t>Rapala VMC Corporation</t>
  </si>
  <si>
    <t>RAP1V.HE</t>
  </si>
  <si>
    <t>Interlink Electronics</t>
  </si>
  <si>
    <t>LINK</t>
  </si>
  <si>
    <t>PyroGenesis Canada</t>
  </si>
  <si>
    <t>PYR.TO</t>
  </si>
  <si>
    <t>Lion Electric</t>
  </si>
  <si>
    <t>LEV</t>
  </si>
  <si>
    <t>Dr. Hönle AG</t>
  </si>
  <si>
    <t>HNL.DE</t>
  </si>
  <si>
    <t>SBF AG</t>
  </si>
  <si>
    <t>CY1K.DE</t>
  </si>
  <si>
    <t>Dialight plc</t>
  </si>
  <si>
    <t>DIA.L</t>
  </si>
  <si>
    <t>Cabka</t>
  </si>
  <si>
    <t>7GW.F</t>
  </si>
  <si>
    <t>Amtech Systems</t>
  </si>
  <si>
    <t>ASYS</t>
  </si>
  <si>
    <t>Culp</t>
  </si>
  <si>
    <t>CULP</t>
  </si>
  <si>
    <t>SMT Scharf AG</t>
  </si>
  <si>
    <t>S4AA.DE</t>
  </si>
  <si>
    <t>SHW Group</t>
  </si>
  <si>
    <t>SW10.HM</t>
  </si>
  <si>
    <t>Surf Air Mobility</t>
  </si>
  <si>
    <t>SRFM</t>
  </si>
  <si>
    <t>Delfingen Industry</t>
  </si>
  <si>
    <t>ALDEL.PA</t>
  </si>
  <si>
    <t>edding AG</t>
  </si>
  <si>
    <t>EDD3.F</t>
  </si>
  <si>
    <t>Comtech Telecommunications</t>
  </si>
  <si>
    <t>CMTL</t>
  </si>
  <si>
    <t>Syntec Optics</t>
  </si>
  <si>
    <t>OPTX</t>
  </si>
  <si>
    <t>Francotyp-Postalia Holding AG</t>
  </si>
  <si>
    <t>FPH.DE</t>
  </si>
  <si>
    <t>Laser Photonics</t>
  </si>
  <si>
    <t>LASE</t>
  </si>
  <si>
    <t>TPI Composites</t>
  </si>
  <si>
    <t>TPIC</t>
  </si>
  <si>
    <t>DATRON AG</t>
  </si>
  <si>
    <t>DAR.DE</t>
  </si>
  <si>
    <t>Broadwind</t>
  </si>
  <si>
    <t>BWEN</t>
  </si>
  <si>
    <t>LACROIX Group SA</t>
  </si>
  <si>
    <t>LACR.PA</t>
  </si>
  <si>
    <t>Erayak Power Solution</t>
  </si>
  <si>
    <t>RAYA</t>
  </si>
  <si>
    <t>Hoftex Group AG</t>
  </si>
  <si>
    <t>NBH.MU</t>
  </si>
  <si>
    <t>Lilium</t>
  </si>
  <si>
    <t>LILM</t>
  </si>
  <si>
    <t>HWA AG</t>
  </si>
  <si>
    <t>H9W.DE</t>
  </si>
  <si>
    <t>HydrogenPro ASA</t>
  </si>
  <si>
    <t>HYPRO.OL</t>
  </si>
  <si>
    <t>Commercial Vehicle Group (CVG)</t>
  </si>
  <si>
    <t>CVGI</t>
  </si>
  <si>
    <t>Delignit AG</t>
  </si>
  <si>
    <t>DLX.DE</t>
  </si>
  <si>
    <t>Söktas Tekstil</t>
  </si>
  <si>
    <t>SKTAS.IS</t>
  </si>
  <si>
    <t>Pioneer Power Solutions</t>
  </si>
  <si>
    <t>PPSI</t>
  </si>
  <si>
    <t>Faraday Future</t>
  </si>
  <si>
    <t>STS Group</t>
  </si>
  <si>
    <t>SF3.DE</t>
  </si>
  <si>
    <t>hGears AG</t>
  </si>
  <si>
    <t>HGEA.DE</t>
  </si>
  <si>
    <t>FBR Limited</t>
  </si>
  <si>
    <t>FBR.AX</t>
  </si>
  <si>
    <t>TechPrecision</t>
  </si>
  <si>
    <t>TPCS</t>
  </si>
  <si>
    <t>Ebusco Holding</t>
  </si>
  <si>
    <t>EBUS.AS</t>
  </si>
  <si>
    <t>GreenPower Motor Company</t>
  </si>
  <si>
    <t>GP</t>
  </si>
  <si>
    <t>Solidion Technology</t>
  </si>
  <si>
    <t>STI</t>
  </si>
  <si>
    <t>Northann Corp</t>
  </si>
  <si>
    <t>NCL</t>
  </si>
  <si>
    <t>U Power</t>
  </si>
  <si>
    <t>UCAR</t>
  </si>
  <si>
    <t>Fly-E Group</t>
  </si>
  <si>
    <t>FLYE</t>
  </si>
  <si>
    <t>ParaZero Technologies</t>
  </si>
  <si>
    <t>PRZO</t>
  </si>
  <si>
    <t>Taiga Motors</t>
  </si>
  <si>
    <t>TAIG.TO</t>
  </si>
  <si>
    <t>Capstone Green Energy</t>
  </si>
  <si>
    <t>CGRN</t>
  </si>
  <si>
    <t>SigmaTron International</t>
  </si>
  <si>
    <t>SGMA</t>
  </si>
  <si>
    <t>Workhorse Group</t>
  </si>
  <si>
    <t>WKHS</t>
  </si>
  <si>
    <t>Addentax Group</t>
  </si>
  <si>
    <t>ATXG</t>
  </si>
  <si>
    <t>ToughBuilt Industries</t>
  </si>
  <si>
    <t>TBLT</t>
  </si>
  <si>
    <t>Ascent Solar Technologies</t>
  </si>
  <si>
    <t>ASTI</t>
  </si>
  <si>
    <t>EZGO Technologies</t>
  </si>
  <si>
    <t>EZGO</t>
  </si>
  <si>
    <t>View, Inc.</t>
  </si>
  <si>
    <t>VIEW</t>
  </si>
  <si>
    <t>Maxeon Solar Technologies</t>
  </si>
  <si>
    <t>MAXN</t>
  </si>
  <si>
    <t>Adamas One</t>
  </si>
  <si>
    <t>JEWL</t>
  </si>
  <si>
    <t>Lightning eMotors</t>
  </si>
  <si>
    <t>ZEVY</t>
  </si>
  <si>
    <t>Next Rslts</t>
  </si>
  <si>
    <t>TWD/USD</t>
  </si>
  <si>
    <t>WON/USD</t>
  </si>
  <si>
    <t>Q325</t>
  </si>
  <si>
    <t>Q125</t>
  </si>
  <si>
    <t>FQ225</t>
  </si>
  <si>
    <t>Axon Enterprise</t>
  </si>
  <si>
    <t>AXON</t>
  </si>
  <si>
    <t>Royal Caribbean Group</t>
  </si>
  <si>
    <t>RCL</t>
  </si>
  <si>
    <t>Carnival Corporation</t>
  </si>
  <si>
    <t>CCL</t>
  </si>
  <si>
    <t>Viking Holdings</t>
  </si>
  <si>
    <t>VIK</t>
  </si>
  <si>
    <t>Norwegian Cruise Line</t>
  </si>
  <si>
    <t>NCLH</t>
  </si>
  <si>
    <t>CAD/USD</t>
  </si>
  <si>
    <t>1810.HK</t>
  </si>
  <si>
    <t>Voyager Technologies</t>
  </si>
  <si>
    <t>VOYG</t>
  </si>
  <si>
    <t>Smith &amp; Wesson</t>
  </si>
  <si>
    <t>SWBI</t>
  </si>
  <si>
    <t>Q225</t>
  </si>
  <si>
    <t>Q126</t>
  </si>
  <si>
    <t>Core Civic</t>
  </si>
  <si>
    <t>GEO Group</t>
  </si>
  <si>
    <t>CXW</t>
  </si>
  <si>
    <t>GEO</t>
  </si>
  <si>
    <t>American Tower</t>
  </si>
  <si>
    <t>AMT</t>
  </si>
  <si>
    <t>National Grid</t>
  </si>
  <si>
    <t>NGG</t>
  </si>
  <si>
    <t>Norfolk Southern</t>
  </si>
  <si>
    <t>NSC</t>
  </si>
  <si>
    <t>Sempra Energy</t>
  </si>
  <si>
    <t>SRE</t>
  </si>
  <si>
    <t>Aena</t>
  </si>
  <si>
    <t>AENA.MC</t>
  </si>
  <si>
    <t>Crown Castle</t>
  </si>
  <si>
    <t>CCI</t>
  </si>
  <si>
    <t>Ferrovial</t>
  </si>
  <si>
    <t>FER.MC</t>
  </si>
  <si>
    <t>Powergrid Corporation of India</t>
  </si>
  <si>
    <t>POWERGRID.NS</t>
  </si>
  <si>
    <t>Transurban</t>
  </si>
  <si>
    <t>TCL.AX</t>
  </si>
  <si>
    <t>China Tower</t>
  </si>
  <si>
    <t>0788.HK</t>
  </si>
  <si>
    <t>CK Hutchison Holdings</t>
  </si>
  <si>
    <t>0001.HK</t>
  </si>
  <si>
    <t>SBA Communications</t>
  </si>
  <si>
    <t>SBAC</t>
  </si>
  <si>
    <t>Snam</t>
  </si>
  <si>
    <t>SRG.MI</t>
  </si>
  <si>
    <t>Terna</t>
  </si>
  <si>
    <t>TRN.MI</t>
  </si>
  <si>
    <t>Indian Railway Finance</t>
  </si>
  <si>
    <t>IRFC.NS</t>
  </si>
  <si>
    <t>Shanghai International Port Group (SIPG)</t>
  </si>
  <si>
    <t>600018.SS</t>
  </si>
  <si>
    <t>International Container Terminal Services</t>
  </si>
  <si>
    <t>ICTEF</t>
  </si>
  <si>
    <t>Airports of Thailand</t>
  </si>
  <si>
    <t>AOT.BK</t>
  </si>
  <si>
    <t>CK Infrastructure</t>
  </si>
  <si>
    <t>1038.HK</t>
  </si>
  <si>
    <t>Brookfield Infrastructure Partners</t>
  </si>
  <si>
    <t>BIP</t>
  </si>
  <si>
    <t>ADP.PA</t>
  </si>
  <si>
    <t>Salik Company</t>
  </si>
  <si>
    <t>SALIK.AE</t>
  </si>
  <si>
    <t>Grupo Aeroportuario del PacÃ­fico</t>
  </si>
  <si>
    <t>PAC</t>
  </si>
  <si>
    <t>Shanghai Airport (AVINEX)</t>
  </si>
  <si>
    <t>600009.SS</t>
  </si>
  <si>
    <t>Adani Energy Solutions</t>
  </si>
  <si>
    <t>ADANIENSOL.NS</t>
  </si>
  <si>
    <t>GMR Airports</t>
  </si>
  <si>
    <t>GMRAIRPORT.NS</t>
  </si>
  <si>
    <t>Severn Trent</t>
  </si>
  <si>
    <t>SVT.L</t>
  </si>
  <si>
    <t>RED.MC</t>
  </si>
  <si>
    <t>Grupo Aeroportuario del Sureste</t>
  </si>
  <si>
    <t>ASR</t>
  </si>
  <si>
    <t>Zurich Airport</t>
  </si>
  <si>
    <t>FHZN.SW</t>
  </si>
  <si>
    <t>AltaGas</t>
  </si>
  <si>
    <t>ALA.TO</t>
  </si>
  <si>
    <t>PetGas (Petronas Gas)</t>
  </si>
  <si>
    <t>6033.KL</t>
  </si>
  <si>
    <t>Copenhagen Airport</t>
  </si>
  <si>
    <t>KBHL.CO</t>
  </si>
  <si>
    <t>Fraport</t>
  </si>
  <si>
    <t>FRA.DE</t>
  </si>
  <si>
    <t>APA Group</t>
  </si>
  <si>
    <t>APA.AX</t>
  </si>
  <si>
    <t>Auckland Airport</t>
  </si>
  <si>
    <t>AIA.AX</t>
  </si>
  <si>
    <t>Keyera</t>
  </si>
  <si>
    <t>KEY.TO</t>
  </si>
  <si>
    <t>Qingdao Port International</t>
  </si>
  <si>
    <t>601298.SS</t>
  </si>
  <si>
    <t>Infratil</t>
  </si>
  <si>
    <t>IFT.NZ</t>
  </si>
  <si>
    <t>Construction Partners</t>
  </si>
  <si>
    <t>ROAD</t>
  </si>
  <si>
    <t>Shandong Hi-Speed</t>
  </si>
  <si>
    <t>600350.SS</t>
  </si>
  <si>
    <t>South Bow</t>
  </si>
  <si>
    <t>SOBO</t>
  </si>
  <si>
    <t>Canadian Utilities</t>
  </si>
  <si>
    <t>CU.TO</t>
  </si>
  <si>
    <t>Abu Dhabi Ports</t>
  </si>
  <si>
    <t>ADPORTS.AE</t>
  </si>
  <si>
    <t>Grupo Aeroportuario Centro Norte</t>
  </si>
  <si>
    <t>OMAB</t>
  </si>
  <si>
    <t>Taiwan High Speed Rail</t>
  </si>
  <si>
    <t>2633.TW</t>
  </si>
  <si>
    <t>Flughafen Wien (Vienna Airport)</t>
  </si>
  <si>
    <t>FLU.VI</t>
  </si>
  <si>
    <t>Altius Telecom Infrastructure Trust</t>
  </si>
  <si>
    <t>ALTIUSINVIT.BO</t>
  </si>
  <si>
    <t>Atlas Arteria</t>
  </si>
  <si>
    <t>ALX.AX</t>
  </si>
  <si>
    <t>Plains GP</t>
  </si>
  <si>
    <t>PAGP</t>
  </si>
  <si>
    <t>Golar LNG</t>
  </si>
  <si>
    <t>GLNG</t>
  </si>
  <si>
    <t>Delek Group</t>
  </si>
  <si>
    <t>DLEKG.TA</t>
  </si>
  <si>
    <t>Balfour Beatty</t>
  </si>
  <si>
    <t>BBY.L</t>
  </si>
  <si>
    <t>ENG.MC</t>
  </si>
  <si>
    <t>CTF Services Limited</t>
  </si>
  <si>
    <t>0659.HK</t>
  </si>
  <si>
    <t>Capstone Infrastructure</t>
  </si>
  <si>
    <t>CSE-PA.TO</t>
  </si>
  <si>
    <t>Athens International Airport</t>
  </si>
  <si>
    <t>AIA.AT</t>
  </si>
  <si>
    <t>Budimex</t>
  </si>
  <si>
    <t>BDX.WA</t>
  </si>
  <si>
    <t>Sacyr</t>
  </si>
  <si>
    <t>SCYR.MC</t>
  </si>
  <si>
    <t>Transportadora de Gas del Sur</t>
  </si>
  <si>
    <t>TGS</t>
  </si>
  <si>
    <t>CAAP</t>
  </si>
  <si>
    <t>Greencoat UK Wind</t>
  </si>
  <si>
    <t>UKW.L</t>
  </si>
  <si>
    <t>Port of Tauranga</t>
  </si>
  <si>
    <t>POT.NZ</t>
  </si>
  <si>
    <t>Gibson Energy</t>
  </si>
  <si>
    <t>GEI.TO</t>
  </si>
  <si>
    <t>Japan Airport Terminal</t>
  </si>
  <si>
    <t>9706.T</t>
  </si>
  <si>
    <t>Topaz Energy</t>
  </si>
  <si>
    <t>TPZ.TO</t>
  </si>
  <si>
    <t>Lendlease</t>
  </si>
  <si>
    <t>LLC.AX</t>
  </si>
  <si>
    <t>IHS Towers</t>
  </si>
  <si>
    <t>IHS</t>
  </si>
  <si>
    <t>Antin Infrastructure Partners</t>
  </si>
  <si>
    <t>ANTIN.PA</t>
  </si>
  <si>
    <t>RENE.LS</t>
  </si>
  <si>
    <t>Taesa (Transmissora AlianÃ§a de Energia ElÃ©trica)</t>
  </si>
  <si>
    <t>TAEE11.SA</t>
  </si>
  <si>
    <t>TAV Airports Holding</t>
  </si>
  <si>
    <t>TAVHL.IS</t>
  </si>
  <si>
    <t>Helios Towers</t>
  </si>
  <si>
    <t>HTWS.L</t>
  </si>
  <si>
    <t>Centuri Holdings</t>
  </si>
  <si>
    <t>CTRI</t>
  </si>
  <si>
    <t>Solaris Energy Infrastructure</t>
  </si>
  <si>
    <t>SEI</t>
  </si>
  <si>
    <t>Hamburger Hafen</t>
  </si>
  <si>
    <t>HHFA.F</t>
  </si>
  <si>
    <t>HPH Trust (Hutchison Port)</t>
  </si>
  <si>
    <t>NS8U.SI</t>
  </si>
  <si>
    <t>OQ Gas Network Company</t>
  </si>
  <si>
    <t>OQGN.OM</t>
  </si>
  <si>
    <t>Par Pacific Holdings</t>
  </si>
  <si>
    <t>PARR</t>
  </si>
  <si>
    <t>UNITI</t>
  </si>
  <si>
    <t>UNIT</t>
  </si>
  <si>
    <t>Beijing Airport</t>
  </si>
  <si>
    <t>0694.HK</t>
  </si>
  <si>
    <t>Friedrich Vorwerk Group</t>
  </si>
  <si>
    <t>VH2.DE</t>
  </si>
  <si>
    <t>Fluxys Belgium</t>
  </si>
  <si>
    <t>FLUX.BR</t>
  </si>
  <si>
    <t>Dalrymple Bay Infrastructure</t>
  </si>
  <si>
    <t>DBI.AX</t>
  </si>
  <si>
    <t>Sihanoukville Autonomous Port</t>
  </si>
  <si>
    <t>PAS.KH</t>
  </si>
  <si>
    <t>Danya Cebus</t>
  </si>
  <si>
    <t>DNYA.TA</t>
  </si>
  <si>
    <t>Westshore Terminals Investment</t>
  </si>
  <si>
    <t>WTE.TO</t>
  </si>
  <si>
    <t>Shentel</t>
  </si>
  <si>
    <t>SHEN</t>
  </si>
  <si>
    <t>Sustained Infrastructure Holding Company (sisco)</t>
  </si>
  <si>
    <t>2190.SR</t>
  </si>
  <si>
    <t>Norva24 Group AB</t>
  </si>
  <si>
    <t>NORVA.ST</t>
  </si>
  <si>
    <t>JTOWER</t>
  </si>
  <si>
    <t>4485.T</t>
  </si>
  <si>
    <t>TINC NV</t>
  </si>
  <si>
    <t>TINC.BR</t>
  </si>
  <si>
    <t>Ellaktor</t>
  </si>
  <si>
    <t>ELLAKTOR.AT</t>
  </si>
  <si>
    <t>K-Electric</t>
  </si>
  <si>
    <t>KEL.PK</t>
  </si>
  <si>
    <t>Keystone Infra</t>
  </si>
  <si>
    <t>KSTN.TA</t>
  </si>
  <si>
    <t>The Cross-Harbour Holdings</t>
  </si>
  <si>
    <t>0032.HK</t>
  </si>
  <si>
    <t>Phnom Penh Autonomous Port</t>
  </si>
  <si>
    <t>PPAP.KH</t>
  </si>
  <si>
    <t>New Fortress Energy</t>
  </si>
  <si>
    <t>NFE</t>
  </si>
  <si>
    <t>Toscana Aeroporti</t>
  </si>
  <si>
    <t>TYA.MI</t>
  </si>
  <si>
    <t>Aeroporto G. Marconi Bologna</t>
  </si>
  <si>
    <t>ADB.MI</t>
  </si>
  <si>
    <t>Argo Global Listed Infrastructure</t>
  </si>
  <si>
    <t>ALI.AX</t>
  </si>
  <si>
    <t>APM Terminals Bahrain</t>
  </si>
  <si>
    <t>APMTB.BH</t>
  </si>
  <si>
    <t>GTL Infrastructure</t>
  </si>
  <si>
    <t>GTLINFRA.NS</t>
  </si>
  <si>
    <t>ADM Hamburg</t>
  </si>
  <si>
    <t>OEL.F</t>
  </si>
  <si>
    <t>Nusantara Pelabuhan Handal</t>
  </si>
  <si>
    <t>PORT.JK</t>
  </si>
  <si>
    <t>NRC Group ASA</t>
  </si>
  <si>
    <t>NRC.OL</t>
  </si>
  <si>
    <t>South Port NZ</t>
  </si>
  <si>
    <t>SPN.NZ</t>
  </si>
  <si>
    <t>Salalah Port Services Company</t>
  </si>
  <si>
    <t>SPSI.OM</t>
  </si>
  <si>
    <t>Netel Holding</t>
  </si>
  <si>
    <t>NETEL.ST</t>
  </si>
  <si>
    <t>Pestech Cambodia</t>
  </si>
  <si>
    <t>PEPC.KH</t>
  </si>
  <si>
    <t>Muehlhan AG</t>
  </si>
  <si>
    <t>M4N.HM</t>
  </si>
  <si>
    <t>United States</t>
  </si>
  <si>
    <t>United Kingdom</t>
  </si>
  <si>
    <t>Canada</t>
  </si>
  <si>
    <t>Spain</t>
  </si>
  <si>
    <t>India</t>
  </si>
  <si>
    <t>Australia</t>
  </si>
  <si>
    <t>China</t>
  </si>
  <si>
    <t>Hong Kong</t>
  </si>
  <si>
    <t>Italy</t>
  </si>
  <si>
    <t>Philippines</t>
  </si>
  <si>
    <t>Thailand</t>
  </si>
  <si>
    <t>Bermuda</t>
  </si>
  <si>
    <t>France</t>
  </si>
  <si>
    <t>United Arab Emirates</t>
  </si>
  <si>
    <t>Mexico</t>
  </si>
  <si>
    <t>Switzerland</t>
  </si>
  <si>
    <t>Malaysia</t>
  </si>
  <si>
    <t>Denmark</t>
  </si>
  <si>
    <t>Germany</t>
  </si>
  <si>
    <t>New Zealand</t>
  </si>
  <si>
    <t>Taiwan</t>
  </si>
  <si>
    <t>Austria</t>
  </si>
  <si>
    <t>Israel</t>
  </si>
  <si>
    <t>Greece</t>
  </si>
  <si>
    <t>Poland</t>
  </si>
  <si>
    <t>Argentina</t>
  </si>
  <si>
    <t>Luxembourg</t>
  </si>
  <si>
    <t>Japan</t>
  </si>
  <si>
    <t>Portugal</t>
  </si>
  <si>
    <t>Brazil</t>
  </si>
  <si>
    <t>Turkey</t>
  </si>
  <si>
    <t>Singapore</t>
  </si>
  <si>
    <t>Belgium</t>
  </si>
  <si>
    <t>Cambodia</t>
  </si>
  <si>
    <t>Saudi Arabia</t>
  </si>
  <si>
    <t>Norway</t>
  </si>
  <si>
    <t>Pakistan</t>
  </si>
  <si>
    <t>Bahrain</t>
  </si>
  <si>
    <t>Indonesia</t>
  </si>
  <si>
    <t>Sweden</t>
  </si>
  <si>
    <t>Firefly Aerospace</t>
  </si>
  <si>
    <t>FLY</t>
  </si>
  <si>
    <t>Rocket Lab</t>
  </si>
  <si>
    <t>RKLB</t>
  </si>
  <si>
    <t>SpaceX</t>
  </si>
  <si>
    <t>General Electric</t>
  </si>
  <si>
    <t>GE</t>
  </si>
  <si>
    <t>Rolls-Royce Holdings</t>
  </si>
  <si>
    <t>RR.L</t>
  </si>
  <si>
    <t>Northrop Grumman</t>
  </si>
  <si>
    <t>HWM</t>
  </si>
  <si>
    <t>Howmet Aerospace</t>
  </si>
  <si>
    <t>BAE Systems</t>
  </si>
  <si>
    <t>TDG</t>
  </si>
  <si>
    <t>Hanwha Aerospace</t>
  </si>
  <si>
    <t>Elbit Systems</t>
  </si>
  <si>
    <t>Bharat Electronics</t>
  </si>
  <si>
    <t>AST SpaceMobile</t>
  </si>
  <si>
    <t>ASTS</t>
  </si>
  <si>
    <t>ZS</t>
  </si>
  <si>
    <t>Aeroports de Paris</t>
  </si>
  <si>
    <t xml:space="preserve">Redeia </t>
  </si>
  <si>
    <t>Enagás</t>
  </si>
  <si>
    <t>Corporación América Airports</t>
  </si>
  <si>
    <t>REN (Redes Energéticas Nacionais)</t>
  </si>
  <si>
    <t>Shikun &amp; Binui</t>
  </si>
  <si>
    <t>SKBN.TA</t>
  </si>
  <si>
    <t>Adani Ports &amp; SEZ</t>
  </si>
  <si>
    <t>ADANIPORTS.NS</t>
  </si>
  <si>
    <t>Westports</t>
  </si>
  <si>
    <t>5246.KL</t>
  </si>
  <si>
    <t>Grupo Aeroportucario del Pacifico</t>
  </si>
  <si>
    <t>TransDigm Group</t>
  </si>
  <si>
    <t>SAAB-B.ST</t>
  </si>
  <si>
    <t>China Satellite Communications</t>
  </si>
  <si>
    <t>601698.SS</t>
  </si>
  <si>
    <t>AVIC Shenyang Aircraft Company Limited</t>
  </si>
  <si>
    <t>600760.SS</t>
  </si>
  <si>
    <t>MTU Aero Engines</t>
  </si>
  <si>
    <t>MTX.DE</t>
  </si>
  <si>
    <t>Hanwha Systems</t>
  </si>
  <si>
    <t>272210.KS</t>
  </si>
  <si>
    <t>EMBJ</t>
  </si>
  <si>
    <t>Korea Aerospace Industries</t>
  </si>
  <si>
    <t>047810.KS</t>
  </si>
  <si>
    <t>AeroVironment</t>
  </si>
  <si>
    <t>LIG Nex1</t>
  </si>
  <si>
    <t>079550.KS</t>
  </si>
  <si>
    <t>NextVision Stabilized Systems</t>
  </si>
  <si>
    <t>NXSN.TA</t>
  </si>
  <si>
    <t>StandardAero</t>
  </si>
  <si>
    <t>SARO</t>
  </si>
  <si>
    <t>CAE Inc.</t>
  </si>
  <si>
    <t>CAE</t>
  </si>
  <si>
    <t>Planet Labs</t>
  </si>
  <si>
    <t>PL</t>
  </si>
  <si>
    <t>Globalstar</t>
  </si>
  <si>
    <t>GSAT</t>
  </si>
  <si>
    <t>Loar Holdings</t>
  </si>
  <si>
    <t>LOAR</t>
  </si>
  <si>
    <t>OHB SE</t>
  </si>
  <si>
    <t>OHB.DE</t>
  </si>
  <si>
    <t>BETA Technologies</t>
  </si>
  <si>
    <t>BETA</t>
  </si>
  <si>
    <t>AAR</t>
  </si>
  <si>
    <t>AIR</t>
  </si>
  <si>
    <t>MDA Ltd.</t>
  </si>
  <si>
    <t>MDA.TO</t>
  </si>
  <si>
    <t>ENAV</t>
  </si>
  <si>
    <t>ENAV.MI</t>
  </si>
  <si>
    <t>SIA Engineering Company</t>
  </si>
  <si>
    <t>S59.SI</t>
  </si>
  <si>
    <t>York Space Systems</t>
  </si>
  <si>
    <t>YSS</t>
  </si>
  <si>
    <t>Astronics Corporation</t>
  </si>
  <si>
    <t>ATRO</t>
  </si>
  <si>
    <t>DroneShield</t>
  </si>
  <si>
    <t>Intuitive Machines</t>
  </si>
  <si>
    <t>LUNR</t>
  </si>
  <si>
    <t>Iridium Communications</t>
  </si>
  <si>
    <t>IRDM</t>
  </si>
  <si>
    <t>Montana Aerospace</t>
  </si>
  <si>
    <t>AERO.SW</t>
  </si>
  <si>
    <t>Avio S.p.A.</t>
  </si>
  <si>
    <t>AVIO.MI</t>
  </si>
  <si>
    <t>Ducommun</t>
  </si>
  <si>
    <t>DCO</t>
  </si>
  <si>
    <t>SPACE42</t>
  </si>
  <si>
    <t>SPACE42.AE</t>
  </si>
  <si>
    <t>Redwire</t>
  </si>
  <si>
    <t>RDW</t>
  </si>
  <si>
    <t>Red Cat Holdings</t>
  </si>
  <si>
    <t>RCAT</t>
  </si>
  <si>
    <t>Telesat</t>
  </si>
  <si>
    <t>TSAT</t>
  </si>
  <si>
    <t>Bristow Group</t>
  </si>
  <si>
    <t>VTOL</t>
  </si>
  <si>
    <t>BlackSky Technology</t>
  </si>
  <si>
    <t>BKSY</t>
  </si>
  <si>
    <t>FACC AG</t>
  </si>
  <si>
    <t>FACC.VI</t>
  </si>
  <si>
    <t>Unusual Machines</t>
  </si>
  <si>
    <t>UMAC</t>
  </si>
  <si>
    <t>Creotech Instruments</t>
  </si>
  <si>
    <t>CRI.WA</t>
  </si>
  <si>
    <t>Park Aerospace</t>
  </si>
  <si>
    <t>PKE</t>
  </si>
  <si>
    <t>Frequency Electronics</t>
  </si>
  <si>
    <t>FEIM</t>
  </si>
  <si>
    <t>Innovative Solutions and Support</t>
  </si>
  <si>
    <t>ISSC</t>
  </si>
  <si>
    <t>Satellogic</t>
  </si>
  <si>
    <t>SATL</t>
  </si>
  <si>
    <t>Parrot S.A.</t>
  </si>
  <si>
    <t>PARRO.PA</t>
  </si>
  <si>
    <t>Private</t>
  </si>
  <si>
    <t>Koenigsegg</t>
  </si>
  <si>
    <t>Q425</t>
  </si>
  <si>
    <t>CHF/USD</t>
  </si>
  <si>
    <t>COSCO Shipping Energy</t>
  </si>
  <si>
    <t>600026.SS</t>
  </si>
  <si>
    <t>South Korea</t>
  </si>
  <si>
    <t>Qatar</t>
  </si>
  <si>
    <t>Seaboard Corporation</t>
  </si>
  <si>
    <t>Monaco</t>
  </si>
  <si>
    <t>CMB.TECH</t>
  </si>
  <si>
    <t>Asyad Shipping Company</t>
  </si>
  <si>
    <t>ASCO.OM</t>
  </si>
  <si>
    <t>Flex LNG</t>
  </si>
  <si>
    <t>TEN</t>
  </si>
  <si>
    <t>Estonia</t>
  </si>
  <si>
    <t>Kuwait</t>
  </si>
  <si>
    <t>Finland</t>
  </si>
  <si>
    <t>Iceland</t>
  </si>
  <si>
    <t>ERAG.DE</t>
  </si>
  <si>
    <t>Cyprus</t>
  </si>
  <si>
    <t>Heidmar Maritime Holdings</t>
  </si>
  <si>
    <t>HMR</t>
  </si>
  <si>
    <t>SVRN</t>
  </si>
  <si>
    <t>TSM1T.TL</t>
  </si>
  <si>
    <t>AS Tallinna Sadam</t>
  </si>
  <si>
    <t>Kawasaki Kisen Kaisha</t>
  </si>
  <si>
    <t xml:space="preserve">Nippon Yusen </t>
  </si>
  <si>
    <t>Genko Shippinh &amp; Trading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</si>
</sst>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\(#,##0\)"/>
    <numFmt numFmtId="165" formatCode="#,##0.0;\(#,##0.0\)"/>
  </numFmts>
  <fonts count="28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ptos Narrow"/>
      <family val="2"/>
      <scheme val="minor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sz val="18"/>
      <color theme="3"/>
      <name val="Aptos Display"/>
      <family val="2"/>
      <scheme val="major"/>
    </font>
    <font>
      <b/>
      <sz val="15"/>
      <color theme="3"/>
      <name val="Arial"/>
      <family val="2"/>
    </font>
    <font>
      <b/>
      <sz val="13"/>
      <color theme="3"/>
      <name val="Arial"/>
      <family val="2"/>
    </font>
    <font>
      <b/>
      <sz val="11"/>
      <color theme="3"/>
      <name val="Arial"/>
      <family val="2"/>
    </font>
    <font>
      <sz val="10"/>
      <color rgb="FF006100"/>
      <name val="Arial"/>
      <family val="2"/>
    </font>
    <font>
      <sz val="10"/>
      <color rgb="FF9C0006"/>
      <name val="Arial"/>
      <family val="2"/>
    </font>
    <font>
      <sz val="10"/>
      <color rgb="FF9C5700"/>
      <name val="Arial"/>
      <family val="2"/>
    </font>
    <font>
      <sz val="10"/>
      <color rgb="FF3F3F76"/>
      <name val="Arial"/>
      <family val="2"/>
    </font>
    <font>
      <b/>
      <sz val="10"/>
      <color rgb="FF3F3F3F"/>
      <name val="Arial"/>
      <family val="2"/>
    </font>
    <font>
      <b/>
      <sz val="10"/>
      <color rgb="FFFA7D00"/>
      <name val="Arial"/>
      <family val="2"/>
    </font>
    <font>
      <sz val="10"/>
      <color rgb="FFFA7D00"/>
      <name val="Arial"/>
      <family val="2"/>
    </font>
    <font>
      <b/>
      <sz val="10"/>
      <color theme="0"/>
      <name val="Arial"/>
      <family val="2"/>
    </font>
    <font>
      <sz val="10"/>
      <color rgb="FFFF0000"/>
      <name val="Arial"/>
      <family val="2"/>
    </font>
    <font>
      <i/>
      <sz val="10"/>
      <color rgb="FF7F7F7F"/>
      <name val="Arial"/>
      <family val="2"/>
    </font>
    <font>
      <sz val="10"/>
      <color theme="0"/>
      <name val="Arial"/>
      <family val="2"/>
    </font>
  </fonts>
  <fills count="3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11" fontId="11" fillId="0" borderId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4" applyNumberFormat="0" applyFill="0" applyAlignment="0" applyProtection="0"/>
    <xf numFmtId="0" fontId="15" fillId="0" borderId="5" applyNumberFormat="0" applyFill="0" applyAlignment="0" applyProtection="0"/>
    <xf numFmtId="0" fontId="16" fillId="0" borderId="6" applyNumberFormat="0" applyFill="0" applyAlignment="0" applyProtection="0"/>
    <xf numFmtId="0" fontId="16" fillId="0" borderId="0" applyNumberFormat="0" applyFill="0" applyBorder="0" applyAlignment="0" applyProtection="0"/>
    <xf numFmtId="0" fontId="17" fillId="4" borderId="0" applyNumberFormat="0" applyBorder="0" applyAlignment="0" applyProtection="0"/>
    <xf numFmtId="0" fontId="18" fillId="5" borderId="0" applyNumberFormat="0" applyBorder="0" applyAlignment="0" applyProtection="0"/>
    <xf numFmtId="0" fontId="19" fillId="6" borderId="0" applyNumberFormat="0" applyBorder="0" applyAlignment="0" applyProtection="0"/>
    <xf numFmtId="0" fontId="20" fillId="7" borderId="7" applyNumberFormat="0" applyAlignment="0" applyProtection="0"/>
    <xf numFmtId="0" fontId="21" fillId="8" borderId="8" applyNumberFormat="0" applyAlignment="0" applyProtection="0"/>
    <xf numFmtId="0" fontId="22" fillId="8" borderId="7" applyNumberFormat="0" applyAlignment="0" applyProtection="0"/>
    <xf numFmtId="0" fontId="23" fillId="0" borderId="9" applyNumberFormat="0" applyFill="0" applyAlignment="0" applyProtection="0"/>
    <xf numFmtId="0" fontId="24" fillId="9" borderId="10" applyNumberFormat="0" applyAlignment="0" applyProtection="0"/>
    <xf numFmtId="0" fontId="25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9" fillId="0" borderId="12" applyNumberFormat="0" applyFill="0" applyAlignment="0" applyProtection="0"/>
    <xf numFmtId="0" fontId="27" fillId="11" borderId="0" applyNumberFormat="0" applyBorder="0" applyAlignment="0" applyProtection="0"/>
    <xf numFmtId="0" fontId="5" fillId="12" borderId="0" applyNumberFormat="0" applyBorder="0" applyAlignment="0" applyProtection="0"/>
    <xf numFmtId="0" fontId="5" fillId="13" borderId="0" applyNumberFormat="0" applyBorder="0" applyAlignment="0" applyProtection="0"/>
    <xf numFmtId="0" fontId="5" fillId="14" borderId="0" applyNumberFormat="0" applyBorder="0" applyAlignment="0" applyProtection="0"/>
    <xf numFmtId="0" fontId="27" fillId="15" borderId="0" applyNumberFormat="0" applyBorder="0" applyAlignment="0" applyProtection="0"/>
    <xf numFmtId="0" fontId="5" fillId="16" borderId="0" applyNumberFormat="0" applyBorder="0" applyAlignment="0" applyProtection="0"/>
    <xf numFmtId="0" fontId="5" fillId="17" borderId="0" applyNumberFormat="0" applyBorder="0" applyAlignment="0" applyProtection="0"/>
    <xf numFmtId="0" fontId="5" fillId="18" borderId="0" applyNumberFormat="0" applyBorder="0" applyAlignment="0" applyProtection="0"/>
    <xf numFmtId="0" fontId="27" fillId="19" borderId="0" applyNumberFormat="0" applyBorder="0" applyAlignment="0" applyProtection="0"/>
    <xf numFmtId="0" fontId="5" fillId="20" borderId="0" applyNumberFormat="0" applyBorder="0" applyAlignment="0" applyProtection="0"/>
    <xf numFmtId="0" fontId="5" fillId="21" borderId="0" applyNumberFormat="0" applyBorder="0" applyAlignment="0" applyProtection="0"/>
    <xf numFmtId="0" fontId="5" fillId="22" borderId="0" applyNumberFormat="0" applyBorder="0" applyAlignment="0" applyProtection="0"/>
    <xf numFmtId="0" fontId="27" fillId="23" borderId="0" applyNumberFormat="0" applyBorder="0" applyAlignment="0" applyProtection="0"/>
    <xf numFmtId="0" fontId="5" fillId="24" borderId="0" applyNumberFormat="0" applyBorder="0" applyAlignment="0" applyProtection="0"/>
    <xf numFmtId="0" fontId="5" fillId="25" borderId="0" applyNumberFormat="0" applyBorder="0" applyAlignment="0" applyProtection="0"/>
    <xf numFmtId="0" fontId="5" fillId="26" borderId="0" applyNumberFormat="0" applyBorder="0" applyAlignment="0" applyProtection="0"/>
    <xf numFmtId="0" fontId="27" fillId="27" borderId="0" applyNumberFormat="0" applyBorder="0" applyAlignment="0" applyProtection="0"/>
    <xf numFmtId="0" fontId="5" fillId="28" borderId="0" applyNumberFormat="0" applyBorder="0" applyAlignment="0" applyProtection="0"/>
    <xf numFmtId="0" fontId="5" fillId="29" borderId="0" applyNumberFormat="0" applyBorder="0" applyAlignment="0" applyProtection="0"/>
    <xf numFmtId="0" fontId="5" fillId="30" borderId="0" applyNumberFormat="0" applyBorder="0" applyAlignment="0" applyProtection="0"/>
    <xf numFmtId="0" fontId="27" fillId="31" borderId="0" applyNumberFormat="0" applyBorder="0" applyAlignment="0" applyProtection="0"/>
    <xf numFmtId="0" fontId="5" fillId="32" borderId="0" applyNumberFormat="0" applyBorder="0" applyAlignment="0" applyProtection="0"/>
    <xf numFmtId="0" fontId="5" fillId="33" borderId="0" applyNumberFormat="0" applyBorder="0" applyAlignment="0" applyProtection="0"/>
    <xf numFmtId="0" fontId="5" fillId="34" borderId="0" applyNumberFormat="0" applyBorder="0" applyAlignment="0" applyProtection="0"/>
    <xf numFmtId="0" fontId="5" fillId="0" borderId="0"/>
    <xf numFmtId="0" fontId="5" fillId="10" borderId="11" applyNumberFormat="0" applyFont="0" applyAlignment="0" applyProtection="0"/>
  </cellStyleXfs>
  <cellXfs count="39">
    <xf numFmtId="0" fontId="0" fillId="0" borderId="0" xfId="0"/>
    <xf numFmtId="11" fontId="11" fillId="0" borderId="0" xfId="1"/>
    <xf numFmtId="0" fontId="9" fillId="0" borderId="0" xfId="0" applyFont="1"/>
    <xf numFmtId="0" fontId="8" fillId="0" borderId="0" xfId="0" applyFont="1"/>
    <xf numFmtId="0" fontId="10" fillId="0" borderId="0" xfId="0" applyFont="1"/>
    <xf numFmtId="0" fontId="9" fillId="2" borderId="1" xfId="0" applyFont="1" applyFill="1" applyBorder="1" applyAlignment="1">
      <alignment horizontal="center"/>
    </xf>
    <xf numFmtId="0" fontId="9" fillId="2" borderId="2" xfId="0" applyFont="1" applyFill="1" applyBorder="1"/>
    <xf numFmtId="0" fontId="9" fillId="2" borderId="3" xfId="0" applyFont="1" applyFill="1" applyBorder="1"/>
    <xf numFmtId="0" fontId="8" fillId="0" borderId="0" xfId="0" applyFont="1" applyAlignment="1">
      <alignment horizontal="center"/>
    </xf>
    <xf numFmtId="2" fontId="8" fillId="0" borderId="0" xfId="0" applyNumberFormat="1" applyFont="1"/>
    <xf numFmtId="164" fontId="8" fillId="0" borderId="0" xfId="0" applyNumberFormat="1" applyFont="1"/>
    <xf numFmtId="0" fontId="8" fillId="0" borderId="0" xfId="0" applyFont="1" applyAlignment="1">
      <alignment horizontal="right"/>
    </xf>
    <xf numFmtId="4" fontId="8" fillId="0" borderId="0" xfId="0" applyNumberFormat="1" applyFont="1"/>
    <xf numFmtId="0" fontId="8" fillId="0" borderId="0" xfId="0" quotePrefix="1" applyFont="1"/>
    <xf numFmtId="0" fontId="9" fillId="3" borderId="0" xfId="0" applyFont="1" applyFill="1" applyAlignment="1">
      <alignment horizontal="center"/>
    </xf>
    <xf numFmtId="0" fontId="9" fillId="3" borderId="0" xfId="0" applyFont="1" applyFill="1"/>
    <xf numFmtId="0" fontId="9" fillId="3" borderId="0" xfId="0" applyFont="1" applyFill="1" applyAlignment="1">
      <alignment horizontal="right"/>
    </xf>
    <xf numFmtId="165" fontId="8" fillId="0" borderId="0" xfId="0" applyNumberFormat="1" applyFont="1"/>
    <xf numFmtId="3" fontId="8" fillId="0" borderId="0" xfId="0" applyNumberFormat="1" applyFont="1"/>
    <xf numFmtId="0" fontId="10" fillId="0" borderId="0" xfId="0" applyFont="1" applyAlignment="1">
      <alignment horizontal="center"/>
    </xf>
    <xf numFmtId="165" fontId="10" fillId="0" borderId="0" xfId="0" applyNumberFormat="1" applyFont="1"/>
    <xf numFmtId="164" fontId="10" fillId="0" borderId="0" xfId="0" applyNumberFormat="1" applyFont="1"/>
    <xf numFmtId="0" fontId="10" fillId="0" borderId="0" xfId="0" applyFont="1" applyAlignment="1">
      <alignment horizontal="right"/>
    </xf>
    <xf numFmtId="0" fontId="9" fillId="3" borderId="1" xfId="0" applyFont="1" applyFill="1" applyBorder="1" applyAlignment="1">
      <alignment horizontal="center"/>
    </xf>
    <xf numFmtId="0" fontId="9" fillId="3" borderId="2" xfId="0" applyFont="1" applyFill="1" applyBorder="1"/>
    <xf numFmtId="0" fontId="9" fillId="3" borderId="2" xfId="0" applyFont="1" applyFill="1" applyBorder="1" applyAlignment="1">
      <alignment horizontal="right"/>
    </xf>
    <xf numFmtId="0" fontId="9" fillId="3" borderId="3" xfId="0" applyFont="1" applyFill="1" applyBorder="1"/>
    <xf numFmtId="0" fontId="12" fillId="0" borderId="0" xfId="0" applyFont="1"/>
    <xf numFmtId="0" fontId="7" fillId="0" borderId="0" xfId="0" applyFont="1" applyAlignment="1">
      <alignment horizontal="right"/>
    </xf>
    <xf numFmtId="0" fontId="6" fillId="0" borderId="0" xfId="0" applyFont="1" applyAlignment="1">
      <alignment horizontal="right"/>
    </xf>
    <xf numFmtId="0" fontId="4" fillId="0" borderId="0" xfId="0" applyFont="1"/>
    <xf numFmtId="0" fontId="4" fillId="0" borderId="0" xfId="0" applyFont="1" applyAlignment="1">
      <alignment horizontal="right"/>
    </xf>
    <xf numFmtId="0" fontId="3" fillId="0" borderId="0" xfId="0" applyFont="1"/>
    <xf numFmtId="0" fontId="3" fillId="0" borderId="0" xfId="42" applyFont="1" applyAlignment="1">
      <alignment horizontal="center"/>
    </xf>
    <xf numFmtId="0" fontId="3" fillId="0" borderId="0" xfId="42" applyFont="1"/>
    <xf numFmtId="0" fontId="3" fillId="0" borderId="0" xfId="0" applyFont="1" applyAlignment="1">
      <alignment horizontal="right"/>
    </xf>
    <xf numFmtId="0" fontId="2" fillId="0" borderId="0" xfId="0" applyFont="1"/>
    <xf numFmtId="0" fontId="2" fillId="0" borderId="0" xfId="0" applyFont="1" applyAlignment="1">
      <alignment horizontal="center"/>
    </xf>
    <xf numFmtId="0" fontId="1" fillId="0" borderId="0" xfId="0" applyFont="1" applyAlignment="1">
      <alignment horizontal="right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6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1" builtinId="8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2" xr:uid="{0FE82D12-D9C6-4EB1-A65F-46F8B81518C0}"/>
    <cellStyle name="Note 2" xfId="43" xr:uid="{6A491596-45EF-4685-85E8-A8406587B9E1}"/>
    <cellStyle name="Output" xfId="11" builtinId="21" customBuiltin="1"/>
    <cellStyle name="Title" xfId="2" builtinId="15" customBuiltin="1"/>
    <cellStyle name="Total" xfId="17" builtinId="25" customBuiltin="1"/>
    <cellStyle name="Warning Text" xfId="15" builtinId="11" customBuiltin="1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4.xml"/><Relationship Id="rId18" Type="http://schemas.openxmlformats.org/officeDocument/2006/relationships/externalLink" Target="externalLinks/externalLink9.xml"/><Relationship Id="rId26" Type="http://schemas.openxmlformats.org/officeDocument/2006/relationships/externalLink" Target="externalLinks/externalLink17.xml"/><Relationship Id="rId39" Type="http://schemas.openxmlformats.org/officeDocument/2006/relationships/externalLink" Target="externalLinks/externalLink30.xml"/><Relationship Id="rId21" Type="http://schemas.openxmlformats.org/officeDocument/2006/relationships/externalLink" Target="externalLinks/externalLink12.xml"/><Relationship Id="rId34" Type="http://schemas.openxmlformats.org/officeDocument/2006/relationships/externalLink" Target="externalLinks/externalLink25.xml"/><Relationship Id="rId42" Type="http://schemas.openxmlformats.org/officeDocument/2006/relationships/externalLink" Target="externalLinks/externalLink33.xml"/><Relationship Id="rId47" Type="http://schemas.openxmlformats.org/officeDocument/2006/relationships/externalLink" Target="externalLinks/externalLink38.xml"/><Relationship Id="rId50" Type="http://schemas.openxmlformats.org/officeDocument/2006/relationships/externalLink" Target="externalLinks/externalLink4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7.xml"/><Relationship Id="rId29" Type="http://schemas.openxmlformats.org/officeDocument/2006/relationships/externalLink" Target="externalLinks/externalLink20.xml"/><Relationship Id="rId11" Type="http://schemas.openxmlformats.org/officeDocument/2006/relationships/externalLink" Target="externalLinks/externalLink2.xml"/><Relationship Id="rId24" Type="http://schemas.openxmlformats.org/officeDocument/2006/relationships/externalLink" Target="externalLinks/externalLink15.xml"/><Relationship Id="rId32" Type="http://schemas.openxmlformats.org/officeDocument/2006/relationships/externalLink" Target="externalLinks/externalLink23.xml"/><Relationship Id="rId37" Type="http://schemas.openxmlformats.org/officeDocument/2006/relationships/externalLink" Target="externalLinks/externalLink28.xml"/><Relationship Id="rId40" Type="http://schemas.openxmlformats.org/officeDocument/2006/relationships/externalLink" Target="externalLinks/externalLink31.xml"/><Relationship Id="rId45" Type="http://schemas.openxmlformats.org/officeDocument/2006/relationships/externalLink" Target="externalLinks/externalLink36.xml"/><Relationship Id="rId53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19" Type="http://schemas.openxmlformats.org/officeDocument/2006/relationships/externalLink" Target="externalLinks/externalLink10.xml"/><Relationship Id="rId31" Type="http://schemas.openxmlformats.org/officeDocument/2006/relationships/externalLink" Target="externalLinks/externalLink22.xml"/><Relationship Id="rId44" Type="http://schemas.openxmlformats.org/officeDocument/2006/relationships/externalLink" Target="externalLinks/externalLink35.xml"/><Relationship Id="rId52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5.xml"/><Relationship Id="rId22" Type="http://schemas.openxmlformats.org/officeDocument/2006/relationships/externalLink" Target="externalLinks/externalLink13.xml"/><Relationship Id="rId27" Type="http://schemas.openxmlformats.org/officeDocument/2006/relationships/externalLink" Target="externalLinks/externalLink18.xml"/><Relationship Id="rId30" Type="http://schemas.openxmlformats.org/officeDocument/2006/relationships/externalLink" Target="externalLinks/externalLink21.xml"/><Relationship Id="rId35" Type="http://schemas.openxmlformats.org/officeDocument/2006/relationships/externalLink" Target="externalLinks/externalLink26.xml"/><Relationship Id="rId43" Type="http://schemas.openxmlformats.org/officeDocument/2006/relationships/externalLink" Target="externalLinks/externalLink34.xml"/><Relationship Id="rId48" Type="http://schemas.openxmlformats.org/officeDocument/2006/relationships/externalLink" Target="externalLinks/externalLink39.xml"/><Relationship Id="rId8" Type="http://schemas.openxmlformats.org/officeDocument/2006/relationships/worksheet" Target="worksheets/sheet8.xml"/><Relationship Id="rId51" Type="http://schemas.openxmlformats.org/officeDocument/2006/relationships/theme" Target="theme/theme1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3.xml"/><Relationship Id="rId17" Type="http://schemas.openxmlformats.org/officeDocument/2006/relationships/externalLink" Target="externalLinks/externalLink8.xml"/><Relationship Id="rId25" Type="http://schemas.openxmlformats.org/officeDocument/2006/relationships/externalLink" Target="externalLinks/externalLink16.xml"/><Relationship Id="rId33" Type="http://schemas.openxmlformats.org/officeDocument/2006/relationships/externalLink" Target="externalLinks/externalLink24.xml"/><Relationship Id="rId38" Type="http://schemas.openxmlformats.org/officeDocument/2006/relationships/externalLink" Target="externalLinks/externalLink29.xml"/><Relationship Id="rId46" Type="http://schemas.openxmlformats.org/officeDocument/2006/relationships/externalLink" Target="externalLinks/externalLink37.xml"/><Relationship Id="rId20" Type="http://schemas.openxmlformats.org/officeDocument/2006/relationships/externalLink" Target="externalLinks/externalLink11.xml"/><Relationship Id="rId41" Type="http://schemas.openxmlformats.org/officeDocument/2006/relationships/externalLink" Target="externalLinks/externalLink32.xml"/><Relationship Id="rId54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6.xml"/><Relationship Id="rId23" Type="http://schemas.openxmlformats.org/officeDocument/2006/relationships/externalLink" Target="externalLinks/externalLink14.xml"/><Relationship Id="rId28" Type="http://schemas.openxmlformats.org/officeDocument/2006/relationships/externalLink" Target="externalLinks/externalLink19.xml"/><Relationship Id="rId36" Type="http://schemas.openxmlformats.org/officeDocument/2006/relationships/externalLink" Target="externalLinks/externalLink27.xml"/><Relationship Id="rId49" Type="http://schemas.openxmlformats.org/officeDocument/2006/relationships/externalLink" Target="externalLinks/externalLink40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SLA.xlsx" TargetMode="External"/><Relationship Id="rId2" Type="http://schemas.openxmlformats.org/officeDocument/2006/relationships/externalLinkPath" Target="file:///E:\1.Finance\Anaylsen\Models\TSLA.xlsx" TargetMode="External"/><Relationship Id="rId1" Type="http://schemas.openxmlformats.org/officeDocument/2006/relationships/externalLinkPath" Target="/1.Finance/Anaylsen/Models/TSLA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M.xlsx" TargetMode="External"/><Relationship Id="rId2" Type="http://schemas.openxmlformats.org/officeDocument/2006/relationships/externalLinkPath" Target="file:///E:\1.Finance\Anaylsen\Models\TM.xlsx" TargetMode="External"/><Relationship Id="rId1" Type="http://schemas.openxmlformats.org/officeDocument/2006/relationships/externalLinkPath" Target="/1.Finance/Anaylsen/Models/TM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002594.SZ.xlsx" TargetMode="External"/><Relationship Id="rId2" Type="http://schemas.openxmlformats.org/officeDocument/2006/relationships/externalLinkPath" Target="file:///E:\1.Finance\Anaylsen\Models\002594.SZ.xlsx" TargetMode="External"/><Relationship Id="rId1" Type="http://schemas.openxmlformats.org/officeDocument/2006/relationships/externalLinkPath" Target="/1.Finance/Anaylsen/Models/002594.SZ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ACE.xlsx" TargetMode="External"/><Relationship Id="rId2" Type="http://schemas.openxmlformats.org/officeDocument/2006/relationships/externalLinkPath" Target="file:///E:\1.Finance\Anaylsen\Models\RACE.xlsx" TargetMode="External"/><Relationship Id="rId1" Type="http://schemas.openxmlformats.org/officeDocument/2006/relationships/externalLinkPath" Target="/1.Finance/Anaylsen/Models/RACE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OW3.DE.xlsx" TargetMode="External"/><Relationship Id="rId2" Type="http://schemas.openxmlformats.org/officeDocument/2006/relationships/externalLinkPath" Target="file:///E:\1.Finance\Anaylsen\Models\VOW3.DE.xlsx" TargetMode="External"/><Relationship Id="rId1" Type="http://schemas.openxmlformats.org/officeDocument/2006/relationships/externalLinkPath" Target="/1.Finance/Anaylsen/Models/VOW3.DE.xlsx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M.xlsx" TargetMode="External"/><Relationship Id="rId2" Type="http://schemas.openxmlformats.org/officeDocument/2006/relationships/externalLinkPath" Target="file:///E:\1.Finance\Anaylsen\Models\GM.xlsx" TargetMode="External"/><Relationship Id="rId1" Type="http://schemas.openxmlformats.org/officeDocument/2006/relationships/externalLinkPath" Target="/1.Finance/Anaylsen/Models/GM.xlsx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.xlsx" TargetMode="External"/><Relationship Id="rId2" Type="http://schemas.openxmlformats.org/officeDocument/2006/relationships/externalLinkPath" Target="file:///E:\1.Finance\Anaylsen\Models\F.xlsx" TargetMode="External"/><Relationship Id="rId1" Type="http://schemas.openxmlformats.org/officeDocument/2006/relationships/externalLinkPath" Target="/1.Finance/Anaylsen/Models/F.xlsx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ML.L.xlsx" TargetMode="External"/><Relationship Id="rId2" Type="http://schemas.openxmlformats.org/officeDocument/2006/relationships/externalLinkPath" Target="file:///E:\1.Finance\Anaylsen\Models\AML.L.xlsx" TargetMode="External"/><Relationship Id="rId1" Type="http://schemas.openxmlformats.org/officeDocument/2006/relationships/externalLinkPath" Target="/1.Finance/Anaylsen/Models/AML.L.xlsx" TargetMode="External"/></Relationships>
</file>

<file path=xl/externalLinks/_rels/externalLink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SM.xlsx" TargetMode="External"/><Relationship Id="rId2" Type="http://schemas.openxmlformats.org/officeDocument/2006/relationships/externalLinkPath" Target="file:///E:\1.Finance\Anaylsen\Models\TSM.xlsx" TargetMode="External"/><Relationship Id="rId1" Type="http://schemas.openxmlformats.org/officeDocument/2006/relationships/externalLinkPath" Target="/1.Finance/Anaylsen/Models/TSM.xlsx" TargetMode="External"/></Relationships>
</file>

<file path=xl/externalLinks/_rels/externalLink1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005930.KS.xlsx" TargetMode="External"/><Relationship Id="rId2" Type="http://schemas.openxmlformats.org/officeDocument/2006/relationships/externalLinkPath" Target="file:///E:\1.Finance\Anaylsen\Models\005930.KS.xlsx" TargetMode="External"/><Relationship Id="rId1" Type="http://schemas.openxmlformats.org/officeDocument/2006/relationships/externalLinkPath" Target="/1.Finance/Anaylsen/Models/005930.KS.xlsx" TargetMode="External"/></Relationships>
</file>

<file path=xl/externalLinks/_rels/externalLink1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AT.xlsx" TargetMode="External"/><Relationship Id="rId2" Type="http://schemas.openxmlformats.org/officeDocument/2006/relationships/externalLinkPath" Target="file:///E:\1.Finance\Anaylsen\Models\CAT.xlsx" TargetMode="External"/><Relationship Id="rId1" Type="http://schemas.openxmlformats.org/officeDocument/2006/relationships/externalLinkPath" Target="/1.Finance/Anaylsen/Models/CAT.xlsx" TargetMode="External"/></Relationships>
</file>

<file path=xl/externalLinks/_rels/externalLink1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1810.HK.xlsx" TargetMode="External"/><Relationship Id="rId2" Type="http://schemas.openxmlformats.org/officeDocument/2006/relationships/externalLinkPath" Target="file:///E:\1.Finance\Anaylsen\Models\1810.HK.xlsx" TargetMode="External"/><Relationship Id="rId1" Type="http://schemas.openxmlformats.org/officeDocument/2006/relationships/externalLinkPath" Target="/1.Finance/Anaylsen/Models/1810.HK.xlsx" TargetMode="External"/></Relationships>
</file>

<file path=xl/externalLinks/_rels/externalLink1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E.xlsx" TargetMode="External"/><Relationship Id="rId2" Type="http://schemas.openxmlformats.org/officeDocument/2006/relationships/externalLinkPath" Target="file:///E:\1.Finance\Anaylsen\Models\DE.xlsx" TargetMode="External"/><Relationship Id="rId1" Type="http://schemas.openxmlformats.org/officeDocument/2006/relationships/externalLinkPath" Target="/1.Finance/Anaylsen/Models/DE.xlsx" TargetMode="External"/></Relationships>
</file>

<file path=xl/externalLinks/_rels/externalLink1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A.xlsx" TargetMode="External"/><Relationship Id="rId2" Type="http://schemas.openxmlformats.org/officeDocument/2006/relationships/externalLinkPath" Target="file:///E:\1.Finance\Anaylsen\Models\BA.xlsx" TargetMode="External"/><Relationship Id="rId1" Type="http://schemas.openxmlformats.org/officeDocument/2006/relationships/externalLinkPath" Target="/1.Finance/Anaylsen/Models/BA.xlsx" TargetMode="External"/></Relationships>
</file>

<file path=xl/externalLinks/_rels/externalLink1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MT.xlsx" TargetMode="External"/><Relationship Id="rId2" Type="http://schemas.openxmlformats.org/officeDocument/2006/relationships/externalLinkPath" Target="file:///E:\1.Finance\Anaylsen\Models\LMT.xlsx" TargetMode="External"/><Relationship Id="rId1" Type="http://schemas.openxmlformats.org/officeDocument/2006/relationships/externalLinkPath" Target="/1.Finance/Anaylsen/Models/LMT.xlsx" TargetMode="External"/></Relationships>
</file>

<file path=xl/externalLinks/_rels/externalLink1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DI.xlsx" TargetMode="External"/><Relationship Id="rId2" Type="http://schemas.openxmlformats.org/officeDocument/2006/relationships/externalLinkPath" Target="file:///E:\1.Finance\Anaylsen\Models\ADI.xlsx" TargetMode="External"/><Relationship Id="rId1" Type="http://schemas.openxmlformats.org/officeDocument/2006/relationships/externalLinkPath" Target="/1.Finance/Anaylsen/Models/ADI.xlsx" TargetMode="External"/></Relationships>
</file>

<file path=xl/externalLinks/_rels/externalLink1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NTC.xlsx" TargetMode="External"/><Relationship Id="rId2" Type="http://schemas.openxmlformats.org/officeDocument/2006/relationships/externalLinkPath" Target="file:///E:\1.Finance\Anaylsen\Models\INTC.xlsx" TargetMode="External"/><Relationship Id="rId1" Type="http://schemas.openxmlformats.org/officeDocument/2006/relationships/externalLinkPath" Target="/1.Finance/Anaylsen/Models/INTC.xlsx" TargetMode="External"/></Relationships>
</file>

<file path=xl/externalLinks/_rels/externalLink1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JBL.xlsx" TargetMode="External"/><Relationship Id="rId2" Type="http://schemas.openxmlformats.org/officeDocument/2006/relationships/externalLinkPath" Target="file:///E:\1.Finance\Anaylsen\Models\JBL.xlsx" TargetMode="External"/><Relationship Id="rId1" Type="http://schemas.openxmlformats.org/officeDocument/2006/relationships/externalLinkPath" Target="/1.Finance/Anaylsen/Models/JBL.xlsx" TargetMode="External"/></Relationships>
</file>

<file path=xl/externalLinks/_rels/externalLink1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BER.xlsx" TargetMode="External"/><Relationship Id="rId2" Type="http://schemas.openxmlformats.org/officeDocument/2006/relationships/externalLinkPath" Target="file:///E:\1.Finance\Anaylsen\Models\UBER.xlsx" TargetMode="External"/><Relationship Id="rId1" Type="http://schemas.openxmlformats.org/officeDocument/2006/relationships/externalLinkPath" Target="/1.Finance/Anaylsen/Models/UBER.xlsx" TargetMode="External"/></Relationships>
</file>

<file path=xl/externalLinks/_rels/externalLink2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NP.xlsx" TargetMode="External"/><Relationship Id="rId2" Type="http://schemas.openxmlformats.org/officeDocument/2006/relationships/externalLinkPath" Target="file:///E:\1.Finance\Anaylsen\Models\UNP.xlsx" TargetMode="External"/><Relationship Id="rId1" Type="http://schemas.openxmlformats.org/officeDocument/2006/relationships/externalLinkPath" Target="/1.Finance/Anaylsen/Models/UNP.xlsx" TargetMode="External"/></Relationships>
</file>

<file path=xl/externalLinks/_rels/externalLink2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PS.xlsx" TargetMode="External"/><Relationship Id="rId2" Type="http://schemas.openxmlformats.org/officeDocument/2006/relationships/externalLinkPath" Target="file:///E:\1.Finance\Anaylsen\Models\UPS.xlsx" TargetMode="External"/><Relationship Id="rId1" Type="http://schemas.openxmlformats.org/officeDocument/2006/relationships/externalLinkPath" Target="/1.Finance/Anaylsen/Models/UPS.xlsx" TargetMode="External"/></Relationships>
</file>

<file path=xl/externalLinks/_rels/externalLink2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P.xlsx" TargetMode="External"/><Relationship Id="rId2" Type="http://schemas.openxmlformats.org/officeDocument/2006/relationships/externalLinkPath" Target="file:///E:\1.Finance\Anaylsen\Models\CP.xlsx" TargetMode="External"/><Relationship Id="rId1" Type="http://schemas.openxmlformats.org/officeDocument/2006/relationships/externalLinkPath" Target="/1.Finance/Anaylsen/Models/CP.xlsx" TargetMode="External"/></Relationships>
</file>

<file path=xl/externalLinks/_rels/externalLink2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NI.xlsx" TargetMode="External"/><Relationship Id="rId2" Type="http://schemas.openxmlformats.org/officeDocument/2006/relationships/externalLinkPath" Target="file:///E:\1.Finance\Anaylsen\Models\CNI.xlsx" TargetMode="External"/><Relationship Id="rId1" Type="http://schemas.openxmlformats.org/officeDocument/2006/relationships/externalLinkPath" Target="/1.Finance/Anaylsen/Models/CNI.xlsx" TargetMode="External"/></Relationships>
</file>

<file path=xl/externalLinks/_rels/externalLink2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ODFL.xlsx" TargetMode="External"/><Relationship Id="rId2" Type="http://schemas.openxmlformats.org/officeDocument/2006/relationships/externalLinkPath" Target="file:///E:\1.Finance\Anaylsen\Models\ODFL.xlsx" TargetMode="External"/><Relationship Id="rId1" Type="http://schemas.openxmlformats.org/officeDocument/2006/relationships/externalLinkPath" Target="/1.Finance/Anaylsen/Models/ODFL.xlsx" TargetMode="External"/></Relationships>
</file>

<file path=xl/externalLinks/_rels/externalLink2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AL.xlsx" TargetMode="External"/><Relationship Id="rId2" Type="http://schemas.openxmlformats.org/officeDocument/2006/relationships/externalLinkPath" Target="file:///E:\1.Finance\Anaylsen\Models\DAL.xlsx" TargetMode="External"/><Relationship Id="rId1" Type="http://schemas.openxmlformats.org/officeDocument/2006/relationships/externalLinkPath" Target="/1.Finance/Anaylsen/Models/DAL.xlsx" TargetMode="External"/></Relationships>
</file>

<file path=xl/externalLinks/_rels/externalLink2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020.T.xlsx" TargetMode="External"/><Relationship Id="rId2" Type="http://schemas.openxmlformats.org/officeDocument/2006/relationships/externalLinkPath" Target="file:///E:\1.Finance\Anaylsen\Models\9020.T.xlsx" TargetMode="External"/><Relationship Id="rId1" Type="http://schemas.openxmlformats.org/officeDocument/2006/relationships/externalLinkPath" Target="/1.Finance/Anaylsen/Models/9020.T.xlsx" TargetMode="External"/></Relationships>
</file>

<file path=xl/externalLinks/_rels/externalLink2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XPD.xlsx" TargetMode="External"/><Relationship Id="rId2" Type="http://schemas.openxmlformats.org/officeDocument/2006/relationships/externalLinkPath" Target="file:///E:\1.Finance\Anaylsen\Models\EXPD.xlsx" TargetMode="External"/><Relationship Id="rId1" Type="http://schemas.openxmlformats.org/officeDocument/2006/relationships/externalLinkPath" Target="/1.Finance/Anaylsen/Models/EXPD.xlsx" TargetMode="External"/></Relationships>
</file>

<file path=xl/externalLinks/_rels/externalLink2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.xlsx" TargetMode="External"/><Relationship Id="rId2" Type="http://schemas.openxmlformats.org/officeDocument/2006/relationships/externalLinkPath" Target="file:///E:\1.Finance\Anaylsen\Models\R.xlsx" TargetMode="External"/><Relationship Id="rId1" Type="http://schemas.openxmlformats.org/officeDocument/2006/relationships/externalLinkPath" Target="/1.Finance/Anaylsen/Models/R.xlsx" TargetMode="External"/></Relationships>
</file>

<file path=xl/externalLinks/_rels/externalLink2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TX.xlsx" TargetMode="External"/><Relationship Id="rId2" Type="http://schemas.openxmlformats.org/officeDocument/2006/relationships/externalLinkPath" Target="file:///E:\1.Finance\Anaylsen\Models\RTX.xlsx" TargetMode="External"/><Relationship Id="rId1" Type="http://schemas.openxmlformats.org/officeDocument/2006/relationships/externalLinkPath" Target="/1.Finance/Anaylsen/Models/RTX.xlsx" TargetMode="External"/></Relationships>
</file>

<file path=xl/externalLinks/_rels/externalLink3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ON.xlsx" TargetMode="External"/><Relationship Id="rId2" Type="http://schemas.openxmlformats.org/officeDocument/2006/relationships/externalLinkPath" Target="file:///E:\1.Finance\Anaylsen\Models\HON.xlsx" TargetMode="External"/><Relationship Id="rId1" Type="http://schemas.openxmlformats.org/officeDocument/2006/relationships/externalLinkPath" Target="/1.Finance/Anaylsen/Models/HON.xlsx" TargetMode="External"/></Relationships>
</file>

<file path=xl/externalLinks/_rels/externalLink3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D.xlsx" TargetMode="External"/><Relationship Id="rId2" Type="http://schemas.openxmlformats.org/officeDocument/2006/relationships/externalLinkPath" Target="file:///E:\1.Finance\Anaylsen\Models\GD.xlsx" TargetMode="External"/><Relationship Id="rId1" Type="http://schemas.openxmlformats.org/officeDocument/2006/relationships/externalLinkPath" Target="/1.Finance/Anaylsen/Models/GD.xlsx" TargetMode="External"/></Relationships>
</file>

<file path=xl/externalLinks/_rels/externalLink3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OC.xlsx" TargetMode="External"/><Relationship Id="rId2" Type="http://schemas.openxmlformats.org/officeDocument/2006/relationships/externalLinkPath" Target="file:///E:\1.Finance\Anaylsen\Models\NOC.xlsx" TargetMode="External"/><Relationship Id="rId1" Type="http://schemas.openxmlformats.org/officeDocument/2006/relationships/externalLinkPath" Target="/1.Finance/Anaylsen/Models/NOC.xlsx" TargetMode="External"/></Relationships>
</file>

<file path=xl/externalLinks/_rels/externalLink3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HX.xlsx" TargetMode="External"/><Relationship Id="rId2" Type="http://schemas.openxmlformats.org/officeDocument/2006/relationships/externalLinkPath" Target="file:///E:\1.Finance\Anaylsen\Models\LHX.xlsx" TargetMode="External"/><Relationship Id="rId1" Type="http://schemas.openxmlformats.org/officeDocument/2006/relationships/externalLinkPath" Target="/1.Finance/Anaylsen/Models/LHX.xlsx" TargetMode="External"/></Relationships>
</file>

<file path=xl/externalLinks/_rels/externalLink3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XON.xlsx" TargetMode="External"/><Relationship Id="rId2" Type="http://schemas.openxmlformats.org/officeDocument/2006/relationships/externalLinkPath" Target="file:///E:\1.Finance\Anaylsen\Models\AXON.xlsx" TargetMode="External"/><Relationship Id="rId1" Type="http://schemas.openxmlformats.org/officeDocument/2006/relationships/externalLinkPath" Target="/1.Finance/Anaylsen/Models/AXON.xlsx" TargetMode="External"/></Relationships>
</file>

<file path=xl/externalLinks/_rels/externalLink3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HM.F.xlsx" TargetMode="External"/><Relationship Id="rId2" Type="http://schemas.openxmlformats.org/officeDocument/2006/relationships/externalLinkPath" Target="file:///E:\1.Finance\Anaylsen\Models\RHM.F.xlsx" TargetMode="External"/><Relationship Id="rId1" Type="http://schemas.openxmlformats.org/officeDocument/2006/relationships/externalLinkPath" Target="/1.Finance/Anaylsen/Models/RHM.F.xlsx" TargetMode="External"/></Relationships>
</file>

<file path=xl/externalLinks/_rels/externalLink3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II.xlsx" TargetMode="External"/><Relationship Id="rId2" Type="http://schemas.openxmlformats.org/officeDocument/2006/relationships/externalLinkPath" Target="file:///E:\1.Finance\Anaylsen\Models\HII.xlsx" TargetMode="External"/><Relationship Id="rId1" Type="http://schemas.openxmlformats.org/officeDocument/2006/relationships/externalLinkPath" Target="/1.Finance/Anaylsen/Models/HII.xlsx" TargetMode="External"/></Relationships>
</file>

<file path=xl/externalLinks/_rels/externalLink3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OYG.xlsx" TargetMode="External"/><Relationship Id="rId2" Type="http://schemas.openxmlformats.org/officeDocument/2006/relationships/externalLinkPath" Target="file:///E:\1.Finance\Anaylsen\Models\VOYG.xlsx" TargetMode="External"/><Relationship Id="rId1" Type="http://schemas.openxmlformats.org/officeDocument/2006/relationships/externalLinkPath" Target="/1.Finance/Anaylsen/Models/VOYG.xlsx" TargetMode="External"/></Relationships>
</file>

<file path=xl/externalLinks/_rels/externalLink3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WBI.xlsx" TargetMode="External"/><Relationship Id="rId2" Type="http://schemas.openxmlformats.org/officeDocument/2006/relationships/externalLinkPath" Target="file:///E:\1.Finance\Anaylsen\Models\SWBI.xlsx" TargetMode="External"/><Relationship Id="rId1" Type="http://schemas.openxmlformats.org/officeDocument/2006/relationships/externalLinkPath" Target="/1.Finance/Anaylsen/Models/SWBI.xlsx" TargetMode="External"/></Relationships>
</file>

<file path=xl/externalLinks/_rels/externalLink3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EO.xlsx" TargetMode="External"/><Relationship Id="rId2" Type="http://schemas.openxmlformats.org/officeDocument/2006/relationships/externalLinkPath" Target="file:///E:\1.Finance\Anaylsen\Models\GEO.xlsx" TargetMode="External"/><Relationship Id="rId1" Type="http://schemas.openxmlformats.org/officeDocument/2006/relationships/externalLinkPath" Target="/1.Finance/Anaylsen/Models/GEO.xlsx" TargetMode="External"/></Relationships>
</file>

<file path=xl/externalLinks/_rels/externalLink4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XW.xlsx" TargetMode="External"/><Relationship Id="rId2" Type="http://schemas.openxmlformats.org/officeDocument/2006/relationships/externalLinkPath" Target="file:///E:\1.Finance\Anaylsen\Models\CXW.xlsx" TargetMode="External"/><Relationship Id="rId1" Type="http://schemas.openxmlformats.org/officeDocument/2006/relationships/externalLinkPath" Target="/1.Finance/Anaylsen/Models/CXW.xlsx" TargetMode="External"/></Relationships>
</file>

<file path=xl/externalLinks/_rels/externalLink4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HZN.SW.xlsx" TargetMode="External"/><Relationship Id="rId2" Type="http://schemas.openxmlformats.org/officeDocument/2006/relationships/externalLinkPath" Target="file:///E:\1.Finance\Anaylsen\Models\FHZN.SW.xlsx" TargetMode="External"/><Relationship Id="rId1" Type="http://schemas.openxmlformats.org/officeDocument/2006/relationships/externalLinkPath" Target="/1.Finance/Anaylsen/Models/FHZN.S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Manufacturing"/>
      <sheetName val="IP"/>
    </sheetNames>
    <sheetDataSet>
      <sheetData sheetId="0">
        <row r="2">
          <cell r="K2">
            <v>419.17</v>
          </cell>
        </row>
        <row r="4">
          <cell r="K4">
            <v>1351823.25</v>
          </cell>
        </row>
        <row r="5">
          <cell r="K5">
            <v>41647</v>
          </cell>
        </row>
        <row r="6">
          <cell r="K6">
            <v>7702</v>
          </cell>
        </row>
      </sheetData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J2">
            <v>2420</v>
          </cell>
        </row>
        <row r="4">
          <cell r="J4">
            <v>39482269.653200001</v>
          </cell>
        </row>
        <row r="5">
          <cell r="J5">
            <v>8285156</v>
          </cell>
        </row>
        <row r="6">
          <cell r="J6">
            <v>40126117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372</v>
          </cell>
        </row>
        <row r="4">
          <cell r="I4">
            <v>1082542.0357920001</v>
          </cell>
        </row>
        <row r="5">
          <cell r="I5">
            <v>0</v>
          </cell>
        </row>
        <row r="6">
          <cell r="I6">
            <v>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296.39999999999998</v>
          </cell>
        </row>
        <row r="4">
          <cell r="H4">
            <v>52796.249999999993</v>
          </cell>
        </row>
        <row r="5">
          <cell r="H5">
            <v>1545.796</v>
          </cell>
        </row>
        <row r="6">
          <cell r="H6">
            <v>2884.22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101.45</v>
          </cell>
        </row>
        <row r="4">
          <cell r="J4">
            <v>50349.154431349998</v>
          </cell>
        </row>
        <row r="5">
          <cell r="J5">
            <v>67622</v>
          </cell>
        </row>
        <row r="6">
          <cell r="J6">
            <v>274993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49.8</v>
          </cell>
        </row>
        <row r="4">
          <cell r="I4">
            <v>49551.094171799996</v>
          </cell>
        </row>
        <row r="5">
          <cell r="I5">
            <v>27137</v>
          </cell>
        </row>
        <row r="6">
          <cell r="I6">
            <v>129732</v>
          </cell>
        </row>
      </sheetData>
      <sheetData sheetId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10.039999999999999</v>
          </cell>
        </row>
        <row r="4">
          <cell r="I4">
            <v>39910.807471079999</v>
          </cell>
        </row>
        <row r="5">
          <cell r="I5">
            <v>38348</v>
          </cell>
        </row>
        <row r="6">
          <cell r="I6">
            <v>158522</v>
          </cell>
        </row>
      </sheetData>
      <sheetData sheetId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0.74150000000000005</v>
          </cell>
        </row>
        <row r="4">
          <cell r="I4">
            <v>617.22460000000001</v>
          </cell>
        </row>
        <row r="5">
          <cell r="I5">
            <v>360.6</v>
          </cell>
        </row>
        <row r="6">
          <cell r="I6">
            <v>1387.3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1975</v>
          </cell>
        </row>
        <row r="4">
          <cell r="H4">
            <v>51213725</v>
          </cell>
        </row>
        <row r="5">
          <cell r="H5">
            <v>3068594</v>
          </cell>
        </row>
        <row r="6">
          <cell r="H6">
            <v>993154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71500</v>
          </cell>
        </row>
        <row r="4">
          <cell r="J4">
            <v>420187299.67500001</v>
          </cell>
        </row>
        <row r="5">
          <cell r="J5">
            <v>100700579</v>
          </cell>
        </row>
        <row r="6">
          <cell r="J6">
            <v>12812502</v>
          </cell>
        </row>
      </sheetData>
      <sheetData sheetId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298.69</v>
          </cell>
        </row>
        <row r="4">
          <cell r="J4">
            <v>142753.51624856002</v>
          </cell>
        </row>
        <row r="5">
          <cell r="J5">
            <v>6889</v>
          </cell>
        </row>
        <row r="6">
          <cell r="J6">
            <v>38409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56.2</v>
          </cell>
        </row>
        <row r="5">
          <cell r="I5">
            <v>1336197.8985840003</v>
          </cell>
        </row>
        <row r="6">
          <cell r="I6">
            <v>110461.84599999999</v>
          </cell>
        </row>
        <row r="7">
          <cell r="I7">
            <v>28912.835999999999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485.5</v>
          </cell>
        </row>
        <row r="4">
          <cell r="H4">
            <v>131849.79941100001</v>
          </cell>
        </row>
        <row r="5">
          <cell r="H5">
            <v>8478</v>
          </cell>
        </row>
        <row r="6">
          <cell r="H6">
            <v>65193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215.01</v>
          </cell>
        </row>
        <row r="4">
          <cell r="I4">
            <v>162118.71696474002</v>
          </cell>
        </row>
        <row r="5">
          <cell r="I5">
            <v>23674</v>
          </cell>
        </row>
        <row r="6">
          <cell r="I6">
            <v>53618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cials"/>
    </sheetNames>
    <sheetDataSet>
      <sheetData sheetId="0">
        <row r="2">
          <cell r="K2">
            <v>652.46</v>
          </cell>
        </row>
        <row r="4">
          <cell r="K4">
            <v>155519.06263738</v>
          </cell>
        </row>
        <row r="5">
          <cell r="K5">
            <v>2523</v>
          </cell>
        </row>
        <row r="6">
          <cell r="K6">
            <v>19115.142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176.33</v>
          </cell>
        </row>
        <row r="4">
          <cell r="J4">
            <v>105088.53324739002</v>
          </cell>
        </row>
        <row r="5">
          <cell r="J5">
            <v>2721.4540000000002</v>
          </cell>
        </row>
        <row r="6">
          <cell r="J6">
            <v>7018.4110000000001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Sheet1"/>
      <sheetName val="Sheet2"/>
    </sheetNames>
    <sheetDataSet>
      <sheetData sheetId="0">
        <row r="2">
          <cell r="K2">
            <v>20</v>
          </cell>
        </row>
        <row r="4">
          <cell r="K4">
            <v>85340</v>
          </cell>
        </row>
        <row r="5">
          <cell r="K5">
            <v>35097</v>
          </cell>
        </row>
        <row r="6">
          <cell r="K6">
            <v>53029</v>
          </cell>
        </row>
      </sheetData>
      <sheetData sheetId="1"/>
      <sheetData sheetId="2"/>
      <sheetData sheetId="3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134.80000000000001</v>
          </cell>
        </row>
        <row r="4">
          <cell r="J4">
            <v>14470.152910400002</v>
          </cell>
        </row>
        <row r="5">
          <cell r="J5">
            <v>1592</v>
          </cell>
        </row>
        <row r="6">
          <cell r="J6">
            <v>2883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74.88</v>
          </cell>
        </row>
        <row r="4">
          <cell r="H4">
            <v>155587.93892928</v>
          </cell>
        </row>
        <row r="5">
          <cell r="H5">
            <v>9086</v>
          </cell>
        </row>
        <row r="6">
          <cell r="H6">
            <v>10615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L2">
            <v>221.76</v>
          </cell>
        </row>
        <row r="4">
          <cell r="L4">
            <v>131513.36337216001</v>
          </cell>
        </row>
        <row r="5">
          <cell r="L5">
            <v>1060</v>
          </cell>
        </row>
        <row r="6">
          <cell r="L6">
            <v>32813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98.26</v>
          </cell>
        </row>
        <row r="4">
          <cell r="J4">
            <v>83206.352417560003</v>
          </cell>
        </row>
        <row r="5">
          <cell r="J5">
            <v>5065</v>
          </cell>
        </row>
        <row r="6">
          <cell r="J6">
            <v>21369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114</v>
          </cell>
        </row>
        <row r="4">
          <cell r="K4">
            <v>106384.8</v>
          </cell>
        </row>
        <row r="5">
          <cell r="K5">
            <v>695</v>
          </cell>
        </row>
        <row r="6">
          <cell r="K6">
            <v>22652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150.99</v>
          </cell>
        </row>
        <row r="4">
          <cell r="K4">
            <v>94947.775058430008</v>
          </cell>
        </row>
        <row r="5">
          <cell r="K5">
            <v>401</v>
          </cell>
        </row>
        <row r="6">
          <cell r="K6">
            <v>20894</v>
          </cell>
        </row>
      </sheetData>
      <sheetData sheetId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159.69999999999999</v>
          </cell>
        </row>
        <row r="4">
          <cell r="J4">
            <v>33748.665421799997</v>
          </cell>
        </row>
        <row r="5">
          <cell r="J5">
            <v>97.197999999999993</v>
          </cell>
        </row>
        <row r="6">
          <cell r="J6">
            <v>59.99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41.41</v>
          </cell>
        </row>
        <row r="4">
          <cell r="J4">
            <v>27038.873548289997</v>
          </cell>
        </row>
        <row r="5">
          <cell r="J5">
            <v>3711</v>
          </cell>
        </row>
        <row r="6">
          <cell r="J6">
            <v>15824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3048</v>
          </cell>
        </row>
        <row r="4">
          <cell r="K4">
            <v>3448235.3763120002</v>
          </cell>
        </row>
        <row r="5">
          <cell r="K5">
            <v>281000</v>
          </cell>
        </row>
        <row r="6">
          <cell r="K6">
            <v>4605018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114.99</v>
          </cell>
        </row>
        <row r="4">
          <cell r="J4">
            <v>15747.656844450001</v>
          </cell>
        </row>
        <row r="5">
          <cell r="J5">
            <v>1318.52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160.88</v>
          </cell>
        </row>
        <row r="4">
          <cell r="J4">
            <v>6650.9066169600001</v>
          </cell>
        </row>
        <row r="7">
          <cell r="J7">
            <v>14264.906616960001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118.44</v>
          </cell>
        </row>
        <row r="5">
          <cell r="H5">
            <v>157553.55050904001</v>
          </cell>
        </row>
        <row r="6">
          <cell r="H6">
            <v>6011</v>
          </cell>
        </row>
        <row r="7">
          <cell r="H7">
            <v>42151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3">
          <cell r="K3">
            <v>198.13</v>
          </cell>
        </row>
        <row r="5">
          <cell r="K5">
            <v>128719.35485599999</v>
          </cell>
        </row>
        <row r="6">
          <cell r="K6">
            <v>9807</v>
          </cell>
        </row>
        <row r="7">
          <cell r="K7">
            <v>27932</v>
          </cell>
        </row>
      </sheetData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304.8</v>
          </cell>
        </row>
        <row r="4">
          <cell r="H4">
            <v>83752.206079199997</v>
          </cell>
        </row>
        <row r="5">
          <cell r="H5">
            <v>1362</v>
          </cell>
        </row>
        <row r="6">
          <cell r="H6">
            <v>9261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519.92999999999995</v>
          </cell>
        </row>
        <row r="4">
          <cell r="K4">
            <v>76037.290752779998</v>
          </cell>
        </row>
        <row r="5">
          <cell r="K5">
            <v>3272</v>
          </cell>
        </row>
        <row r="6">
          <cell r="K6">
            <v>14706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I3">
            <v>227.23</v>
          </cell>
        </row>
        <row r="5">
          <cell r="I5">
            <v>43106.710323699997</v>
          </cell>
        </row>
        <row r="6">
          <cell r="I6">
            <v>547</v>
          </cell>
        </row>
        <row r="7">
          <cell r="I7">
            <v>13252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628.66999999999996</v>
          </cell>
        </row>
        <row r="4">
          <cell r="K4">
            <v>48170.74863622</v>
          </cell>
        </row>
        <row r="5">
          <cell r="K5">
            <v>986.34900000000005</v>
          </cell>
        </row>
        <row r="6">
          <cell r="K6">
            <v>680.28899999999999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1332</v>
          </cell>
        </row>
        <row r="4">
          <cell r="I4">
            <v>57409.200000000004</v>
          </cell>
        </row>
        <row r="5">
          <cell r="I5">
            <v>1184</v>
          </cell>
        </row>
        <row r="6">
          <cell r="I6">
            <v>2423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265.20999999999998</v>
          </cell>
        </row>
        <row r="4">
          <cell r="I4">
            <v>10400.271678719999</v>
          </cell>
        </row>
        <row r="5">
          <cell r="I5">
            <v>11</v>
          </cell>
        </row>
        <row r="6">
          <cell r="I6">
            <v>2657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52.3</v>
          </cell>
        </row>
        <row r="4">
          <cell r="K4">
            <v>2580.9004</v>
          </cell>
        </row>
        <row r="5">
          <cell r="K5">
            <v>175.488</v>
          </cell>
        </row>
        <row r="6">
          <cell r="K6">
            <v>68.328999999999994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8.2799999999999994</v>
          </cell>
        </row>
        <row r="4">
          <cell r="I4">
            <v>367.14994667999997</v>
          </cell>
        </row>
        <row r="5">
          <cell r="I5">
            <v>21.183</v>
          </cell>
        </row>
        <row r="6">
          <cell r="I6">
            <v>94.147000000000006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21.5</v>
          </cell>
        </row>
        <row r="4">
          <cell r="H4">
            <v>3042.9942225</v>
          </cell>
        </row>
        <row r="5">
          <cell r="H5">
            <v>67.861000000000004</v>
          </cell>
        </row>
        <row r="6">
          <cell r="H6">
            <v>1696.1759999999999</v>
          </cell>
        </row>
      </sheetData>
      <sheetData sheetId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20.58</v>
          </cell>
        </row>
        <row r="4">
          <cell r="I4">
            <v>2203.2937298399997</v>
          </cell>
        </row>
        <row r="5">
          <cell r="I5">
            <v>130.524</v>
          </cell>
        </row>
        <row r="6">
          <cell r="I6">
            <v>1020.468</v>
          </cell>
        </row>
      </sheetData>
      <sheetData sheetId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244.6</v>
          </cell>
        </row>
        <row r="4">
          <cell r="J4">
            <v>7509.6786250000005</v>
          </cell>
        </row>
        <row r="5">
          <cell r="J5">
            <v>379.6</v>
          </cell>
        </row>
        <row r="6">
          <cell r="J6">
            <v>1720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AML.L.xlsx" TargetMode="External"/><Relationship Id="rId3" Type="http://schemas.openxmlformats.org/officeDocument/2006/relationships/hyperlink" Target="..\Models\F.xlsx" TargetMode="External"/><Relationship Id="rId7" Type="http://schemas.openxmlformats.org/officeDocument/2006/relationships/hyperlink" Target="..\Models\RACE.xlsx" TargetMode="External"/><Relationship Id="rId2" Type="http://schemas.openxmlformats.org/officeDocument/2006/relationships/hyperlink" Target="..\Models\TSLA.xlsx" TargetMode="External"/><Relationship Id="rId1" Type="http://schemas.openxmlformats.org/officeDocument/2006/relationships/hyperlink" Target="..\Models\PAH3.xlsx" TargetMode="External"/><Relationship Id="rId6" Type="http://schemas.openxmlformats.org/officeDocument/2006/relationships/hyperlink" Target="..\Models\002594.SZ.xlsx" TargetMode="External"/><Relationship Id="rId5" Type="http://schemas.openxmlformats.org/officeDocument/2006/relationships/hyperlink" Target="..\Models\VOW3.DE.xlsx" TargetMode="External"/><Relationship Id="rId4" Type="http://schemas.openxmlformats.org/officeDocument/2006/relationships/hyperlink" Target="..\Models\GM.xlsx" TargetMode="External"/><Relationship Id="rId9" Type="http://schemas.openxmlformats.org/officeDocument/2006/relationships/hyperlink" Target="..\Models\TM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..\Models\INTC.xlsx" TargetMode="External"/><Relationship Id="rId13" Type="http://schemas.openxmlformats.org/officeDocument/2006/relationships/hyperlink" Target="..\Models\GM.xlsx" TargetMode="External"/><Relationship Id="rId18" Type="http://schemas.openxmlformats.org/officeDocument/2006/relationships/hyperlink" Target="..\Models\HMC.xlsx" TargetMode="External"/><Relationship Id="rId3" Type="http://schemas.openxmlformats.org/officeDocument/2006/relationships/hyperlink" Target="..\Models\005930.KS.xlsx" TargetMode="External"/><Relationship Id="rId7" Type="http://schemas.openxmlformats.org/officeDocument/2006/relationships/hyperlink" Target="..\Models\LMT.xlsx" TargetMode="External"/><Relationship Id="rId12" Type="http://schemas.openxmlformats.org/officeDocument/2006/relationships/hyperlink" Target="..\Models\VOW3.DE.xlsx" TargetMode="External"/><Relationship Id="rId17" Type="http://schemas.openxmlformats.org/officeDocument/2006/relationships/hyperlink" Target="..\Models\2317.TW.xlsx" TargetMode="External"/><Relationship Id="rId2" Type="http://schemas.openxmlformats.org/officeDocument/2006/relationships/hyperlink" Target="..\Models\TSLA.xlsx" TargetMode="External"/><Relationship Id="rId16" Type="http://schemas.openxmlformats.org/officeDocument/2006/relationships/hyperlink" Target="..\Models\ADI.xlsx" TargetMode="External"/><Relationship Id="rId1" Type="http://schemas.openxmlformats.org/officeDocument/2006/relationships/hyperlink" Target="..\Models\TSM.xlsx" TargetMode="External"/><Relationship Id="rId6" Type="http://schemas.openxmlformats.org/officeDocument/2006/relationships/hyperlink" Target="..\Models\DE.xlsx" TargetMode="External"/><Relationship Id="rId11" Type="http://schemas.openxmlformats.org/officeDocument/2006/relationships/hyperlink" Target="..\Models\F.xlsx" TargetMode="External"/><Relationship Id="rId5" Type="http://schemas.openxmlformats.org/officeDocument/2006/relationships/hyperlink" Target="..\Models\002594.SZ.xlsx" TargetMode="External"/><Relationship Id="rId15" Type="http://schemas.openxmlformats.org/officeDocument/2006/relationships/hyperlink" Target="..\Models\BA.xlsx" TargetMode="External"/><Relationship Id="rId10" Type="http://schemas.openxmlformats.org/officeDocument/2006/relationships/hyperlink" Target="..\Models\CAT.xlsx" TargetMode="External"/><Relationship Id="rId19" Type="http://schemas.openxmlformats.org/officeDocument/2006/relationships/hyperlink" Target="..\Models\1810.HK.xlsx" TargetMode="External"/><Relationship Id="rId4" Type="http://schemas.openxmlformats.org/officeDocument/2006/relationships/hyperlink" Target="..\Models\TM.xlsx" TargetMode="External"/><Relationship Id="rId9" Type="http://schemas.openxmlformats.org/officeDocument/2006/relationships/hyperlink" Target="..\Models\RACE.xlsx" TargetMode="External"/><Relationship Id="rId14" Type="http://schemas.openxmlformats.org/officeDocument/2006/relationships/hyperlink" Target="..\Models\JBL.xlsx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..\Models\ODFL.xlsx" TargetMode="External"/><Relationship Id="rId3" Type="http://schemas.openxmlformats.org/officeDocument/2006/relationships/hyperlink" Target="..\Models\9020.T.xlsx" TargetMode="External"/><Relationship Id="rId7" Type="http://schemas.openxmlformats.org/officeDocument/2006/relationships/hyperlink" Target="..\Models\UPS.xlsx" TargetMode="External"/><Relationship Id="rId2" Type="http://schemas.openxmlformats.org/officeDocument/2006/relationships/hyperlink" Target="..\Models\UBER.xlsx" TargetMode="External"/><Relationship Id="rId1" Type="http://schemas.openxmlformats.org/officeDocument/2006/relationships/hyperlink" Target="..\Models\UNP.xlsx" TargetMode="External"/><Relationship Id="rId6" Type="http://schemas.openxmlformats.org/officeDocument/2006/relationships/hyperlink" Target="..\Models\CP.xlsx" TargetMode="External"/><Relationship Id="rId5" Type="http://schemas.openxmlformats.org/officeDocument/2006/relationships/hyperlink" Target="..\Models\CNI.xlsx" TargetMode="External"/><Relationship Id="rId10" Type="http://schemas.openxmlformats.org/officeDocument/2006/relationships/hyperlink" Target="..\Models\EXPD.xlsx" TargetMode="External"/><Relationship Id="rId4" Type="http://schemas.openxmlformats.org/officeDocument/2006/relationships/hyperlink" Target="..\Models\DAL.xlsx" TargetMode="External"/><Relationship Id="rId9" Type="http://schemas.openxmlformats.org/officeDocument/2006/relationships/hyperlink" Target="..\Models\R.xlsx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..\Models\RHM.F.xlsx" TargetMode="External"/><Relationship Id="rId3" Type="http://schemas.openxmlformats.org/officeDocument/2006/relationships/hyperlink" Target="..\Models\HON.xlsx" TargetMode="External"/><Relationship Id="rId7" Type="http://schemas.openxmlformats.org/officeDocument/2006/relationships/hyperlink" Target="..\Models\HII.xlsx" TargetMode="External"/><Relationship Id="rId12" Type="http://schemas.openxmlformats.org/officeDocument/2006/relationships/hyperlink" Target="..\Models\BA.xlsx" TargetMode="External"/><Relationship Id="rId2" Type="http://schemas.openxmlformats.org/officeDocument/2006/relationships/hyperlink" Target="..\Models\RTX.xlsx" TargetMode="External"/><Relationship Id="rId1" Type="http://schemas.openxmlformats.org/officeDocument/2006/relationships/hyperlink" Target="..\Models\LMT.xlsx" TargetMode="External"/><Relationship Id="rId6" Type="http://schemas.openxmlformats.org/officeDocument/2006/relationships/hyperlink" Target="..\Models\GD.xlsx" TargetMode="External"/><Relationship Id="rId11" Type="http://schemas.openxmlformats.org/officeDocument/2006/relationships/hyperlink" Target="..\Models\SWBI.xlsx" TargetMode="External"/><Relationship Id="rId5" Type="http://schemas.openxmlformats.org/officeDocument/2006/relationships/hyperlink" Target="..\Models\NOC.xlsx" TargetMode="External"/><Relationship Id="rId10" Type="http://schemas.openxmlformats.org/officeDocument/2006/relationships/hyperlink" Target="..\Models\VOYG.xlsx" TargetMode="External"/><Relationship Id="rId4" Type="http://schemas.openxmlformats.org/officeDocument/2006/relationships/hyperlink" Target="..\Models\LHX.xlsx" TargetMode="External"/><Relationship Id="rId9" Type="http://schemas.openxmlformats.org/officeDocument/2006/relationships/hyperlink" Target="..\Models\AXON.xlsx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..\Models\UNP.xlsx" TargetMode="External"/><Relationship Id="rId2" Type="http://schemas.openxmlformats.org/officeDocument/2006/relationships/hyperlink" Target="..\Models\CXW.xlsx" TargetMode="External"/><Relationship Id="rId1" Type="http://schemas.openxmlformats.org/officeDocument/2006/relationships/hyperlink" Target="..\Models\GEO.xlsx" TargetMode="External"/><Relationship Id="rId4" Type="http://schemas.openxmlformats.org/officeDocument/2006/relationships/hyperlink" Target="..\Models\FHZN.SW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5DA32-BD41-4531-A28F-BA79246BBD52}">
  <dimension ref="A1:AB96"/>
  <sheetViews>
    <sheetView zoomScale="200" zoomScaleNormal="200" workbookViewId="0">
      <selection activeCell="E19" sqref="E19"/>
    </sheetView>
  </sheetViews>
  <sheetFormatPr defaultRowHeight="13.5" x14ac:dyDescent="0.25"/>
  <cols>
    <col min="1" max="1" width="4.5703125" style="4" customWidth="1"/>
    <col min="2" max="16384" width="9.140625" style="4"/>
  </cols>
  <sheetData>
    <row r="1" spans="1:28" x14ac:dyDescent="0.25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</row>
    <row r="2" spans="1:28" x14ac:dyDescent="0.25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</row>
    <row r="3" spans="1:28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</row>
    <row r="4" spans="1:28" x14ac:dyDescent="0.25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</row>
    <row r="5" spans="1:28" x14ac:dyDescent="0.2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</row>
    <row r="6" spans="1:28" x14ac:dyDescent="0.25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</row>
    <row r="7" spans="1:28" x14ac:dyDescent="0.25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</row>
    <row r="8" spans="1:28" x14ac:dyDescent="0.25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</row>
    <row r="9" spans="1:28" x14ac:dyDescent="0.25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</row>
    <row r="10" spans="1:28" x14ac:dyDescent="0.25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</row>
    <row r="11" spans="1:28" x14ac:dyDescent="0.25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</row>
    <row r="12" spans="1:28" x14ac:dyDescent="0.2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</row>
    <row r="13" spans="1:28" x14ac:dyDescent="0.25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</row>
    <row r="14" spans="1:28" x14ac:dyDescent="0.25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</row>
    <row r="15" spans="1:28" x14ac:dyDescent="0.2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</row>
    <row r="16" spans="1:28" x14ac:dyDescent="0.25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</row>
    <row r="17" spans="1:28" x14ac:dyDescent="0.2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</row>
    <row r="18" spans="1:28" x14ac:dyDescent="0.25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</row>
    <row r="19" spans="1:28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</row>
    <row r="20" spans="1:28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</row>
    <row r="21" spans="1:28" x14ac:dyDescent="0.25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</row>
    <row r="22" spans="1:28" x14ac:dyDescent="0.25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</row>
    <row r="23" spans="1:28" x14ac:dyDescent="0.2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</row>
    <row r="24" spans="1:28" x14ac:dyDescent="0.2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</row>
    <row r="25" spans="1:28" x14ac:dyDescent="0.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</row>
    <row r="26" spans="1:28" x14ac:dyDescent="0.2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</row>
    <row r="27" spans="1:28" x14ac:dyDescent="0.2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</row>
    <row r="28" spans="1:28" x14ac:dyDescent="0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</row>
    <row r="29" spans="1:28" x14ac:dyDescent="0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</row>
    <row r="30" spans="1:28" x14ac:dyDescent="0.2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</row>
    <row r="31" spans="1:28" x14ac:dyDescent="0.2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</row>
    <row r="32" spans="1:28" x14ac:dyDescent="0.2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</row>
    <row r="33" spans="1:28" x14ac:dyDescent="0.2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</row>
    <row r="34" spans="1:28" x14ac:dyDescent="0.2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</row>
    <row r="35" spans="1:28" x14ac:dyDescent="0.2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</row>
    <row r="36" spans="1:28" x14ac:dyDescent="0.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</row>
    <row r="37" spans="1:28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</row>
    <row r="38" spans="1:28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</row>
    <row r="39" spans="1:28" x14ac:dyDescent="0.2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</row>
    <row r="40" spans="1:28" x14ac:dyDescent="0.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</row>
    <row r="41" spans="1:28" x14ac:dyDescent="0.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</row>
    <row r="42" spans="1:28" x14ac:dyDescent="0.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</row>
    <row r="43" spans="1:28" x14ac:dyDescent="0.2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</row>
    <row r="44" spans="1:28" x14ac:dyDescent="0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</row>
    <row r="45" spans="1:28" x14ac:dyDescent="0.2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</row>
    <row r="46" spans="1:28" x14ac:dyDescent="0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</row>
    <row r="47" spans="1:28" x14ac:dyDescent="0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</row>
    <row r="48" spans="1:28" x14ac:dyDescent="0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</row>
    <row r="49" spans="1:28" x14ac:dyDescent="0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</row>
    <row r="50" spans="1:28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</row>
    <row r="51" spans="1:28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</row>
    <row r="52" spans="1:28" x14ac:dyDescent="0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</row>
    <row r="53" spans="1:28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</row>
    <row r="54" spans="1:28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</row>
    <row r="55" spans="1:28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</row>
    <row r="56" spans="1:28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</row>
    <row r="57" spans="1:28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</row>
    <row r="58" spans="1:28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</row>
    <row r="59" spans="1:28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</row>
    <row r="60" spans="1:28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</row>
    <row r="61" spans="1:28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</row>
    <row r="62" spans="1:28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</row>
    <row r="63" spans="1:28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</row>
    <row r="64" spans="1:28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</row>
    <row r="65" spans="1:28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</row>
    <row r="66" spans="1:28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</row>
    <row r="67" spans="1:28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</row>
    <row r="68" spans="1:28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</row>
    <row r="69" spans="1:28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</row>
    <row r="70" spans="1:28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</row>
    <row r="71" spans="1:28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</row>
    <row r="72" spans="1:28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</row>
    <row r="73" spans="1:28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</row>
    <row r="74" spans="1:28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</row>
    <row r="75" spans="1:28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</row>
    <row r="76" spans="1:28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</row>
    <row r="77" spans="1:28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</row>
    <row r="78" spans="1:28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</row>
    <row r="79" spans="1:28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</row>
    <row r="80" spans="1:28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</row>
    <row r="81" spans="1:28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</row>
    <row r="82" spans="1:28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</row>
    <row r="83" spans="1:28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</row>
    <row r="84" spans="1:28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</row>
    <row r="85" spans="1:28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</row>
    <row r="86" spans="1:28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</row>
    <row r="87" spans="1:28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</row>
    <row r="88" spans="1:28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</row>
    <row r="89" spans="1:28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</row>
    <row r="90" spans="1:28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</row>
    <row r="91" spans="1:28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</row>
    <row r="92" spans="1:28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</row>
    <row r="93" spans="1:28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</row>
    <row r="94" spans="1:28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</row>
    <row r="95" spans="1:28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</row>
    <row r="96" spans="1:28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5E7AC-1797-4E56-9B17-0AD285F2546D}">
  <dimension ref="A1:DA505"/>
  <sheetViews>
    <sheetView zoomScale="200" zoomScaleNormal="200" workbookViewId="0">
      <selection activeCell="D11" sqref="D11"/>
    </sheetView>
  </sheetViews>
  <sheetFormatPr defaultRowHeight="15" x14ac:dyDescent="0.25"/>
  <cols>
    <col min="1" max="1" width="4" customWidth="1"/>
    <col min="2" max="2" width="21.85546875" bestFit="1" customWidth="1"/>
    <col min="3" max="3" width="16" bestFit="1" customWidth="1"/>
    <col min="4" max="4" width="8.28515625" bestFit="1" customWidth="1"/>
    <col min="5" max="5" width="9.28515625" bestFit="1" customWidth="1"/>
    <col min="6" max="6" width="10.140625" bestFit="1" customWidth="1"/>
    <col min="7" max="8" width="9.28515625" bestFit="1" customWidth="1"/>
  </cols>
  <sheetData>
    <row r="1" spans="1:105" x14ac:dyDescent="0.25">
      <c r="A1" s="2" t="s">
        <v>226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</row>
    <row r="2" spans="1:105" x14ac:dyDescent="0.25">
      <c r="A2" s="3" t="s">
        <v>227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U2" s="3"/>
      <c r="CV2" s="3"/>
      <c r="CW2" s="3"/>
      <c r="CX2" s="3"/>
      <c r="CY2" s="3"/>
      <c r="CZ2" s="3"/>
      <c r="DA2" s="3"/>
    </row>
    <row r="3" spans="1:105" x14ac:dyDescent="0.25">
      <c r="A3" s="5" t="s">
        <v>224</v>
      </c>
      <c r="B3" s="6" t="s">
        <v>223</v>
      </c>
      <c r="C3" s="6" t="s">
        <v>228</v>
      </c>
      <c r="D3" s="6" t="s">
        <v>221</v>
      </c>
      <c r="E3" s="6" t="s">
        <v>229</v>
      </c>
      <c r="F3" s="6" t="s">
        <v>230</v>
      </c>
      <c r="G3" s="6" t="s">
        <v>231</v>
      </c>
      <c r="H3" s="6" t="s">
        <v>232</v>
      </c>
      <c r="I3" s="6" t="s">
        <v>233</v>
      </c>
      <c r="J3" s="6" t="s">
        <v>234</v>
      </c>
      <c r="K3" s="6" t="s">
        <v>235</v>
      </c>
      <c r="L3" s="6"/>
      <c r="M3" s="7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</row>
    <row r="4" spans="1:105" x14ac:dyDescent="0.25">
      <c r="A4" s="8">
        <v>1</v>
      </c>
      <c r="B4" s="1" t="s">
        <v>218</v>
      </c>
      <c r="C4" s="3" t="s">
        <v>217</v>
      </c>
      <c r="D4" s="3" t="s">
        <v>2</v>
      </c>
      <c r="E4" s="9">
        <f>+[1]Main!$K$2</f>
        <v>419.17</v>
      </c>
      <c r="F4" s="10">
        <f>+[1]Main!$K$4</f>
        <v>1351823.25</v>
      </c>
      <c r="G4" s="10">
        <f>+[1]Main!$K$6-[1]Main!$K$5</f>
        <v>-33945</v>
      </c>
      <c r="H4" s="10">
        <f>+F4+G4</f>
        <v>1317878.25</v>
      </c>
      <c r="I4" s="11" t="s">
        <v>236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</row>
    <row r="5" spans="1:105" x14ac:dyDescent="0.25">
      <c r="A5" s="8">
        <f>A4+1</f>
        <v>2</v>
      </c>
      <c r="B5" s="1" t="s">
        <v>214</v>
      </c>
      <c r="C5" s="3" t="s">
        <v>213</v>
      </c>
      <c r="D5" s="3" t="s">
        <v>10</v>
      </c>
      <c r="E5" s="12">
        <f>+[2]Main!$J$2</f>
        <v>2420</v>
      </c>
      <c r="F5" s="10">
        <f>+[2]Main!$J$4*FX!C6</f>
        <v>260582.97971111999</v>
      </c>
      <c r="G5" s="10">
        <f>+([2]Main!$J$6-[2]Main!$J$5)*FX!C6</f>
        <v>210150.3426</v>
      </c>
      <c r="H5" s="10">
        <f>+F5+G5</f>
        <v>470733.32231111999</v>
      </c>
      <c r="I5" s="11" t="s">
        <v>237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</row>
    <row r="6" spans="1:105" x14ac:dyDescent="0.25">
      <c r="A6" s="8">
        <f t="shared" ref="A6:A66" si="0">A5+1</f>
        <v>3</v>
      </c>
      <c r="B6" s="1" t="s">
        <v>209</v>
      </c>
      <c r="C6" s="13" t="s">
        <v>208</v>
      </c>
      <c r="D6" s="3" t="s">
        <v>238</v>
      </c>
      <c r="E6" s="3">
        <f>+[3]Main!$I$2</f>
        <v>372</v>
      </c>
      <c r="F6" s="10">
        <f>+[3]Main!$I$4*FX!C4</f>
        <v>151555.88501088004</v>
      </c>
      <c r="G6" s="10">
        <f>+([3]Main!$I$6-[3]Main!$I$5)*FX!C4</f>
        <v>0</v>
      </c>
      <c r="H6" s="10">
        <f>+F6+G6</f>
        <v>151555.88501088004</v>
      </c>
      <c r="I6" s="11" t="s">
        <v>239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</row>
    <row r="7" spans="1:105" x14ac:dyDescent="0.25">
      <c r="A7" s="8">
        <f t="shared" si="0"/>
        <v>4</v>
      </c>
      <c r="B7" s="1" t="s">
        <v>188</v>
      </c>
      <c r="C7" s="3" t="s">
        <v>187</v>
      </c>
      <c r="D7" s="3" t="s">
        <v>240</v>
      </c>
      <c r="E7" s="3">
        <f>+[4]Main!$H$2</f>
        <v>296.39999999999998</v>
      </c>
      <c r="F7" s="10">
        <f>+[4]Main!$H$4*FX!C3</f>
        <v>57547.912499999999</v>
      </c>
      <c r="G7" s="10">
        <f>+([4]Main!$H$6-[4]Main!$H$5)*FX!C3</f>
        <v>1458.8821599999999</v>
      </c>
      <c r="H7" s="10">
        <f>+F7+G7</f>
        <v>59006.79466</v>
      </c>
      <c r="I7" s="38" t="s">
        <v>2598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</row>
    <row r="8" spans="1:105" x14ac:dyDescent="0.25">
      <c r="A8" s="8">
        <f t="shared" si="0"/>
        <v>5</v>
      </c>
      <c r="B8" s="3" t="s">
        <v>174</v>
      </c>
      <c r="C8" s="3" t="s">
        <v>173</v>
      </c>
      <c r="D8" s="3" t="s">
        <v>31</v>
      </c>
      <c r="E8" s="3"/>
      <c r="F8" s="10"/>
      <c r="G8" s="10"/>
      <c r="H8" s="10"/>
      <c r="I8" s="11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</row>
    <row r="9" spans="1:105" x14ac:dyDescent="0.25">
      <c r="A9" s="8">
        <f t="shared" si="0"/>
        <v>6</v>
      </c>
      <c r="B9" s="3" t="s">
        <v>153</v>
      </c>
      <c r="C9" s="3" t="s">
        <v>152</v>
      </c>
      <c r="D9" s="3" t="s">
        <v>31</v>
      </c>
      <c r="E9" s="3"/>
      <c r="F9" s="10"/>
      <c r="G9" s="10"/>
      <c r="H9" s="10"/>
      <c r="I9" s="11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</row>
    <row r="10" spans="1:105" x14ac:dyDescent="0.25">
      <c r="A10" s="8">
        <f t="shared" si="0"/>
        <v>7</v>
      </c>
      <c r="B10" s="3" t="s">
        <v>159</v>
      </c>
      <c r="C10" s="3" t="s">
        <v>158</v>
      </c>
      <c r="D10" s="3" t="s">
        <v>31</v>
      </c>
      <c r="E10" s="3"/>
      <c r="F10" s="10"/>
      <c r="G10" s="10"/>
      <c r="H10" s="10"/>
      <c r="I10" s="11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</row>
    <row r="11" spans="1:105" x14ac:dyDescent="0.25">
      <c r="A11" s="8">
        <f t="shared" si="0"/>
        <v>8</v>
      </c>
      <c r="B11" s="1" t="s">
        <v>163</v>
      </c>
      <c r="C11" s="3" t="s">
        <v>162</v>
      </c>
      <c r="D11" s="3" t="s">
        <v>31</v>
      </c>
      <c r="E11" s="3">
        <f>+[5]Main!$J$2</f>
        <v>101.45</v>
      </c>
      <c r="F11" s="10">
        <f>+[5]Main!$J$4*FX!C3</f>
        <v>54880.578330171506</v>
      </c>
      <c r="G11" s="10">
        <f>+([5]Main!$J$6-[5]Main!$J$5)*FX!C3</f>
        <v>226034.39</v>
      </c>
      <c r="H11" s="10">
        <f>+F11+G11</f>
        <v>280914.96833017154</v>
      </c>
      <c r="I11" s="11" t="s">
        <v>236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</row>
    <row r="12" spans="1:105" x14ac:dyDescent="0.25">
      <c r="A12" s="8">
        <f t="shared" si="0"/>
        <v>9</v>
      </c>
      <c r="B12" s="3" t="s">
        <v>241</v>
      </c>
      <c r="C12" s="3" t="s">
        <v>120</v>
      </c>
      <c r="D12" s="3" t="s">
        <v>119</v>
      </c>
      <c r="E12" s="3"/>
      <c r="F12" s="10"/>
      <c r="G12" s="10"/>
      <c r="H12" s="10"/>
      <c r="I12" s="11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</row>
    <row r="13" spans="1:105" x14ac:dyDescent="0.25">
      <c r="A13" s="8">
        <f t="shared" si="0"/>
        <v>10</v>
      </c>
      <c r="B13" s="1" t="s">
        <v>155</v>
      </c>
      <c r="C13" s="3" t="s">
        <v>154</v>
      </c>
      <c r="D13" s="3" t="s">
        <v>2</v>
      </c>
      <c r="E13" s="3">
        <f>+[6]Main!$I$2</f>
        <v>49.8</v>
      </c>
      <c r="F13" s="10">
        <f>+[6]Main!$I$4</f>
        <v>49551.094171799996</v>
      </c>
      <c r="G13" s="10">
        <f>+[6]Main!$I$6-[6]Main!$I$5</f>
        <v>102595</v>
      </c>
      <c r="H13" s="10">
        <f>+F13+G13</f>
        <v>152146.09417180001</v>
      </c>
      <c r="I13" s="11" t="s">
        <v>236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</row>
    <row r="14" spans="1:105" x14ac:dyDescent="0.25">
      <c r="A14" s="8">
        <f t="shared" si="0"/>
        <v>11</v>
      </c>
      <c r="B14" s="3" t="s">
        <v>210</v>
      </c>
      <c r="C14" s="3" t="s">
        <v>242</v>
      </c>
      <c r="D14" s="3" t="s">
        <v>238</v>
      </c>
      <c r="E14" s="3"/>
      <c r="F14" s="10"/>
      <c r="G14" s="10"/>
      <c r="H14" s="10"/>
      <c r="I14" s="11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</row>
    <row r="15" spans="1:105" x14ac:dyDescent="0.25">
      <c r="A15" s="8">
        <f t="shared" si="0"/>
        <v>12</v>
      </c>
      <c r="B15" s="1" t="s">
        <v>141</v>
      </c>
      <c r="C15" s="3" t="s">
        <v>140</v>
      </c>
      <c r="D15" s="3" t="s">
        <v>2</v>
      </c>
      <c r="E15" s="3">
        <f>+[7]Main!$I$2</f>
        <v>10.039999999999999</v>
      </c>
      <c r="F15" s="10">
        <f>+[7]Main!$I$4</f>
        <v>39910.807471079999</v>
      </c>
      <c r="G15" s="10">
        <f>+[7]Main!$I$6-[7]Main!$I$5</f>
        <v>120174</v>
      </c>
      <c r="H15" s="10">
        <f>+F15+G15</f>
        <v>160084.80747107998</v>
      </c>
      <c r="I15" s="11" t="s">
        <v>236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</row>
    <row r="16" spans="1:105" x14ac:dyDescent="0.25">
      <c r="A16" s="8">
        <f t="shared" si="0"/>
        <v>13</v>
      </c>
      <c r="B16" s="3" t="s">
        <v>143</v>
      </c>
      <c r="C16" s="3" t="s">
        <v>142</v>
      </c>
      <c r="D16" s="3" t="s">
        <v>10</v>
      </c>
      <c r="E16" s="3"/>
      <c r="F16" s="10"/>
      <c r="G16" s="10"/>
      <c r="H16" s="10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</row>
    <row r="17" spans="1:105" x14ac:dyDescent="0.25">
      <c r="A17" s="8">
        <f t="shared" si="0"/>
        <v>14</v>
      </c>
      <c r="B17" s="3" t="s">
        <v>127</v>
      </c>
      <c r="C17" s="3" t="s">
        <v>243</v>
      </c>
      <c r="D17" s="3" t="s">
        <v>244</v>
      </c>
      <c r="E17" s="3"/>
      <c r="F17" s="10"/>
      <c r="G17" s="10"/>
      <c r="H17" s="10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</row>
    <row r="18" spans="1:105" x14ac:dyDescent="0.25">
      <c r="A18" s="8">
        <f t="shared" si="0"/>
        <v>15</v>
      </c>
      <c r="B18" s="3" t="s">
        <v>245</v>
      </c>
      <c r="C18" s="3" t="s">
        <v>148</v>
      </c>
      <c r="D18" s="3" t="s">
        <v>246</v>
      </c>
      <c r="E18" s="3"/>
      <c r="F18" s="10"/>
      <c r="G18" s="10"/>
      <c r="H18" s="10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</row>
    <row r="19" spans="1:105" x14ac:dyDescent="0.25">
      <c r="A19" s="8">
        <f t="shared" si="0"/>
        <v>16</v>
      </c>
      <c r="B19" s="3" t="s">
        <v>247</v>
      </c>
      <c r="C19" s="3" t="s">
        <v>248</v>
      </c>
      <c r="D19" s="3" t="s">
        <v>246</v>
      </c>
      <c r="E19" s="3"/>
      <c r="F19" s="10"/>
      <c r="G19" s="10"/>
      <c r="H19" s="10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</row>
    <row r="20" spans="1:105" x14ac:dyDescent="0.25">
      <c r="A20" s="8">
        <f t="shared" si="0"/>
        <v>17</v>
      </c>
      <c r="B20" s="3" t="s">
        <v>249</v>
      </c>
      <c r="C20" s="3" t="s">
        <v>250</v>
      </c>
      <c r="D20" s="3" t="s">
        <v>246</v>
      </c>
      <c r="E20" s="3"/>
      <c r="F20" s="10"/>
      <c r="G20" s="10"/>
      <c r="H20" s="10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</row>
    <row r="21" spans="1:105" x14ac:dyDescent="0.25">
      <c r="A21" s="8">
        <f t="shared" si="0"/>
        <v>18</v>
      </c>
      <c r="B21" s="3" t="s">
        <v>251</v>
      </c>
      <c r="C21" s="13" t="s">
        <v>252</v>
      </c>
      <c r="D21" s="3" t="s">
        <v>244</v>
      </c>
      <c r="E21" s="3"/>
      <c r="F21" s="10"/>
      <c r="G21" s="10"/>
      <c r="H21" s="10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</row>
    <row r="22" spans="1:105" x14ac:dyDescent="0.25">
      <c r="A22" s="8">
        <f t="shared" si="0"/>
        <v>19</v>
      </c>
      <c r="B22" s="3" t="s">
        <v>103</v>
      </c>
      <c r="C22" s="3" t="s">
        <v>102</v>
      </c>
      <c r="D22" s="3" t="s">
        <v>238</v>
      </c>
      <c r="E22" s="3"/>
      <c r="F22" s="10"/>
      <c r="G22" s="10"/>
      <c r="H22" s="10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</row>
    <row r="23" spans="1:105" x14ac:dyDescent="0.25">
      <c r="A23" s="8">
        <f t="shared" si="0"/>
        <v>20</v>
      </c>
      <c r="B23" s="3" t="s">
        <v>253</v>
      </c>
      <c r="C23" s="3" t="s">
        <v>83</v>
      </c>
      <c r="D23" s="3" t="s">
        <v>10</v>
      </c>
      <c r="E23" s="3"/>
      <c r="F23" s="10"/>
      <c r="G23" s="10"/>
      <c r="H23" s="10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</row>
    <row r="24" spans="1:105" x14ac:dyDescent="0.25">
      <c r="A24" s="8">
        <f t="shared" si="0"/>
        <v>21</v>
      </c>
      <c r="B24" s="3" t="s">
        <v>254</v>
      </c>
      <c r="C24" s="3" t="s">
        <v>255</v>
      </c>
      <c r="D24" s="3" t="s">
        <v>238</v>
      </c>
      <c r="E24" s="3"/>
      <c r="F24" s="10"/>
      <c r="G24" s="10"/>
      <c r="H24" s="10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</row>
    <row r="25" spans="1:105" x14ac:dyDescent="0.25">
      <c r="A25" s="8">
        <f t="shared" si="0"/>
        <v>22</v>
      </c>
      <c r="B25" s="3" t="s">
        <v>256</v>
      </c>
      <c r="C25" s="3" t="s">
        <v>94</v>
      </c>
      <c r="D25" s="3" t="s">
        <v>238</v>
      </c>
      <c r="E25" s="3"/>
      <c r="F25" s="10"/>
      <c r="G25" s="10"/>
      <c r="H25" s="10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</row>
    <row r="26" spans="1:105" x14ac:dyDescent="0.25">
      <c r="A26" s="8">
        <f t="shared" si="0"/>
        <v>23</v>
      </c>
      <c r="B26" s="3" t="s">
        <v>257</v>
      </c>
      <c r="C26" s="13" t="s">
        <v>43</v>
      </c>
      <c r="D26" s="3" t="s">
        <v>238</v>
      </c>
      <c r="E26" s="3"/>
      <c r="F26" s="10"/>
      <c r="G26" s="10"/>
      <c r="H26" s="10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</row>
    <row r="27" spans="1:105" x14ac:dyDescent="0.25">
      <c r="A27" s="8">
        <f t="shared" si="0"/>
        <v>24</v>
      </c>
      <c r="B27" s="3" t="s">
        <v>112</v>
      </c>
      <c r="C27" s="3" t="s">
        <v>258</v>
      </c>
      <c r="D27" s="3" t="s">
        <v>238</v>
      </c>
      <c r="E27" s="3"/>
      <c r="F27" s="10"/>
      <c r="G27" s="10"/>
      <c r="H27" s="10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</row>
    <row r="28" spans="1:105" x14ac:dyDescent="0.25">
      <c r="A28" s="8">
        <f t="shared" si="0"/>
        <v>25</v>
      </c>
      <c r="B28" s="3" t="s">
        <v>259</v>
      </c>
      <c r="C28" s="3" t="s">
        <v>41</v>
      </c>
      <c r="D28" s="3" t="s">
        <v>2</v>
      </c>
      <c r="E28" s="3"/>
      <c r="F28" s="10"/>
      <c r="G28" s="10"/>
      <c r="H28" s="10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</row>
    <row r="29" spans="1:105" x14ac:dyDescent="0.25">
      <c r="A29" s="8">
        <f t="shared" si="0"/>
        <v>26</v>
      </c>
      <c r="B29" s="3" t="s">
        <v>260</v>
      </c>
      <c r="C29" s="3" t="s">
        <v>261</v>
      </c>
      <c r="D29" s="3" t="s">
        <v>10</v>
      </c>
      <c r="E29" s="3"/>
      <c r="F29" s="10"/>
      <c r="G29" s="10"/>
      <c r="H29" s="10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</row>
    <row r="30" spans="1:105" x14ac:dyDescent="0.25">
      <c r="A30" s="8">
        <f t="shared" si="0"/>
        <v>27</v>
      </c>
      <c r="B30" s="3" t="s">
        <v>38</v>
      </c>
      <c r="C30" s="3" t="s">
        <v>37</v>
      </c>
      <c r="D30" s="3" t="s">
        <v>36</v>
      </c>
      <c r="E30" s="3"/>
      <c r="F30" s="10"/>
      <c r="G30" s="10"/>
      <c r="H30" s="10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</row>
    <row r="31" spans="1:105" x14ac:dyDescent="0.25">
      <c r="A31" s="8">
        <f t="shared" si="0"/>
        <v>28</v>
      </c>
      <c r="B31" s="3" t="s">
        <v>262</v>
      </c>
      <c r="C31" s="3" t="s">
        <v>263</v>
      </c>
      <c r="D31" s="3" t="s">
        <v>10</v>
      </c>
      <c r="E31" s="3"/>
      <c r="F31" s="10"/>
      <c r="G31" s="10"/>
      <c r="H31" s="10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  <c r="CZ31" s="3"/>
      <c r="DA31" s="3"/>
    </row>
    <row r="32" spans="1:105" x14ac:dyDescent="0.25">
      <c r="A32" s="8">
        <f t="shared" si="0"/>
        <v>29</v>
      </c>
      <c r="B32" s="3" t="s">
        <v>264</v>
      </c>
      <c r="C32" s="3" t="s">
        <v>265</v>
      </c>
      <c r="D32" s="3" t="s">
        <v>266</v>
      </c>
      <c r="E32" s="3"/>
      <c r="F32" s="10"/>
      <c r="G32" s="10"/>
      <c r="H32" s="10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</row>
    <row r="33" spans="1:105" x14ac:dyDescent="0.25">
      <c r="A33" s="8">
        <f t="shared" si="0"/>
        <v>30</v>
      </c>
      <c r="B33" s="3" t="s">
        <v>267</v>
      </c>
      <c r="C33" s="3" t="s">
        <v>268</v>
      </c>
      <c r="D33" s="3" t="s">
        <v>269</v>
      </c>
      <c r="E33" s="3"/>
      <c r="F33" s="10"/>
      <c r="G33" s="10"/>
      <c r="H33" s="10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</row>
    <row r="34" spans="1:105" x14ac:dyDescent="0.25">
      <c r="A34" s="8">
        <f t="shared" si="0"/>
        <v>31</v>
      </c>
      <c r="B34" s="3" t="s">
        <v>77</v>
      </c>
      <c r="C34" s="13" t="s">
        <v>76</v>
      </c>
      <c r="D34" s="3" t="s">
        <v>238</v>
      </c>
      <c r="E34" s="3"/>
      <c r="F34" s="10"/>
      <c r="G34" s="10"/>
      <c r="H34" s="10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  <c r="CU34" s="3"/>
      <c r="CV34" s="3"/>
      <c r="CW34" s="3"/>
      <c r="CX34" s="3"/>
      <c r="CY34" s="3"/>
      <c r="CZ34" s="3"/>
      <c r="DA34" s="3"/>
    </row>
    <row r="35" spans="1:105" x14ac:dyDescent="0.25">
      <c r="A35" s="8">
        <f t="shared" si="0"/>
        <v>32</v>
      </c>
      <c r="B35" s="3" t="s">
        <v>270</v>
      </c>
      <c r="C35" s="3" t="s">
        <v>271</v>
      </c>
      <c r="D35" s="3" t="s">
        <v>238</v>
      </c>
      <c r="E35" s="3"/>
      <c r="F35" s="10"/>
      <c r="G35" s="10"/>
      <c r="H35" s="10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  <c r="CU35" s="3"/>
      <c r="CV35" s="3"/>
      <c r="CW35" s="3"/>
      <c r="CX35" s="3"/>
      <c r="CY35" s="3"/>
      <c r="CZ35" s="3"/>
      <c r="DA35" s="3"/>
    </row>
    <row r="36" spans="1:105" x14ac:dyDescent="0.25">
      <c r="A36" s="8">
        <f t="shared" si="0"/>
        <v>33</v>
      </c>
      <c r="B36" s="3" t="s">
        <v>272</v>
      </c>
      <c r="C36" s="3" t="s">
        <v>273</v>
      </c>
      <c r="D36" s="3" t="s">
        <v>10</v>
      </c>
      <c r="E36" s="3"/>
      <c r="F36" s="10"/>
      <c r="G36" s="10"/>
      <c r="H36" s="10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  <c r="CU36" s="3"/>
      <c r="CV36" s="3"/>
      <c r="CW36" s="3"/>
      <c r="CX36" s="3"/>
      <c r="CY36" s="3"/>
      <c r="CZ36" s="3"/>
      <c r="DA36" s="3"/>
    </row>
    <row r="37" spans="1:105" x14ac:dyDescent="0.25">
      <c r="A37" s="8">
        <f t="shared" si="0"/>
        <v>34</v>
      </c>
      <c r="B37" s="3" t="s">
        <v>274</v>
      </c>
      <c r="C37" s="3" t="s">
        <v>275</v>
      </c>
      <c r="D37" s="3" t="s">
        <v>238</v>
      </c>
      <c r="E37" s="3"/>
      <c r="F37" s="10"/>
      <c r="G37" s="10"/>
      <c r="H37" s="10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  <c r="CU37" s="3"/>
      <c r="CV37" s="3"/>
      <c r="CW37" s="3"/>
      <c r="CX37" s="3"/>
      <c r="CY37" s="3"/>
      <c r="CZ37" s="3"/>
      <c r="DA37" s="3"/>
    </row>
    <row r="38" spans="1:105" x14ac:dyDescent="0.25">
      <c r="A38" s="8">
        <f t="shared" si="0"/>
        <v>35</v>
      </c>
      <c r="B38" s="3" t="s">
        <v>7</v>
      </c>
      <c r="C38" s="3" t="s">
        <v>6</v>
      </c>
      <c r="D38" s="3" t="s">
        <v>238</v>
      </c>
      <c r="E38" s="3"/>
      <c r="F38" s="10"/>
      <c r="G38" s="10"/>
      <c r="H38" s="10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  <c r="CU38" s="3"/>
      <c r="CV38" s="3"/>
      <c r="CW38" s="3"/>
      <c r="CX38" s="3"/>
      <c r="CY38" s="3"/>
      <c r="CZ38" s="3"/>
      <c r="DA38" s="3"/>
    </row>
    <row r="39" spans="1:105" x14ac:dyDescent="0.25">
      <c r="A39" s="8">
        <f t="shared" si="0"/>
        <v>36</v>
      </c>
      <c r="B39" s="3" t="s">
        <v>276</v>
      </c>
      <c r="C39" s="3" t="s">
        <v>277</v>
      </c>
      <c r="D39" s="3" t="s">
        <v>78</v>
      </c>
      <c r="E39" s="3"/>
      <c r="F39" s="10"/>
      <c r="G39" s="10"/>
      <c r="H39" s="10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  <c r="CU39" s="3"/>
      <c r="CV39" s="3"/>
      <c r="CW39" s="3"/>
      <c r="CX39" s="3"/>
      <c r="CY39" s="3"/>
      <c r="CZ39" s="3"/>
      <c r="DA39" s="3"/>
    </row>
    <row r="40" spans="1:105" x14ac:dyDescent="0.25">
      <c r="A40" s="8">
        <f t="shared" si="0"/>
        <v>37</v>
      </c>
      <c r="B40" s="3" t="s">
        <v>278</v>
      </c>
      <c r="C40" s="3" t="s">
        <v>59</v>
      </c>
      <c r="D40" s="3" t="s">
        <v>238</v>
      </c>
      <c r="E40" s="3"/>
      <c r="F40" s="10"/>
      <c r="G40" s="10"/>
      <c r="H40" s="10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  <c r="CU40" s="3"/>
      <c r="CV40" s="3"/>
      <c r="CW40" s="3"/>
      <c r="CX40" s="3"/>
      <c r="CY40" s="3"/>
      <c r="CZ40" s="3"/>
      <c r="DA40" s="3"/>
    </row>
    <row r="41" spans="1:105" x14ac:dyDescent="0.25">
      <c r="A41" s="8">
        <f t="shared" si="0"/>
        <v>38</v>
      </c>
      <c r="B41" s="3" t="s">
        <v>279</v>
      </c>
      <c r="C41" s="3" t="s">
        <v>280</v>
      </c>
      <c r="D41" s="3" t="s">
        <v>2</v>
      </c>
      <c r="E41" s="3"/>
      <c r="F41" s="10"/>
      <c r="G41" s="10"/>
      <c r="H41" s="10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  <c r="CU41" s="3"/>
      <c r="CV41" s="3"/>
      <c r="CW41" s="3"/>
      <c r="CX41" s="3"/>
      <c r="CY41" s="3"/>
      <c r="CZ41" s="3"/>
      <c r="DA41" s="3"/>
    </row>
    <row r="42" spans="1:105" x14ac:dyDescent="0.25">
      <c r="A42" s="8">
        <f t="shared" si="0"/>
        <v>39</v>
      </c>
      <c r="B42" s="3" t="s">
        <v>281</v>
      </c>
      <c r="C42" s="3" t="s">
        <v>282</v>
      </c>
      <c r="D42" s="3" t="s">
        <v>10</v>
      </c>
      <c r="E42" s="3"/>
      <c r="F42" s="10"/>
      <c r="G42" s="10"/>
      <c r="H42" s="10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  <c r="CU42" s="3"/>
      <c r="CV42" s="3"/>
      <c r="CW42" s="3"/>
      <c r="CX42" s="3"/>
      <c r="CY42" s="3"/>
      <c r="CZ42" s="3"/>
      <c r="DA42" s="3"/>
    </row>
    <row r="43" spans="1:105" x14ac:dyDescent="0.25">
      <c r="A43" s="8">
        <f t="shared" si="0"/>
        <v>40</v>
      </c>
      <c r="B43" s="3" t="s">
        <v>283</v>
      </c>
      <c r="C43" s="3" t="s">
        <v>284</v>
      </c>
      <c r="D43" s="3" t="s">
        <v>238</v>
      </c>
      <c r="E43" s="3"/>
      <c r="F43" s="10"/>
      <c r="G43" s="10"/>
      <c r="H43" s="10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  <c r="CU43" s="3"/>
      <c r="CV43" s="3"/>
      <c r="CW43" s="3"/>
      <c r="CX43" s="3"/>
      <c r="CY43" s="3"/>
      <c r="CZ43" s="3"/>
      <c r="DA43" s="3"/>
    </row>
    <row r="44" spans="1:105" x14ac:dyDescent="0.25">
      <c r="A44" s="8">
        <f t="shared" si="0"/>
        <v>41</v>
      </c>
      <c r="B44" s="3" t="s">
        <v>285</v>
      </c>
      <c r="C44" s="13" t="s">
        <v>286</v>
      </c>
      <c r="D44" s="3" t="s">
        <v>238</v>
      </c>
      <c r="E44" s="3"/>
      <c r="F44" s="10"/>
      <c r="G44" s="10"/>
      <c r="H44" s="10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  <c r="CU44" s="3"/>
      <c r="CV44" s="3"/>
      <c r="CW44" s="3"/>
      <c r="CX44" s="3"/>
      <c r="CY44" s="3"/>
      <c r="CZ44" s="3"/>
      <c r="DA44" s="3"/>
    </row>
    <row r="45" spans="1:105" x14ac:dyDescent="0.25">
      <c r="A45" s="8">
        <f t="shared" si="0"/>
        <v>42</v>
      </c>
      <c r="B45" s="3" t="s">
        <v>287</v>
      </c>
      <c r="C45" s="3" t="s">
        <v>288</v>
      </c>
      <c r="D45" s="3" t="s">
        <v>266</v>
      </c>
      <c r="E45" s="3"/>
      <c r="F45" s="10"/>
      <c r="G45" s="10"/>
      <c r="H45" s="10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  <c r="CQ45" s="3"/>
      <c r="CR45" s="3"/>
      <c r="CS45" s="3"/>
      <c r="CT45" s="3"/>
      <c r="CU45" s="3"/>
      <c r="CV45" s="3"/>
      <c r="CW45" s="3"/>
      <c r="CX45" s="3"/>
      <c r="CY45" s="3"/>
      <c r="CZ45" s="3"/>
      <c r="DA45" s="3"/>
    </row>
    <row r="46" spans="1:105" x14ac:dyDescent="0.25">
      <c r="A46" s="8">
        <f t="shared" si="0"/>
        <v>43</v>
      </c>
      <c r="B46" s="3" t="s">
        <v>289</v>
      </c>
      <c r="C46" s="3" t="s">
        <v>290</v>
      </c>
      <c r="D46" s="3" t="s">
        <v>238</v>
      </c>
      <c r="E46" s="3"/>
      <c r="F46" s="10"/>
      <c r="G46" s="10"/>
      <c r="H46" s="10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  <c r="CP46" s="3"/>
      <c r="CQ46" s="3"/>
      <c r="CR46" s="3"/>
      <c r="CS46" s="3"/>
      <c r="CT46" s="3"/>
      <c r="CU46" s="3"/>
      <c r="CV46" s="3"/>
      <c r="CW46" s="3"/>
      <c r="CX46" s="3"/>
      <c r="CY46" s="3"/>
      <c r="CZ46" s="3"/>
      <c r="DA46" s="3"/>
    </row>
    <row r="47" spans="1:105" x14ac:dyDescent="0.25">
      <c r="A47" s="8">
        <f t="shared" si="0"/>
        <v>44</v>
      </c>
      <c r="B47" s="3" t="s">
        <v>291</v>
      </c>
      <c r="C47" s="3" t="s">
        <v>292</v>
      </c>
      <c r="D47" s="3" t="s">
        <v>10</v>
      </c>
      <c r="E47" s="3"/>
      <c r="F47" s="10"/>
      <c r="G47" s="10"/>
      <c r="H47" s="10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  <c r="CR47" s="3"/>
      <c r="CS47" s="3"/>
      <c r="CT47" s="3"/>
      <c r="CU47" s="3"/>
      <c r="CV47" s="3"/>
      <c r="CW47" s="3"/>
      <c r="CX47" s="3"/>
      <c r="CY47" s="3"/>
      <c r="CZ47" s="3"/>
      <c r="DA47" s="3"/>
    </row>
    <row r="48" spans="1:105" x14ac:dyDescent="0.25">
      <c r="A48" s="8">
        <f t="shared" si="0"/>
        <v>45</v>
      </c>
      <c r="B48" s="3" t="s">
        <v>293</v>
      </c>
      <c r="C48" s="3" t="s">
        <v>294</v>
      </c>
      <c r="D48" s="3" t="s">
        <v>238</v>
      </c>
      <c r="E48" s="3"/>
      <c r="F48" s="10"/>
      <c r="G48" s="10"/>
      <c r="H48" s="10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  <c r="CQ48" s="3"/>
      <c r="CR48" s="3"/>
      <c r="CS48" s="3"/>
      <c r="CT48" s="3"/>
      <c r="CU48" s="3"/>
      <c r="CV48" s="3"/>
      <c r="CW48" s="3"/>
      <c r="CX48" s="3"/>
      <c r="CY48" s="3"/>
      <c r="CZ48" s="3"/>
      <c r="DA48" s="3"/>
    </row>
    <row r="49" spans="1:105" x14ac:dyDescent="0.25">
      <c r="A49" s="8">
        <f t="shared" si="0"/>
        <v>46</v>
      </c>
      <c r="B49" s="3" t="s">
        <v>295</v>
      </c>
      <c r="C49" s="3" t="s">
        <v>296</v>
      </c>
      <c r="D49" s="3" t="s">
        <v>2</v>
      </c>
      <c r="E49" s="3"/>
      <c r="F49" s="10"/>
      <c r="G49" s="10"/>
      <c r="H49" s="10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  <c r="CQ49" s="3"/>
      <c r="CR49" s="3"/>
      <c r="CS49" s="3"/>
      <c r="CT49" s="3"/>
      <c r="CU49" s="3"/>
      <c r="CV49" s="3"/>
      <c r="CW49" s="3"/>
      <c r="CX49" s="3"/>
      <c r="CY49" s="3"/>
      <c r="CZ49" s="3"/>
      <c r="DA49" s="3"/>
    </row>
    <row r="50" spans="1:105" x14ac:dyDescent="0.25">
      <c r="A50" s="8">
        <f t="shared" si="0"/>
        <v>47</v>
      </c>
      <c r="B50" s="3" t="s">
        <v>297</v>
      </c>
      <c r="C50" s="3" t="s">
        <v>298</v>
      </c>
      <c r="D50" s="3" t="s">
        <v>238</v>
      </c>
      <c r="E50" s="3"/>
      <c r="F50" s="10"/>
      <c r="G50" s="10"/>
      <c r="H50" s="10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  <c r="CN50" s="3"/>
      <c r="CO50" s="3"/>
      <c r="CP50" s="3"/>
      <c r="CQ50" s="3"/>
      <c r="CR50" s="3"/>
      <c r="CS50" s="3"/>
      <c r="CT50" s="3"/>
      <c r="CU50" s="3"/>
      <c r="CV50" s="3"/>
      <c r="CW50" s="3"/>
      <c r="CX50" s="3"/>
      <c r="CY50" s="3"/>
      <c r="CZ50" s="3"/>
      <c r="DA50" s="3"/>
    </row>
    <row r="51" spans="1:105" x14ac:dyDescent="0.25">
      <c r="A51" s="8">
        <f t="shared" si="0"/>
        <v>48</v>
      </c>
      <c r="B51" s="3" t="s">
        <v>299</v>
      </c>
      <c r="C51" s="3" t="s">
        <v>300</v>
      </c>
      <c r="D51" s="3" t="s">
        <v>238</v>
      </c>
      <c r="E51" s="3"/>
      <c r="F51" s="10"/>
      <c r="G51" s="10"/>
      <c r="H51" s="10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  <c r="CN51" s="3"/>
      <c r="CO51" s="3"/>
      <c r="CP51" s="3"/>
      <c r="CQ51" s="3"/>
      <c r="CR51" s="3"/>
      <c r="CS51" s="3"/>
      <c r="CT51" s="3"/>
      <c r="CU51" s="3"/>
      <c r="CV51" s="3"/>
      <c r="CW51" s="3"/>
      <c r="CX51" s="3"/>
      <c r="CY51" s="3"/>
      <c r="CZ51" s="3"/>
      <c r="DA51" s="3"/>
    </row>
    <row r="52" spans="1:105" x14ac:dyDescent="0.25">
      <c r="A52" s="8">
        <f t="shared" si="0"/>
        <v>49</v>
      </c>
      <c r="B52" s="3" t="s">
        <v>301</v>
      </c>
      <c r="C52" s="3" t="s">
        <v>302</v>
      </c>
      <c r="D52" s="3" t="s">
        <v>104</v>
      </c>
      <c r="E52" s="3"/>
      <c r="F52" s="10"/>
      <c r="G52" s="10"/>
      <c r="H52" s="10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  <c r="CI52" s="3"/>
      <c r="CJ52" s="3"/>
      <c r="CK52" s="3"/>
      <c r="CL52" s="3"/>
      <c r="CM52" s="3"/>
      <c r="CN52" s="3"/>
      <c r="CO52" s="3"/>
      <c r="CP52" s="3"/>
      <c r="CQ52" s="3"/>
      <c r="CR52" s="3"/>
      <c r="CS52" s="3"/>
      <c r="CT52" s="3"/>
      <c r="CU52" s="3"/>
      <c r="CV52" s="3"/>
      <c r="CW52" s="3"/>
      <c r="CX52" s="3"/>
      <c r="CY52" s="3"/>
      <c r="CZ52" s="3"/>
      <c r="DA52" s="3"/>
    </row>
    <row r="53" spans="1:105" x14ac:dyDescent="0.25">
      <c r="A53" s="8">
        <f t="shared" si="0"/>
        <v>50</v>
      </c>
      <c r="B53" s="3" t="s">
        <v>303</v>
      </c>
      <c r="C53" s="3" t="s">
        <v>304</v>
      </c>
      <c r="D53" s="3" t="s">
        <v>78</v>
      </c>
      <c r="E53" s="3"/>
      <c r="F53" s="10"/>
      <c r="G53" s="10"/>
      <c r="H53" s="10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  <c r="CI53" s="3"/>
      <c r="CJ53" s="3"/>
      <c r="CK53" s="3"/>
      <c r="CL53" s="3"/>
      <c r="CM53" s="3"/>
      <c r="CN53" s="3"/>
      <c r="CO53" s="3"/>
      <c r="CP53" s="3"/>
      <c r="CQ53" s="3"/>
      <c r="CR53" s="3"/>
      <c r="CS53" s="3"/>
      <c r="CT53" s="3"/>
      <c r="CU53" s="3"/>
      <c r="CV53" s="3"/>
      <c r="CW53" s="3"/>
      <c r="CX53" s="3"/>
      <c r="CY53" s="3"/>
      <c r="CZ53" s="3"/>
      <c r="DA53" s="3"/>
    </row>
    <row r="54" spans="1:105" x14ac:dyDescent="0.25">
      <c r="A54" s="8">
        <f t="shared" si="0"/>
        <v>51</v>
      </c>
      <c r="B54" s="1" t="s">
        <v>305</v>
      </c>
      <c r="C54" s="3" t="s">
        <v>306</v>
      </c>
      <c r="D54" s="3" t="s">
        <v>307</v>
      </c>
      <c r="E54" s="9">
        <f>+[8]Main!$I$2</f>
        <v>0.74150000000000005</v>
      </c>
      <c r="F54" s="10">
        <f>+[8]Main!$I$4*FX!C5</f>
        <v>796.21973400000002</v>
      </c>
      <c r="G54" s="10">
        <f>+([8]Main!$I$6-[8]Main!$I$5)*FX!C5</f>
        <v>1324.4429999999998</v>
      </c>
      <c r="H54" s="10">
        <f>+F54+G54</f>
        <v>2120.6627339999995</v>
      </c>
      <c r="I54" s="11" t="s">
        <v>236</v>
      </c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  <c r="CI54" s="3"/>
      <c r="CJ54" s="3"/>
      <c r="CK54" s="3"/>
      <c r="CL54" s="3"/>
      <c r="CM54" s="3"/>
      <c r="CN54" s="3"/>
      <c r="CO54" s="3"/>
      <c r="CP54" s="3"/>
      <c r="CQ54" s="3"/>
      <c r="CR54" s="3"/>
      <c r="CS54" s="3"/>
      <c r="CT54" s="3"/>
      <c r="CU54" s="3"/>
      <c r="CV54" s="3"/>
      <c r="CW54" s="3"/>
      <c r="CX54" s="3"/>
      <c r="CY54" s="3"/>
      <c r="CZ54" s="3"/>
      <c r="DA54" s="3"/>
    </row>
    <row r="55" spans="1:105" x14ac:dyDescent="0.25">
      <c r="A55" s="8">
        <f t="shared" si="0"/>
        <v>52</v>
      </c>
      <c r="B55" s="3" t="s">
        <v>308</v>
      </c>
      <c r="C55" s="3" t="s">
        <v>309</v>
      </c>
      <c r="D55" s="3" t="s">
        <v>246</v>
      </c>
      <c r="E55" s="3"/>
      <c r="F55" s="10"/>
      <c r="G55" s="10"/>
      <c r="H55" s="10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/>
      <c r="CP55" s="3"/>
      <c r="CQ55" s="3"/>
      <c r="CR55" s="3"/>
      <c r="CS55" s="3"/>
      <c r="CT55" s="3"/>
      <c r="CU55" s="3"/>
      <c r="CV55" s="3"/>
      <c r="CW55" s="3"/>
      <c r="CX55" s="3"/>
      <c r="CY55" s="3"/>
      <c r="CZ55" s="3"/>
      <c r="DA55" s="3"/>
    </row>
    <row r="56" spans="1:105" x14ac:dyDescent="0.25">
      <c r="A56" s="8">
        <f t="shared" si="0"/>
        <v>53</v>
      </c>
      <c r="B56" s="3" t="s">
        <v>310</v>
      </c>
      <c r="C56" s="3" t="s">
        <v>311</v>
      </c>
      <c r="D56" s="3" t="s">
        <v>2</v>
      </c>
      <c r="E56" s="3"/>
      <c r="F56" s="10"/>
      <c r="G56" s="10"/>
      <c r="H56" s="10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/>
      <c r="CL56" s="3"/>
      <c r="CM56" s="3"/>
      <c r="CN56" s="3"/>
      <c r="CO56" s="3"/>
      <c r="CP56" s="3"/>
      <c r="CQ56" s="3"/>
      <c r="CR56" s="3"/>
      <c r="CS56" s="3"/>
      <c r="CT56" s="3"/>
      <c r="CU56" s="3"/>
      <c r="CV56" s="3"/>
      <c r="CW56" s="3"/>
      <c r="CX56" s="3"/>
      <c r="CY56" s="3"/>
      <c r="CZ56" s="3"/>
      <c r="DA56" s="3"/>
    </row>
    <row r="57" spans="1:105" x14ac:dyDescent="0.25">
      <c r="A57" s="8">
        <f t="shared" si="0"/>
        <v>54</v>
      </c>
      <c r="B57" s="3" t="s">
        <v>312</v>
      </c>
      <c r="C57" s="3" t="s">
        <v>312</v>
      </c>
      <c r="D57" s="3" t="s">
        <v>313</v>
      </c>
      <c r="E57" s="3"/>
      <c r="F57" s="10"/>
      <c r="G57" s="10"/>
      <c r="H57" s="10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  <c r="CP57" s="3"/>
      <c r="CQ57" s="3"/>
      <c r="CR57" s="3"/>
      <c r="CS57" s="3"/>
      <c r="CT57" s="3"/>
      <c r="CU57" s="3"/>
      <c r="CV57" s="3"/>
      <c r="CW57" s="3"/>
      <c r="CX57" s="3"/>
      <c r="CY57" s="3"/>
      <c r="CZ57" s="3"/>
      <c r="DA57" s="3"/>
    </row>
    <row r="58" spans="1:105" x14ac:dyDescent="0.25">
      <c r="A58" s="8">
        <f t="shared" si="0"/>
        <v>55</v>
      </c>
      <c r="B58" s="3" t="s">
        <v>314</v>
      </c>
      <c r="C58" s="3" t="s">
        <v>315</v>
      </c>
      <c r="D58" s="3" t="s">
        <v>238</v>
      </c>
      <c r="E58" s="3"/>
      <c r="F58" s="10"/>
      <c r="G58" s="10"/>
      <c r="H58" s="10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3"/>
      <c r="CN58" s="3"/>
      <c r="CO58" s="3"/>
      <c r="CP58" s="3"/>
      <c r="CQ58" s="3"/>
      <c r="CR58" s="3"/>
      <c r="CS58" s="3"/>
      <c r="CT58" s="3"/>
      <c r="CU58" s="3"/>
      <c r="CV58" s="3"/>
      <c r="CW58" s="3"/>
      <c r="CX58" s="3"/>
      <c r="CY58" s="3"/>
      <c r="CZ58" s="3"/>
      <c r="DA58" s="3"/>
    </row>
    <row r="59" spans="1:105" x14ac:dyDescent="0.25">
      <c r="A59" s="8">
        <f t="shared" si="0"/>
        <v>56</v>
      </c>
      <c r="B59" s="3" t="s">
        <v>316</v>
      </c>
      <c r="C59" s="3" t="s">
        <v>317</v>
      </c>
      <c r="D59" s="3" t="s">
        <v>2</v>
      </c>
      <c r="E59" s="3"/>
      <c r="F59" s="10"/>
      <c r="G59" s="10"/>
      <c r="H59" s="10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  <c r="CI59" s="3"/>
      <c r="CJ59" s="3"/>
      <c r="CK59" s="3"/>
      <c r="CL59" s="3"/>
      <c r="CM59" s="3"/>
      <c r="CN59" s="3"/>
      <c r="CO59" s="3"/>
      <c r="CP59" s="3"/>
      <c r="CQ59" s="3"/>
      <c r="CR59" s="3"/>
      <c r="CS59" s="3"/>
      <c r="CT59" s="3"/>
      <c r="CU59" s="3"/>
      <c r="CV59" s="3"/>
      <c r="CW59" s="3"/>
      <c r="CX59" s="3"/>
      <c r="CY59" s="3"/>
      <c r="CZ59" s="3"/>
      <c r="DA59" s="3"/>
    </row>
    <row r="60" spans="1:105" x14ac:dyDescent="0.25">
      <c r="A60" s="8">
        <f t="shared" si="0"/>
        <v>57</v>
      </c>
      <c r="B60" s="3" t="s">
        <v>318</v>
      </c>
      <c r="C60" s="3" t="s">
        <v>319</v>
      </c>
      <c r="D60" s="3" t="s">
        <v>2</v>
      </c>
      <c r="E60" s="3"/>
      <c r="F60" s="10"/>
      <c r="G60" s="10"/>
      <c r="H60" s="10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  <c r="CI60" s="3"/>
      <c r="CJ60" s="3"/>
      <c r="CK60" s="3"/>
      <c r="CL60" s="3"/>
      <c r="CM60" s="3"/>
      <c r="CN60" s="3"/>
      <c r="CO60" s="3"/>
      <c r="CP60" s="3"/>
      <c r="CQ60" s="3"/>
      <c r="CR60" s="3"/>
      <c r="CS60" s="3"/>
      <c r="CT60" s="3"/>
      <c r="CU60" s="3"/>
      <c r="CV60" s="3"/>
      <c r="CW60" s="3"/>
      <c r="CX60" s="3"/>
      <c r="CY60" s="3"/>
      <c r="CZ60" s="3"/>
      <c r="DA60" s="3"/>
    </row>
    <row r="61" spans="1:105" x14ac:dyDescent="0.25">
      <c r="A61" s="8">
        <f t="shared" si="0"/>
        <v>58</v>
      </c>
      <c r="B61" s="3" t="s">
        <v>320</v>
      </c>
      <c r="C61" s="3" t="s">
        <v>321</v>
      </c>
      <c r="D61" s="3" t="s">
        <v>322</v>
      </c>
      <c r="E61" s="3"/>
      <c r="F61" s="10"/>
      <c r="G61" s="10"/>
      <c r="H61" s="10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3"/>
      <c r="CN61" s="3"/>
      <c r="CO61" s="3"/>
      <c r="CP61" s="3"/>
      <c r="CQ61" s="3"/>
      <c r="CR61" s="3"/>
      <c r="CS61" s="3"/>
      <c r="CT61" s="3"/>
      <c r="CU61" s="3"/>
      <c r="CV61" s="3"/>
      <c r="CW61" s="3"/>
      <c r="CX61" s="3"/>
      <c r="CY61" s="3"/>
      <c r="CZ61" s="3"/>
      <c r="DA61" s="3"/>
    </row>
    <row r="62" spans="1:105" x14ac:dyDescent="0.25">
      <c r="A62" s="8">
        <f t="shared" si="0"/>
        <v>59</v>
      </c>
      <c r="B62" s="3" t="s">
        <v>323</v>
      </c>
      <c r="C62" s="3" t="s">
        <v>324</v>
      </c>
      <c r="D62" s="3" t="s">
        <v>2</v>
      </c>
      <c r="E62" s="3"/>
      <c r="F62" s="10"/>
      <c r="G62" s="10"/>
      <c r="H62" s="10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3"/>
      <c r="CL62" s="3"/>
      <c r="CM62" s="3"/>
      <c r="CN62" s="3"/>
      <c r="CO62" s="3"/>
      <c r="CP62" s="3"/>
      <c r="CQ62" s="3"/>
      <c r="CR62" s="3"/>
      <c r="CS62" s="3"/>
      <c r="CT62" s="3"/>
      <c r="CU62" s="3"/>
      <c r="CV62" s="3"/>
      <c r="CW62" s="3"/>
      <c r="CX62" s="3"/>
      <c r="CY62" s="3"/>
      <c r="CZ62" s="3"/>
      <c r="DA62" s="3"/>
    </row>
    <row r="63" spans="1:105" x14ac:dyDescent="0.25">
      <c r="A63" s="8">
        <f t="shared" si="0"/>
        <v>60</v>
      </c>
      <c r="B63" s="3" t="s">
        <v>325</v>
      </c>
      <c r="C63" s="3" t="s">
        <v>326</v>
      </c>
      <c r="D63" s="3" t="s">
        <v>2</v>
      </c>
      <c r="E63" s="3"/>
      <c r="F63" s="10"/>
      <c r="G63" s="10"/>
      <c r="H63" s="10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  <c r="CF63" s="3"/>
      <c r="CG63" s="3"/>
      <c r="CH63" s="3"/>
      <c r="CI63" s="3"/>
      <c r="CJ63" s="3"/>
      <c r="CK63" s="3"/>
      <c r="CL63" s="3"/>
      <c r="CM63" s="3"/>
      <c r="CN63" s="3"/>
      <c r="CO63" s="3"/>
      <c r="CP63" s="3"/>
      <c r="CQ63" s="3"/>
      <c r="CR63" s="3"/>
      <c r="CS63" s="3"/>
      <c r="CT63" s="3"/>
      <c r="CU63" s="3"/>
      <c r="CV63" s="3"/>
      <c r="CW63" s="3"/>
      <c r="CX63" s="3"/>
      <c r="CY63" s="3"/>
      <c r="CZ63" s="3"/>
      <c r="DA63" s="3"/>
    </row>
    <row r="64" spans="1:105" x14ac:dyDescent="0.25">
      <c r="A64" s="8">
        <f t="shared" si="0"/>
        <v>61</v>
      </c>
      <c r="B64" s="3" t="s">
        <v>327</v>
      </c>
      <c r="C64" s="3" t="s">
        <v>328</v>
      </c>
      <c r="D64" s="3" t="s">
        <v>2</v>
      </c>
      <c r="E64" s="3"/>
      <c r="F64" s="10"/>
      <c r="G64" s="10"/>
      <c r="H64" s="10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  <c r="CG64" s="3"/>
      <c r="CH64" s="3"/>
      <c r="CI64" s="3"/>
      <c r="CJ64" s="3"/>
      <c r="CK64" s="3"/>
      <c r="CL64" s="3"/>
      <c r="CM64" s="3"/>
      <c r="CN64" s="3"/>
      <c r="CO64" s="3"/>
      <c r="CP64" s="3"/>
      <c r="CQ64" s="3"/>
      <c r="CR64" s="3"/>
      <c r="CS64" s="3"/>
      <c r="CT64" s="3"/>
      <c r="CU64" s="3"/>
      <c r="CV64" s="3"/>
      <c r="CW64" s="3"/>
      <c r="CX64" s="3"/>
      <c r="CY64" s="3"/>
      <c r="CZ64" s="3"/>
      <c r="DA64" s="3"/>
    </row>
    <row r="65" spans="1:105" x14ac:dyDescent="0.25">
      <c r="A65" s="8">
        <f t="shared" si="0"/>
        <v>62</v>
      </c>
      <c r="B65" s="3" t="s">
        <v>329</v>
      </c>
      <c r="C65" s="3" t="s">
        <v>330</v>
      </c>
      <c r="D65" s="3" t="s">
        <v>2</v>
      </c>
      <c r="E65" s="3"/>
      <c r="F65" s="10"/>
      <c r="G65" s="10"/>
      <c r="H65" s="10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  <c r="CG65" s="3"/>
      <c r="CH65" s="3"/>
      <c r="CI65" s="3"/>
      <c r="CJ65" s="3"/>
      <c r="CK65" s="3"/>
      <c r="CL65" s="3"/>
      <c r="CM65" s="3"/>
      <c r="CN65" s="3"/>
      <c r="CO65" s="3"/>
      <c r="CP65" s="3"/>
      <c r="CQ65" s="3"/>
      <c r="CR65" s="3"/>
      <c r="CS65" s="3"/>
      <c r="CT65" s="3"/>
      <c r="CU65" s="3"/>
      <c r="CV65" s="3"/>
      <c r="CW65" s="3"/>
      <c r="CX65" s="3"/>
      <c r="CY65" s="3"/>
      <c r="CZ65" s="3"/>
      <c r="DA65" s="3"/>
    </row>
    <row r="66" spans="1:105" x14ac:dyDescent="0.25">
      <c r="A66" s="8">
        <f t="shared" si="0"/>
        <v>63</v>
      </c>
      <c r="B66" s="1" t="s">
        <v>331</v>
      </c>
      <c r="C66" s="3" t="s">
        <v>332</v>
      </c>
      <c r="D66" s="3" t="s">
        <v>31</v>
      </c>
      <c r="E66" s="3"/>
      <c r="F66" s="10"/>
      <c r="G66" s="10"/>
      <c r="H66" s="10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  <c r="CF66" s="3"/>
      <c r="CG66" s="3"/>
      <c r="CH66" s="3"/>
      <c r="CI66" s="3"/>
      <c r="CJ66" s="3"/>
      <c r="CK66" s="3"/>
      <c r="CL66" s="3"/>
      <c r="CM66" s="3"/>
      <c r="CN66" s="3"/>
      <c r="CO66" s="3"/>
      <c r="CP66" s="3"/>
      <c r="CQ66" s="3"/>
      <c r="CR66" s="3"/>
      <c r="CS66" s="3"/>
      <c r="CT66" s="3"/>
      <c r="CU66" s="3"/>
      <c r="CV66" s="3"/>
      <c r="CW66" s="3"/>
      <c r="CX66" s="3"/>
      <c r="CY66" s="3"/>
      <c r="CZ66" s="3"/>
      <c r="DA66" s="3"/>
    </row>
    <row r="67" spans="1:105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  <c r="CG67" s="3"/>
      <c r="CH67" s="3"/>
      <c r="CI67" s="3"/>
      <c r="CJ67" s="3"/>
      <c r="CK67" s="3"/>
      <c r="CL67" s="3"/>
      <c r="CM67" s="3"/>
      <c r="CN67" s="3"/>
      <c r="CO67" s="3"/>
      <c r="CP67" s="3"/>
      <c r="CQ67" s="3"/>
      <c r="CR67" s="3"/>
      <c r="CS67" s="3"/>
      <c r="CT67" s="3"/>
      <c r="CU67" s="3"/>
      <c r="CV67" s="3"/>
      <c r="CW67" s="3"/>
      <c r="CX67" s="3"/>
      <c r="CY67" s="3"/>
      <c r="CZ67" s="3"/>
      <c r="DA67" s="3"/>
    </row>
    <row r="68" spans="1:105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  <c r="CF68" s="3"/>
      <c r="CG68" s="3"/>
      <c r="CH68" s="3"/>
      <c r="CI68" s="3"/>
      <c r="CJ68" s="3"/>
      <c r="CK68" s="3"/>
      <c r="CL68" s="3"/>
      <c r="CM68" s="3"/>
      <c r="CN68" s="3"/>
      <c r="CO68" s="3"/>
      <c r="CP68" s="3"/>
      <c r="CQ68" s="3"/>
      <c r="CR68" s="3"/>
      <c r="CS68" s="3"/>
      <c r="CT68" s="3"/>
      <c r="CU68" s="3"/>
      <c r="CV68" s="3"/>
      <c r="CW68" s="3"/>
      <c r="CX68" s="3"/>
      <c r="CY68" s="3"/>
      <c r="CZ68" s="3"/>
      <c r="DA68" s="3"/>
    </row>
    <row r="69" spans="1:105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  <c r="CF69" s="3"/>
      <c r="CG69" s="3"/>
      <c r="CH69" s="3"/>
      <c r="CI69" s="3"/>
      <c r="CJ69" s="3"/>
      <c r="CK69" s="3"/>
      <c r="CL69" s="3"/>
      <c r="CM69" s="3"/>
      <c r="CN69" s="3"/>
      <c r="CO69" s="3"/>
      <c r="CP69" s="3"/>
      <c r="CQ69" s="3"/>
      <c r="CR69" s="3"/>
      <c r="CS69" s="3"/>
      <c r="CT69" s="3"/>
      <c r="CU69" s="3"/>
      <c r="CV69" s="3"/>
      <c r="CW69" s="3"/>
      <c r="CX69" s="3"/>
      <c r="CY69" s="3"/>
      <c r="CZ69" s="3"/>
      <c r="DA69" s="3"/>
    </row>
    <row r="70" spans="1:105" x14ac:dyDescent="0.25">
      <c r="A70" s="3"/>
      <c r="B70" s="32" t="s">
        <v>2596</v>
      </c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  <c r="CF70" s="3"/>
      <c r="CG70" s="3"/>
      <c r="CH70" s="3"/>
      <c r="CI70" s="3"/>
      <c r="CJ70" s="3"/>
      <c r="CK70" s="3"/>
      <c r="CL70" s="3"/>
      <c r="CM70" s="3"/>
      <c r="CN70" s="3"/>
      <c r="CO70" s="3"/>
      <c r="CP70" s="3"/>
      <c r="CQ70" s="3"/>
      <c r="CR70" s="3"/>
      <c r="CS70" s="3"/>
      <c r="CT70" s="3"/>
      <c r="CU70" s="3"/>
      <c r="CV70" s="3"/>
      <c r="CW70" s="3"/>
      <c r="CX70" s="3"/>
      <c r="CY70" s="3"/>
      <c r="CZ70" s="3"/>
      <c r="DA70" s="3"/>
    </row>
    <row r="71" spans="1:105" x14ac:dyDescent="0.25">
      <c r="A71" s="3"/>
      <c r="B71" s="32" t="s">
        <v>2597</v>
      </c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  <c r="CF71" s="3"/>
      <c r="CG71" s="3"/>
      <c r="CH71" s="3"/>
      <c r="CI71" s="3"/>
      <c r="CJ71" s="3"/>
      <c r="CK71" s="3"/>
      <c r="CL71" s="3"/>
      <c r="CM71" s="3"/>
      <c r="CN71" s="3"/>
      <c r="CO71" s="3"/>
      <c r="CP71" s="3"/>
      <c r="CQ71" s="3"/>
      <c r="CR71" s="3"/>
      <c r="CS71" s="3"/>
      <c r="CT71" s="3"/>
      <c r="CU71" s="3"/>
      <c r="CV71" s="3"/>
      <c r="CW71" s="3"/>
      <c r="CX71" s="3"/>
      <c r="CY71" s="3"/>
      <c r="CZ71" s="3"/>
      <c r="DA71" s="3"/>
    </row>
    <row r="72" spans="1:105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  <c r="CF72" s="3"/>
      <c r="CG72" s="3"/>
      <c r="CH72" s="3"/>
      <c r="CI72" s="3"/>
      <c r="CJ72" s="3"/>
      <c r="CK72" s="3"/>
      <c r="CL72" s="3"/>
      <c r="CM72" s="3"/>
      <c r="CN72" s="3"/>
      <c r="CO72" s="3"/>
      <c r="CP72" s="3"/>
      <c r="CQ72" s="3"/>
      <c r="CR72" s="3"/>
      <c r="CS72" s="3"/>
      <c r="CT72" s="3"/>
      <c r="CU72" s="3"/>
      <c r="CV72" s="3"/>
      <c r="CW72" s="3"/>
      <c r="CX72" s="3"/>
      <c r="CY72" s="3"/>
      <c r="CZ72" s="3"/>
      <c r="DA72" s="3"/>
    </row>
    <row r="73" spans="1:105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  <c r="CG73" s="3"/>
      <c r="CH73" s="3"/>
      <c r="CI73" s="3"/>
      <c r="CJ73" s="3"/>
      <c r="CK73" s="3"/>
      <c r="CL73" s="3"/>
      <c r="CM73" s="3"/>
      <c r="CN73" s="3"/>
      <c r="CO73" s="3"/>
      <c r="CP73" s="3"/>
      <c r="CQ73" s="3"/>
      <c r="CR73" s="3"/>
      <c r="CS73" s="3"/>
      <c r="CT73" s="3"/>
      <c r="CU73" s="3"/>
      <c r="CV73" s="3"/>
      <c r="CW73" s="3"/>
      <c r="CX73" s="3"/>
      <c r="CY73" s="3"/>
      <c r="CZ73" s="3"/>
      <c r="DA73" s="3"/>
    </row>
    <row r="74" spans="1:105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  <c r="CD74" s="3"/>
      <c r="CE74" s="3"/>
      <c r="CF74" s="3"/>
      <c r="CG74" s="3"/>
      <c r="CH74" s="3"/>
      <c r="CI74" s="3"/>
      <c r="CJ74" s="3"/>
      <c r="CK74" s="3"/>
      <c r="CL74" s="3"/>
      <c r="CM74" s="3"/>
      <c r="CN74" s="3"/>
      <c r="CO74" s="3"/>
      <c r="CP74" s="3"/>
      <c r="CQ74" s="3"/>
      <c r="CR74" s="3"/>
      <c r="CS74" s="3"/>
      <c r="CT74" s="3"/>
      <c r="CU74" s="3"/>
      <c r="CV74" s="3"/>
      <c r="CW74" s="3"/>
      <c r="CX74" s="3"/>
      <c r="CY74" s="3"/>
      <c r="CZ74" s="3"/>
      <c r="DA74" s="3"/>
    </row>
    <row r="75" spans="1:105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  <c r="CD75" s="3"/>
      <c r="CE75" s="3"/>
      <c r="CF75" s="3"/>
      <c r="CG75" s="3"/>
      <c r="CH75" s="3"/>
      <c r="CI75" s="3"/>
      <c r="CJ75" s="3"/>
      <c r="CK75" s="3"/>
      <c r="CL75" s="3"/>
      <c r="CM75" s="3"/>
      <c r="CN75" s="3"/>
      <c r="CO75" s="3"/>
      <c r="CP75" s="3"/>
      <c r="CQ75" s="3"/>
      <c r="CR75" s="3"/>
      <c r="CS75" s="3"/>
      <c r="CT75" s="3"/>
      <c r="CU75" s="3"/>
      <c r="CV75" s="3"/>
      <c r="CW75" s="3"/>
      <c r="CX75" s="3"/>
      <c r="CY75" s="3"/>
      <c r="CZ75" s="3"/>
      <c r="DA75" s="3"/>
    </row>
    <row r="76" spans="1:105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  <c r="CP76" s="3"/>
      <c r="CQ76" s="3"/>
      <c r="CR76" s="3"/>
      <c r="CS76" s="3"/>
      <c r="CT76" s="3"/>
      <c r="CU76" s="3"/>
      <c r="CV76" s="3"/>
      <c r="CW76" s="3"/>
      <c r="CX76" s="3"/>
      <c r="CY76" s="3"/>
      <c r="CZ76" s="3"/>
      <c r="DA76" s="3"/>
    </row>
    <row r="77" spans="1:105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/>
      <c r="CN77" s="3"/>
      <c r="CO77" s="3"/>
      <c r="CP77" s="3"/>
      <c r="CQ77" s="3"/>
      <c r="CR77" s="3"/>
      <c r="CS77" s="3"/>
      <c r="CT77" s="3"/>
      <c r="CU77" s="3"/>
      <c r="CV77" s="3"/>
      <c r="CW77" s="3"/>
      <c r="CX77" s="3"/>
      <c r="CY77" s="3"/>
      <c r="CZ77" s="3"/>
      <c r="DA77" s="3"/>
    </row>
    <row r="78" spans="1:105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  <c r="BS78" s="3"/>
      <c r="BT78" s="3"/>
      <c r="BU78" s="3"/>
      <c r="BV78" s="3"/>
      <c r="BW78" s="3"/>
      <c r="BX78" s="3"/>
      <c r="BY78" s="3"/>
      <c r="BZ78" s="3"/>
      <c r="CA78" s="3"/>
      <c r="CB78" s="3"/>
      <c r="CC78" s="3"/>
      <c r="CD78" s="3"/>
      <c r="CE78" s="3"/>
      <c r="CF78" s="3"/>
      <c r="CG78" s="3"/>
      <c r="CH78" s="3"/>
      <c r="CI78" s="3"/>
      <c r="CJ78" s="3"/>
      <c r="CK78" s="3"/>
      <c r="CL78" s="3"/>
      <c r="CM78" s="3"/>
      <c r="CN78" s="3"/>
      <c r="CO78" s="3"/>
      <c r="CP78" s="3"/>
      <c r="CQ78" s="3"/>
      <c r="CR78" s="3"/>
      <c r="CS78" s="3"/>
      <c r="CT78" s="3"/>
      <c r="CU78" s="3"/>
      <c r="CV78" s="3"/>
      <c r="CW78" s="3"/>
      <c r="CX78" s="3"/>
      <c r="CY78" s="3"/>
      <c r="CZ78" s="3"/>
      <c r="DA78" s="3"/>
    </row>
    <row r="79" spans="1:105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  <c r="BS79" s="3"/>
      <c r="BT79" s="3"/>
      <c r="BU79" s="3"/>
      <c r="BV79" s="3"/>
      <c r="BW79" s="3"/>
      <c r="BX79" s="3"/>
      <c r="BY79" s="3"/>
      <c r="BZ79" s="3"/>
      <c r="CA79" s="3"/>
      <c r="CB79" s="3"/>
      <c r="CC79" s="3"/>
      <c r="CD79" s="3"/>
      <c r="CE79" s="3"/>
      <c r="CF79" s="3"/>
      <c r="CG79" s="3"/>
      <c r="CH79" s="3"/>
      <c r="CI79" s="3"/>
      <c r="CJ79" s="3"/>
      <c r="CK79" s="3"/>
      <c r="CL79" s="3"/>
      <c r="CM79" s="3"/>
      <c r="CN79" s="3"/>
      <c r="CO79" s="3"/>
      <c r="CP79" s="3"/>
      <c r="CQ79" s="3"/>
      <c r="CR79" s="3"/>
      <c r="CS79" s="3"/>
      <c r="CT79" s="3"/>
      <c r="CU79" s="3"/>
      <c r="CV79" s="3"/>
      <c r="CW79" s="3"/>
      <c r="CX79" s="3"/>
      <c r="CY79" s="3"/>
      <c r="CZ79" s="3"/>
      <c r="DA79" s="3"/>
    </row>
    <row r="80" spans="1:105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  <c r="CA80" s="3"/>
      <c r="CB80" s="3"/>
      <c r="CC80" s="3"/>
      <c r="CD80" s="3"/>
      <c r="CE80" s="3"/>
      <c r="CF80" s="3"/>
      <c r="CG80" s="3"/>
      <c r="CH80" s="3"/>
      <c r="CI80" s="3"/>
      <c r="CJ80" s="3"/>
      <c r="CK80" s="3"/>
      <c r="CL80" s="3"/>
      <c r="CM80" s="3"/>
      <c r="CN80" s="3"/>
      <c r="CO80" s="3"/>
      <c r="CP80" s="3"/>
      <c r="CQ80" s="3"/>
      <c r="CR80" s="3"/>
      <c r="CS80" s="3"/>
      <c r="CT80" s="3"/>
      <c r="CU80" s="3"/>
      <c r="CV80" s="3"/>
      <c r="CW80" s="3"/>
      <c r="CX80" s="3"/>
      <c r="CY80" s="3"/>
      <c r="CZ80" s="3"/>
      <c r="DA80" s="3"/>
    </row>
    <row r="81" spans="1:105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  <c r="CC81" s="3"/>
      <c r="CD81" s="3"/>
      <c r="CE81" s="3"/>
      <c r="CF81" s="3"/>
      <c r="CG81" s="3"/>
      <c r="CH81" s="3"/>
      <c r="CI81" s="3"/>
      <c r="CJ81" s="3"/>
      <c r="CK81" s="3"/>
      <c r="CL81" s="3"/>
      <c r="CM81" s="3"/>
      <c r="CN81" s="3"/>
      <c r="CO81" s="3"/>
      <c r="CP81" s="3"/>
      <c r="CQ81" s="3"/>
      <c r="CR81" s="3"/>
      <c r="CS81" s="3"/>
      <c r="CT81" s="3"/>
      <c r="CU81" s="3"/>
      <c r="CV81" s="3"/>
      <c r="CW81" s="3"/>
      <c r="CX81" s="3"/>
      <c r="CY81" s="3"/>
      <c r="CZ81" s="3"/>
      <c r="DA81" s="3"/>
    </row>
    <row r="82" spans="1:105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/>
      <c r="CB82" s="3"/>
      <c r="CC82" s="3"/>
      <c r="CD82" s="3"/>
      <c r="CE82" s="3"/>
      <c r="CF82" s="3"/>
      <c r="CG82" s="3"/>
      <c r="CH82" s="3"/>
      <c r="CI82" s="3"/>
      <c r="CJ82" s="3"/>
      <c r="CK82" s="3"/>
      <c r="CL82" s="3"/>
      <c r="CM82" s="3"/>
      <c r="CN82" s="3"/>
      <c r="CO82" s="3"/>
      <c r="CP82" s="3"/>
      <c r="CQ82" s="3"/>
      <c r="CR82" s="3"/>
      <c r="CS82" s="3"/>
      <c r="CT82" s="3"/>
      <c r="CU82" s="3"/>
      <c r="CV82" s="3"/>
      <c r="CW82" s="3"/>
      <c r="CX82" s="3"/>
      <c r="CY82" s="3"/>
      <c r="CZ82" s="3"/>
      <c r="DA82" s="3"/>
    </row>
    <row r="83" spans="1:105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  <c r="CA83" s="3"/>
      <c r="CB83" s="3"/>
      <c r="CC83" s="3"/>
      <c r="CD83" s="3"/>
      <c r="CE83" s="3"/>
      <c r="CF83" s="3"/>
      <c r="CG83" s="3"/>
      <c r="CH83" s="3"/>
      <c r="CI83" s="3"/>
      <c r="CJ83" s="3"/>
      <c r="CK83" s="3"/>
      <c r="CL83" s="3"/>
      <c r="CM83" s="3"/>
      <c r="CN83" s="3"/>
      <c r="CO83" s="3"/>
      <c r="CP83" s="3"/>
      <c r="CQ83" s="3"/>
      <c r="CR83" s="3"/>
      <c r="CS83" s="3"/>
      <c r="CT83" s="3"/>
      <c r="CU83" s="3"/>
      <c r="CV83" s="3"/>
      <c r="CW83" s="3"/>
      <c r="CX83" s="3"/>
      <c r="CY83" s="3"/>
      <c r="CZ83" s="3"/>
      <c r="DA83" s="3"/>
    </row>
    <row r="84" spans="1:105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  <c r="CC84" s="3"/>
      <c r="CD84" s="3"/>
      <c r="CE84" s="3"/>
      <c r="CF84" s="3"/>
      <c r="CG84" s="3"/>
      <c r="CH84" s="3"/>
      <c r="CI84" s="3"/>
      <c r="CJ84" s="3"/>
      <c r="CK84" s="3"/>
      <c r="CL84" s="3"/>
      <c r="CM84" s="3"/>
      <c r="CN84" s="3"/>
      <c r="CO84" s="3"/>
      <c r="CP84" s="3"/>
      <c r="CQ84" s="3"/>
      <c r="CR84" s="3"/>
      <c r="CS84" s="3"/>
      <c r="CT84" s="3"/>
      <c r="CU84" s="3"/>
      <c r="CV84" s="3"/>
      <c r="CW84" s="3"/>
      <c r="CX84" s="3"/>
      <c r="CY84" s="3"/>
      <c r="CZ84" s="3"/>
      <c r="DA84" s="3"/>
    </row>
    <row r="85" spans="1:105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  <c r="CD85" s="3"/>
      <c r="CE85" s="3"/>
      <c r="CF85" s="3"/>
      <c r="CG85" s="3"/>
      <c r="CH85" s="3"/>
      <c r="CI85" s="3"/>
      <c r="CJ85" s="3"/>
      <c r="CK85" s="3"/>
      <c r="CL85" s="3"/>
      <c r="CM85" s="3"/>
      <c r="CN85" s="3"/>
      <c r="CO85" s="3"/>
      <c r="CP85" s="3"/>
      <c r="CQ85" s="3"/>
      <c r="CR85" s="3"/>
      <c r="CS85" s="3"/>
      <c r="CT85" s="3"/>
      <c r="CU85" s="3"/>
      <c r="CV85" s="3"/>
      <c r="CW85" s="3"/>
      <c r="CX85" s="3"/>
      <c r="CY85" s="3"/>
      <c r="CZ85" s="3"/>
      <c r="DA85" s="3"/>
    </row>
    <row r="86" spans="1:105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  <c r="CC86" s="3"/>
      <c r="CD86" s="3"/>
      <c r="CE86" s="3"/>
      <c r="CF86" s="3"/>
      <c r="CG86" s="3"/>
      <c r="CH86" s="3"/>
      <c r="CI86" s="3"/>
      <c r="CJ86" s="3"/>
      <c r="CK86" s="3"/>
      <c r="CL86" s="3"/>
      <c r="CM86" s="3"/>
      <c r="CN86" s="3"/>
      <c r="CO86" s="3"/>
      <c r="CP86" s="3"/>
      <c r="CQ86" s="3"/>
      <c r="CR86" s="3"/>
      <c r="CS86" s="3"/>
      <c r="CT86" s="3"/>
      <c r="CU86" s="3"/>
      <c r="CV86" s="3"/>
      <c r="CW86" s="3"/>
      <c r="CX86" s="3"/>
      <c r="CY86" s="3"/>
      <c r="CZ86" s="3"/>
      <c r="DA86" s="3"/>
    </row>
    <row r="87" spans="1:105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  <c r="CD87" s="3"/>
      <c r="CE87" s="3"/>
      <c r="CF87" s="3"/>
      <c r="CG87" s="3"/>
      <c r="CH87" s="3"/>
      <c r="CI87" s="3"/>
      <c r="CJ87" s="3"/>
      <c r="CK87" s="3"/>
      <c r="CL87" s="3"/>
      <c r="CM87" s="3"/>
      <c r="CN87" s="3"/>
      <c r="CO87" s="3"/>
      <c r="CP87" s="3"/>
      <c r="CQ87" s="3"/>
      <c r="CR87" s="3"/>
      <c r="CS87" s="3"/>
      <c r="CT87" s="3"/>
      <c r="CU87" s="3"/>
      <c r="CV87" s="3"/>
      <c r="CW87" s="3"/>
      <c r="CX87" s="3"/>
      <c r="CY87" s="3"/>
      <c r="CZ87" s="3"/>
      <c r="DA87" s="3"/>
    </row>
    <row r="88" spans="1:105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/>
      <c r="CA88" s="3"/>
      <c r="CB88" s="3"/>
      <c r="CC88" s="3"/>
      <c r="CD88" s="3"/>
      <c r="CE88" s="3"/>
      <c r="CF88" s="3"/>
      <c r="CG88" s="3"/>
      <c r="CH88" s="3"/>
      <c r="CI88" s="3"/>
      <c r="CJ88" s="3"/>
      <c r="CK88" s="3"/>
      <c r="CL88" s="3"/>
      <c r="CM88" s="3"/>
      <c r="CN88" s="3"/>
      <c r="CO88" s="3"/>
      <c r="CP88" s="3"/>
      <c r="CQ88" s="3"/>
      <c r="CR88" s="3"/>
      <c r="CS88" s="3"/>
      <c r="CT88" s="3"/>
      <c r="CU88" s="3"/>
      <c r="CV88" s="3"/>
      <c r="CW88" s="3"/>
      <c r="CX88" s="3"/>
      <c r="CY88" s="3"/>
      <c r="CZ88" s="3"/>
      <c r="DA88" s="3"/>
    </row>
    <row r="89" spans="1:105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/>
      <c r="CA89" s="3"/>
      <c r="CB89" s="3"/>
      <c r="CC89" s="3"/>
      <c r="CD89" s="3"/>
      <c r="CE89" s="3"/>
      <c r="CF89" s="3"/>
      <c r="CG89" s="3"/>
      <c r="CH89" s="3"/>
      <c r="CI89" s="3"/>
      <c r="CJ89" s="3"/>
      <c r="CK89" s="3"/>
      <c r="CL89" s="3"/>
      <c r="CM89" s="3"/>
      <c r="CN89" s="3"/>
      <c r="CO89" s="3"/>
      <c r="CP89" s="3"/>
      <c r="CQ89" s="3"/>
      <c r="CR89" s="3"/>
      <c r="CS89" s="3"/>
      <c r="CT89" s="3"/>
      <c r="CU89" s="3"/>
      <c r="CV89" s="3"/>
      <c r="CW89" s="3"/>
      <c r="CX89" s="3"/>
      <c r="CY89" s="3"/>
      <c r="CZ89" s="3"/>
      <c r="DA89" s="3"/>
    </row>
    <row r="90" spans="1:105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  <c r="CA90" s="3"/>
      <c r="CB90" s="3"/>
      <c r="CC90" s="3"/>
      <c r="CD90" s="3"/>
      <c r="CE90" s="3"/>
      <c r="CF90" s="3"/>
      <c r="CG90" s="3"/>
      <c r="CH90" s="3"/>
      <c r="CI90" s="3"/>
      <c r="CJ90" s="3"/>
      <c r="CK90" s="3"/>
      <c r="CL90" s="3"/>
      <c r="CM90" s="3"/>
      <c r="CN90" s="3"/>
      <c r="CO90" s="3"/>
      <c r="CP90" s="3"/>
      <c r="CQ90" s="3"/>
      <c r="CR90" s="3"/>
      <c r="CS90" s="3"/>
      <c r="CT90" s="3"/>
      <c r="CU90" s="3"/>
      <c r="CV90" s="3"/>
      <c r="CW90" s="3"/>
      <c r="CX90" s="3"/>
      <c r="CY90" s="3"/>
      <c r="CZ90" s="3"/>
      <c r="DA90" s="3"/>
    </row>
    <row r="91" spans="1:105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  <c r="BX91" s="3"/>
      <c r="BY91" s="3"/>
      <c r="BZ91" s="3"/>
      <c r="CA91" s="3"/>
      <c r="CB91" s="3"/>
      <c r="CC91" s="3"/>
      <c r="CD91" s="3"/>
      <c r="CE91" s="3"/>
      <c r="CF91" s="3"/>
      <c r="CG91" s="3"/>
      <c r="CH91" s="3"/>
      <c r="CI91" s="3"/>
      <c r="CJ91" s="3"/>
      <c r="CK91" s="3"/>
      <c r="CL91" s="3"/>
      <c r="CM91" s="3"/>
      <c r="CN91" s="3"/>
      <c r="CO91" s="3"/>
      <c r="CP91" s="3"/>
      <c r="CQ91" s="3"/>
      <c r="CR91" s="3"/>
      <c r="CS91" s="3"/>
      <c r="CT91" s="3"/>
      <c r="CU91" s="3"/>
      <c r="CV91" s="3"/>
      <c r="CW91" s="3"/>
      <c r="CX91" s="3"/>
      <c r="CY91" s="3"/>
      <c r="CZ91" s="3"/>
      <c r="DA91" s="3"/>
    </row>
    <row r="92" spans="1:105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"/>
      <c r="CA92" s="3"/>
      <c r="CB92" s="3"/>
      <c r="CC92" s="3"/>
      <c r="CD92" s="3"/>
      <c r="CE92" s="3"/>
      <c r="CF92" s="3"/>
      <c r="CG92" s="3"/>
      <c r="CH92" s="3"/>
      <c r="CI92" s="3"/>
      <c r="CJ92" s="3"/>
      <c r="CK92" s="3"/>
      <c r="CL92" s="3"/>
      <c r="CM92" s="3"/>
      <c r="CN92" s="3"/>
      <c r="CO92" s="3"/>
      <c r="CP92" s="3"/>
      <c r="CQ92" s="3"/>
      <c r="CR92" s="3"/>
      <c r="CS92" s="3"/>
      <c r="CT92" s="3"/>
      <c r="CU92" s="3"/>
      <c r="CV92" s="3"/>
      <c r="CW92" s="3"/>
      <c r="CX92" s="3"/>
      <c r="CY92" s="3"/>
      <c r="CZ92" s="3"/>
      <c r="DA92" s="3"/>
    </row>
    <row r="93" spans="1:105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/>
      <c r="CA93" s="3"/>
      <c r="CB93" s="3"/>
      <c r="CC93" s="3"/>
      <c r="CD93" s="3"/>
      <c r="CE93" s="3"/>
      <c r="CF93" s="3"/>
      <c r="CG93" s="3"/>
      <c r="CH93" s="3"/>
      <c r="CI93" s="3"/>
      <c r="CJ93" s="3"/>
      <c r="CK93" s="3"/>
      <c r="CL93" s="3"/>
      <c r="CM93" s="3"/>
      <c r="CN93" s="3"/>
      <c r="CO93" s="3"/>
      <c r="CP93" s="3"/>
      <c r="CQ93" s="3"/>
      <c r="CR93" s="3"/>
      <c r="CS93" s="3"/>
      <c r="CT93" s="3"/>
      <c r="CU93" s="3"/>
      <c r="CV93" s="3"/>
      <c r="CW93" s="3"/>
      <c r="CX93" s="3"/>
      <c r="CY93" s="3"/>
      <c r="CZ93" s="3"/>
      <c r="DA93" s="3"/>
    </row>
    <row r="94" spans="1:105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  <c r="BX94" s="3"/>
      <c r="BY94" s="3"/>
      <c r="BZ94" s="3"/>
      <c r="CA94" s="3"/>
      <c r="CB94" s="3"/>
      <c r="CC94" s="3"/>
      <c r="CD94" s="3"/>
      <c r="CE94" s="3"/>
      <c r="CF94" s="3"/>
      <c r="CG94" s="3"/>
      <c r="CH94" s="3"/>
      <c r="CI94" s="3"/>
      <c r="CJ94" s="3"/>
      <c r="CK94" s="3"/>
      <c r="CL94" s="3"/>
      <c r="CM94" s="3"/>
      <c r="CN94" s="3"/>
      <c r="CO94" s="3"/>
      <c r="CP94" s="3"/>
      <c r="CQ94" s="3"/>
      <c r="CR94" s="3"/>
      <c r="CS94" s="3"/>
      <c r="CT94" s="3"/>
      <c r="CU94" s="3"/>
      <c r="CV94" s="3"/>
      <c r="CW94" s="3"/>
      <c r="CX94" s="3"/>
      <c r="CY94" s="3"/>
      <c r="CZ94" s="3"/>
      <c r="DA94" s="3"/>
    </row>
    <row r="95" spans="1:105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  <c r="BX95" s="3"/>
      <c r="BY95" s="3"/>
      <c r="BZ95" s="3"/>
      <c r="CA95" s="3"/>
      <c r="CB95" s="3"/>
      <c r="CC95" s="3"/>
      <c r="CD95" s="3"/>
      <c r="CE95" s="3"/>
      <c r="CF95" s="3"/>
      <c r="CG95" s="3"/>
      <c r="CH95" s="3"/>
      <c r="CI95" s="3"/>
      <c r="CJ95" s="3"/>
      <c r="CK95" s="3"/>
      <c r="CL95" s="3"/>
      <c r="CM95" s="3"/>
      <c r="CN95" s="3"/>
      <c r="CO95" s="3"/>
      <c r="CP95" s="3"/>
      <c r="CQ95" s="3"/>
      <c r="CR95" s="3"/>
      <c r="CS95" s="3"/>
      <c r="CT95" s="3"/>
      <c r="CU95" s="3"/>
      <c r="CV95" s="3"/>
      <c r="CW95" s="3"/>
      <c r="CX95" s="3"/>
      <c r="CY95" s="3"/>
      <c r="CZ95" s="3"/>
      <c r="DA95" s="3"/>
    </row>
    <row r="96" spans="1:105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/>
      <c r="CA96" s="3"/>
      <c r="CB96" s="3"/>
      <c r="CC96" s="3"/>
      <c r="CD96" s="3"/>
      <c r="CE96" s="3"/>
      <c r="CF96" s="3"/>
      <c r="CG96" s="3"/>
      <c r="CH96" s="3"/>
      <c r="CI96" s="3"/>
      <c r="CJ96" s="3"/>
      <c r="CK96" s="3"/>
      <c r="CL96" s="3"/>
      <c r="CM96" s="3"/>
      <c r="CN96" s="3"/>
      <c r="CO96" s="3"/>
      <c r="CP96" s="3"/>
      <c r="CQ96" s="3"/>
      <c r="CR96" s="3"/>
      <c r="CS96" s="3"/>
      <c r="CT96" s="3"/>
      <c r="CU96" s="3"/>
      <c r="CV96" s="3"/>
      <c r="CW96" s="3"/>
      <c r="CX96" s="3"/>
      <c r="CY96" s="3"/>
      <c r="CZ96" s="3"/>
      <c r="DA96" s="3"/>
    </row>
    <row r="97" spans="1:105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  <c r="CA97" s="3"/>
      <c r="CB97" s="3"/>
      <c r="CC97" s="3"/>
      <c r="CD97" s="3"/>
      <c r="CE97" s="3"/>
      <c r="CF97" s="3"/>
      <c r="CG97" s="3"/>
      <c r="CH97" s="3"/>
      <c r="CI97" s="3"/>
      <c r="CJ97" s="3"/>
      <c r="CK97" s="3"/>
      <c r="CL97" s="3"/>
      <c r="CM97" s="3"/>
      <c r="CN97" s="3"/>
      <c r="CO97" s="3"/>
      <c r="CP97" s="3"/>
      <c r="CQ97" s="3"/>
      <c r="CR97" s="3"/>
      <c r="CS97" s="3"/>
      <c r="CT97" s="3"/>
      <c r="CU97" s="3"/>
      <c r="CV97" s="3"/>
      <c r="CW97" s="3"/>
      <c r="CX97" s="3"/>
      <c r="CY97" s="3"/>
      <c r="CZ97" s="3"/>
      <c r="DA97" s="3"/>
    </row>
    <row r="98" spans="1:105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/>
      <c r="CA98" s="3"/>
      <c r="CB98" s="3"/>
      <c r="CC98" s="3"/>
      <c r="CD98" s="3"/>
      <c r="CE98" s="3"/>
      <c r="CF98" s="3"/>
      <c r="CG98" s="3"/>
      <c r="CH98" s="3"/>
      <c r="CI98" s="3"/>
      <c r="CJ98" s="3"/>
      <c r="CK98" s="3"/>
      <c r="CL98" s="3"/>
      <c r="CM98" s="3"/>
      <c r="CN98" s="3"/>
      <c r="CO98" s="3"/>
      <c r="CP98" s="3"/>
      <c r="CQ98" s="3"/>
      <c r="CR98" s="3"/>
      <c r="CS98" s="3"/>
      <c r="CT98" s="3"/>
      <c r="CU98" s="3"/>
      <c r="CV98" s="3"/>
      <c r="CW98" s="3"/>
      <c r="CX98" s="3"/>
      <c r="CY98" s="3"/>
      <c r="CZ98" s="3"/>
      <c r="DA98" s="3"/>
    </row>
    <row r="99" spans="1:105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/>
      <c r="BY99" s="3"/>
      <c r="BZ99" s="3"/>
      <c r="CA99" s="3"/>
      <c r="CB99" s="3"/>
      <c r="CC99" s="3"/>
      <c r="CD99" s="3"/>
      <c r="CE99" s="3"/>
      <c r="CF99" s="3"/>
      <c r="CG99" s="3"/>
      <c r="CH99" s="3"/>
      <c r="CI99" s="3"/>
      <c r="CJ99" s="3"/>
      <c r="CK99" s="3"/>
      <c r="CL99" s="3"/>
      <c r="CM99" s="3"/>
      <c r="CN99" s="3"/>
      <c r="CO99" s="3"/>
      <c r="CP99" s="3"/>
      <c r="CQ99" s="3"/>
      <c r="CR99" s="3"/>
      <c r="CS99" s="3"/>
      <c r="CT99" s="3"/>
      <c r="CU99" s="3"/>
      <c r="CV99" s="3"/>
      <c r="CW99" s="3"/>
      <c r="CX99" s="3"/>
      <c r="CY99" s="3"/>
      <c r="CZ99" s="3"/>
      <c r="DA99" s="3"/>
    </row>
    <row r="100" spans="1:105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  <c r="CA100" s="3"/>
      <c r="CB100" s="3"/>
      <c r="CC100" s="3"/>
      <c r="CD100" s="3"/>
      <c r="CE100" s="3"/>
      <c r="CF100" s="3"/>
      <c r="CG100" s="3"/>
      <c r="CH100" s="3"/>
      <c r="CI100" s="3"/>
      <c r="CJ100" s="3"/>
      <c r="CK100" s="3"/>
      <c r="CL100" s="3"/>
      <c r="CM100" s="3"/>
      <c r="CN100" s="3"/>
      <c r="CO100" s="3"/>
      <c r="CP100" s="3"/>
      <c r="CQ100" s="3"/>
      <c r="CR100" s="3"/>
      <c r="CS100" s="3"/>
      <c r="CT100" s="3"/>
      <c r="CU100" s="3"/>
      <c r="CV100" s="3"/>
      <c r="CW100" s="3"/>
      <c r="CX100" s="3"/>
      <c r="CY100" s="3"/>
      <c r="CZ100" s="3"/>
      <c r="DA100" s="3"/>
    </row>
    <row r="101" spans="1:105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  <c r="BX101" s="3"/>
      <c r="BY101" s="3"/>
      <c r="BZ101" s="3"/>
      <c r="CA101" s="3"/>
      <c r="CB101" s="3"/>
      <c r="CC101" s="3"/>
      <c r="CD101" s="3"/>
      <c r="CE101" s="3"/>
      <c r="CF101" s="3"/>
      <c r="CG101" s="3"/>
      <c r="CH101" s="3"/>
      <c r="CI101" s="3"/>
      <c r="CJ101" s="3"/>
      <c r="CK101" s="3"/>
      <c r="CL101" s="3"/>
      <c r="CM101" s="3"/>
      <c r="CN101" s="3"/>
      <c r="CO101" s="3"/>
      <c r="CP101" s="3"/>
      <c r="CQ101" s="3"/>
      <c r="CR101" s="3"/>
      <c r="CS101" s="3"/>
      <c r="CT101" s="3"/>
      <c r="CU101" s="3"/>
      <c r="CV101" s="3"/>
      <c r="CW101" s="3"/>
      <c r="CX101" s="3"/>
      <c r="CY101" s="3"/>
      <c r="CZ101" s="3"/>
      <c r="DA101" s="3"/>
    </row>
    <row r="102" spans="1:105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  <c r="BX102" s="3"/>
      <c r="BY102" s="3"/>
      <c r="BZ102" s="3"/>
      <c r="CA102" s="3"/>
      <c r="CB102" s="3"/>
      <c r="CC102" s="3"/>
      <c r="CD102" s="3"/>
      <c r="CE102" s="3"/>
      <c r="CF102" s="3"/>
      <c r="CG102" s="3"/>
      <c r="CH102" s="3"/>
      <c r="CI102" s="3"/>
      <c r="CJ102" s="3"/>
      <c r="CK102" s="3"/>
      <c r="CL102" s="3"/>
      <c r="CM102" s="3"/>
      <c r="CN102" s="3"/>
      <c r="CO102" s="3"/>
      <c r="CP102" s="3"/>
      <c r="CQ102" s="3"/>
      <c r="CR102" s="3"/>
      <c r="CS102" s="3"/>
      <c r="CT102" s="3"/>
      <c r="CU102" s="3"/>
      <c r="CV102" s="3"/>
      <c r="CW102" s="3"/>
      <c r="CX102" s="3"/>
      <c r="CY102" s="3"/>
      <c r="CZ102" s="3"/>
      <c r="DA102" s="3"/>
    </row>
    <row r="103" spans="1:105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  <c r="CA103" s="3"/>
      <c r="CB103" s="3"/>
      <c r="CC103" s="3"/>
      <c r="CD103" s="3"/>
      <c r="CE103" s="3"/>
      <c r="CF103" s="3"/>
      <c r="CG103" s="3"/>
      <c r="CH103" s="3"/>
      <c r="CI103" s="3"/>
      <c r="CJ103" s="3"/>
      <c r="CK103" s="3"/>
      <c r="CL103" s="3"/>
      <c r="CM103" s="3"/>
      <c r="CN103" s="3"/>
      <c r="CO103" s="3"/>
      <c r="CP103" s="3"/>
      <c r="CQ103" s="3"/>
      <c r="CR103" s="3"/>
      <c r="CS103" s="3"/>
      <c r="CT103" s="3"/>
      <c r="CU103" s="3"/>
      <c r="CV103" s="3"/>
      <c r="CW103" s="3"/>
      <c r="CX103" s="3"/>
      <c r="CY103" s="3"/>
      <c r="CZ103" s="3"/>
      <c r="DA103" s="3"/>
    </row>
    <row r="104" spans="1:105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  <c r="BS104" s="3"/>
      <c r="BT104" s="3"/>
      <c r="BU104" s="3"/>
      <c r="BV104" s="3"/>
      <c r="BW104" s="3"/>
      <c r="BX104" s="3"/>
      <c r="BY104" s="3"/>
      <c r="BZ104" s="3"/>
      <c r="CA104" s="3"/>
      <c r="CB104" s="3"/>
      <c r="CC104" s="3"/>
      <c r="CD104" s="3"/>
      <c r="CE104" s="3"/>
      <c r="CF104" s="3"/>
      <c r="CG104" s="3"/>
      <c r="CH104" s="3"/>
      <c r="CI104" s="3"/>
      <c r="CJ104" s="3"/>
      <c r="CK104" s="3"/>
      <c r="CL104" s="3"/>
      <c r="CM104" s="3"/>
      <c r="CN104" s="3"/>
      <c r="CO104" s="3"/>
      <c r="CP104" s="3"/>
      <c r="CQ104" s="3"/>
      <c r="CR104" s="3"/>
      <c r="CS104" s="3"/>
      <c r="CT104" s="3"/>
      <c r="CU104" s="3"/>
      <c r="CV104" s="3"/>
      <c r="CW104" s="3"/>
      <c r="CX104" s="3"/>
      <c r="CY104" s="3"/>
      <c r="CZ104" s="3"/>
      <c r="DA104" s="3"/>
    </row>
    <row r="105" spans="1:105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3"/>
      <c r="BW105" s="3"/>
      <c r="BX105" s="3"/>
      <c r="BY105" s="3"/>
      <c r="BZ105" s="3"/>
      <c r="CA105" s="3"/>
      <c r="CB105" s="3"/>
      <c r="CC105" s="3"/>
      <c r="CD105" s="3"/>
      <c r="CE105" s="3"/>
      <c r="CF105" s="3"/>
      <c r="CG105" s="3"/>
      <c r="CH105" s="3"/>
      <c r="CI105" s="3"/>
      <c r="CJ105" s="3"/>
      <c r="CK105" s="3"/>
      <c r="CL105" s="3"/>
      <c r="CM105" s="3"/>
      <c r="CN105" s="3"/>
      <c r="CO105" s="3"/>
      <c r="CP105" s="3"/>
      <c r="CQ105" s="3"/>
      <c r="CR105" s="3"/>
      <c r="CS105" s="3"/>
      <c r="CT105" s="3"/>
      <c r="CU105" s="3"/>
      <c r="CV105" s="3"/>
      <c r="CW105" s="3"/>
      <c r="CX105" s="3"/>
      <c r="CY105" s="3"/>
      <c r="CZ105" s="3"/>
      <c r="DA105" s="3"/>
    </row>
    <row r="106" spans="1:105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/>
      <c r="CA106" s="3"/>
      <c r="CB106" s="3"/>
      <c r="CC106" s="3"/>
      <c r="CD106" s="3"/>
      <c r="CE106" s="3"/>
      <c r="CF106" s="3"/>
      <c r="CG106" s="3"/>
      <c r="CH106" s="3"/>
      <c r="CI106" s="3"/>
      <c r="CJ106" s="3"/>
      <c r="CK106" s="3"/>
      <c r="CL106" s="3"/>
      <c r="CM106" s="3"/>
      <c r="CN106" s="3"/>
      <c r="CO106" s="3"/>
      <c r="CP106" s="3"/>
      <c r="CQ106" s="3"/>
      <c r="CR106" s="3"/>
      <c r="CS106" s="3"/>
      <c r="CT106" s="3"/>
      <c r="CU106" s="3"/>
      <c r="CV106" s="3"/>
      <c r="CW106" s="3"/>
      <c r="CX106" s="3"/>
      <c r="CY106" s="3"/>
      <c r="CZ106" s="3"/>
      <c r="DA106" s="3"/>
    </row>
    <row r="107" spans="1:105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  <c r="CC107" s="3"/>
      <c r="CD107" s="3"/>
      <c r="CE107" s="3"/>
      <c r="CF107" s="3"/>
      <c r="CG107" s="3"/>
      <c r="CH107" s="3"/>
      <c r="CI107" s="3"/>
      <c r="CJ107" s="3"/>
      <c r="CK107" s="3"/>
      <c r="CL107" s="3"/>
      <c r="CM107" s="3"/>
      <c r="CN107" s="3"/>
      <c r="CO107" s="3"/>
      <c r="CP107" s="3"/>
      <c r="CQ107" s="3"/>
      <c r="CR107" s="3"/>
      <c r="CS107" s="3"/>
      <c r="CT107" s="3"/>
      <c r="CU107" s="3"/>
      <c r="CV107" s="3"/>
      <c r="CW107" s="3"/>
      <c r="CX107" s="3"/>
      <c r="CY107" s="3"/>
      <c r="CZ107" s="3"/>
      <c r="DA107" s="3"/>
    </row>
    <row r="108" spans="1:105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  <c r="CN108" s="3"/>
      <c r="CO108" s="3"/>
      <c r="CP108" s="3"/>
      <c r="CQ108" s="3"/>
      <c r="CR108" s="3"/>
      <c r="CS108" s="3"/>
      <c r="CT108" s="3"/>
      <c r="CU108" s="3"/>
      <c r="CV108" s="3"/>
      <c r="CW108" s="3"/>
      <c r="CX108" s="3"/>
      <c r="CY108" s="3"/>
      <c r="CZ108" s="3"/>
      <c r="DA108" s="3"/>
    </row>
    <row r="109" spans="1:105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  <c r="CD109" s="3"/>
      <c r="CE109" s="3"/>
      <c r="CF109" s="3"/>
      <c r="CG109" s="3"/>
      <c r="CH109" s="3"/>
      <c r="CI109" s="3"/>
      <c r="CJ109" s="3"/>
      <c r="CK109" s="3"/>
      <c r="CL109" s="3"/>
      <c r="CM109" s="3"/>
      <c r="CN109" s="3"/>
      <c r="CO109" s="3"/>
      <c r="CP109" s="3"/>
      <c r="CQ109" s="3"/>
      <c r="CR109" s="3"/>
      <c r="CS109" s="3"/>
      <c r="CT109" s="3"/>
      <c r="CU109" s="3"/>
      <c r="CV109" s="3"/>
      <c r="CW109" s="3"/>
      <c r="CX109" s="3"/>
      <c r="CY109" s="3"/>
      <c r="CZ109" s="3"/>
      <c r="DA109" s="3"/>
    </row>
    <row r="110" spans="1:105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  <c r="CD110" s="3"/>
      <c r="CE110" s="3"/>
      <c r="CF110" s="3"/>
      <c r="CG110" s="3"/>
      <c r="CH110" s="3"/>
      <c r="CI110" s="3"/>
      <c r="CJ110" s="3"/>
      <c r="CK110" s="3"/>
      <c r="CL110" s="3"/>
      <c r="CM110" s="3"/>
      <c r="CN110" s="3"/>
      <c r="CO110" s="3"/>
      <c r="CP110" s="3"/>
      <c r="CQ110" s="3"/>
      <c r="CR110" s="3"/>
      <c r="CS110" s="3"/>
      <c r="CT110" s="3"/>
      <c r="CU110" s="3"/>
      <c r="CV110" s="3"/>
      <c r="CW110" s="3"/>
      <c r="CX110" s="3"/>
      <c r="CY110" s="3"/>
      <c r="CZ110" s="3"/>
      <c r="DA110" s="3"/>
    </row>
    <row r="111" spans="1:105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  <c r="CI111" s="3"/>
      <c r="CJ111" s="3"/>
      <c r="CK111" s="3"/>
      <c r="CL111" s="3"/>
      <c r="CM111" s="3"/>
      <c r="CN111" s="3"/>
      <c r="CO111" s="3"/>
      <c r="CP111" s="3"/>
      <c r="CQ111" s="3"/>
      <c r="CR111" s="3"/>
      <c r="CS111" s="3"/>
      <c r="CT111" s="3"/>
      <c r="CU111" s="3"/>
      <c r="CV111" s="3"/>
      <c r="CW111" s="3"/>
      <c r="CX111" s="3"/>
      <c r="CY111" s="3"/>
      <c r="CZ111" s="3"/>
      <c r="DA111" s="3"/>
    </row>
    <row r="112" spans="1:105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/>
      <c r="CF112" s="3"/>
      <c r="CG112" s="3"/>
      <c r="CH112" s="3"/>
      <c r="CI112" s="3"/>
      <c r="CJ112" s="3"/>
      <c r="CK112" s="3"/>
      <c r="CL112" s="3"/>
      <c r="CM112" s="3"/>
      <c r="CN112" s="3"/>
      <c r="CO112" s="3"/>
      <c r="CP112" s="3"/>
      <c r="CQ112" s="3"/>
      <c r="CR112" s="3"/>
      <c r="CS112" s="3"/>
      <c r="CT112" s="3"/>
      <c r="CU112" s="3"/>
      <c r="CV112" s="3"/>
      <c r="CW112" s="3"/>
      <c r="CX112" s="3"/>
      <c r="CY112" s="3"/>
      <c r="CZ112" s="3"/>
      <c r="DA112" s="3"/>
    </row>
    <row r="113" spans="1:105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/>
      <c r="CA113" s="3"/>
      <c r="CB113" s="3"/>
      <c r="CC113" s="3"/>
      <c r="CD113" s="3"/>
      <c r="CE113" s="3"/>
      <c r="CF113" s="3"/>
      <c r="CG113" s="3"/>
      <c r="CH113" s="3"/>
      <c r="CI113" s="3"/>
      <c r="CJ113" s="3"/>
      <c r="CK113" s="3"/>
      <c r="CL113" s="3"/>
      <c r="CM113" s="3"/>
      <c r="CN113" s="3"/>
      <c r="CO113" s="3"/>
      <c r="CP113" s="3"/>
      <c r="CQ113" s="3"/>
      <c r="CR113" s="3"/>
      <c r="CS113" s="3"/>
      <c r="CT113" s="3"/>
      <c r="CU113" s="3"/>
      <c r="CV113" s="3"/>
      <c r="CW113" s="3"/>
      <c r="CX113" s="3"/>
      <c r="CY113" s="3"/>
      <c r="CZ113" s="3"/>
      <c r="DA113" s="3"/>
    </row>
    <row r="114" spans="1:105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  <c r="BU114" s="3"/>
      <c r="BV114" s="3"/>
      <c r="BW114" s="3"/>
      <c r="BX114" s="3"/>
      <c r="BY114" s="3"/>
      <c r="BZ114" s="3"/>
      <c r="CA114" s="3"/>
      <c r="CB114" s="3"/>
      <c r="CC114" s="3"/>
      <c r="CD114" s="3"/>
      <c r="CE114" s="3"/>
      <c r="CF114" s="3"/>
      <c r="CG114" s="3"/>
      <c r="CH114" s="3"/>
      <c r="CI114" s="3"/>
      <c r="CJ114" s="3"/>
      <c r="CK114" s="3"/>
      <c r="CL114" s="3"/>
      <c r="CM114" s="3"/>
      <c r="CN114" s="3"/>
      <c r="CO114" s="3"/>
      <c r="CP114" s="3"/>
      <c r="CQ114" s="3"/>
      <c r="CR114" s="3"/>
      <c r="CS114" s="3"/>
      <c r="CT114" s="3"/>
      <c r="CU114" s="3"/>
      <c r="CV114" s="3"/>
      <c r="CW114" s="3"/>
      <c r="CX114" s="3"/>
      <c r="CY114" s="3"/>
      <c r="CZ114" s="3"/>
      <c r="DA114" s="3"/>
    </row>
    <row r="115" spans="1:105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  <c r="CA115" s="3"/>
      <c r="CB115" s="3"/>
      <c r="CC115" s="3"/>
      <c r="CD115" s="3"/>
      <c r="CE115" s="3"/>
      <c r="CF115" s="3"/>
      <c r="CG115" s="3"/>
      <c r="CH115" s="3"/>
      <c r="CI115" s="3"/>
      <c r="CJ115" s="3"/>
      <c r="CK115" s="3"/>
      <c r="CL115" s="3"/>
      <c r="CM115" s="3"/>
      <c r="CN115" s="3"/>
      <c r="CO115" s="3"/>
      <c r="CP115" s="3"/>
      <c r="CQ115" s="3"/>
      <c r="CR115" s="3"/>
      <c r="CS115" s="3"/>
      <c r="CT115" s="3"/>
      <c r="CU115" s="3"/>
      <c r="CV115" s="3"/>
      <c r="CW115" s="3"/>
      <c r="CX115" s="3"/>
      <c r="CY115" s="3"/>
      <c r="CZ115" s="3"/>
      <c r="DA115" s="3"/>
    </row>
    <row r="116" spans="1:105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  <c r="BU116" s="3"/>
      <c r="BV116" s="3"/>
      <c r="BW116" s="3"/>
      <c r="BX116" s="3"/>
      <c r="BY116" s="3"/>
      <c r="BZ116" s="3"/>
      <c r="CA116" s="3"/>
      <c r="CB116" s="3"/>
      <c r="CC116" s="3"/>
      <c r="CD116" s="3"/>
      <c r="CE116" s="3"/>
      <c r="CF116" s="3"/>
      <c r="CG116" s="3"/>
      <c r="CH116" s="3"/>
      <c r="CI116" s="3"/>
      <c r="CJ116" s="3"/>
      <c r="CK116" s="3"/>
      <c r="CL116" s="3"/>
      <c r="CM116" s="3"/>
      <c r="CN116" s="3"/>
      <c r="CO116" s="3"/>
      <c r="CP116" s="3"/>
      <c r="CQ116" s="3"/>
      <c r="CR116" s="3"/>
      <c r="CS116" s="3"/>
      <c r="CT116" s="3"/>
      <c r="CU116" s="3"/>
      <c r="CV116" s="3"/>
      <c r="CW116" s="3"/>
      <c r="CX116" s="3"/>
      <c r="CY116" s="3"/>
      <c r="CZ116" s="3"/>
      <c r="DA116" s="3"/>
    </row>
    <row r="117" spans="1:105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  <c r="BX117" s="3"/>
      <c r="BY117" s="3"/>
      <c r="BZ117" s="3"/>
      <c r="CA117" s="3"/>
      <c r="CB117" s="3"/>
      <c r="CC117" s="3"/>
      <c r="CD117" s="3"/>
      <c r="CE117" s="3"/>
      <c r="CF117" s="3"/>
      <c r="CG117" s="3"/>
      <c r="CH117" s="3"/>
      <c r="CI117" s="3"/>
      <c r="CJ117" s="3"/>
      <c r="CK117" s="3"/>
      <c r="CL117" s="3"/>
      <c r="CM117" s="3"/>
      <c r="CN117" s="3"/>
      <c r="CO117" s="3"/>
      <c r="CP117" s="3"/>
      <c r="CQ117" s="3"/>
      <c r="CR117" s="3"/>
      <c r="CS117" s="3"/>
      <c r="CT117" s="3"/>
      <c r="CU117" s="3"/>
      <c r="CV117" s="3"/>
      <c r="CW117" s="3"/>
      <c r="CX117" s="3"/>
      <c r="CY117" s="3"/>
      <c r="CZ117" s="3"/>
      <c r="DA117" s="3"/>
    </row>
    <row r="118" spans="1:105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  <c r="BX118" s="3"/>
      <c r="BY118" s="3"/>
      <c r="BZ118" s="3"/>
      <c r="CA118" s="3"/>
      <c r="CB118" s="3"/>
      <c r="CC118" s="3"/>
      <c r="CD118" s="3"/>
      <c r="CE118" s="3"/>
      <c r="CF118" s="3"/>
      <c r="CG118" s="3"/>
      <c r="CH118" s="3"/>
      <c r="CI118" s="3"/>
      <c r="CJ118" s="3"/>
      <c r="CK118" s="3"/>
      <c r="CL118" s="3"/>
      <c r="CM118" s="3"/>
      <c r="CN118" s="3"/>
      <c r="CO118" s="3"/>
      <c r="CP118" s="3"/>
      <c r="CQ118" s="3"/>
      <c r="CR118" s="3"/>
      <c r="CS118" s="3"/>
      <c r="CT118" s="3"/>
      <c r="CU118" s="3"/>
      <c r="CV118" s="3"/>
      <c r="CW118" s="3"/>
      <c r="CX118" s="3"/>
      <c r="CY118" s="3"/>
      <c r="CZ118" s="3"/>
      <c r="DA118" s="3"/>
    </row>
    <row r="119" spans="1:105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  <c r="BX119" s="3"/>
      <c r="BY119" s="3"/>
      <c r="BZ119" s="3"/>
      <c r="CA119" s="3"/>
      <c r="CB119" s="3"/>
      <c r="CC119" s="3"/>
      <c r="CD119" s="3"/>
      <c r="CE119" s="3"/>
      <c r="CF119" s="3"/>
      <c r="CG119" s="3"/>
      <c r="CH119" s="3"/>
      <c r="CI119" s="3"/>
      <c r="CJ119" s="3"/>
      <c r="CK119" s="3"/>
      <c r="CL119" s="3"/>
      <c r="CM119" s="3"/>
      <c r="CN119" s="3"/>
      <c r="CO119" s="3"/>
      <c r="CP119" s="3"/>
      <c r="CQ119" s="3"/>
      <c r="CR119" s="3"/>
      <c r="CS119" s="3"/>
      <c r="CT119" s="3"/>
      <c r="CU119" s="3"/>
      <c r="CV119" s="3"/>
      <c r="CW119" s="3"/>
      <c r="CX119" s="3"/>
      <c r="CY119" s="3"/>
      <c r="CZ119" s="3"/>
      <c r="DA119" s="3"/>
    </row>
    <row r="120" spans="1:105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  <c r="BX120" s="3"/>
      <c r="BY120" s="3"/>
      <c r="BZ120" s="3"/>
      <c r="CA120" s="3"/>
      <c r="CB120" s="3"/>
      <c r="CC120" s="3"/>
      <c r="CD120" s="3"/>
      <c r="CE120" s="3"/>
      <c r="CF120" s="3"/>
      <c r="CG120" s="3"/>
      <c r="CH120" s="3"/>
      <c r="CI120" s="3"/>
      <c r="CJ120" s="3"/>
      <c r="CK120" s="3"/>
      <c r="CL120" s="3"/>
      <c r="CM120" s="3"/>
      <c r="CN120" s="3"/>
      <c r="CO120" s="3"/>
      <c r="CP120" s="3"/>
      <c r="CQ120" s="3"/>
      <c r="CR120" s="3"/>
      <c r="CS120" s="3"/>
      <c r="CT120" s="3"/>
      <c r="CU120" s="3"/>
      <c r="CV120" s="3"/>
      <c r="CW120" s="3"/>
      <c r="CX120" s="3"/>
      <c r="CY120" s="3"/>
      <c r="CZ120" s="3"/>
      <c r="DA120" s="3"/>
    </row>
    <row r="121" spans="1:105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  <c r="BW121" s="3"/>
      <c r="BX121" s="3"/>
      <c r="BY121" s="3"/>
      <c r="BZ121" s="3"/>
      <c r="CA121" s="3"/>
      <c r="CB121" s="3"/>
      <c r="CC121" s="3"/>
      <c r="CD121" s="3"/>
      <c r="CE121" s="3"/>
      <c r="CF121" s="3"/>
      <c r="CG121" s="3"/>
      <c r="CH121" s="3"/>
      <c r="CI121" s="3"/>
      <c r="CJ121" s="3"/>
      <c r="CK121" s="3"/>
      <c r="CL121" s="3"/>
      <c r="CM121" s="3"/>
      <c r="CN121" s="3"/>
      <c r="CO121" s="3"/>
      <c r="CP121" s="3"/>
      <c r="CQ121" s="3"/>
      <c r="CR121" s="3"/>
      <c r="CS121" s="3"/>
      <c r="CT121" s="3"/>
      <c r="CU121" s="3"/>
      <c r="CV121" s="3"/>
      <c r="CW121" s="3"/>
      <c r="CX121" s="3"/>
      <c r="CY121" s="3"/>
      <c r="CZ121" s="3"/>
      <c r="DA121" s="3"/>
    </row>
    <row r="122" spans="1:105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  <c r="BW122" s="3"/>
      <c r="BX122" s="3"/>
      <c r="BY122" s="3"/>
      <c r="BZ122" s="3"/>
      <c r="CA122" s="3"/>
      <c r="CB122" s="3"/>
      <c r="CC122" s="3"/>
      <c r="CD122" s="3"/>
      <c r="CE122" s="3"/>
      <c r="CF122" s="3"/>
      <c r="CG122" s="3"/>
      <c r="CH122" s="3"/>
      <c r="CI122" s="3"/>
      <c r="CJ122" s="3"/>
      <c r="CK122" s="3"/>
      <c r="CL122" s="3"/>
      <c r="CM122" s="3"/>
      <c r="CN122" s="3"/>
      <c r="CO122" s="3"/>
      <c r="CP122" s="3"/>
      <c r="CQ122" s="3"/>
      <c r="CR122" s="3"/>
      <c r="CS122" s="3"/>
      <c r="CT122" s="3"/>
      <c r="CU122" s="3"/>
      <c r="CV122" s="3"/>
      <c r="CW122" s="3"/>
      <c r="CX122" s="3"/>
      <c r="CY122" s="3"/>
      <c r="CZ122" s="3"/>
      <c r="DA122" s="3"/>
    </row>
    <row r="123" spans="1:105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  <c r="BX123" s="3"/>
      <c r="BY123" s="3"/>
      <c r="BZ123" s="3"/>
      <c r="CA123" s="3"/>
      <c r="CB123" s="3"/>
      <c r="CC123" s="3"/>
      <c r="CD123" s="3"/>
      <c r="CE123" s="3"/>
      <c r="CF123" s="3"/>
      <c r="CG123" s="3"/>
      <c r="CH123" s="3"/>
      <c r="CI123" s="3"/>
      <c r="CJ123" s="3"/>
      <c r="CK123" s="3"/>
      <c r="CL123" s="3"/>
      <c r="CM123" s="3"/>
      <c r="CN123" s="3"/>
      <c r="CO123" s="3"/>
      <c r="CP123" s="3"/>
      <c r="CQ123" s="3"/>
      <c r="CR123" s="3"/>
      <c r="CS123" s="3"/>
      <c r="CT123" s="3"/>
      <c r="CU123" s="3"/>
      <c r="CV123" s="3"/>
      <c r="CW123" s="3"/>
      <c r="CX123" s="3"/>
      <c r="CY123" s="3"/>
      <c r="CZ123" s="3"/>
      <c r="DA123" s="3"/>
    </row>
    <row r="124" spans="1:105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  <c r="BX124" s="3"/>
      <c r="BY124" s="3"/>
      <c r="BZ124" s="3"/>
      <c r="CA124" s="3"/>
      <c r="CB124" s="3"/>
      <c r="CC124" s="3"/>
      <c r="CD124" s="3"/>
      <c r="CE124" s="3"/>
      <c r="CF124" s="3"/>
      <c r="CG124" s="3"/>
      <c r="CH124" s="3"/>
      <c r="CI124" s="3"/>
      <c r="CJ124" s="3"/>
      <c r="CK124" s="3"/>
      <c r="CL124" s="3"/>
      <c r="CM124" s="3"/>
      <c r="CN124" s="3"/>
      <c r="CO124" s="3"/>
      <c r="CP124" s="3"/>
      <c r="CQ124" s="3"/>
      <c r="CR124" s="3"/>
      <c r="CS124" s="3"/>
      <c r="CT124" s="3"/>
      <c r="CU124" s="3"/>
      <c r="CV124" s="3"/>
      <c r="CW124" s="3"/>
      <c r="CX124" s="3"/>
      <c r="CY124" s="3"/>
      <c r="CZ124" s="3"/>
      <c r="DA124" s="3"/>
    </row>
    <row r="125" spans="1:105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  <c r="BX125" s="3"/>
      <c r="BY125" s="3"/>
      <c r="BZ125" s="3"/>
      <c r="CA125" s="3"/>
      <c r="CB125" s="3"/>
      <c r="CC125" s="3"/>
      <c r="CD125" s="3"/>
      <c r="CE125" s="3"/>
      <c r="CF125" s="3"/>
      <c r="CG125" s="3"/>
      <c r="CH125" s="3"/>
      <c r="CI125" s="3"/>
      <c r="CJ125" s="3"/>
      <c r="CK125" s="3"/>
      <c r="CL125" s="3"/>
      <c r="CM125" s="3"/>
      <c r="CN125" s="3"/>
      <c r="CO125" s="3"/>
      <c r="CP125" s="3"/>
      <c r="CQ125" s="3"/>
      <c r="CR125" s="3"/>
      <c r="CS125" s="3"/>
      <c r="CT125" s="3"/>
      <c r="CU125" s="3"/>
      <c r="CV125" s="3"/>
      <c r="CW125" s="3"/>
      <c r="CX125" s="3"/>
      <c r="CY125" s="3"/>
      <c r="CZ125" s="3"/>
      <c r="DA125" s="3"/>
    </row>
    <row r="126" spans="1:105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/>
      <c r="BX126" s="3"/>
      <c r="BY126" s="3"/>
      <c r="BZ126" s="3"/>
      <c r="CA126" s="3"/>
      <c r="CB126" s="3"/>
      <c r="CC126" s="3"/>
      <c r="CD126" s="3"/>
      <c r="CE126" s="3"/>
      <c r="CF126" s="3"/>
      <c r="CG126" s="3"/>
      <c r="CH126" s="3"/>
      <c r="CI126" s="3"/>
      <c r="CJ126" s="3"/>
      <c r="CK126" s="3"/>
      <c r="CL126" s="3"/>
      <c r="CM126" s="3"/>
      <c r="CN126" s="3"/>
      <c r="CO126" s="3"/>
      <c r="CP126" s="3"/>
      <c r="CQ126" s="3"/>
      <c r="CR126" s="3"/>
      <c r="CS126" s="3"/>
      <c r="CT126" s="3"/>
      <c r="CU126" s="3"/>
      <c r="CV126" s="3"/>
      <c r="CW126" s="3"/>
      <c r="CX126" s="3"/>
      <c r="CY126" s="3"/>
      <c r="CZ126" s="3"/>
      <c r="DA126" s="3"/>
    </row>
    <row r="127" spans="1:105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  <c r="CA127" s="3"/>
      <c r="CB127" s="3"/>
      <c r="CC127" s="3"/>
      <c r="CD127" s="3"/>
      <c r="CE127" s="3"/>
      <c r="CF127" s="3"/>
      <c r="CG127" s="3"/>
      <c r="CH127" s="3"/>
      <c r="CI127" s="3"/>
      <c r="CJ127" s="3"/>
      <c r="CK127" s="3"/>
      <c r="CL127" s="3"/>
      <c r="CM127" s="3"/>
      <c r="CN127" s="3"/>
      <c r="CO127" s="3"/>
      <c r="CP127" s="3"/>
      <c r="CQ127" s="3"/>
      <c r="CR127" s="3"/>
      <c r="CS127" s="3"/>
      <c r="CT127" s="3"/>
      <c r="CU127" s="3"/>
      <c r="CV127" s="3"/>
      <c r="CW127" s="3"/>
      <c r="CX127" s="3"/>
      <c r="CY127" s="3"/>
      <c r="CZ127" s="3"/>
      <c r="DA127" s="3"/>
    </row>
    <row r="128" spans="1:105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/>
      <c r="BW128" s="3"/>
      <c r="BX128" s="3"/>
      <c r="BY128" s="3"/>
      <c r="BZ128" s="3"/>
      <c r="CA128" s="3"/>
      <c r="CB128" s="3"/>
      <c r="CC128" s="3"/>
      <c r="CD128" s="3"/>
      <c r="CE128" s="3"/>
      <c r="CF128" s="3"/>
      <c r="CG128" s="3"/>
      <c r="CH128" s="3"/>
      <c r="CI128" s="3"/>
      <c r="CJ128" s="3"/>
      <c r="CK128" s="3"/>
      <c r="CL128" s="3"/>
      <c r="CM128" s="3"/>
      <c r="CN128" s="3"/>
      <c r="CO128" s="3"/>
      <c r="CP128" s="3"/>
      <c r="CQ128" s="3"/>
      <c r="CR128" s="3"/>
      <c r="CS128" s="3"/>
      <c r="CT128" s="3"/>
      <c r="CU128" s="3"/>
      <c r="CV128" s="3"/>
      <c r="CW128" s="3"/>
      <c r="CX128" s="3"/>
      <c r="CY128" s="3"/>
      <c r="CZ128" s="3"/>
      <c r="DA128" s="3"/>
    </row>
    <row r="129" spans="1:105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3"/>
      <c r="BW129" s="3"/>
      <c r="BX129" s="3"/>
      <c r="BY129" s="3"/>
      <c r="BZ129" s="3"/>
      <c r="CA129" s="3"/>
      <c r="CB129" s="3"/>
      <c r="CC129" s="3"/>
      <c r="CD129" s="3"/>
      <c r="CE129" s="3"/>
      <c r="CF129" s="3"/>
      <c r="CG129" s="3"/>
      <c r="CH129" s="3"/>
      <c r="CI129" s="3"/>
      <c r="CJ129" s="3"/>
      <c r="CK129" s="3"/>
      <c r="CL129" s="3"/>
      <c r="CM129" s="3"/>
      <c r="CN129" s="3"/>
      <c r="CO129" s="3"/>
      <c r="CP129" s="3"/>
      <c r="CQ129" s="3"/>
      <c r="CR129" s="3"/>
      <c r="CS129" s="3"/>
      <c r="CT129" s="3"/>
      <c r="CU129" s="3"/>
      <c r="CV129" s="3"/>
      <c r="CW129" s="3"/>
      <c r="CX129" s="3"/>
      <c r="CY129" s="3"/>
      <c r="CZ129" s="3"/>
      <c r="DA129" s="3"/>
    </row>
    <row r="130" spans="1:105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  <c r="BS130" s="3"/>
      <c r="BT130" s="3"/>
      <c r="BU130" s="3"/>
      <c r="BV130" s="3"/>
      <c r="BW130" s="3"/>
      <c r="BX130" s="3"/>
      <c r="BY130" s="3"/>
      <c r="BZ130" s="3"/>
      <c r="CA130" s="3"/>
      <c r="CB130" s="3"/>
      <c r="CC130" s="3"/>
      <c r="CD130" s="3"/>
      <c r="CE130" s="3"/>
      <c r="CF130" s="3"/>
      <c r="CG130" s="3"/>
      <c r="CH130" s="3"/>
      <c r="CI130" s="3"/>
      <c r="CJ130" s="3"/>
      <c r="CK130" s="3"/>
      <c r="CL130" s="3"/>
      <c r="CM130" s="3"/>
      <c r="CN130" s="3"/>
      <c r="CO130" s="3"/>
      <c r="CP130" s="3"/>
      <c r="CQ130" s="3"/>
      <c r="CR130" s="3"/>
      <c r="CS130" s="3"/>
      <c r="CT130" s="3"/>
      <c r="CU130" s="3"/>
      <c r="CV130" s="3"/>
      <c r="CW130" s="3"/>
      <c r="CX130" s="3"/>
      <c r="CY130" s="3"/>
      <c r="CZ130" s="3"/>
      <c r="DA130" s="3"/>
    </row>
    <row r="131" spans="1:105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  <c r="BS131" s="3"/>
      <c r="BT131" s="3"/>
      <c r="BU131" s="3"/>
      <c r="BV131" s="3"/>
      <c r="BW131" s="3"/>
      <c r="BX131" s="3"/>
      <c r="BY131" s="3"/>
      <c r="BZ131" s="3"/>
      <c r="CA131" s="3"/>
      <c r="CB131" s="3"/>
      <c r="CC131" s="3"/>
      <c r="CD131" s="3"/>
      <c r="CE131" s="3"/>
      <c r="CF131" s="3"/>
      <c r="CG131" s="3"/>
      <c r="CH131" s="3"/>
      <c r="CI131" s="3"/>
      <c r="CJ131" s="3"/>
      <c r="CK131" s="3"/>
      <c r="CL131" s="3"/>
      <c r="CM131" s="3"/>
      <c r="CN131" s="3"/>
      <c r="CO131" s="3"/>
      <c r="CP131" s="3"/>
      <c r="CQ131" s="3"/>
      <c r="CR131" s="3"/>
      <c r="CS131" s="3"/>
      <c r="CT131" s="3"/>
      <c r="CU131" s="3"/>
      <c r="CV131" s="3"/>
      <c r="CW131" s="3"/>
      <c r="CX131" s="3"/>
      <c r="CY131" s="3"/>
      <c r="CZ131" s="3"/>
      <c r="DA131" s="3"/>
    </row>
    <row r="132" spans="1:105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  <c r="BU132" s="3"/>
      <c r="BV132" s="3"/>
      <c r="BW132" s="3"/>
      <c r="BX132" s="3"/>
      <c r="BY132" s="3"/>
      <c r="BZ132" s="3"/>
      <c r="CA132" s="3"/>
      <c r="CB132" s="3"/>
      <c r="CC132" s="3"/>
      <c r="CD132" s="3"/>
      <c r="CE132" s="3"/>
      <c r="CF132" s="3"/>
      <c r="CG132" s="3"/>
      <c r="CH132" s="3"/>
      <c r="CI132" s="3"/>
      <c r="CJ132" s="3"/>
      <c r="CK132" s="3"/>
      <c r="CL132" s="3"/>
      <c r="CM132" s="3"/>
      <c r="CN132" s="3"/>
      <c r="CO132" s="3"/>
      <c r="CP132" s="3"/>
      <c r="CQ132" s="3"/>
      <c r="CR132" s="3"/>
      <c r="CS132" s="3"/>
      <c r="CT132" s="3"/>
      <c r="CU132" s="3"/>
      <c r="CV132" s="3"/>
      <c r="CW132" s="3"/>
      <c r="CX132" s="3"/>
      <c r="CY132" s="3"/>
      <c r="CZ132" s="3"/>
      <c r="DA132" s="3"/>
    </row>
    <row r="133" spans="1:105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  <c r="BU133" s="3"/>
      <c r="BV133" s="3"/>
      <c r="BW133" s="3"/>
      <c r="BX133" s="3"/>
      <c r="BY133" s="3"/>
      <c r="BZ133" s="3"/>
      <c r="CA133" s="3"/>
      <c r="CB133" s="3"/>
      <c r="CC133" s="3"/>
      <c r="CD133" s="3"/>
      <c r="CE133" s="3"/>
      <c r="CF133" s="3"/>
      <c r="CG133" s="3"/>
      <c r="CH133" s="3"/>
      <c r="CI133" s="3"/>
      <c r="CJ133" s="3"/>
      <c r="CK133" s="3"/>
      <c r="CL133" s="3"/>
      <c r="CM133" s="3"/>
      <c r="CN133" s="3"/>
      <c r="CO133" s="3"/>
      <c r="CP133" s="3"/>
      <c r="CQ133" s="3"/>
      <c r="CR133" s="3"/>
      <c r="CS133" s="3"/>
      <c r="CT133" s="3"/>
      <c r="CU133" s="3"/>
      <c r="CV133" s="3"/>
      <c r="CW133" s="3"/>
      <c r="CX133" s="3"/>
      <c r="CY133" s="3"/>
      <c r="CZ133" s="3"/>
      <c r="DA133" s="3"/>
    </row>
    <row r="134" spans="1:105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  <c r="BU134" s="3"/>
      <c r="BV134" s="3"/>
      <c r="BW134" s="3"/>
      <c r="BX134" s="3"/>
      <c r="BY134" s="3"/>
      <c r="BZ134" s="3"/>
      <c r="CA134" s="3"/>
      <c r="CB134" s="3"/>
      <c r="CC134" s="3"/>
      <c r="CD134" s="3"/>
      <c r="CE134" s="3"/>
      <c r="CF134" s="3"/>
      <c r="CG134" s="3"/>
      <c r="CH134" s="3"/>
      <c r="CI134" s="3"/>
      <c r="CJ134" s="3"/>
      <c r="CK134" s="3"/>
      <c r="CL134" s="3"/>
      <c r="CM134" s="3"/>
      <c r="CN134" s="3"/>
      <c r="CO134" s="3"/>
      <c r="CP134" s="3"/>
      <c r="CQ134" s="3"/>
      <c r="CR134" s="3"/>
      <c r="CS134" s="3"/>
      <c r="CT134" s="3"/>
      <c r="CU134" s="3"/>
      <c r="CV134" s="3"/>
      <c r="CW134" s="3"/>
      <c r="CX134" s="3"/>
      <c r="CY134" s="3"/>
      <c r="CZ134" s="3"/>
      <c r="DA134" s="3"/>
    </row>
    <row r="135" spans="1:105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3"/>
      <c r="BW135" s="3"/>
      <c r="BX135" s="3"/>
      <c r="BY135" s="3"/>
      <c r="BZ135" s="3"/>
      <c r="CA135" s="3"/>
      <c r="CB135" s="3"/>
      <c r="CC135" s="3"/>
      <c r="CD135" s="3"/>
      <c r="CE135" s="3"/>
      <c r="CF135" s="3"/>
      <c r="CG135" s="3"/>
      <c r="CH135" s="3"/>
      <c r="CI135" s="3"/>
      <c r="CJ135" s="3"/>
      <c r="CK135" s="3"/>
      <c r="CL135" s="3"/>
      <c r="CM135" s="3"/>
      <c r="CN135" s="3"/>
      <c r="CO135" s="3"/>
      <c r="CP135" s="3"/>
      <c r="CQ135" s="3"/>
      <c r="CR135" s="3"/>
      <c r="CS135" s="3"/>
      <c r="CT135" s="3"/>
      <c r="CU135" s="3"/>
      <c r="CV135" s="3"/>
      <c r="CW135" s="3"/>
      <c r="CX135" s="3"/>
      <c r="CY135" s="3"/>
      <c r="CZ135" s="3"/>
      <c r="DA135" s="3"/>
    </row>
    <row r="136" spans="1:105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  <c r="BU136" s="3"/>
      <c r="BV136" s="3"/>
      <c r="BW136" s="3"/>
      <c r="BX136" s="3"/>
      <c r="BY136" s="3"/>
      <c r="BZ136" s="3"/>
      <c r="CA136" s="3"/>
      <c r="CB136" s="3"/>
      <c r="CC136" s="3"/>
      <c r="CD136" s="3"/>
      <c r="CE136" s="3"/>
      <c r="CF136" s="3"/>
      <c r="CG136" s="3"/>
      <c r="CH136" s="3"/>
      <c r="CI136" s="3"/>
      <c r="CJ136" s="3"/>
      <c r="CK136" s="3"/>
      <c r="CL136" s="3"/>
      <c r="CM136" s="3"/>
      <c r="CN136" s="3"/>
      <c r="CO136" s="3"/>
      <c r="CP136" s="3"/>
      <c r="CQ136" s="3"/>
      <c r="CR136" s="3"/>
      <c r="CS136" s="3"/>
      <c r="CT136" s="3"/>
      <c r="CU136" s="3"/>
      <c r="CV136" s="3"/>
      <c r="CW136" s="3"/>
      <c r="CX136" s="3"/>
      <c r="CY136" s="3"/>
      <c r="CZ136" s="3"/>
      <c r="DA136" s="3"/>
    </row>
    <row r="137" spans="1:105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  <c r="BW137" s="3"/>
      <c r="BX137" s="3"/>
      <c r="BY137" s="3"/>
      <c r="BZ137" s="3"/>
      <c r="CA137" s="3"/>
      <c r="CB137" s="3"/>
      <c r="CC137" s="3"/>
      <c r="CD137" s="3"/>
      <c r="CE137" s="3"/>
      <c r="CF137" s="3"/>
      <c r="CG137" s="3"/>
      <c r="CH137" s="3"/>
      <c r="CI137" s="3"/>
      <c r="CJ137" s="3"/>
      <c r="CK137" s="3"/>
      <c r="CL137" s="3"/>
      <c r="CM137" s="3"/>
      <c r="CN137" s="3"/>
      <c r="CO137" s="3"/>
      <c r="CP137" s="3"/>
      <c r="CQ137" s="3"/>
      <c r="CR137" s="3"/>
      <c r="CS137" s="3"/>
      <c r="CT137" s="3"/>
      <c r="CU137" s="3"/>
      <c r="CV137" s="3"/>
      <c r="CW137" s="3"/>
      <c r="CX137" s="3"/>
      <c r="CY137" s="3"/>
      <c r="CZ137" s="3"/>
      <c r="DA137" s="3"/>
    </row>
    <row r="138" spans="1:105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  <c r="BV138" s="3"/>
      <c r="BW138" s="3"/>
      <c r="BX138" s="3"/>
      <c r="BY138" s="3"/>
      <c r="BZ138" s="3"/>
      <c r="CA138" s="3"/>
      <c r="CB138" s="3"/>
      <c r="CC138" s="3"/>
      <c r="CD138" s="3"/>
      <c r="CE138" s="3"/>
      <c r="CF138" s="3"/>
      <c r="CG138" s="3"/>
      <c r="CH138" s="3"/>
      <c r="CI138" s="3"/>
      <c r="CJ138" s="3"/>
      <c r="CK138" s="3"/>
      <c r="CL138" s="3"/>
      <c r="CM138" s="3"/>
      <c r="CN138" s="3"/>
      <c r="CO138" s="3"/>
      <c r="CP138" s="3"/>
      <c r="CQ138" s="3"/>
      <c r="CR138" s="3"/>
      <c r="CS138" s="3"/>
      <c r="CT138" s="3"/>
      <c r="CU138" s="3"/>
      <c r="CV138" s="3"/>
      <c r="CW138" s="3"/>
      <c r="CX138" s="3"/>
      <c r="CY138" s="3"/>
      <c r="CZ138" s="3"/>
      <c r="DA138" s="3"/>
    </row>
    <row r="139" spans="1:105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/>
      <c r="CB139" s="3"/>
      <c r="CC139" s="3"/>
      <c r="CD139" s="3"/>
      <c r="CE139" s="3"/>
      <c r="CF139" s="3"/>
      <c r="CG139" s="3"/>
      <c r="CH139" s="3"/>
      <c r="CI139" s="3"/>
      <c r="CJ139" s="3"/>
      <c r="CK139" s="3"/>
      <c r="CL139" s="3"/>
      <c r="CM139" s="3"/>
      <c r="CN139" s="3"/>
      <c r="CO139" s="3"/>
      <c r="CP139" s="3"/>
      <c r="CQ139" s="3"/>
      <c r="CR139" s="3"/>
      <c r="CS139" s="3"/>
      <c r="CT139" s="3"/>
      <c r="CU139" s="3"/>
      <c r="CV139" s="3"/>
      <c r="CW139" s="3"/>
      <c r="CX139" s="3"/>
      <c r="CY139" s="3"/>
      <c r="CZ139" s="3"/>
      <c r="DA139" s="3"/>
    </row>
    <row r="140" spans="1:105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  <c r="BW140" s="3"/>
      <c r="BX140" s="3"/>
      <c r="BY140" s="3"/>
      <c r="BZ140" s="3"/>
      <c r="CA140" s="3"/>
      <c r="CB140" s="3"/>
      <c r="CC140" s="3"/>
      <c r="CD140" s="3"/>
      <c r="CE140" s="3"/>
      <c r="CF140" s="3"/>
      <c r="CG140" s="3"/>
      <c r="CH140" s="3"/>
      <c r="CI140" s="3"/>
      <c r="CJ140" s="3"/>
      <c r="CK140" s="3"/>
      <c r="CL140" s="3"/>
      <c r="CM140" s="3"/>
      <c r="CN140" s="3"/>
      <c r="CO140" s="3"/>
      <c r="CP140" s="3"/>
      <c r="CQ140" s="3"/>
      <c r="CR140" s="3"/>
      <c r="CS140" s="3"/>
      <c r="CT140" s="3"/>
      <c r="CU140" s="3"/>
      <c r="CV140" s="3"/>
      <c r="CW140" s="3"/>
      <c r="CX140" s="3"/>
      <c r="CY140" s="3"/>
      <c r="CZ140" s="3"/>
      <c r="DA140" s="3"/>
    </row>
    <row r="141" spans="1:105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  <c r="BU141" s="3"/>
      <c r="BV141" s="3"/>
      <c r="BW141" s="3"/>
      <c r="BX141" s="3"/>
      <c r="BY141" s="3"/>
      <c r="BZ141" s="3"/>
      <c r="CA141" s="3"/>
      <c r="CB141" s="3"/>
      <c r="CC141" s="3"/>
      <c r="CD141" s="3"/>
      <c r="CE141" s="3"/>
      <c r="CF141" s="3"/>
      <c r="CG141" s="3"/>
      <c r="CH141" s="3"/>
      <c r="CI141" s="3"/>
      <c r="CJ141" s="3"/>
      <c r="CK141" s="3"/>
      <c r="CL141" s="3"/>
      <c r="CM141" s="3"/>
      <c r="CN141" s="3"/>
      <c r="CO141" s="3"/>
      <c r="CP141" s="3"/>
      <c r="CQ141" s="3"/>
      <c r="CR141" s="3"/>
      <c r="CS141" s="3"/>
      <c r="CT141" s="3"/>
      <c r="CU141" s="3"/>
      <c r="CV141" s="3"/>
      <c r="CW141" s="3"/>
      <c r="CX141" s="3"/>
      <c r="CY141" s="3"/>
      <c r="CZ141" s="3"/>
      <c r="DA141" s="3"/>
    </row>
    <row r="142" spans="1:105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  <c r="BU142" s="3"/>
      <c r="BV142" s="3"/>
      <c r="BW142" s="3"/>
      <c r="BX142" s="3"/>
      <c r="BY142" s="3"/>
      <c r="BZ142" s="3"/>
      <c r="CA142" s="3"/>
      <c r="CB142" s="3"/>
      <c r="CC142" s="3"/>
      <c r="CD142" s="3"/>
      <c r="CE142" s="3"/>
      <c r="CF142" s="3"/>
      <c r="CG142" s="3"/>
      <c r="CH142" s="3"/>
      <c r="CI142" s="3"/>
      <c r="CJ142" s="3"/>
      <c r="CK142" s="3"/>
      <c r="CL142" s="3"/>
      <c r="CM142" s="3"/>
      <c r="CN142" s="3"/>
      <c r="CO142" s="3"/>
      <c r="CP142" s="3"/>
      <c r="CQ142" s="3"/>
      <c r="CR142" s="3"/>
      <c r="CS142" s="3"/>
      <c r="CT142" s="3"/>
      <c r="CU142" s="3"/>
      <c r="CV142" s="3"/>
      <c r="CW142" s="3"/>
      <c r="CX142" s="3"/>
      <c r="CY142" s="3"/>
      <c r="CZ142" s="3"/>
      <c r="DA142" s="3"/>
    </row>
    <row r="143" spans="1:105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  <c r="BU143" s="3"/>
      <c r="BV143" s="3"/>
      <c r="BW143" s="3"/>
      <c r="BX143" s="3"/>
      <c r="BY143" s="3"/>
      <c r="BZ143" s="3"/>
      <c r="CA143" s="3"/>
      <c r="CB143" s="3"/>
      <c r="CC143" s="3"/>
      <c r="CD143" s="3"/>
      <c r="CE143" s="3"/>
      <c r="CF143" s="3"/>
      <c r="CG143" s="3"/>
      <c r="CH143" s="3"/>
      <c r="CI143" s="3"/>
      <c r="CJ143" s="3"/>
      <c r="CK143" s="3"/>
      <c r="CL143" s="3"/>
      <c r="CM143" s="3"/>
      <c r="CN143" s="3"/>
      <c r="CO143" s="3"/>
      <c r="CP143" s="3"/>
      <c r="CQ143" s="3"/>
      <c r="CR143" s="3"/>
      <c r="CS143" s="3"/>
      <c r="CT143" s="3"/>
      <c r="CU143" s="3"/>
      <c r="CV143" s="3"/>
      <c r="CW143" s="3"/>
      <c r="CX143" s="3"/>
      <c r="CY143" s="3"/>
      <c r="CZ143" s="3"/>
      <c r="DA143" s="3"/>
    </row>
    <row r="144" spans="1:105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  <c r="BU144" s="3"/>
      <c r="BV144" s="3"/>
      <c r="BW144" s="3"/>
      <c r="BX144" s="3"/>
      <c r="BY144" s="3"/>
      <c r="BZ144" s="3"/>
      <c r="CA144" s="3"/>
      <c r="CB144" s="3"/>
      <c r="CC144" s="3"/>
      <c r="CD144" s="3"/>
      <c r="CE144" s="3"/>
      <c r="CF144" s="3"/>
      <c r="CG144" s="3"/>
      <c r="CH144" s="3"/>
      <c r="CI144" s="3"/>
      <c r="CJ144" s="3"/>
      <c r="CK144" s="3"/>
      <c r="CL144" s="3"/>
      <c r="CM144" s="3"/>
      <c r="CN144" s="3"/>
      <c r="CO144" s="3"/>
      <c r="CP144" s="3"/>
      <c r="CQ144" s="3"/>
      <c r="CR144" s="3"/>
      <c r="CS144" s="3"/>
      <c r="CT144" s="3"/>
      <c r="CU144" s="3"/>
      <c r="CV144" s="3"/>
      <c r="CW144" s="3"/>
      <c r="CX144" s="3"/>
      <c r="CY144" s="3"/>
      <c r="CZ144" s="3"/>
      <c r="DA144" s="3"/>
    </row>
    <row r="145" spans="1:105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  <c r="BU145" s="3"/>
      <c r="BV145" s="3"/>
      <c r="BW145" s="3"/>
      <c r="BX145" s="3"/>
      <c r="BY145" s="3"/>
      <c r="BZ145" s="3"/>
      <c r="CA145" s="3"/>
      <c r="CB145" s="3"/>
      <c r="CC145" s="3"/>
      <c r="CD145" s="3"/>
      <c r="CE145" s="3"/>
      <c r="CF145" s="3"/>
      <c r="CG145" s="3"/>
      <c r="CH145" s="3"/>
      <c r="CI145" s="3"/>
      <c r="CJ145" s="3"/>
      <c r="CK145" s="3"/>
      <c r="CL145" s="3"/>
      <c r="CM145" s="3"/>
      <c r="CN145" s="3"/>
      <c r="CO145" s="3"/>
      <c r="CP145" s="3"/>
      <c r="CQ145" s="3"/>
      <c r="CR145" s="3"/>
      <c r="CS145" s="3"/>
      <c r="CT145" s="3"/>
      <c r="CU145" s="3"/>
      <c r="CV145" s="3"/>
      <c r="CW145" s="3"/>
      <c r="CX145" s="3"/>
      <c r="CY145" s="3"/>
      <c r="CZ145" s="3"/>
      <c r="DA145" s="3"/>
    </row>
    <row r="146" spans="1:105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  <c r="BU146" s="3"/>
      <c r="BV146" s="3"/>
      <c r="BW146" s="3"/>
      <c r="BX146" s="3"/>
      <c r="BY146" s="3"/>
      <c r="BZ146" s="3"/>
      <c r="CA146" s="3"/>
      <c r="CB146" s="3"/>
      <c r="CC146" s="3"/>
      <c r="CD146" s="3"/>
      <c r="CE146" s="3"/>
      <c r="CF146" s="3"/>
      <c r="CG146" s="3"/>
      <c r="CH146" s="3"/>
      <c r="CI146" s="3"/>
      <c r="CJ146" s="3"/>
      <c r="CK146" s="3"/>
      <c r="CL146" s="3"/>
      <c r="CM146" s="3"/>
      <c r="CN146" s="3"/>
      <c r="CO146" s="3"/>
      <c r="CP146" s="3"/>
      <c r="CQ146" s="3"/>
      <c r="CR146" s="3"/>
      <c r="CS146" s="3"/>
      <c r="CT146" s="3"/>
      <c r="CU146" s="3"/>
      <c r="CV146" s="3"/>
      <c r="CW146" s="3"/>
      <c r="CX146" s="3"/>
      <c r="CY146" s="3"/>
      <c r="CZ146" s="3"/>
      <c r="DA146" s="3"/>
    </row>
    <row r="147" spans="1:105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  <c r="BU147" s="3"/>
      <c r="BV147" s="3"/>
      <c r="BW147" s="3"/>
      <c r="BX147" s="3"/>
      <c r="BY147" s="3"/>
      <c r="BZ147" s="3"/>
      <c r="CA147" s="3"/>
      <c r="CB147" s="3"/>
      <c r="CC147" s="3"/>
      <c r="CD147" s="3"/>
      <c r="CE147" s="3"/>
      <c r="CF147" s="3"/>
      <c r="CG147" s="3"/>
      <c r="CH147" s="3"/>
      <c r="CI147" s="3"/>
      <c r="CJ147" s="3"/>
      <c r="CK147" s="3"/>
      <c r="CL147" s="3"/>
      <c r="CM147" s="3"/>
      <c r="CN147" s="3"/>
      <c r="CO147" s="3"/>
      <c r="CP147" s="3"/>
      <c r="CQ147" s="3"/>
      <c r="CR147" s="3"/>
      <c r="CS147" s="3"/>
      <c r="CT147" s="3"/>
      <c r="CU147" s="3"/>
      <c r="CV147" s="3"/>
      <c r="CW147" s="3"/>
      <c r="CX147" s="3"/>
      <c r="CY147" s="3"/>
      <c r="CZ147" s="3"/>
      <c r="DA147" s="3"/>
    </row>
    <row r="148" spans="1:105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  <c r="BU148" s="3"/>
      <c r="BV148" s="3"/>
      <c r="BW148" s="3"/>
      <c r="BX148" s="3"/>
      <c r="BY148" s="3"/>
      <c r="BZ148" s="3"/>
      <c r="CA148" s="3"/>
      <c r="CB148" s="3"/>
      <c r="CC148" s="3"/>
      <c r="CD148" s="3"/>
      <c r="CE148" s="3"/>
      <c r="CF148" s="3"/>
      <c r="CG148" s="3"/>
      <c r="CH148" s="3"/>
      <c r="CI148" s="3"/>
      <c r="CJ148" s="3"/>
      <c r="CK148" s="3"/>
      <c r="CL148" s="3"/>
      <c r="CM148" s="3"/>
      <c r="CN148" s="3"/>
      <c r="CO148" s="3"/>
      <c r="CP148" s="3"/>
      <c r="CQ148" s="3"/>
      <c r="CR148" s="3"/>
      <c r="CS148" s="3"/>
      <c r="CT148" s="3"/>
      <c r="CU148" s="3"/>
      <c r="CV148" s="3"/>
      <c r="CW148" s="3"/>
      <c r="CX148" s="3"/>
      <c r="CY148" s="3"/>
      <c r="CZ148" s="3"/>
      <c r="DA148" s="3"/>
    </row>
    <row r="149" spans="1:105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  <c r="BU149" s="3"/>
      <c r="BV149" s="3"/>
      <c r="BW149" s="3"/>
      <c r="BX149" s="3"/>
      <c r="BY149" s="3"/>
      <c r="BZ149" s="3"/>
      <c r="CA149" s="3"/>
      <c r="CB149" s="3"/>
      <c r="CC149" s="3"/>
      <c r="CD149" s="3"/>
      <c r="CE149" s="3"/>
      <c r="CF149" s="3"/>
      <c r="CG149" s="3"/>
      <c r="CH149" s="3"/>
      <c r="CI149" s="3"/>
      <c r="CJ149" s="3"/>
      <c r="CK149" s="3"/>
      <c r="CL149" s="3"/>
      <c r="CM149" s="3"/>
      <c r="CN149" s="3"/>
      <c r="CO149" s="3"/>
      <c r="CP149" s="3"/>
      <c r="CQ149" s="3"/>
      <c r="CR149" s="3"/>
      <c r="CS149" s="3"/>
      <c r="CT149" s="3"/>
      <c r="CU149" s="3"/>
      <c r="CV149" s="3"/>
      <c r="CW149" s="3"/>
      <c r="CX149" s="3"/>
      <c r="CY149" s="3"/>
      <c r="CZ149" s="3"/>
      <c r="DA149" s="3"/>
    </row>
    <row r="150" spans="1:105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  <c r="BU150" s="3"/>
      <c r="BV150" s="3"/>
      <c r="BW150" s="3"/>
      <c r="BX150" s="3"/>
      <c r="BY150" s="3"/>
      <c r="BZ150" s="3"/>
      <c r="CA150" s="3"/>
      <c r="CB150" s="3"/>
      <c r="CC150" s="3"/>
      <c r="CD150" s="3"/>
      <c r="CE150" s="3"/>
      <c r="CF150" s="3"/>
      <c r="CG150" s="3"/>
      <c r="CH150" s="3"/>
      <c r="CI150" s="3"/>
      <c r="CJ150" s="3"/>
      <c r="CK150" s="3"/>
      <c r="CL150" s="3"/>
      <c r="CM150" s="3"/>
      <c r="CN150" s="3"/>
      <c r="CO150" s="3"/>
      <c r="CP150" s="3"/>
      <c r="CQ150" s="3"/>
      <c r="CR150" s="3"/>
      <c r="CS150" s="3"/>
      <c r="CT150" s="3"/>
      <c r="CU150" s="3"/>
      <c r="CV150" s="3"/>
      <c r="CW150" s="3"/>
      <c r="CX150" s="3"/>
      <c r="CY150" s="3"/>
      <c r="CZ150" s="3"/>
      <c r="DA150" s="3"/>
    </row>
    <row r="151" spans="1:105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  <c r="BU151" s="3"/>
      <c r="BV151" s="3"/>
      <c r="BW151" s="3"/>
      <c r="BX151" s="3"/>
      <c r="BY151" s="3"/>
      <c r="BZ151" s="3"/>
      <c r="CA151" s="3"/>
      <c r="CB151" s="3"/>
      <c r="CC151" s="3"/>
      <c r="CD151" s="3"/>
      <c r="CE151" s="3"/>
      <c r="CF151" s="3"/>
      <c r="CG151" s="3"/>
      <c r="CH151" s="3"/>
      <c r="CI151" s="3"/>
      <c r="CJ151" s="3"/>
      <c r="CK151" s="3"/>
      <c r="CL151" s="3"/>
      <c r="CM151" s="3"/>
      <c r="CN151" s="3"/>
      <c r="CO151" s="3"/>
      <c r="CP151" s="3"/>
      <c r="CQ151" s="3"/>
      <c r="CR151" s="3"/>
      <c r="CS151" s="3"/>
      <c r="CT151" s="3"/>
      <c r="CU151" s="3"/>
      <c r="CV151" s="3"/>
      <c r="CW151" s="3"/>
      <c r="CX151" s="3"/>
      <c r="CY151" s="3"/>
      <c r="CZ151" s="3"/>
      <c r="DA151" s="3"/>
    </row>
    <row r="152" spans="1:105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  <c r="BU152" s="3"/>
      <c r="BV152" s="3"/>
      <c r="BW152" s="3"/>
      <c r="BX152" s="3"/>
      <c r="BY152" s="3"/>
      <c r="BZ152" s="3"/>
      <c r="CA152" s="3"/>
      <c r="CB152" s="3"/>
      <c r="CC152" s="3"/>
      <c r="CD152" s="3"/>
      <c r="CE152" s="3"/>
      <c r="CF152" s="3"/>
      <c r="CG152" s="3"/>
      <c r="CH152" s="3"/>
      <c r="CI152" s="3"/>
      <c r="CJ152" s="3"/>
      <c r="CK152" s="3"/>
      <c r="CL152" s="3"/>
      <c r="CM152" s="3"/>
      <c r="CN152" s="3"/>
      <c r="CO152" s="3"/>
      <c r="CP152" s="3"/>
      <c r="CQ152" s="3"/>
      <c r="CR152" s="3"/>
      <c r="CS152" s="3"/>
      <c r="CT152" s="3"/>
      <c r="CU152" s="3"/>
      <c r="CV152" s="3"/>
      <c r="CW152" s="3"/>
      <c r="CX152" s="3"/>
      <c r="CY152" s="3"/>
      <c r="CZ152" s="3"/>
      <c r="DA152" s="3"/>
    </row>
    <row r="153" spans="1:105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  <c r="BU153" s="3"/>
      <c r="BV153" s="3"/>
      <c r="BW153" s="3"/>
      <c r="BX153" s="3"/>
      <c r="BY153" s="3"/>
      <c r="BZ153" s="3"/>
      <c r="CA153" s="3"/>
      <c r="CB153" s="3"/>
      <c r="CC153" s="3"/>
      <c r="CD153" s="3"/>
      <c r="CE153" s="3"/>
      <c r="CF153" s="3"/>
      <c r="CG153" s="3"/>
      <c r="CH153" s="3"/>
      <c r="CI153" s="3"/>
      <c r="CJ153" s="3"/>
      <c r="CK153" s="3"/>
      <c r="CL153" s="3"/>
      <c r="CM153" s="3"/>
      <c r="CN153" s="3"/>
      <c r="CO153" s="3"/>
      <c r="CP153" s="3"/>
      <c r="CQ153" s="3"/>
      <c r="CR153" s="3"/>
      <c r="CS153" s="3"/>
      <c r="CT153" s="3"/>
      <c r="CU153" s="3"/>
      <c r="CV153" s="3"/>
      <c r="CW153" s="3"/>
      <c r="CX153" s="3"/>
      <c r="CY153" s="3"/>
      <c r="CZ153" s="3"/>
      <c r="DA153" s="3"/>
    </row>
    <row r="154" spans="1:105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  <c r="BU154" s="3"/>
      <c r="BV154" s="3"/>
      <c r="BW154" s="3"/>
      <c r="BX154" s="3"/>
      <c r="BY154" s="3"/>
      <c r="BZ154" s="3"/>
      <c r="CA154" s="3"/>
      <c r="CB154" s="3"/>
      <c r="CC154" s="3"/>
      <c r="CD154" s="3"/>
      <c r="CE154" s="3"/>
      <c r="CF154" s="3"/>
      <c r="CG154" s="3"/>
      <c r="CH154" s="3"/>
      <c r="CI154" s="3"/>
      <c r="CJ154" s="3"/>
      <c r="CK154" s="3"/>
      <c r="CL154" s="3"/>
      <c r="CM154" s="3"/>
      <c r="CN154" s="3"/>
      <c r="CO154" s="3"/>
      <c r="CP154" s="3"/>
      <c r="CQ154" s="3"/>
      <c r="CR154" s="3"/>
      <c r="CS154" s="3"/>
      <c r="CT154" s="3"/>
      <c r="CU154" s="3"/>
      <c r="CV154" s="3"/>
      <c r="CW154" s="3"/>
      <c r="CX154" s="3"/>
      <c r="CY154" s="3"/>
      <c r="CZ154" s="3"/>
      <c r="DA154" s="3"/>
    </row>
    <row r="155" spans="1:105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  <c r="BU155" s="3"/>
      <c r="BV155" s="3"/>
      <c r="BW155" s="3"/>
      <c r="BX155" s="3"/>
      <c r="BY155" s="3"/>
      <c r="BZ155" s="3"/>
      <c r="CA155" s="3"/>
      <c r="CB155" s="3"/>
      <c r="CC155" s="3"/>
      <c r="CD155" s="3"/>
      <c r="CE155" s="3"/>
      <c r="CF155" s="3"/>
      <c r="CG155" s="3"/>
      <c r="CH155" s="3"/>
      <c r="CI155" s="3"/>
      <c r="CJ155" s="3"/>
      <c r="CK155" s="3"/>
      <c r="CL155" s="3"/>
      <c r="CM155" s="3"/>
      <c r="CN155" s="3"/>
      <c r="CO155" s="3"/>
      <c r="CP155" s="3"/>
      <c r="CQ155" s="3"/>
      <c r="CR155" s="3"/>
      <c r="CS155" s="3"/>
      <c r="CT155" s="3"/>
      <c r="CU155" s="3"/>
      <c r="CV155" s="3"/>
      <c r="CW155" s="3"/>
      <c r="CX155" s="3"/>
      <c r="CY155" s="3"/>
      <c r="CZ155" s="3"/>
      <c r="DA155" s="3"/>
    </row>
    <row r="156" spans="1:105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  <c r="BN156" s="3"/>
      <c r="BO156" s="3"/>
      <c r="BP156" s="3"/>
      <c r="BQ156" s="3"/>
      <c r="BR156" s="3"/>
      <c r="BS156" s="3"/>
      <c r="BT156" s="3"/>
      <c r="BU156" s="3"/>
      <c r="BV156" s="3"/>
      <c r="BW156" s="3"/>
      <c r="BX156" s="3"/>
      <c r="BY156" s="3"/>
      <c r="BZ156" s="3"/>
      <c r="CA156" s="3"/>
      <c r="CB156" s="3"/>
      <c r="CC156" s="3"/>
      <c r="CD156" s="3"/>
      <c r="CE156" s="3"/>
      <c r="CF156" s="3"/>
      <c r="CG156" s="3"/>
      <c r="CH156" s="3"/>
      <c r="CI156" s="3"/>
      <c r="CJ156" s="3"/>
      <c r="CK156" s="3"/>
      <c r="CL156" s="3"/>
      <c r="CM156" s="3"/>
      <c r="CN156" s="3"/>
      <c r="CO156" s="3"/>
      <c r="CP156" s="3"/>
      <c r="CQ156" s="3"/>
      <c r="CR156" s="3"/>
      <c r="CS156" s="3"/>
      <c r="CT156" s="3"/>
      <c r="CU156" s="3"/>
      <c r="CV156" s="3"/>
      <c r="CW156" s="3"/>
      <c r="CX156" s="3"/>
      <c r="CY156" s="3"/>
      <c r="CZ156" s="3"/>
      <c r="DA156" s="3"/>
    </row>
    <row r="157" spans="1:105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  <c r="BN157" s="3"/>
      <c r="BO157" s="3"/>
      <c r="BP157" s="3"/>
      <c r="BQ157" s="3"/>
      <c r="BR157" s="3"/>
      <c r="BS157" s="3"/>
      <c r="BT157" s="3"/>
      <c r="BU157" s="3"/>
      <c r="BV157" s="3"/>
      <c r="BW157" s="3"/>
      <c r="BX157" s="3"/>
      <c r="BY157" s="3"/>
      <c r="BZ157" s="3"/>
      <c r="CA157" s="3"/>
      <c r="CB157" s="3"/>
      <c r="CC157" s="3"/>
      <c r="CD157" s="3"/>
      <c r="CE157" s="3"/>
      <c r="CF157" s="3"/>
      <c r="CG157" s="3"/>
      <c r="CH157" s="3"/>
      <c r="CI157" s="3"/>
      <c r="CJ157" s="3"/>
      <c r="CK157" s="3"/>
      <c r="CL157" s="3"/>
      <c r="CM157" s="3"/>
      <c r="CN157" s="3"/>
      <c r="CO157" s="3"/>
      <c r="CP157" s="3"/>
      <c r="CQ157" s="3"/>
      <c r="CR157" s="3"/>
      <c r="CS157" s="3"/>
      <c r="CT157" s="3"/>
      <c r="CU157" s="3"/>
      <c r="CV157" s="3"/>
      <c r="CW157" s="3"/>
      <c r="CX157" s="3"/>
      <c r="CY157" s="3"/>
      <c r="CZ157" s="3"/>
      <c r="DA157" s="3"/>
    </row>
    <row r="158" spans="1:105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  <c r="BU158" s="3"/>
      <c r="BV158" s="3"/>
      <c r="BW158" s="3"/>
      <c r="BX158" s="3"/>
      <c r="BY158" s="3"/>
      <c r="BZ158" s="3"/>
      <c r="CA158" s="3"/>
      <c r="CB158" s="3"/>
      <c r="CC158" s="3"/>
      <c r="CD158" s="3"/>
      <c r="CE158" s="3"/>
      <c r="CF158" s="3"/>
      <c r="CG158" s="3"/>
      <c r="CH158" s="3"/>
      <c r="CI158" s="3"/>
      <c r="CJ158" s="3"/>
      <c r="CK158" s="3"/>
      <c r="CL158" s="3"/>
      <c r="CM158" s="3"/>
      <c r="CN158" s="3"/>
      <c r="CO158" s="3"/>
      <c r="CP158" s="3"/>
      <c r="CQ158" s="3"/>
      <c r="CR158" s="3"/>
      <c r="CS158" s="3"/>
      <c r="CT158" s="3"/>
      <c r="CU158" s="3"/>
      <c r="CV158" s="3"/>
      <c r="CW158" s="3"/>
      <c r="CX158" s="3"/>
      <c r="CY158" s="3"/>
      <c r="CZ158" s="3"/>
      <c r="DA158" s="3"/>
    </row>
    <row r="159" spans="1:105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  <c r="BU159" s="3"/>
      <c r="BV159" s="3"/>
      <c r="BW159" s="3"/>
      <c r="BX159" s="3"/>
      <c r="BY159" s="3"/>
      <c r="BZ159" s="3"/>
      <c r="CA159" s="3"/>
      <c r="CB159" s="3"/>
      <c r="CC159" s="3"/>
      <c r="CD159" s="3"/>
      <c r="CE159" s="3"/>
      <c r="CF159" s="3"/>
      <c r="CG159" s="3"/>
      <c r="CH159" s="3"/>
      <c r="CI159" s="3"/>
      <c r="CJ159" s="3"/>
      <c r="CK159" s="3"/>
      <c r="CL159" s="3"/>
      <c r="CM159" s="3"/>
      <c r="CN159" s="3"/>
      <c r="CO159" s="3"/>
      <c r="CP159" s="3"/>
      <c r="CQ159" s="3"/>
      <c r="CR159" s="3"/>
      <c r="CS159" s="3"/>
      <c r="CT159" s="3"/>
      <c r="CU159" s="3"/>
      <c r="CV159" s="3"/>
      <c r="CW159" s="3"/>
      <c r="CX159" s="3"/>
      <c r="CY159" s="3"/>
      <c r="CZ159" s="3"/>
      <c r="DA159" s="3"/>
    </row>
    <row r="160" spans="1:105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  <c r="BU160" s="3"/>
      <c r="BV160" s="3"/>
      <c r="BW160" s="3"/>
      <c r="BX160" s="3"/>
      <c r="BY160" s="3"/>
      <c r="BZ160" s="3"/>
      <c r="CA160" s="3"/>
      <c r="CB160" s="3"/>
      <c r="CC160" s="3"/>
      <c r="CD160" s="3"/>
      <c r="CE160" s="3"/>
      <c r="CF160" s="3"/>
      <c r="CG160" s="3"/>
      <c r="CH160" s="3"/>
      <c r="CI160" s="3"/>
      <c r="CJ160" s="3"/>
      <c r="CK160" s="3"/>
      <c r="CL160" s="3"/>
      <c r="CM160" s="3"/>
      <c r="CN160" s="3"/>
      <c r="CO160" s="3"/>
      <c r="CP160" s="3"/>
      <c r="CQ160" s="3"/>
      <c r="CR160" s="3"/>
      <c r="CS160" s="3"/>
      <c r="CT160" s="3"/>
      <c r="CU160" s="3"/>
      <c r="CV160" s="3"/>
      <c r="CW160" s="3"/>
      <c r="CX160" s="3"/>
      <c r="CY160" s="3"/>
      <c r="CZ160" s="3"/>
      <c r="DA160" s="3"/>
    </row>
    <row r="161" spans="1:105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  <c r="BS161" s="3"/>
      <c r="BT161" s="3"/>
      <c r="BU161" s="3"/>
      <c r="BV161" s="3"/>
      <c r="BW161" s="3"/>
      <c r="BX161" s="3"/>
      <c r="BY161" s="3"/>
      <c r="BZ161" s="3"/>
      <c r="CA161" s="3"/>
      <c r="CB161" s="3"/>
      <c r="CC161" s="3"/>
      <c r="CD161" s="3"/>
      <c r="CE161" s="3"/>
      <c r="CF161" s="3"/>
      <c r="CG161" s="3"/>
      <c r="CH161" s="3"/>
      <c r="CI161" s="3"/>
      <c r="CJ161" s="3"/>
      <c r="CK161" s="3"/>
      <c r="CL161" s="3"/>
      <c r="CM161" s="3"/>
      <c r="CN161" s="3"/>
      <c r="CO161" s="3"/>
      <c r="CP161" s="3"/>
      <c r="CQ161" s="3"/>
      <c r="CR161" s="3"/>
      <c r="CS161" s="3"/>
      <c r="CT161" s="3"/>
      <c r="CU161" s="3"/>
      <c r="CV161" s="3"/>
      <c r="CW161" s="3"/>
      <c r="CX161" s="3"/>
      <c r="CY161" s="3"/>
      <c r="CZ161" s="3"/>
      <c r="DA161" s="3"/>
    </row>
    <row r="162" spans="1:105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  <c r="BQ162" s="3"/>
      <c r="BR162" s="3"/>
      <c r="BS162" s="3"/>
      <c r="BT162" s="3"/>
      <c r="BU162" s="3"/>
      <c r="BV162" s="3"/>
      <c r="BW162" s="3"/>
      <c r="BX162" s="3"/>
      <c r="BY162" s="3"/>
      <c r="BZ162" s="3"/>
      <c r="CA162" s="3"/>
      <c r="CB162" s="3"/>
      <c r="CC162" s="3"/>
      <c r="CD162" s="3"/>
      <c r="CE162" s="3"/>
      <c r="CF162" s="3"/>
      <c r="CG162" s="3"/>
      <c r="CH162" s="3"/>
      <c r="CI162" s="3"/>
      <c r="CJ162" s="3"/>
      <c r="CK162" s="3"/>
      <c r="CL162" s="3"/>
      <c r="CM162" s="3"/>
      <c r="CN162" s="3"/>
      <c r="CO162" s="3"/>
      <c r="CP162" s="3"/>
      <c r="CQ162" s="3"/>
      <c r="CR162" s="3"/>
      <c r="CS162" s="3"/>
      <c r="CT162" s="3"/>
      <c r="CU162" s="3"/>
      <c r="CV162" s="3"/>
      <c r="CW162" s="3"/>
      <c r="CX162" s="3"/>
      <c r="CY162" s="3"/>
      <c r="CZ162" s="3"/>
      <c r="DA162" s="3"/>
    </row>
    <row r="163" spans="1:105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  <c r="BW163" s="3"/>
      <c r="BX163" s="3"/>
      <c r="BY163" s="3"/>
      <c r="BZ163" s="3"/>
      <c r="CA163" s="3"/>
      <c r="CB163" s="3"/>
      <c r="CC163" s="3"/>
      <c r="CD163" s="3"/>
      <c r="CE163" s="3"/>
      <c r="CF163" s="3"/>
      <c r="CG163" s="3"/>
      <c r="CH163" s="3"/>
      <c r="CI163" s="3"/>
      <c r="CJ163" s="3"/>
      <c r="CK163" s="3"/>
      <c r="CL163" s="3"/>
      <c r="CM163" s="3"/>
      <c r="CN163" s="3"/>
      <c r="CO163" s="3"/>
      <c r="CP163" s="3"/>
      <c r="CQ163" s="3"/>
      <c r="CR163" s="3"/>
      <c r="CS163" s="3"/>
      <c r="CT163" s="3"/>
      <c r="CU163" s="3"/>
      <c r="CV163" s="3"/>
      <c r="CW163" s="3"/>
      <c r="CX163" s="3"/>
      <c r="CY163" s="3"/>
      <c r="CZ163" s="3"/>
      <c r="DA163" s="3"/>
    </row>
    <row r="164" spans="1:105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  <c r="BW164" s="3"/>
      <c r="BX164" s="3"/>
      <c r="BY164" s="3"/>
      <c r="BZ164" s="3"/>
      <c r="CA164" s="3"/>
      <c r="CB164" s="3"/>
      <c r="CC164" s="3"/>
      <c r="CD164" s="3"/>
      <c r="CE164" s="3"/>
      <c r="CF164" s="3"/>
      <c r="CG164" s="3"/>
      <c r="CH164" s="3"/>
      <c r="CI164" s="3"/>
      <c r="CJ164" s="3"/>
      <c r="CK164" s="3"/>
      <c r="CL164" s="3"/>
      <c r="CM164" s="3"/>
      <c r="CN164" s="3"/>
      <c r="CO164" s="3"/>
      <c r="CP164" s="3"/>
      <c r="CQ164" s="3"/>
      <c r="CR164" s="3"/>
      <c r="CS164" s="3"/>
      <c r="CT164" s="3"/>
      <c r="CU164" s="3"/>
      <c r="CV164" s="3"/>
      <c r="CW164" s="3"/>
      <c r="CX164" s="3"/>
      <c r="CY164" s="3"/>
      <c r="CZ164" s="3"/>
      <c r="DA164" s="3"/>
    </row>
    <row r="165" spans="1:105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  <c r="BQ165" s="3"/>
      <c r="BR165" s="3"/>
      <c r="BS165" s="3"/>
      <c r="BT165" s="3"/>
      <c r="BU165" s="3"/>
      <c r="BV165" s="3"/>
      <c r="BW165" s="3"/>
      <c r="BX165" s="3"/>
      <c r="BY165" s="3"/>
      <c r="BZ165" s="3"/>
      <c r="CA165" s="3"/>
      <c r="CB165" s="3"/>
      <c r="CC165" s="3"/>
      <c r="CD165" s="3"/>
      <c r="CE165" s="3"/>
      <c r="CF165" s="3"/>
      <c r="CG165" s="3"/>
      <c r="CH165" s="3"/>
      <c r="CI165" s="3"/>
      <c r="CJ165" s="3"/>
      <c r="CK165" s="3"/>
      <c r="CL165" s="3"/>
      <c r="CM165" s="3"/>
      <c r="CN165" s="3"/>
      <c r="CO165" s="3"/>
      <c r="CP165" s="3"/>
      <c r="CQ165" s="3"/>
      <c r="CR165" s="3"/>
      <c r="CS165" s="3"/>
      <c r="CT165" s="3"/>
      <c r="CU165" s="3"/>
      <c r="CV165" s="3"/>
      <c r="CW165" s="3"/>
      <c r="CX165" s="3"/>
      <c r="CY165" s="3"/>
      <c r="CZ165" s="3"/>
      <c r="DA165" s="3"/>
    </row>
    <row r="166" spans="1:105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  <c r="BQ166" s="3"/>
      <c r="BR166" s="3"/>
      <c r="BS166" s="3"/>
      <c r="BT166" s="3"/>
      <c r="BU166" s="3"/>
      <c r="BV166" s="3"/>
      <c r="BW166" s="3"/>
      <c r="BX166" s="3"/>
      <c r="BY166" s="3"/>
      <c r="BZ166" s="3"/>
      <c r="CA166" s="3"/>
      <c r="CB166" s="3"/>
      <c r="CC166" s="3"/>
      <c r="CD166" s="3"/>
      <c r="CE166" s="3"/>
      <c r="CF166" s="3"/>
      <c r="CG166" s="3"/>
      <c r="CH166" s="3"/>
      <c r="CI166" s="3"/>
      <c r="CJ166" s="3"/>
      <c r="CK166" s="3"/>
      <c r="CL166" s="3"/>
      <c r="CM166" s="3"/>
      <c r="CN166" s="3"/>
      <c r="CO166" s="3"/>
      <c r="CP166" s="3"/>
      <c r="CQ166" s="3"/>
      <c r="CR166" s="3"/>
      <c r="CS166" s="3"/>
      <c r="CT166" s="3"/>
      <c r="CU166" s="3"/>
      <c r="CV166" s="3"/>
      <c r="CW166" s="3"/>
      <c r="CX166" s="3"/>
      <c r="CY166" s="3"/>
      <c r="CZ166" s="3"/>
      <c r="DA166" s="3"/>
    </row>
    <row r="167" spans="1:105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  <c r="BU167" s="3"/>
      <c r="BV167" s="3"/>
      <c r="BW167" s="3"/>
      <c r="BX167" s="3"/>
      <c r="BY167" s="3"/>
      <c r="BZ167" s="3"/>
      <c r="CA167" s="3"/>
      <c r="CB167" s="3"/>
      <c r="CC167" s="3"/>
      <c r="CD167" s="3"/>
      <c r="CE167" s="3"/>
      <c r="CF167" s="3"/>
      <c r="CG167" s="3"/>
      <c r="CH167" s="3"/>
      <c r="CI167" s="3"/>
      <c r="CJ167" s="3"/>
      <c r="CK167" s="3"/>
      <c r="CL167" s="3"/>
      <c r="CM167" s="3"/>
      <c r="CN167" s="3"/>
      <c r="CO167" s="3"/>
      <c r="CP167" s="3"/>
      <c r="CQ167" s="3"/>
      <c r="CR167" s="3"/>
      <c r="CS167" s="3"/>
      <c r="CT167" s="3"/>
      <c r="CU167" s="3"/>
      <c r="CV167" s="3"/>
      <c r="CW167" s="3"/>
      <c r="CX167" s="3"/>
      <c r="CY167" s="3"/>
      <c r="CZ167" s="3"/>
      <c r="DA167" s="3"/>
    </row>
    <row r="168" spans="1:105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/>
      <c r="BW168" s="3"/>
      <c r="BX168" s="3"/>
      <c r="BY168" s="3"/>
      <c r="BZ168" s="3"/>
      <c r="CA168" s="3"/>
      <c r="CB168" s="3"/>
      <c r="CC168" s="3"/>
      <c r="CD168" s="3"/>
      <c r="CE168" s="3"/>
      <c r="CF168" s="3"/>
      <c r="CG168" s="3"/>
      <c r="CH168" s="3"/>
      <c r="CI168" s="3"/>
      <c r="CJ168" s="3"/>
      <c r="CK168" s="3"/>
      <c r="CL168" s="3"/>
      <c r="CM168" s="3"/>
      <c r="CN168" s="3"/>
      <c r="CO168" s="3"/>
      <c r="CP168" s="3"/>
      <c r="CQ168" s="3"/>
      <c r="CR168" s="3"/>
      <c r="CS168" s="3"/>
      <c r="CT168" s="3"/>
      <c r="CU168" s="3"/>
      <c r="CV168" s="3"/>
      <c r="CW168" s="3"/>
      <c r="CX168" s="3"/>
      <c r="CY168" s="3"/>
      <c r="CZ168" s="3"/>
      <c r="DA168" s="3"/>
    </row>
    <row r="169" spans="1:105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3"/>
      <c r="BW169" s="3"/>
      <c r="BX169" s="3"/>
      <c r="BY169" s="3"/>
      <c r="BZ169" s="3"/>
      <c r="CA169" s="3"/>
      <c r="CB169" s="3"/>
      <c r="CC169" s="3"/>
      <c r="CD169" s="3"/>
      <c r="CE169" s="3"/>
      <c r="CF169" s="3"/>
      <c r="CG169" s="3"/>
      <c r="CH169" s="3"/>
      <c r="CI169" s="3"/>
      <c r="CJ169" s="3"/>
      <c r="CK169" s="3"/>
      <c r="CL169" s="3"/>
      <c r="CM169" s="3"/>
      <c r="CN169" s="3"/>
      <c r="CO169" s="3"/>
      <c r="CP169" s="3"/>
      <c r="CQ169" s="3"/>
      <c r="CR169" s="3"/>
      <c r="CS169" s="3"/>
      <c r="CT169" s="3"/>
      <c r="CU169" s="3"/>
      <c r="CV169" s="3"/>
      <c r="CW169" s="3"/>
      <c r="CX169" s="3"/>
      <c r="CY169" s="3"/>
      <c r="CZ169" s="3"/>
      <c r="DA169" s="3"/>
    </row>
    <row r="170" spans="1:105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  <c r="BU170" s="3"/>
      <c r="BV170" s="3"/>
      <c r="BW170" s="3"/>
      <c r="BX170" s="3"/>
      <c r="BY170" s="3"/>
      <c r="BZ170" s="3"/>
      <c r="CA170" s="3"/>
      <c r="CB170" s="3"/>
      <c r="CC170" s="3"/>
      <c r="CD170" s="3"/>
      <c r="CE170" s="3"/>
      <c r="CF170" s="3"/>
      <c r="CG170" s="3"/>
      <c r="CH170" s="3"/>
      <c r="CI170" s="3"/>
      <c r="CJ170" s="3"/>
      <c r="CK170" s="3"/>
      <c r="CL170" s="3"/>
      <c r="CM170" s="3"/>
      <c r="CN170" s="3"/>
      <c r="CO170" s="3"/>
      <c r="CP170" s="3"/>
      <c r="CQ170" s="3"/>
      <c r="CR170" s="3"/>
      <c r="CS170" s="3"/>
      <c r="CT170" s="3"/>
      <c r="CU170" s="3"/>
      <c r="CV170" s="3"/>
      <c r="CW170" s="3"/>
      <c r="CX170" s="3"/>
      <c r="CY170" s="3"/>
      <c r="CZ170" s="3"/>
      <c r="DA170" s="3"/>
    </row>
    <row r="171" spans="1:105" x14ac:dyDescent="0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  <c r="BU171" s="3"/>
      <c r="BV171" s="3"/>
      <c r="BW171" s="3"/>
      <c r="BX171" s="3"/>
      <c r="BY171" s="3"/>
      <c r="BZ171" s="3"/>
      <c r="CA171" s="3"/>
      <c r="CB171" s="3"/>
      <c r="CC171" s="3"/>
      <c r="CD171" s="3"/>
      <c r="CE171" s="3"/>
      <c r="CF171" s="3"/>
      <c r="CG171" s="3"/>
      <c r="CH171" s="3"/>
      <c r="CI171" s="3"/>
      <c r="CJ171" s="3"/>
      <c r="CK171" s="3"/>
      <c r="CL171" s="3"/>
      <c r="CM171" s="3"/>
      <c r="CN171" s="3"/>
      <c r="CO171" s="3"/>
      <c r="CP171" s="3"/>
      <c r="CQ171" s="3"/>
      <c r="CR171" s="3"/>
      <c r="CS171" s="3"/>
      <c r="CT171" s="3"/>
      <c r="CU171" s="3"/>
      <c r="CV171" s="3"/>
      <c r="CW171" s="3"/>
      <c r="CX171" s="3"/>
      <c r="CY171" s="3"/>
      <c r="CZ171" s="3"/>
      <c r="DA171" s="3"/>
    </row>
    <row r="172" spans="1:105" x14ac:dyDescent="0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  <c r="BU172" s="3"/>
      <c r="BV172" s="3"/>
      <c r="BW172" s="3"/>
      <c r="BX172" s="3"/>
      <c r="BY172" s="3"/>
      <c r="BZ172" s="3"/>
      <c r="CA172" s="3"/>
      <c r="CB172" s="3"/>
      <c r="CC172" s="3"/>
      <c r="CD172" s="3"/>
      <c r="CE172" s="3"/>
      <c r="CF172" s="3"/>
      <c r="CG172" s="3"/>
      <c r="CH172" s="3"/>
      <c r="CI172" s="3"/>
      <c r="CJ172" s="3"/>
      <c r="CK172" s="3"/>
      <c r="CL172" s="3"/>
      <c r="CM172" s="3"/>
      <c r="CN172" s="3"/>
      <c r="CO172" s="3"/>
      <c r="CP172" s="3"/>
      <c r="CQ172" s="3"/>
      <c r="CR172" s="3"/>
      <c r="CS172" s="3"/>
      <c r="CT172" s="3"/>
      <c r="CU172" s="3"/>
      <c r="CV172" s="3"/>
      <c r="CW172" s="3"/>
      <c r="CX172" s="3"/>
      <c r="CY172" s="3"/>
      <c r="CZ172" s="3"/>
      <c r="DA172" s="3"/>
    </row>
    <row r="173" spans="1:105" x14ac:dyDescent="0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  <c r="BU173" s="3"/>
      <c r="BV173" s="3"/>
      <c r="BW173" s="3"/>
      <c r="BX173" s="3"/>
      <c r="BY173" s="3"/>
      <c r="BZ173" s="3"/>
      <c r="CA173" s="3"/>
      <c r="CB173" s="3"/>
      <c r="CC173" s="3"/>
      <c r="CD173" s="3"/>
      <c r="CE173" s="3"/>
      <c r="CF173" s="3"/>
      <c r="CG173" s="3"/>
      <c r="CH173" s="3"/>
      <c r="CI173" s="3"/>
      <c r="CJ173" s="3"/>
      <c r="CK173" s="3"/>
      <c r="CL173" s="3"/>
      <c r="CM173" s="3"/>
      <c r="CN173" s="3"/>
      <c r="CO173" s="3"/>
      <c r="CP173" s="3"/>
      <c r="CQ173" s="3"/>
      <c r="CR173" s="3"/>
      <c r="CS173" s="3"/>
      <c r="CT173" s="3"/>
      <c r="CU173" s="3"/>
      <c r="CV173" s="3"/>
      <c r="CW173" s="3"/>
      <c r="CX173" s="3"/>
      <c r="CY173" s="3"/>
      <c r="CZ173" s="3"/>
      <c r="DA173" s="3"/>
    </row>
    <row r="174" spans="1:105" x14ac:dyDescent="0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  <c r="BU174" s="3"/>
      <c r="BV174" s="3"/>
      <c r="BW174" s="3"/>
      <c r="BX174" s="3"/>
      <c r="BY174" s="3"/>
      <c r="BZ174" s="3"/>
      <c r="CA174" s="3"/>
      <c r="CB174" s="3"/>
      <c r="CC174" s="3"/>
      <c r="CD174" s="3"/>
      <c r="CE174" s="3"/>
      <c r="CF174" s="3"/>
      <c r="CG174" s="3"/>
      <c r="CH174" s="3"/>
      <c r="CI174" s="3"/>
      <c r="CJ174" s="3"/>
      <c r="CK174" s="3"/>
      <c r="CL174" s="3"/>
      <c r="CM174" s="3"/>
      <c r="CN174" s="3"/>
      <c r="CO174" s="3"/>
      <c r="CP174" s="3"/>
      <c r="CQ174" s="3"/>
      <c r="CR174" s="3"/>
      <c r="CS174" s="3"/>
      <c r="CT174" s="3"/>
      <c r="CU174" s="3"/>
      <c r="CV174" s="3"/>
      <c r="CW174" s="3"/>
      <c r="CX174" s="3"/>
      <c r="CY174" s="3"/>
      <c r="CZ174" s="3"/>
      <c r="DA174" s="3"/>
    </row>
    <row r="175" spans="1:105" x14ac:dyDescent="0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  <c r="BU175" s="3"/>
      <c r="BV175" s="3"/>
      <c r="BW175" s="3"/>
      <c r="BX175" s="3"/>
      <c r="BY175" s="3"/>
      <c r="BZ175" s="3"/>
      <c r="CA175" s="3"/>
      <c r="CB175" s="3"/>
      <c r="CC175" s="3"/>
      <c r="CD175" s="3"/>
      <c r="CE175" s="3"/>
      <c r="CF175" s="3"/>
      <c r="CG175" s="3"/>
      <c r="CH175" s="3"/>
      <c r="CI175" s="3"/>
      <c r="CJ175" s="3"/>
      <c r="CK175" s="3"/>
      <c r="CL175" s="3"/>
      <c r="CM175" s="3"/>
      <c r="CN175" s="3"/>
      <c r="CO175" s="3"/>
      <c r="CP175" s="3"/>
      <c r="CQ175" s="3"/>
      <c r="CR175" s="3"/>
      <c r="CS175" s="3"/>
      <c r="CT175" s="3"/>
      <c r="CU175" s="3"/>
      <c r="CV175" s="3"/>
      <c r="CW175" s="3"/>
      <c r="CX175" s="3"/>
      <c r="CY175" s="3"/>
      <c r="CZ175" s="3"/>
      <c r="DA175" s="3"/>
    </row>
    <row r="176" spans="1:105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  <c r="BU176" s="3"/>
      <c r="BV176" s="3"/>
      <c r="BW176" s="3"/>
      <c r="BX176" s="3"/>
      <c r="BY176" s="3"/>
      <c r="BZ176" s="3"/>
      <c r="CA176" s="3"/>
      <c r="CB176" s="3"/>
      <c r="CC176" s="3"/>
      <c r="CD176" s="3"/>
      <c r="CE176" s="3"/>
      <c r="CF176" s="3"/>
      <c r="CG176" s="3"/>
      <c r="CH176" s="3"/>
      <c r="CI176" s="3"/>
      <c r="CJ176" s="3"/>
      <c r="CK176" s="3"/>
      <c r="CL176" s="3"/>
      <c r="CM176" s="3"/>
      <c r="CN176" s="3"/>
      <c r="CO176" s="3"/>
      <c r="CP176" s="3"/>
      <c r="CQ176" s="3"/>
      <c r="CR176" s="3"/>
      <c r="CS176" s="3"/>
      <c r="CT176" s="3"/>
      <c r="CU176" s="3"/>
      <c r="CV176" s="3"/>
      <c r="CW176" s="3"/>
      <c r="CX176" s="3"/>
      <c r="CY176" s="3"/>
      <c r="CZ176" s="3"/>
      <c r="DA176" s="3"/>
    </row>
    <row r="177" spans="1:105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/>
      <c r="BT177" s="3"/>
      <c r="BU177" s="3"/>
      <c r="BV177" s="3"/>
      <c r="BW177" s="3"/>
      <c r="BX177" s="3"/>
      <c r="BY177" s="3"/>
      <c r="BZ177" s="3"/>
      <c r="CA177" s="3"/>
      <c r="CB177" s="3"/>
      <c r="CC177" s="3"/>
      <c r="CD177" s="3"/>
      <c r="CE177" s="3"/>
      <c r="CF177" s="3"/>
      <c r="CG177" s="3"/>
      <c r="CH177" s="3"/>
      <c r="CI177" s="3"/>
      <c r="CJ177" s="3"/>
      <c r="CK177" s="3"/>
      <c r="CL177" s="3"/>
      <c r="CM177" s="3"/>
      <c r="CN177" s="3"/>
      <c r="CO177" s="3"/>
      <c r="CP177" s="3"/>
      <c r="CQ177" s="3"/>
      <c r="CR177" s="3"/>
      <c r="CS177" s="3"/>
      <c r="CT177" s="3"/>
      <c r="CU177" s="3"/>
      <c r="CV177" s="3"/>
      <c r="CW177" s="3"/>
      <c r="CX177" s="3"/>
      <c r="CY177" s="3"/>
      <c r="CZ177" s="3"/>
      <c r="DA177" s="3"/>
    </row>
    <row r="178" spans="1:105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/>
      <c r="BS178" s="3"/>
      <c r="BT178" s="3"/>
      <c r="BU178" s="3"/>
      <c r="BV178" s="3"/>
      <c r="BW178" s="3"/>
      <c r="BX178" s="3"/>
      <c r="BY178" s="3"/>
      <c r="BZ178" s="3"/>
      <c r="CA178" s="3"/>
      <c r="CB178" s="3"/>
      <c r="CC178" s="3"/>
      <c r="CD178" s="3"/>
      <c r="CE178" s="3"/>
      <c r="CF178" s="3"/>
      <c r="CG178" s="3"/>
      <c r="CH178" s="3"/>
      <c r="CI178" s="3"/>
      <c r="CJ178" s="3"/>
      <c r="CK178" s="3"/>
      <c r="CL178" s="3"/>
      <c r="CM178" s="3"/>
      <c r="CN178" s="3"/>
      <c r="CO178" s="3"/>
      <c r="CP178" s="3"/>
      <c r="CQ178" s="3"/>
      <c r="CR178" s="3"/>
      <c r="CS178" s="3"/>
      <c r="CT178" s="3"/>
      <c r="CU178" s="3"/>
      <c r="CV178" s="3"/>
      <c r="CW178" s="3"/>
      <c r="CX178" s="3"/>
      <c r="CY178" s="3"/>
      <c r="CZ178" s="3"/>
      <c r="DA178" s="3"/>
    </row>
    <row r="179" spans="1:105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  <c r="BS179" s="3"/>
      <c r="BT179" s="3"/>
      <c r="BU179" s="3"/>
      <c r="BV179" s="3"/>
      <c r="BW179" s="3"/>
      <c r="BX179" s="3"/>
      <c r="BY179" s="3"/>
      <c r="BZ179" s="3"/>
      <c r="CA179" s="3"/>
      <c r="CB179" s="3"/>
      <c r="CC179" s="3"/>
      <c r="CD179" s="3"/>
      <c r="CE179" s="3"/>
      <c r="CF179" s="3"/>
      <c r="CG179" s="3"/>
      <c r="CH179" s="3"/>
      <c r="CI179" s="3"/>
      <c r="CJ179" s="3"/>
      <c r="CK179" s="3"/>
      <c r="CL179" s="3"/>
      <c r="CM179" s="3"/>
      <c r="CN179" s="3"/>
      <c r="CO179" s="3"/>
      <c r="CP179" s="3"/>
      <c r="CQ179" s="3"/>
      <c r="CR179" s="3"/>
      <c r="CS179" s="3"/>
      <c r="CT179" s="3"/>
      <c r="CU179" s="3"/>
      <c r="CV179" s="3"/>
      <c r="CW179" s="3"/>
      <c r="CX179" s="3"/>
      <c r="CY179" s="3"/>
      <c r="CZ179" s="3"/>
      <c r="DA179" s="3"/>
    </row>
    <row r="180" spans="1:105" x14ac:dyDescent="0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  <c r="BU180" s="3"/>
      <c r="BV180" s="3"/>
      <c r="BW180" s="3"/>
      <c r="BX180" s="3"/>
      <c r="BY180" s="3"/>
      <c r="BZ180" s="3"/>
      <c r="CA180" s="3"/>
      <c r="CB180" s="3"/>
      <c r="CC180" s="3"/>
      <c r="CD180" s="3"/>
      <c r="CE180" s="3"/>
      <c r="CF180" s="3"/>
      <c r="CG180" s="3"/>
      <c r="CH180" s="3"/>
      <c r="CI180" s="3"/>
      <c r="CJ180" s="3"/>
      <c r="CK180" s="3"/>
      <c r="CL180" s="3"/>
      <c r="CM180" s="3"/>
      <c r="CN180" s="3"/>
      <c r="CO180" s="3"/>
      <c r="CP180" s="3"/>
      <c r="CQ180" s="3"/>
      <c r="CR180" s="3"/>
      <c r="CS180" s="3"/>
      <c r="CT180" s="3"/>
      <c r="CU180" s="3"/>
      <c r="CV180" s="3"/>
      <c r="CW180" s="3"/>
      <c r="CX180" s="3"/>
      <c r="CY180" s="3"/>
      <c r="CZ180" s="3"/>
      <c r="DA180" s="3"/>
    </row>
    <row r="181" spans="1:105" x14ac:dyDescent="0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  <c r="BU181" s="3"/>
      <c r="BV181" s="3"/>
      <c r="BW181" s="3"/>
      <c r="BX181" s="3"/>
      <c r="BY181" s="3"/>
      <c r="BZ181" s="3"/>
      <c r="CA181" s="3"/>
      <c r="CB181" s="3"/>
      <c r="CC181" s="3"/>
      <c r="CD181" s="3"/>
      <c r="CE181" s="3"/>
      <c r="CF181" s="3"/>
      <c r="CG181" s="3"/>
      <c r="CH181" s="3"/>
      <c r="CI181" s="3"/>
      <c r="CJ181" s="3"/>
      <c r="CK181" s="3"/>
      <c r="CL181" s="3"/>
      <c r="CM181" s="3"/>
      <c r="CN181" s="3"/>
      <c r="CO181" s="3"/>
      <c r="CP181" s="3"/>
      <c r="CQ181" s="3"/>
      <c r="CR181" s="3"/>
      <c r="CS181" s="3"/>
      <c r="CT181" s="3"/>
      <c r="CU181" s="3"/>
      <c r="CV181" s="3"/>
      <c r="CW181" s="3"/>
      <c r="CX181" s="3"/>
      <c r="CY181" s="3"/>
      <c r="CZ181" s="3"/>
      <c r="DA181" s="3"/>
    </row>
    <row r="182" spans="1:105" x14ac:dyDescent="0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  <c r="BN182" s="3"/>
      <c r="BO182" s="3"/>
      <c r="BP182" s="3"/>
      <c r="BQ182" s="3"/>
      <c r="BR182" s="3"/>
      <c r="BS182" s="3"/>
      <c r="BT182" s="3"/>
      <c r="BU182" s="3"/>
      <c r="BV182" s="3"/>
      <c r="BW182" s="3"/>
      <c r="BX182" s="3"/>
      <c r="BY182" s="3"/>
      <c r="BZ182" s="3"/>
      <c r="CA182" s="3"/>
      <c r="CB182" s="3"/>
      <c r="CC182" s="3"/>
      <c r="CD182" s="3"/>
      <c r="CE182" s="3"/>
      <c r="CF182" s="3"/>
      <c r="CG182" s="3"/>
      <c r="CH182" s="3"/>
      <c r="CI182" s="3"/>
      <c r="CJ182" s="3"/>
      <c r="CK182" s="3"/>
      <c r="CL182" s="3"/>
      <c r="CM182" s="3"/>
      <c r="CN182" s="3"/>
      <c r="CO182" s="3"/>
      <c r="CP182" s="3"/>
      <c r="CQ182" s="3"/>
      <c r="CR182" s="3"/>
      <c r="CS182" s="3"/>
      <c r="CT182" s="3"/>
      <c r="CU182" s="3"/>
      <c r="CV182" s="3"/>
      <c r="CW182" s="3"/>
      <c r="CX182" s="3"/>
      <c r="CY182" s="3"/>
      <c r="CZ182" s="3"/>
      <c r="DA182" s="3"/>
    </row>
    <row r="183" spans="1:105" x14ac:dyDescent="0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  <c r="BN183" s="3"/>
      <c r="BO183" s="3"/>
      <c r="BP183" s="3"/>
      <c r="BQ183" s="3"/>
      <c r="BR183" s="3"/>
      <c r="BS183" s="3"/>
      <c r="BT183" s="3"/>
      <c r="BU183" s="3"/>
      <c r="BV183" s="3"/>
      <c r="BW183" s="3"/>
      <c r="BX183" s="3"/>
      <c r="BY183" s="3"/>
      <c r="BZ183" s="3"/>
      <c r="CA183" s="3"/>
      <c r="CB183" s="3"/>
      <c r="CC183" s="3"/>
      <c r="CD183" s="3"/>
      <c r="CE183" s="3"/>
      <c r="CF183" s="3"/>
      <c r="CG183" s="3"/>
      <c r="CH183" s="3"/>
      <c r="CI183" s="3"/>
      <c r="CJ183" s="3"/>
      <c r="CK183" s="3"/>
      <c r="CL183" s="3"/>
      <c r="CM183" s="3"/>
      <c r="CN183" s="3"/>
      <c r="CO183" s="3"/>
      <c r="CP183" s="3"/>
      <c r="CQ183" s="3"/>
      <c r="CR183" s="3"/>
      <c r="CS183" s="3"/>
      <c r="CT183" s="3"/>
      <c r="CU183" s="3"/>
      <c r="CV183" s="3"/>
      <c r="CW183" s="3"/>
      <c r="CX183" s="3"/>
      <c r="CY183" s="3"/>
      <c r="CZ183" s="3"/>
      <c r="DA183" s="3"/>
    </row>
    <row r="184" spans="1:105" x14ac:dyDescent="0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BN184" s="3"/>
      <c r="BO184" s="3"/>
      <c r="BP184" s="3"/>
      <c r="BQ184" s="3"/>
      <c r="BR184" s="3"/>
      <c r="BS184" s="3"/>
      <c r="BT184" s="3"/>
      <c r="BU184" s="3"/>
      <c r="BV184" s="3"/>
      <c r="BW184" s="3"/>
      <c r="BX184" s="3"/>
      <c r="BY184" s="3"/>
      <c r="BZ184" s="3"/>
      <c r="CA184" s="3"/>
      <c r="CB184" s="3"/>
      <c r="CC184" s="3"/>
      <c r="CD184" s="3"/>
      <c r="CE184" s="3"/>
      <c r="CF184" s="3"/>
      <c r="CG184" s="3"/>
      <c r="CH184" s="3"/>
      <c r="CI184" s="3"/>
      <c r="CJ184" s="3"/>
      <c r="CK184" s="3"/>
      <c r="CL184" s="3"/>
      <c r="CM184" s="3"/>
      <c r="CN184" s="3"/>
      <c r="CO184" s="3"/>
      <c r="CP184" s="3"/>
      <c r="CQ184" s="3"/>
      <c r="CR184" s="3"/>
      <c r="CS184" s="3"/>
      <c r="CT184" s="3"/>
      <c r="CU184" s="3"/>
      <c r="CV184" s="3"/>
      <c r="CW184" s="3"/>
      <c r="CX184" s="3"/>
      <c r="CY184" s="3"/>
      <c r="CZ184" s="3"/>
      <c r="DA184" s="3"/>
    </row>
    <row r="185" spans="1:105" x14ac:dyDescent="0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  <c r="BQ185" s="3"/>
      <c r="BR185" s="3"/>
      <c r="BS185" s="3"/>
      <c r="BT185" s="3"/>
      <c r="BU185" s="3"/>
      <c r="BV185" s="3"/>
      <c r="BW185" s="3"/>
      <c r="BX185" s="3"/>
      <c r="BY185" s="3"/>
      <c r="BZ185" s="3"/>
      <c r="CA185" s="3"/>
      <c r="CB185" s="3"/>
      <c r="CC185" s="3"/>
      <c r="CD185" s="3"/>
      <c r="CE185" s="3"/>
      <c r="CF185" s="3"/>
      <c r="CG185" s="3"/>
      <c r="CH185" s="3"/>
      <c r="CI185" s="3"/>
      <c r="CJ185" s="3"/>
      <c r="CK185" s="3"/>
      <c r="CL185" s="3"/>
      <c r="CM185" s="3"/>
      <c r="CN185" s="3"/>
      <c r="CO185" s="3"/>
      <c r="CP185" s="3"/>
      <c r="CQ185" s="3"/>
      <c r="CR185" s="3"/>
      <c r="CS185" s="3"/>
      <c r="CT185" s="3"/>
      <c r="CU185" s="3"/>
      <c r="CV185" s="3"/>
      <c r="CW185" s="3"/>
      <c r="CX185" s="3"/>
      <c r="CY185" s="3"/>
      <c r="CZ185" s="3"/>
      <c r="DA185" s="3"/>
    </row>
    <row r="186" spans="1:105" x14ac:dyDescent="0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  <c r="BN186" s="3"/>
      <c r="BO186" s="3"/>
      <c r="BP186" s="3"/>
      <c r="BQ186" s="3"/>
      <c r="BR186" s="3"/>
      <c r="BS186" s="3"/>
      <c r="BT186" s="3"/>
      <c r="BU186" s="3"/>
      <c r="BV186" s="3"/>
      <c r="BW186" s="3"/>
      <c r="BX186" s="3"/>
      <c r="BY186" s="3"/>
      <c r="BZ186" s="3"/>
      <c r="CA186" s="3"/>
      <c r="CB186" s="3"/>
      <c r="CC186" s="3"/>
      <c r="CD186" s="3"/>
      <c r="CE186" s="3"/>
      <c r="CF186" s="3"/>
      <c r="CG186" s="3"/>
      <c r="CH186" s="3"/>
      <c r="CI186" s="3"/>
      <c r="CJ186" s="3"/>
      <c r="CK186" s="3"/>
      <c r="CL186" s="3"/>
      <c r="CM186" s="3"/>
      <c r="CN186" s="3"/>
      <c r="CO186" s="3"/>
      <c r="CP186" s="3"/>
      <c r="CQ186" s="3"/>
      <c r="CR186" s="3"/>
      <c r="CS186" s="3"/>
      <c r="CT186" s="3"/>
      <c r="CU186" s="3"/>
      <c r="CV186" s="3"/>
      <c r="CW186" s="3"/>
      <c r="CX186" s="3"/>
      <c r="CY186" s="3"/>
      <c r="CZ186" s="3"/>
      <c r="DA186" s="3"/>
    </row>
    <row r="187" spans="1:105" x14ac:dyDescent="0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  <c r="BQ187" s="3"/>
      <c r="BR187" s="3"/>
      <c r="BS187" s="3"/>
      <c r="BT187" s="3"/>
      <c r="BU187" s="3"/>
      <c r="BV187" s="3"/>
      <c r="BW187" s="3"/>
      <c r="BX187" s="3"/>
      <c r="BY187" s="3"/>
      <c r="BZ187" s="3"/>
      <c r="CA187" s="3"/>
      <c r="CB187" s="3"/>
      <c r="CC187" s="3"/>
      <c r="CD187" s="3"/>
      <c r="CE187" s="3"/>
      <c r="CF187" s="3"/>
      <c r="CG187" s="3"/>
      <c r="CH187" s="3"/>
      <c r="CI187" s="3"/>
      <c r="CJ187" s="3"/>
      <c r="CK187" s="3"/>
      <c r="CL187" s="3"/>
      <c r="CM187" s="3"/>
      <c r="CN187" s="3"/>
      <c r="CO187" s="3"/>
      <c r="CP187" s="3"/>
      <c r="CQ187" s="3"/>
      <c r="CR187" s="3"/>
      <c r="CS187" s="3"/>
      <c r="CT187" s="3"/>
      <c r="CU187" s="3"/>
      <c r="CV187" s="3"/>
      <c r="CW187" s="3"/>
      <c r="CX187" s="3"/>
      <c r="CY187" s="3"/>
      <c r="CZ187" s="3"/>
      <c r="DA187" s="3"/>
    </row>
    <row r="188" spans="1:105" x14ac:dyDescent="0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  <c r="BN188" s="3"/>
      <c r="BO188" s="3"/>
      <c r="BP188" s="3"/>
      <c r="BQ188" s="3"/>
      <c r="BR188" s="3"/>
      <c r="BS188" s="3"/>
      <c r="BT188" s="3"/>
      <c r="BU188" s="3"/>
      <c r="BV188" s="3"/>
      <c r="BW188" s="3"/>
      <c r="BX188" s="3"/>
      <c r="BY188" s="3"/>
      <c r="BZ188" s="3"/>
      <c r="CA188" s="3"/>
      <c r="CB188" s="3"/>
      <c r="CC188" s="3"/>
      <c r="CD188" s="3"/>
      <c r="CE188" s="3"/>
      <c r="CF188" s="3"/>
      <c r="CG188" s="3"/>
      <c r="CH188" s="3"/>
      <c r="CI188" s="3"/>
      <c r="CJ188" s="3"/>
      <c r="CK188" s="3"/>
      <c r="CL188" s="3"/>
      <c r="CM188" s="3"/>
      <c r="CN188" s="3"/>
      <c r="CO188" s="3"/>
      <c r="CP188" s="3"/>
      <c r="CQ188" s="3"/>
      <c r="CR188" s="3"/>
      <c r="CS188" s="3"/>
      <c r="CT188" s="3"/>
      <c r="CU188" s="3"/>
      <c r="CV188" s="3"/>
      <c r="CW188" s="3"/>
      <c r="CX188" s="3"/>
      <c r="CY188" s="3"/>
      <c r="CZ188" s="3"/>
      <c r="DA188" s="3"/>
    </row>
    <row r="189" spans="1:105" x14ac:dyDescent="0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  <c r="BN189" s="3"/>
      <c r="BO189" s="3"/>
      <c r="BP189" s="3"/>
      <c r="BQ189" s="3"/>
      <c r="BR189" s="3"/>
      <c r="BS189" s="3"/>
      <c r="BT189" s="3"/>
      <c r="BU189" s="3"/>
      <c r="BV189" s="3"/>
      <c r="BW189" s="3"/>
      <c r="BX189" s="3"/>
      <c r="BY189" s="3"/>
      <c r="BZ189" s="3"/>
      <c r="CA189" s="3"/>
      <c r="CB189" s="3"/>
      <c r="CC189" s="3"/>
      <c r="CD189" s="3"/>
      <c r="CE189" s="3"/>
      <c r="CF189" s="3"/>
      <c r="CG189" s="3"/>
      <c r="CH189" s="3"/>
      <c r="CI189" s="3"/>
      <c r="CJ189" s="3"/>
      <c r="CK189" s="3"/>
      <c r="CL189" s="3"/>
      <c r="CM189" s="3"/>
      <c r="CN189" s="3"/>
      <c r="CO189" s="3"/>
      <c r="CP189" s="3"/>
      <c r="CQ189" s="3"/>
      <c r="CR189" s="3"/>
      <c r="CS189" s="3"/>
      <c r="CT189" s="3"/>
      <c r="CU189" s="3"/>
      <c r="CV189" s="3"/>
      <c r="CW189" s="3"/>
      <c r="CX189" s="3"/>
      <c r="CY189" s="3"/>
      <c r="CZ189" s="3"/>
      <c r="DA189" s="3"/>
    </row>
    <row r="190" spans="1:105" x14ac:dyDescent="0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  <c r="BQ190" s="3"/>
      <c r="BR190" s="3"/>
      <c r="BS190" s="3"/>
      <c r="BT190" s="3"/>
      <c r="BU190" s="3"/>
      <c r="BV190" s="3"/>
      <c r="BW190" s="3"/>
      <c r="BX190" s="3"/>
      <c r="BY190" s="3"/>
      <c r="BZ190" s="3"/>
      <c r="CA190" s="3"/>
      <c r="CB190" s="3"/>
      <c r="CC190" s="3"/>
      <c r="CD190" s="3"/>
      <c r="CE190" s="3"/>
      <c r="CF190" s="3"/>
      <c r="CG190" s="3"/>
      <c r="CH190" s="3"/>
      <c r="CI190" s="3"/>
      <c r="CJ190" s="3"/>
      <c r="CK190" s="3"/>
      <c r="CL190" s="3"/>
      <c r="CM190" s="3"/>
      <c r="CN190" s="3"/>
      <c r="CO190" s="3"/>
      <c r="CP190" s="3"/>
      <c r="CQ190" s="3"/>
      <c r="CR190" s="3"/>
      <c r="CS190" s="3"/>
      <c r="CT190" s="3"/>
      <c r="CU190" s="3"/>
      <c r="CV190" s="3"/>
      <c r="CW190" s="3"/>
      <c r="CX190" s="3"/>
      <c r="CY190" s="3"/>
      <c r="CZ190" s="3"/>
      <c r="DA190" s="3"/>
    </row>
    <row r="191" spans="1:105" x14ac:dyDescent="0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  <c r="BN191" s="3"/>
      <c r="BO191" s="3"/>
      <c r="BP191" s="3"/>
      <c r="BQ191" s="3"/>
      <c r="BR191" s="3"/>
      <c r="BS191" s="3"/>
      <c r="BT191" s="3"/>
      <c r="BU191" s="3"/>
      <c r="BV191" s="3"/>
      <c r="BW191" s="3"/>
      <c r="BX191" s="3"/>
      <c r="BY191" s="3"/>
      <c r="BZ191" s="3"/>
      <c r="CA191" s="3"/>
      <c r="CB191" s="3"/>
      <c r="CC191" s="3"/>
      <c r="CD191" s="3"/>
      <c r="CE191" s="3"/>
      <c r="CF191" s="3"/>
      <c r="CG191" s="3"/>
      <c r="CH191" s="3"/>
      <c r="CI191" s="3"/>
      <c r="CJ191" s="3"/>
      <c r="CK191" s="3"/>
      <c r="CL191" s="3"/>
      <c r="CM191" s="3"/>
      <c r="CN191" s="3"/>
      <c r="CO191" s="3"/>
      <c r="CP191" s="3"/>
      <c r="CQ191" s="3"/>
      <c r="CR191" s="3"/>
      <c r="CS191" s="3"/>
      <c r="CT191" s="3"/>
      <c r="CU191" s="3"/>
      <c r="CV191" s="3"/>
      <c r="CW191" s="3"/>
      <c r="CX191" s="3"/>
      <c r="CY191" s="3"/>
      <c r="CZ191" s="3"/>
      <c r="DA191" s="3"/>
    </row>
    <row r="192" spans="1:105" x14ac:dyDescent="0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  <c r="BQ192" s="3"/>
      <c r="BR192" s="3"/>
      <c r="BS192" s="3"/>
      <c r="BT192" s="3"/>
      <c r="BU192" s="3"/>
      <c r="BV192" s="3"/>
      <c r="BW192" s="3"/>
      <c r="BX192" s="3"/>
      <c r="BY192" s="3"/>
      <c r="BZ192" s="3"/>
      <c r="CA192" s="3"/>
      <c r="CB192" s="3"/>
      <c r="CC192" s="3"/>
      <c r="CD192" s="3"/>
      <c r="CE192" s="3"/>
      <c r="CF192" s="3"/>
      <c r="CG192" s="3"/>
      <c r="CH192" s="3"/>
      <c r="CI192" s="3"/>
      <c r="CJ192" s="3"/>
      <c r="CK192" s="3"/>
      <c r="CL192" s="3"/>
      <c r="CM192" s="3"/>
      <c r="CN192" s="3"/>
      <c r="CO192" s="3"/>
      <c r="CP192" s="3"/>
      <c r="CQ192" s="3"/>
      <c r="CR192" s="3"/>
      <c r="CS192" s="3"/>
      <c r="CT192" s="3"/>
      <c r="CU192" s="3"/>
      <c r="CV192" s="3"/>
      <c r="CW192" s="3"/>
      <c r="CX192" s="3"/>
      <c r="CY192" s="3"/>
      <c r="CZ192" s="3"/>
      <c r="DA192" s="3"/>
    </row>
    <row r="193" spans="1:105" x14ac:dyDescent="0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  <c r="BP193" s="3"/>
      <c r="BQ193" s="3"/>
      <c r="BR193" s="3"/>
      <c r="BS193" s="3"/>
      <c r="BT193" s="3"/>
      <c r="BU193" s="3"/>
      <c r="BV193" s="3"/>
      <c r="BW193" s="3"/>
      <c r="BX193" s="3"/>
      <c r="BY193" s="3"/>
      <c r="BZ193" s="3"/>
      <c r="CA193" s="3"/>
      <c r="CB193" s="3"/>
      <c r="CC193" s="3"/>
      <c r="CD193" s="3"/>
      <c r="CE193" s="3"/>
      <c r="CF193" s="3"/>
      <c r="CG193" s="3"/>
      <c r="CH193" s="3"/>
      <c r="CI193" s="3"/>
      <c r="CJ193" s="3"/>
      <c r="CK193" s="3"/>
      <c r="CL193" s="3"/>
      <c r="CM193" s="3"/>
      <c r="CN193" s="3"/>
      <c r="CO193" s="3"/>
      <c r="CP193" s="3"/>
      <c r="CQ193" s="3"/>
      <c r="CR193" s="3"/>
      <c r="CS193" s="3"/>
      <c r="CT193" s="3"/>
      <c r="CU193" s="3"/>
      <c r="CV193" s="3"/>
      <c r="CW193" s="3"/>
      <c r="CX193" s="3"/>
      <c r="CY193" s="3"/>
      <c r="CZ193" s="3"/>
      <c r="DA193" s="3"/>
    </row>
    <row r="194" spans="1:105" x14ac:dyDescent="0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  <c r="BQ194" s="3"/>
      <c r="BR194" s="3"/>
      <c r="BS194" s="3"/>
      <c r="BT194" s="3"/>
      <c r="BU194" s="3"/>
      <c r="BV194" s="3"/>
      <c r="BW194" s="3"/>
      <c r="BX194" s="3"/>
      <c r="BY194" s="3"/>
      <c r="BZ194" s="3"/>
      <c r="CA194" s="3"/>
      <c r="CB194" s="3"/>
      <c r="CC194" s="3"/>
      <c r="CD194" s="3"/>
      <c r="CE194" s="3"/>
      <c r="CF194" s="3"/>
      <c r="CG194" s="3"/>
      <c r="CH194" s="3"/>
      <c r="CI194" s="3"/>
      <c r="CJ194" s="3"/>
      <c r="CK194" s="3"/>
      <c r="CL194" s="3"/>
      <c r="CM194" s="3"/>
      <c r="CN194" s="3"/>
      <c r="CO194" s="3"/>
      <c r="CP194" s="3"/>
      <c r="CQ194" s="3"/>
      <c r="CR194" s="3"/>
      <c r="CS194" s="3"/>
      <c r="CT194" s="3"/>
      <c r="CU194" s="3"/>
      <c r="CV194" s="3"/>
      <c r="CW194" s="3"/>
      <c r="CX194" s="3"/>
      <c r="CY194" s="3"/>
      <c r="CZ194" s="3"/>
      <c r="DA194" s="3"/>
    </row>
    <row r="195" spans="1:105" x14ac:dyDescent="0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  <c r="BQ195" s="3"/>
      <c r="BR195" s="3"/>
      <c r="BS195" s="3"/>
      <c r="BT195" s="3"/>
      <c r="BU195" s="3"/>
      <c r="BV195" s="3"/>
      <c r="BW195" s="3"/>
      <c r="BX195" s="3"/>
      <c r="BY195" s="3"/>
      <c r="BZ195" s="3"/>
      <c r="CA195" s="3"/>
      <c r="CB195" s="3"/>
      <c r="CC195" s="3"/>
      <c r="CD195" s="3"/>
      <c r="CE195" s="3"/>
      <c r="CF195" s="3"/>
      <c r="CG195" s="3"/>
      <c r="CH195" s="3"/>
      <c r="CI195" s="3"/>
      <c r="CJ195" s="3"/>
      <c r="CK195" s="3"/>
      <c r="CL195" s="3"/>
      <c r="CM195" s="3"/>
      <c r="CN195" s="3"/>
      <c r="CO195" s="3"/>
      <c r="CP195" s="3"/>
      <c r="CQ195" s="3"/>
      <c r="CR195" s="3"/>
      <c r="CS195" s="3"/>
      <c r="CT195" s="3"/>
      <c r="CU195" s="3"/>
      <c r="CV195" s="3"/>
      <c r="CW195" s="3"/>
      <c r="CX195" s="3"/>
      <c r="CY195" s="3"/>
      <c r="CZ195" s="3"/>
      <c r="DA195" s="3"/>
    </row>
    <row r="196" spans="1:105" x14ac:dyDescent="0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  <c r="BQ196" s="3"/>
      <c r="BR196" s="3"/>
      <c r="BS196" s="3"/>
      <c r="BT196" s="3"/>
      <c r="BU196" s="3"/>
      <c r="BV196" s="3"/>
      <c r="BW196" s="3"/>
      <c r="BX196" s="3"/>
      <c r="BY196" s="3"/>
      <c r="BZ196" s="3"/>
      <c r="CA196" s="3"/>
      <c r="CB196" s="3"/>
      <c r="CC196" s="3"/>
      <c r="CD196" s="3"/>
      <c r="CE196" s="3"/>
      <c r="CF196" s="3"/>
      <c r="CG196" s="3"/>
      <c r="CH196" s="3"/>
      <c r="CI196" s="3"/>
      <c r="CJ196" s="3"/>
      <c r="CK196" s="3"/>
      <c r="CL196" s="3"/>
      <c r="CM196" s="3"/>
      <c r="CN196" s="3"/>
      <c r="CO196" s="3"/>
      <c r="CP196" s="3"/>
      <c r="CQ196" s="3"/>
      <c r="CR196" s="3"/>
      <c r="CS196" s="3"/>
      <c r="CT196" s="3"/>
      <c r="CU196" s="3"/>
      <c r="CV196" s="3"/>
      <c r="CW196" s="3"/>
      <c r="CX196" s="3"/>
      <c r="CY196" s="3"/>
      <c r="CZ196" s="3"/>
      <c r="DA196" s="3"/>
    </row>
    <row r="197" spans="1:105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  <c r="BN197" s="3"/>
      <c r="BO197" s="3"/>
      <c r="BP197" s="3"/>
      <c r="BQ197" s="3"/>
      <c r="BR197" s="3"/>
      <c r="BS197" s="3"/>
      <c r="BT197" s="3"/>
      <c r="BU197" s="3"/>
      <c r="BV197" s="3"/>
      <c r="BW197" s="3"/>
      <c r="BX197" s="3"/>
      <c r="BY197" s="3"/>
      <c r="BZ197" s="3"/>
      <c r="CA197" s="3"/>
      <c r="CB197" s="3"/>
      <c r="CC197" s="3"/>
      <c r="CD197" s="3"/>
      <c r="CE197" s="3"/>
      <c r="CF197" s="3"/>
      <c r="CG197" s="3"/>
      <c r="CH197" s="3"/>
      <c r="CI197" s="3"/>
      <c r="CJ197" s="3"/>
      <c r="CK197" s="3"/>
      <c r="CL197" s="3"/>
      <c r="CM197" s="3"/>
      <c r="CN197" s="3"/>
      <c r="CO197" s="3"/>
      <c r="CP197" s="3"/>
      <c r="CQ197" s="3"/>
      <c r="CR197" s="3"/>
      <c r="CS197" s="3"/>
      <c r="CT197" s="3"/>
      <c r="CU197" s="3"/>
      <c r="CV197" s="3"/>
      <c r="CW197" s="3"/>
      <c r="CX197" s="3"/>
      <c r="CY197" s="3"/>
      <c r="CZ197" s="3"/>
      <c r="DA197" s="3"/>
    </row>
    <row r="198" spans="1:105" x14ac:dyDescent="0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  <c r="BP198" s="3"/>
      <c r="BQ198" s="3"/>
      <c r="BR198" s="3"/>
      <c r="BS198" s="3"/>
      <c r="BT198" s="3"/>
      <c r="BU198" s="3"/>
      <c r="BV198" s="3"/>
      <c r="BW198" s="3"/>
      <c r="BX198" s="3"/>
      <c r="BY198" s="3"/>
      <c r="BZ198" s="3"/>
      <c r="CA198" s="3"/>
      <c r="CB198" s="3"/>
      <c r="CC198" s="3"/>
      <c r="CD198" s="3"/>
      <c r="CE198" s="3"/>
      <c r="CF198" s="3"/>
      <c r="CG198" s="3"/>
      <c r="CH198" s="3"/>
      <c r="CI198" s="3"/>
      <c r="CJ198" s="3"/>
      <c r="CK198" s="3"/>
      <c r="CL198" s="3"/>
      <c r="CM198" s="3"/>
      <c r="CN198" s="3"/>
      <c r="CO198" s="3"/>
      <c r="CP198" s="3"/>
      <c r="CQ198" s="3"/>
      <c r="CR198" s="3"/>
      <c r="CS198" s="3"/>
      <c r="CT198" s="3"/>
      <c r="CU198" s="3"/>
      <c r="CV198" s="3"/>
      <c r="CW198" s="3"/>
      <c r="CX198" s="3"/>
      <c r="CY198" s="3"/>
      <c r="CZ198" s="3"/>
      <c r="DA198" s="3"/>
    </row>
    <row r="199" spans="1:105" x14ac:dyDescent="0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  <c r="BO199" s="3"/>
      <c r="BP199" s="3"/>
      <c r="BQ199" s="3"/>
      <c r="BR199" s="3"/>
      <c r="BS199" s="3"/>
      <c r="BT199" s="3"/>
      <c r="BU199" s="3"/>
      <c r="BV199" s="3"/>
      <c r="BW199" s="3"/>
      <c r="BX199" s="3"/>
      <c r="BY199" s="3"/>
      <c r="BZ199" s="3"/>
      <c r="CA199" s="3"/>
      <c r="CB199" s="3"/>
      <c r="CC199" s="3"/>
      <c r="CD199" s="3"/>
      <c r="CE199" s="3"/>
      <c r="CF199" s="3"/>
      <c r="CG199" s="3"/>
      <c r="CH199" s="3"/>
      <c r="CI199" s="3"/>
      <c r="CJ199" s="3"/>
      <c r="CK199" s="3"/>
      <c r="CL199" s="3"/>
      <c r="CM199" s="3"/>
      <c r="CN199" s="3"/>
      <c r="CO199" s="3"/>
      <c r="CP199" s="3"/>
      <c r="CQ199" s="3"/>
      <c r="CR199" s="3"/>
      <c r="CS199" s="3"/>
      <c r="CT199" s="3"/>
      <c r="CU199" s="3"/>
      <c r="CV199" s="3"/>
      <c r="CW199" s="3"/>
      <c r="CX199" s="3"/>
      <c r="CY199" s="3"/>
      <c r="CZ199" s="3"/>
      <c r="DA199" s="3"/>
    </row>
    <row r="200" spans="1:105" x14ac:dyDescent="0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  <c r="BN200" s="3"/>
      <c r="BO200" s="3"/>
      <c r="BP200" s="3"/>
      <c r="BQ200" s="3"/>
      <c r="BR200" s="3"/>
      <c r="BS200" s="3"/>
      <c r="BT200" s="3"/>
      <c r="BU200" s="3"/>
      <c r="BV200" s="3"/>
      <c r="BW200" s="3"/>
      <c r="BX200" s="3"/>
      <c r="BY200" s="3"/>
      <c r="BZ200" s="3"/>
      <c r="CA200" s="3"/>
      <c r="CB200" s="3"/>
      <c r="CC200" s="3"/>
      <c r="CD200" s="3"/>
      <c r="CE200" s="3"/>
      <c r="CF200" s="3"/>
      <c r="CG200" s="3"/>
      <c r="CH200" s="3"/>
      <c r="CI200" s="3"/>
      <c r="CJ200" s="3"/>
      <c r="CK200" s="3"/>
      <c r="CL200" s="3"/>
      <c r="CM200" s="3"/>
      <c r="CN200" s="3"/>
      <c r="CO200" s="3"/>
      <c r="CP200" s="3"/>
      <c r="CQ200" s="3"/>
      <c r="CR200" s="3"/>
      <c r="CS200" s="3"/>
      <c r="CT200" s="3"/>
      <c r="CU200" s="3"/>
      <c r="CV200" s="3"/>
      <c r="CW200" s="3"/>
      <c r="CX200" s="3"/>
      <c r="CY200" s="3"/>
      <c r="CZ200" s="3"/>
      <c r="DA200" s="3"/>
    </row>
    <row r="201" spans="1:105" x14ac:dyDescent="0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  <c r="BP201" s="3"/>
      <c r="BQ201" s="3"/>
      <c r="BR201" s="3"/>
      <c r="BS201" s="3"/>
      <c r="BT201" s="3"/>
      <c r="BU201" s="3"/>
      <c r="BV201" s="3"/>
      <c r="BW201" s="3"/>
      <c r="BX201" s="3"/>
      <c r="BY201" s="3"/>
      <c r="BZ201" s="3"/>
      <c r="CA201" s="3"/>
      <c r="CB201" s="3"/>
      <c r="CC201" s="3"/>
      <c r="CD201" s="3"/>
      <c r="CE201" s="3"/>
      <c r="CF201" s="3"/>
      <c r="CG201" s="3"/>
      <c r="CH201" s="3"/>
      <c r="CI201" s="3"/>
      <c r="CJ201" s="3"/>
      <c r="CK201" s="3"/>
      <c r="CL201" s="3"/>
      <c r="CM201" s="3"/>
      <c r="CN201" s="3"/>
      <c r="CO201" s="3"/>
      <c r="CP201" s="3"/>
      <c r="CQ201" s="3"/>
      <c r="CR201" s="3"/>
      <c r="CS201" s="3"/>
      <c r="CT201" s="3"/>
      <c r="CU201" s="3"/>
      <c r="CV201" s="3"/>
      <c r="CW201" s="3"/>
      <c r="CX201" s="3"/>
      <c r="CY201" s="3"/>
      <c r="CZ201" s="3"/>
      <c r="DA201" s="3"/>
    </row>
    <row r="202" spans="1:105" x14ac:dyDescent="0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  <c r="BO202" s="3"/>
      <c r="BP202" s="3"/>
      <c r="BQ202" s="3"/>
      <c r="BR202" s="3"/>
      <c r="BS202" s="3"/>
      <c r="BT202" s="3"/>
      <c r="BU202" s="3"/>
      <c r="BV202" s="3"/>
      <c r="BW202" s="3"/>
      <c r="BX202" s="3"/>
      <c r="BY202" s="3"/>
      <c r="BZ202" s="3"/>
      <c r="CA202" s="3"/>
      <c r="CB202" s="3"/>
      <c r="CC202" s="3"/>
      <c r="CD202" s="3"/>
      <c r="CE202" s="3"/>
      <c r="CF202" s="3"/>
      <c r="CG202" s="3"/>
      <c r="CH202" s="3"/>
      <c r="CI202" s="3"/>
      <c r="CJ202" s="3"/>
      <c r="CK202" s="3"/>
      <c r="CL202" s="3"/>
      <c r="CM202" s="3"/>
      <c r="CN202" s="3"/>
      <c r="CO202" s="3"/>
      <c r="CP202" s="3"/>
      <c r="CQ202" s="3"/>
      <c r="CR202" s="3"/>
      <c r="CS202" s="3"/>
      <c r="CT202" s="3"/>
      <c r="CU202" s="3"/>
      <c r="CV202" s="3"/>
      <c r="CW202" s="3"/>
      <c r="CX202" s="3"/>
      <c r="CY202" s="3"/>
      <c r="CZ202" s="3"/>
      <c r="DA202" s="3"/>
    </row>
    <row r="203" spans="1:105" x14ac:dyDescent="0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  <c r="BN203" s="3"/>
      <c r="BO203" s="3"/>
      <c r="BP203" s="3"/>
      <c r="BQ203" s="3"/>
      <c r="BR203" s="3"/>
      <c r="BS203" s="3"/>
      <c r="BT203" s="3"/>
      <c r="BU203" s="3"/>
      <c r="BV203" s="3"/>
      <c r="BW203" s="3"/>
      <c r="BX203" s="3"/>
      <c r="BY203" s="3"/>
      <c r="BZ203" s="3"/>
      <c r="CA203" s="3"/>
      <c r="CB203" s="3"/>
      <c r="CC203" s="3"/>
      <c r="CD203" s="3"/>
      <c r="CE203" s="3"/>
      <c r="CF203" s="3"/>
      <c r="CG203" s="3"/>
      <c r="CH203" s="3"/>
      <c r="CI203" s="3"/>
      <c r="CJ203" s="3"/>
      <c r="CK203" s="3"/>
      <c r="CL203" s="3"/>
      <c r="CM203" s="3"/>
      <c r="CN203" s="3"/>
      <c r="CO203" s="3"/>
      <c r="CP203" s="3"/>
      <c r="CQ203" s="3"/>
      <c r="CR203" s="3"/>
      <c r="CS203" s="3"/>
      <c r="CT203" s="3"/>
      <c r="CU203" s="3"/>
      <c r="CV203" s="3"/>
      <c r="CW203" s="3"/>
      <c r="CX203" s="3"/>
      <c r="CY203" s="3"/>
      <c r="CZ203" s="3"/>
      <c r="DA203" s="3"/>
    </row>
    <row r="204" spans="1:105" x14ac:dyDescent="0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  <c r="BU204" s="3"/>
      <c r="BV204" s="3"/>
      <c r="BW204" s="3"/>
      <c r="BX204" s="3"/>
      <c r="BY204" s="3"/>
      <c r="BZ204" s="3"/>
      <c r="CA204" s="3"/>
      <c r="CB204" s="3"/>
      <c r="CC204" s="3"/>
      <c r="CD204" s="3"/>
      <c r="CE204" s="3"/>
      <c r="CF204" s="3"/>
      <c r="CG204" s="3"/>
      <c r="CH204" s="3"/>
      <c r="CI204" s="3"/>
      <c r="CJ204" s="3"/>
      <c r="CK204" s="3"/>
      <c r="CL204" s="3"/>
      <c r="CM204" s="3"/>
      <c r="CN204" s="3"/>
      <c r="CO204" s="3"/>
      <c r="CP204" s="3"/>
      <c r="CQ204" s="3"/>
      <c r="CR204" s="3"/>
      <c r="CS204" s="3"/>
      <c r="CT204" s="3"/>
      <c r="CU204" s="3"/>
      <c r="CV204" s="3"/>
      <c r="CW204" s="3"/>
      <c r="CX204" s="3"/>
      <c r="CY204" s="3"/>
      <c r="CZ204" s="3"/>
      <c r="DA204" s="3"/>
    </row>
    <row r="205" spans="1:105" x14ac:dyDescent="0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  <c r="BQ205" s="3"/>
      <c r="BR205" s="3"/>
      <c r="BS205" s="3"/>
      <c r="BT205" s="3"/>
      <c r="BU205" s="3"/>
      <c r="BV205" s="3"/>
      <c r="BW205" s="3"/>
      <c r="BX205" s="3"/>
      <c r="BY205" s="3"/>
      <c r="BZ205" s="3"/>
      <c r="CA205" s="3"/>
      <c r="CB205" s="3"/>
      <c r="CC205" s="3"/>
      <c r="CD205" s="3"/>
      <c r="CE205" s="3"/>
      <c r="CF205" s="3"/>
      <c r="CG205" s="3"/>
      <c r="CH205" s="3"/>
      <c r="CI205" s="3"/>
      <c r="CJ205" s="3"/>
      <c r="CK205" s="3"/>
      <c r="CL205" s="3"/>
      <c r="CM205" s="3"/>
      <c r="CN205" s="3"/>
      <c r="CO205" s="3"/>
      <c r="CP205" s="3"/>
      <c r="CQ205" s="3"/>
      <c r="CR205" s="3"/>
      <c r="CS205" s="3"/>
      <c r="CT205" s="3"/>
      <c r="CU205" s="3"/>
      <c r="CV205" s="3"/>
      <c r="CW205" s="3"/>
      <c r="CX205" s="3"/>
      <c r="CY205" s="3"/>
      <c r="CZ205" s="3"/>
      <c r="DA205" s="3"/>
    </row>
    <row r="206" spans="1:105" x14ac:dyDescent="0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  <c r="BU206" s="3"/>
      <c r="BV206" s="3"/>
      <c r="BW206" s="3"/>
      <c r="BX206" s="3"/>
      <c r="BY206" s="3"/>
      <c r="BZ206" s="3"/>
      <c r="CA206" s="3"/>
      <c r="CB206" s="3"/>
      <c r="CC206" s="3"/>
      <c r="CD206" s="3"/>
      <c r="CE206" s="3"/>
      <c r="CF206" s="3"/>
      <c r="CG206" s="3"/>
      <c r="CH206" s="3"/>
      <c r="CI206" s="3"/>
      <c r="CJ206" s="3"/>
      <c r="CK206" s="3"/>
      <c r="CL206" s="3"/>
      <c r="CM206" s="3"/>
      <c r="CN206" s="3"/>
      <c r="CO206" s="3"/>
      <c r="CP206" s="3"/>
      <c r="CQ206" s="3"/>
      <c r="CR206" s="3"/>
      <c r="CS206" s="3"/>
      <c r="CT206" s="3"/>
      <c r="CU206" s="3"/>
      <c r="CV206" s="3"/>
      <c r="CW206" s="3"/>
      <c r="CX206" s="3"/>
      <c r="CY206" s="3"/>
      <c r="CZ206" s="3"/>
      <c r="DA206" s="3"/>
    </row>
    <row r="207" spans="1:105" x14ac:dyDescent="0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  <c r="BN207" s="3"/>
      <c r="BO207" s="3"/>
      <c r="BP207" s="3"/>
      <c r="BQ207" s="3"/>
      <c r="BR207" s="3"/>
      <c r="BS207" s="3"/>
      <c r="BT207" s="3"/>
      <c r="BU207" s="3"/>
      <c r="BV207" s="3"/>
      <c r="BW207" s="3"/>
      <c r="BX207" s="3"/>
      <c r="BY207" s="3"/>
      <c r="BZ207" s="3"/>
      <c r="CA207" s="3"/>
      <c r="CB207" s="3"/>
      <c r="CC207" s="3"/>
      <c r="CD207" s="3"/>
      <c r="CE207" s="3"/>
      <c r="CF207" s="3"/>
      <c r="CG207" s="3"/>
      <c r="CH207" s="3"/>
      <c r="CI207" s="3"/>
      <c r="CJ207" s="3"/>
      <c r="CK207" s="3"/>
      <c r="CL207" s="3"/>
      <c r="CM207" s="3"/>
      <c r="CN207" s="3"/>
      <c r="CO207" s="3"/>
      <c r="CP207" s="3"/>
      <c r="CQ207" s="3"/>
      <c r="CR207" s="3"/>
      <c r="CS207" s="3"/>
      <c r="CT207" s="3"/>
      <c r="CU207" s="3"/>
      <c r="CV207" s="3"/>
      <c r="CW207" s="3"/>
      <c r="CX207" s="3"/>
      <c r="CY207" s="3"/>
      <c r="CZ207" s="3"/>
      <c r="DA207" s="3"/>
    </row>
    <row r="208" spans="1:105" x14ac:dyDescent="0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  <c r="BN208" s="3"/>
      <c r="BO208" s="3"/>
      <c r="BP208" s="3"/>
      <c r="BQ208" s="3"/>
      <c r="BR208" s="3"/>
      <c r="BS208" s="3"/>
      <c r="BT208" s="3"/>
      <c r="BU208" s="3"/>
      <c r="BV208" s="3"/>
      <c r="BW208" s="3"/>
      <c r="BX208" s="3"/>
      <c r="BY208" s="3"/>
      <c r="BZ208" s="3"/>
      <c r="CA208" s="3"/>
      <c r="CB208" s="3"/>
      <c r="CC208" s="3"/>
      <c r="CD208" s="3"/>
      <c r="CE208" s="3"/>
      <c r="CF208" s="3"/>
      <c r="CG208" s="3"/>
      <c r="CH208" s="3"/>
      <c r="CI208" s="3"/>
      <c r="CJ208" s="3"/>
      <c r="CK208" s="3"/>
      <c r="CL208" s="3"/>
      <c r="CM208" s="3"/>
      <c r="CN208" s="3"/>
      <c r="CO208" s="3"/>
      <c r="CP208" s="3"/>
      <c r="CQ208" s="3"/>
      <c r="CR208" s="3"/>
      <c r="CS208" s="3"/>
      <c r="CT208" s="3"/>
      <c r="CU208" s="3"/>
      <c r="CV208" s="3"/>
      <c r="CW208" s="3"/>
      <c r="CX208" s="3"/>
      <c r="CY208" s="3"/>
      <c r="CZ208" s="3"/>
      <c r="DA208" s="3"/>
    </row>
    <row r="209" spans="1:105" x14ac:dyDescent="0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  <c r="BN209" s="3"/>
      <c r="BO209" s="3"/>
      <c r="BP209" s="3"/>
      <c r="BQ209" s="3"/>
      <c r="BR209" s="3"/>
      <c r="BS209" s="3"/>
      <c r="BT209" s="3"/>
      <c r="BU209" s="3"/>
      <c r="BV209" s="3"/>
      <c r="BW209" s="3"/>
      <c r="BX209" s="3"/>
      <c r="BY209" s="3"/>
      <c r="BZ209" s="3"/>
      <c r="CA209" s="3"/>
      <c r="CB209" s="3"/>
      <c r="CC209" s="3"/>
      <c r="CD209" s="3"/>
      <c r="CE209" s="3"/>
      <c r="CF209" s="3"/>
      <c r="CG209" s="3"/>
      <c r="CH209" s="3"/>
      <c r="CI209" s="3"/>
      <c r="CJ209" s="3"/>
      <c r="CK209" s="3"/>
      <c r="CL209" s="3"/>
      <c r="CM209" s="3"/>
      <c r="CN209" s="3"/>
      <c r="CO209" s="3"/>
      <c r="CP209" s="3"/>
      <c r="CQ209" s="3"/>
      <c r="CR209" s="3"/>
      <c r="CS209" s="3"/>
      <c r="CT209" s="3"/>
      <c r="CU209" s="3"/>
      <c r="CV209" s="3"/>
      <c r="CW209" s="3"/>
      <c r="CX209" s="3"/>
      <c r="CY209" s="3"/>
      <c r="CZ209" s="3"/>
      <c r="DA209" s="3"/>
    </row>
    <row r="210" spans="1:105" x14ac:dyDescent="0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  <c r="BN210" s="3"/>
      <c r="BO210" s="3"/>
      <c r="BP210" s="3"/>
      <c r="BQ210" s="3"/>
      <c r="BR210" s="3"/>
      <c r="BS210" s="3"/>
      <c r="BT210" s="3"/>
      <c r="BU210" s="3"/>
      <c r="BV210" s="3"/>
      <c r="BW210" s="3"/>
      <c r="BX210" s="3"/>
      <c r="BY210" s="3"/>
      <c r="BZ210" s="3"/>
      <c r="CA210" s="3"/>
      <c r="CB210" s="3"/>
      <c r="CC210" s="3"/>
      <c r="CD210" s="3"/>
      <c r="CE210" s="3"/>
      <c r="CF210" s="3"/>
      <c r="CG210" s="3"/>
      <c r="CH210" s="3"/>
      <c r="CI210" s="3"/>
      <c r="CJ210" s="3"/>
      <c r="CK210" s="3"/>
      <c r="CL210" s="3"/>
      <c r="CM210" s="3"/>
      <c r="CN210" s="3"/>
      <c r="CO210" s="3"/>
      <c r="CP210" s="3"/>
      <c r="CQ210" s="3"/>
      <c r="CR210" s="3"/>
      <c r="CS210" s="3"/>
      <c r="CT210" s="3"/>
      <c r="CU210" s="3"/>
      <c r="CV210" s="3"/>
      <c r="CW210" s="3"/>
      <c r="CX210" s="3"/>
      <c r="CY210" s="3"/>
      <c r="CZ210" s="3"/>
      <c r="DA210" s="3"/>
    </row>
    <row r="211" spans="1:105" x14ac:dyDescent="0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  <c r="BN211" s="3"/>
      <c r="BO211" s="3"/>
      <c r="BP211" s="3"/>
      <c r="BQ211" s="3"/>
      <c r="BR211" s="3"/>
      <c r="BS211" s="3"/>
      <c r="BT211" s="3"/>
      <c r="BU211" s="3"/>
      <c r="BV211" s="3"/>
      <c r="BW211" s="3"/>
      <c r="BX211" s="3"/>
      <c r="BY211" s="3"/>
      <c r="BZ211" s="3"/>
      <c r="CA211" s="3"/>
      <c r="CB211" s="3"/>
      <c r="CC211" s="3"/>
      <c r="CD211" s="3"/>
      <c r="CE211" s="3"/>
      <c r="CF211" s="3"/>
      <c r="CG211" s="3"/>
      <c r="CH211" s="3"/>
      <c r="CI211" s="3"/>
      <c r="CJ211" s="3"/>
      <c r="CK211" s="3"/>
      <c r="CL211" s="3"/>
      <c r="CM211" s="3"/>
      <c r="CN211" s="3"/>
      <c r="CO211" s="3"/>
      <c r="CP211" s="3"/>
      <c r="CQ211" s="3"/>
      <c r="CR211" s="3"/>
      <c r="CS211" s="3"/>
      <c r="CT211" s="3"/>
      <c r="CU211" s="3"/>
      <c r="CV211" s="3"/>
      <c r="CW211" s="3"/>
      <c r="CX211" s="3"/>
      <c r="CY211" s="3"/>
      <c r="CZ211" s="3"/>
      <c r="DA211" s="3"/>
    </row>
    <row r="212" spans="1:105" x14ac:dyDescent="0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  <c r="BN212" s="3"/>
      <c r="BO212" s="3"/>
      <c r="BP212" s="3"/>
      <c r="BQ212" s="3"/>
      <c r="BR212" s="3"/>
      <c r="BS212" s="3"/>
      <c r="BT212" s="3"/>
      <c r="BU212" s="3"/>
      <c r="BV212" s="3"/>
      <c r="BW212" s="3"/>
      <c r="BX212" s="3"/>
      <c r="BY212" s="3"/>
      <c r="BZ212" s="3"/>
      <c r="CA212" s="3"/>
      <c r="CB212" s="3"/>
      <c r="CC212" s="3"/>
      <c r="CD212" s="3"/>
      <c r="CE212" s="3"/>
      <c r="CF212" s="3"/>
      <c r="CG212" s="3"/>
      <c r="CH212" s="3"/>
      <c r="CI212" s="3"/>
      <c r="CJ212" s="3"/>
      <c r="CK212" s="3"/>
      <c r="CL212" s="3"/>
      <c r="CM212" s="3"/>
      <c r="CN212" s="3"/>
      <c r="CO212" s="3"/>
      <c r="CP212" s="3"/>
      <c r="CQ212" s="3"/>
      <c r="CR212" s="3"/>
      <c r="CS212" s="3"/>
      <c r="CT212" s="3"/>
      <c r="CU212" s="3"/>
      <c r="CV212" s="3"/>
      <c r="CW212" s="3"/>
      <c r="CX212" s="3"/>
      <c r="CY212" s="3"/>
      <c r="CZ212" s="3"/>
      <c r="DA212" s="3"/>
    </row>
    <row r="213" spans="1:105" x14ac:dyDescent="0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  <c r="BN213" s="3"/>
      <c r="BO213" s="3"/>
      <c r="BP213" s="3"/>
      <c r="BQ213" s="3"/>
      <c r="BR213" s="3"/>
      <c r="BS213" s="3"/>
      <c r="BT213" s="3"/>
      <c r="BU213" s="3"/>
      <c r="BV213" s="3"/>
      <c r="BW213" s="3"/>
      <c r="BX213" s="3"/>
      <c r="BY213" s="3"/>
      <c r="BZ213" s="3"/>
      <c r="CA213" s="3"/>
      <c r="CB213" s="3"/>
      <c r="CC213" s="3"/>
      <c r="CD213" s="3"/>
      <c r="CE213" s="3"/>
      <c r="CF213" s="3"/>
      <c r="CG213" s="3"/>
      <c r="CH213" s="3"/>
      <c r="CI213" s="3"/>
      <c r="CJ213" s="3"/>
      <c r="CK213" s="3"/>
      <c r="CL213" s="3"/>
      <c r="CM213" s="3"/>
      <c r="CN213" s="3"/>
      <c r="CO213" s="3"/>
      <c r="CP213" s="3"/>
      <c r="CQ213" s="3"/>
      <c r="CR213" s="3"/>
      <c r="CS213" s="3"/>
      <c r="CT213" s="3"/>
      <c r="CU213" s="3"/>
      <c r="CV213" s="3"/>
      <c r="CW213" s="3"/>
      <c r="CX213" s="3"/>
      <c r="CY213" s="3"/>
      <c r="CZ213" s="3"/>
      <c r="DA213" s="3"/>
    </row>
    <row r="214" spans="1:105" x14ac:dyDescent="0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  <c r="CC214" s="3"/>
      <c r="CD214" s="3"/>
      <c r="CE214" s="3"/>
      <c r="CF214" s="3"/>
      <c r="CG214" s="3"/>
      <c r="CH214" s="3"/>
      <c r="CI214" s="3"/>
      <c r="CJ214" s="3"/>
      <c r="CK214" s="3"/>
      <c r="CL214" s="3"/>
      <c r="CM214" s="3"/>
      <c r="CN214" s="3"/>
      <c r="CO214" s="3"/>
      <c r="CP214" s="3"/>
      <c r="CQ214" s="3"/>
      <c r="CR214" s="3"/>
      <c r="CS214" s="3"/>
      <c r="CT214" s="3"/>
      <c r="CU214" s="3"/>
      <c r="CV214" s="3"/>
      <c r="CW214" s="3"/>
      <c r="CX214" s="3"/>
      <c r="CY214" s="3"/>
      <c r="CZ214" s="3"/>
      <c r="DA214" s="3"/>
    </row>
    <row r="215" spans="1:105" x14ac:dyDescent="0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  <c r="BN215" s="3"/>
      <c r="BO215" s="3"/>
      <c r="BP215" s="3"/>
      <c r="BQ215" s="3"/>
      <c r="BR215" s="3"/>
      <c r="BS215" s="3"/>
      <c r="BT215" s="3"/>
      <c r="BU215" s="3"/>
      <c r="BV215" s="3"/>
      <c r="BW215" s="3"/>
      <c r="BX215" s="3"/>
      <c r="BY215" s="3"/>
      <c r="BZ215" s="3"/>
      <c r="CA215" s="3"/>
      <c r="CB215" s="3"/>
      <c r="CC215" s="3"/>
      <c r="CD215" s="3"/>
      <c r="CE215" s="3"/>
      <c r="CF215" s="3"/>
      <c r="CG215" s="3"/>
      <c r="CH215" s="3"/>
      <c r="CI215" s="3"/>
      <c r="CJ215" s="3"/>
      <c r="CK215" s="3"/>
      <c r="CL215" s="3"/>
      <c r="CM215" s="3"/>
      <c r="CN215" s="3"/>
      <c r="CO215" s="3"/>
      <c r="CP215" s="3"/>
      <c r="CQ215" s="3"/>
      <c r="CR215" s="3"/>
      <c r="CS215" s="3"/>
      <c r="CT215" s="3"/>
      <c r="CU215" s="3"/>
      <c r="CV215" s="3"/>
      <c r="CW215" s="3"/>
      <c r="CX215" s="3"/>
      <c r="CY215" s="3"/>
      <c r="CZ215" s="3"/>
      <c r="DA215" s="3"/>
    </row>
    <row r="216" spans="1:105" x14ac:dyDescent="0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3"/>
      <c r="BW216" s="3"/>
      <c r="BX216" s="3"/>
      <c r="BY216" s="3"/>
      <c r="BZ216" s="3"/>
      <c r="CA216" s="3"/>
      <c r="CB216" s="3"/>
      <c r="CC216" s="3"/>
      <c r="CD216" s="3"/>
      <c r="CE216" s="3"/>
      <c r="CF216" s="3"/>
      <c r="CG216" s="3"/>
      <c r="CH216" s="3"/>
      <c r="CI216" s="3"/>
      <c r="CJ216" s="3"/>
      <c r="CK216" s="3"/>
      <c r="CL216" s="3"/>
      <c r="CM216" s="3"/>
      <c r="CN216" s="3"/>
      <c r="CO216" s="3"/>
      <c r="CP216" s="3"/>
      <c r="CQ216" s="3"/>
      <c r="CR216" s="3"/>
      <c r="CS216" s="3"/>
      <c r="CT216" s="3"/>
      <c r="CU216" s="3"/>
      <c r="CV216" s="3"/>
      <c r="CW216" s="3"/>
      <c r="CX216" s="3"/>
      <c r="CY216" s="3"/>
      <c r="CZ216" s="3"/>
      <c r="DA216" s="3"/>
    </row>
    <row r="217" spans="1:105" x14ac:dyDescent="0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  <c r="BN217" s="3"/>
      <c r="BO217" s="3"/>
      <c r="BP217" s="3"/>
      <c r="BQ217" s="3"/>
      <c r="BR217" s="3"/>
      <c r="BS217" s="3"/>
      <c r="BT217" s="3"/>
      <c r="BU217" s="3"/>
      <c r="BV217" s="3"/>
      <c r="BW217" s="3"/>
      <c r="BX217" s="3"/>
      <c r="BY217" s="3"/>
      <c r="BZ217" s="3"/>
      <c r="CA217" s="3"/>
      <c r="CB217" s="3"/>
      <c r="CC217" s="3"/>
      <c r="CD217" s="3"/>
      <c r="CE217" s="3"/>
      <c r="CF217" s="3"/>
      <c r="CG217" s="3"/>
      <c r="CH217" s="3"/>
      <c r="CI217" s="3"/>
      <c r="CJ217" s="3"/>
      <c r="CK217" s="3"/>
      <c r="CL217" s="3"/>
      <c r="CM217" s="3"/>
      <c r="CN217" s="3"/>
      <c r="CO217" s="3"/>
      <c r="CP217" s="3"/>
      <c r="CQ217" s="3"/>
      <c r="CR217" s="3"/>
      <c r="CS217" s="3"/>
      <c r="CT217" s="3"/>
      <c r="CU217" s="3"/>
      <c r="CV217" s="3"/>
      <c r="CW217" s="3"/>
      <c r="CX217" s="3"/>
      <c r="CY217" s="3"/>
      <c r="CZ217" s="3"/>
      <c r="DA217" s="3"/>
    </row>
    <row r="218" spans="1:105" x14ac:dyDescent="0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  <c r="BO218" s="3"/>
      <c r="BP218" s="3"/>
      <c r="BQ218" s="3"/>
      <c r="BR218" s="3"/>
      <c r="BS218" s="3"/>
      <c r="BT218" s="3"/>
      <c r="BU218" s="3"/>
      <c r="BV218" s="3"/>
      <c r="BW218" s="3"/>
      <c r="BX218" s="3"/>
      <c r="BY218" s="3"/>
      <c r="BZ218" s="3"/>
      <c r="CA218" s="3"/>
      <c r="CB218" s="3"/>
      <c r="CC218" s="3"/>
      <c r="CD218" s="3"/>
      <c r="CE218" s="3"/>
      <c r="CF218" s="3"/>
      <c r="CG218" s="3"/>
      <c r="CH218" s="3"/>
      <c r="CI218" s="3"/>
      <c r="CJ218" s="3"/>
      <c r="CK218" s="3"/>
      <c r="CL218" s="3"/>
      <c r="CM218" s="3"/>
      <c r="CN218" s="3"/>
      <c r="CO218" s="3"/>
      <c r="CP218" s="3"/>
      <c r="CQ218" s="3"/>
      <c r="CR218" s="3"/>
      <c r="CS218" s="3"/>
      <c r="CT218" s="3"/>
      <c r="CU218" s="3"/>
      <c r="CV218" s="3"/>
      <c r="CW218" s="3"/>
      <c r="CX218" s="3"/>
      <c r="CY218" s="3"/>
      <c r="CZ218" s="3"/>
      <c r="DA218" s="3"/>
    </row>
    <row r="219" spans="1:105" x14ac:dyDescent="0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  <c r="BN219" s="3"/>
      <c r="BO219" s="3"/>
      <c r="BP219" s="3"/>
      <c r="BQ219" s="3"/>
      <c r="BR219" s="3"/>
      <c r="BS219" s="3"/>
      <c r="BT219" s="3"/>
      <c r="BU219" s="3"/>
      <c r="BV219" s="3"/>
      <c r="BW219" s="3"/>
      <c r="BX219" s="3"/>
      <c r="BY219" s="3"/>
      <c r="BZ219" s="3"/>
      <c r="CA219" s="3"/>
      <c r="CB219" s="3"/>
      <c r="CC219" s="3"/>
      <c r="CD219" s="3"/>
      <c r="CE219" s="3"/>
      <c r="CF219" s="3"/>
      <c r="CG219" s="3"/>
      <c r="CH219" s="3"/>
      <c r="CI219" s="3"/>
      <c r="CJ219" s="3"/>
      <c r="CK219" s="3"/>
      <c r="CL219" s="3"/>
      <c r="CM219" s="3"/>
      <c r="CN219" s="3"/>
      <c r="CO219" s="3"/>
      <c r="CP219" s="3"/>
      <c r="CQ219" s="3"/>
      <c r="CR219" s="3"/>
      <c r="CS219" s="3"/>
      <c r="CT219" s="3"/>
      <c r="CU219" s="3"/>
      <c r="CV219" s="3"/>
      <c r="CW219" s="3"/>
      <c r="CX219" s="3"/>
      <c r="CY219" s="3"/>
      <c r="CZ219" s="3"/>
      <c r="DA219" s="3"/>
    </row>
    <row r="220" spans="1:105" x14ac:dyDescent="0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  <c r="BN220" s="3"/>
      <c r="BO220" s="3"/>
      <c r="BP220" s="3"/>
      <c r="BQ220" s="3"/>
      <c r="BR220" s="3"/>
      <c r="BS220" s="3"/>
      <c r="BT220" s="3"/>
      <c r="BU220" s="3"/>
      <c r="BV220" s="3"/>
      <c r="BW220" s="3"/>
      <c r="BX220" s="3"/>
      <c r="BY220" s="3"/>
      <c r="BZ220" s="3"/>
      <c r="CA220" s="3"/>
      <c r="CB220" s="3"/>
      <c r="CC220" s="3"/>
      <c r="CD220" s="3"/>
      <c r="CE220" s="3"/>
      <c r="CF220" s="3"/>
      <c r="CG220" s="3"/>
      <c r="CH220" s="3"/>
      <c r="CI220" s="3"/>
      <c r="CJ220" s="3"/>
      <c r="CK220" s="3"/>
      <c r="CL220" s="3"/>
      <c r="CM220" s="3"/>
      <c r="CN220" s="3"/>
      <c r="CO220" s="3"/>
      <c r="CP220" s="3"/>
      <c r="CQ220" s="3"/>
      <c r="CR220" s="3"/>
      <c r="CS220" s="3"/>
      <c r="CT220" s="3"/>
      <c r="CU220" s="3"/>
      <c r="CV220" s="3"/>
      <c r="CW220" s="3"/>
      <c r="CX220" s="3"/>
      <c r="CY220" s="3"/>
      <c r="CZ220" s="3"/>
      <c r="DA220" s="3"/>
    </row>
    <row r="221" spans="1:105" x14ac:dyDescent="0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  <c r="BN221" s="3"/>
      <c r="BO221" s="3"/>
      <c r="BP221" s="3"/>
      <c r="BQ221" s="3"/>
      <c r="BR221" s="3"/>
      <c r="BS221" s="3"/>
      <c r="BT221" s="3"/>
      <c r="BU221" s="3"/>
      <c r="BV221" s="3"/>
      <c r="BW221" s="3"/>
      <c r="BX221" s="3"/>
      <c r="BY221" s="3"/>
      <c r="BZ221" s="3"/>
      <c r="CA221" s="3"/>
      <c r="CB221" s="3"/>
      <c r="CC221" s="3"/>
      <c r="CD221" s="3"/>
      <c r="CE221" s="3"/>
      <c r="CF221" s="3"/>
      <c r="CG221" s="3"/>
      <c r="CH221" s="3"/>
      <c r="CI221" s="3"/>
      <c r="CJ221" s="3"/>
      <c r="CK221" s="3"/>
      <c r="CL221" s="3"/>
      <c r="CM221" s="3"/>
      <c r="CN221" s="3"/>
      <c r="CO221" s="3"/>
      <c r="CP221" s="3"/>
      <c r="CQ221" s="3"/>
      <c r="CR221" s="3"/>
      <c r="CS221" s="3"/>
      <c r="CT221" s="3"/>
      <c r="CU221" s="3"/>
      <c r="CV221" s="3"/>
      <c r="CW221" s="3"/>
      <c r="CX221" s="3"/>
      <c r="CY221" s="3"/>
      <c r="CZ221" s="3"/>
      <c r="DA221" s="3"/>
    </row>
    <row r="222" spans="1:105" x14ac:dyDescent="0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  <c r="BN222" s="3"/>
      <c r="BO222" s="3"/>
      <c r="BP222" s="3"/>
      <c r="BQ222" s="3"/>
      <c r="BR222" s="3"/>
      <c r="BS222" s="3"/>
      <c r="BT222" s="3"/>
      <c r="BU222" s="3"/>
      <c r="BV222" s="3"/>
      <c r="BW222" s="3"/>
      <c r="BX222" s="3"/>
      <c r="BY222" s="3"/>
      <c r="BZ222" s="3"/>
      <c r="CA222" s="3"/>
      <c r="CB222" s="3"/>
      <c r="CC222" s="3"/>
      <c r="CD222" s="3"/>
      <c r="CE222" s="3"/>
      <c r="CF222" s="3"/>
      <c r="CG222" s="3"/>
      <c r="CH222" s="3"/>
      <c r="CI222" s="3"/>
      <c r="CJ222" s="3"/>
      <c r="CK222" s="3"/>
      <c r="CL222" s="3"/>
      <c r="CM222" s="3"/>
      <c r="CN222" s="3"/>
      <c r="CO222" s="3"/>
      <c r="CP222" s="3"/>
      <c r="CQ222" s="3"/>
      <c r="CR222" s="3"/>
      <c r="CS222" s="3"/>
      <c r="CT222" s="3"/>
      <c r="CU222" s="3"/>
      <c r="CV222" s="3"/>
      <c r="CW222" s="3"/>
      <c r="CX222" s="3"/>
      <c r="CY222" s="3"/>
      <c r="CZ222" s="3"/>
      <c r="DA222" s="3"/>
    </row>
    <row r="223" spans="1:105" x14ac:dyDescent="0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  <c r="BN223" s="3"/>
      <c r="BO223" s="3"/>
      <c r="BP223" s="3"/>
      <c r="BQ223" s="3"/>
      <c r="BR223" s="3"/>
      <c r="BS223" s="3"/>
      <c r="BT223" s="3"/>
      <c r="BU223" s="3"/>
      <c r="BV223" s="3"/>
      <c r="BW223" s="3"/>
      <c r="BX223" s="3"/>
      <c r="BY223" s="3"/>
      <c r="BZ223" s="3"/>
      <c r="CA223" s="3"/>
      <c r="CB223" s="3"/>
      <c r="CC223" s="3"/>
      <c r="CD223" s="3"/>
      <c r="CE223" s="3"/>
      <c r="CF223" s="3"/>
      <c r="CG223" s="3"/>
      <c r="CH223" s="3"/>
      <c r="CI223" s="3"/>
      <c r="CJ223" s="3"/>
      <c r="CK223" s="3"/>
      <c r="CL223" s="3"/>
      <c r="CM223" s="3"/>
      <c r="CN223" s="3"/>
      <c r="CO223" s="3"/>
      <c r="CP223" s="3"/>
      <c r="CQ223" s="3"/>
      <c r="CR223" s="3"/>
      <c r="CS223" s="3"/>
      <c r="CT223" s="3"/>
      <c r="CU223" s="3"/>
      <c r="CV223" s="3"/>
      <c r="CW223" s="3"/>
      <c r="CX223" s="3"/>
      <c r="CY223" s="3"/>
      <c r="CZ223" s="3"/>
      <c r="DA223" s="3"/>
    </row>
    <row r="224" spans="1:105" x14ac:dyDescent="0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  <c r="BN224" s="3"/>
      <c r="BO224" s="3"/>
      <c r="BP224" s="3"/>
      <c r="BQ224" s="3"/>
      <c r="BR224" s="3"/>
      <c r="BS224" s="3"/>
      <c r="BT224" s="3"/>
      <c r="BU224" s="3"/>
      <c r="BV224" s="3"/>
      <c r="BW224" s="3"/>
      <c r="BX224" s="3"/>
      <c r="BY224" s="3"/>
      <c r="BZ224" s="3"/>
      <c r="CA224" s="3"/>
      <c r="CB224" s="3"/>
      <c r="CC224" s="3"/>
      <c r="CD224" s="3"/>
      <c r="CE224" s="3"/>
      <c r="CF224" s="3"/>
      <c r="CG224" s="3"/>
      <c r="CH224" s="3"/>
      <c r="CI224" s="3"/>
      <c r="CJ224" s="3"/>
      <c r="CK224" s="3"/>
      <c r="CL224" s="3"/>
      <c r="CM224" s="3"/>
      <c r="CN224" s="3"/>
      <c r="CO224" s="3"/>
      <c r="CP224" s="3"/>
      <c r="CQ224" s="3"/>
      <c r="CR224" s="3"/>
      <c r="CS224" s="3"/>
      <c r="CT224" s="3"/>
      <c r="CU224" s="3"/>
      <c r="CV224" s="3"/>
      <c r="CW224" s="3"/>
      <c r="CX224" s="3"/>
      <c r="CY224" s="3"/>
      <c r="CZ224" s="3"/>
      <c r="DA224" s="3"/>
    </row>
    <row r="225" spans="1:105" x14ac:dyDescent="0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  <c r="BN225" s="3"/>
      <c r="BO225" s="3"/>
      <c r="BP225" s="3"/>
      <c r="BQ225" s="3"/>
      <c r="BR225" s="3"/>
      <c r="BS225" s="3"/>
      <c r="BT225" s="3"/>
      <c r="BU225" s="3"/>
      <c r="BV225" s="3"/>
      <c r="BW225" s="3"/>
      <c r="BX225" s="3"/>
      <c r="BY225" s="3"/>
      <c r="BZ225" s="3"/>
      <c r="CA225" s="3"/>
      <c r="CB225" s="3"/>
      <c r="CC225" s="3"/>
      <c r="CD225" s="3"/>
      <c r="CE225" s="3"/>
      <c r="CF225" s="3"/>
      <c r="CG225" s="3"/>
      <c r="CH225" s="3"/>
      <c r="CI225" s="3"/>
      <c r="CJ225" s="3"/>
      <c r="CK225" s="3"/>
      <c r="CL225" s="3"/>
      <c r="CM225" s="3"/>
      <c r="CN225" s="3"/>
      <c r="CO225" s="3"/>
      <c r="CP225" s="3"/>
      <c r="CQ225" s="3"/>
      <c r="CR225" s="3"/>
      <c r="CS225" s="3"/>
      <c r="CT225" s="3"/>
      <c r="CU225" s="3"/>
      <c r="CV225" s="3"/>
      <c r="CW225" s="3"/>
      <c r="CX225" s="3"/>
      <c r="CY225" s="3"/>
      <c r="CZ225" s="3"/>
      <c r="DA225" s="3"/>
    </row>
    <row r="226" spans="1:105" x14ac:dyDescent="0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  <c r="BN226" s="3"/>
      <c r="BO226" s="3"/>
      <c r="BP226" s="3"/>
      <c r="BQ226" s="3"/>
      <c r="BR226" s="3"/>
      <c r="BS226" s="3"/>
      <c r="BT226" s="3"/>
      <c r="BU226" s="3"/>
      <c r="BV226" s="3"/>
      <c r="BW226" s="3"/>
      <c r="BX226" s="3"/>
      <c r="BY226" s="3"/>
      <c r="BZ226" s="3"/>
      <c r="CA226" s="3"/>
      <c r="CB226" s="3"/>
      <c r="CC226" s="3"/>
      <c r="CD226" s="3"/>
      <c r="CE226" s="3"/>
      <c r="CF226" s="3"/>
      <c r="CG226" s="3"/>
      <c r="CH226" s="3"/>
      <c r="CI226" s="3"/>
      <c r="CJ226" s="3"/>
      <c r="CK226" s="3"/>
      <c r="CL226" s="3"/>
      <c r="CM226" s="3"/>
      <c r="CN226" s="3"/>
      <c r="CO226" s="3"/>
      <c r="CP226" s="3"/>
      <c r="CQ226" s="3"/>
      <c r="CR226" s="3"/>
      <c r="CS226" s="3"/>
      <c r="CT226" s="3"/>
      <c r="CU226" s="3"/>
      <c r="CV226" s="3"/>
      <c r="CW226" s="3"/>
      <c r="CX226" s="3"/>
      <c r="CY226" s="3"/>
      <c r="CZ226" s="3"/>
      <c r="DA226" s="3"/>
    </row>
    <row r="227" spans="1:105" x14ac:dyDescent="0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  <c r="BN227" s="3"/>
      <c r="BO227" s="3"/>
      <c r="BP227" s="3"/>
      <c r="BQ227" s="3"/>
      <c r="BR227" s="3"/>
      <c r="BS227" s="3"/>
      <c r="BT227" s="3"/>
      <c r="BU227" s="3"/>
      <c r="BV227" s="3"/>
      <c r="BW227" s="3"/>
      <c r="BX227" s="3"/>
      <c r="BY227" s="3"/>
      <c r="BZ227" s="3"/>
      <c r="CA227" s="3"/>
      <c r="CB227" s="3"/>
      <c r="CC227" s="3"/>
      <c r="CD227" s="3"/>
      <c r="CE227" s="3"/>
      <c r="CF227" s="3"/>
      <c r="CG227" s="3"/>
      <c r="CH227" s="3"/>
      <c r="CI227" s="3"/>
      <c r="CJ227" s="3"/>
      <c r="CK227" s="3"/>
      <c r="CL227" s="3"/>
      <c r="CM227" s="3"/>
      <c r="CN227" s="3"/>
      <c r="CO227" s="3"/>
      <c r="CP227" s="3"/>
      <c r="CQ227" s="3"/>
      <c r="CR227" s="3"/>
      <c r="CS227" s="3"/>
      <c r="CT227" s="3"/>
      <c r="CU227" s="3"/>
      <c r="CV227" s="3"/>
      <c r="CW227" s="3"/>
      <c r="CX227" s="3"/>
      <c r="CY227" s="3"/>
      <c r="CZ227" s="3"/>
      <c r="DA227" s="3"/>
    </row>
    <row r="228" spans="1:105" x14ac:dyDescent="0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  <c r="BN228" s="3"/>
      <c r="BO228" s="3"/>
      <c r="BP228" s="3"/>
      <c r="BQ228" s="3"/>
      <c r="BR228" s="3"/>
      <c r="BS228" s="3"/>
      <c r="BT228" s="3"/>
      <c r="BU228" s="3"/>
      <c r="BV228" s="3"/>
      <c r="BW228" s="3"/>
      <c r="BX228" s="3"/>
      <c r="BY228" s="3"/>
      <c r="BZ228" s="3"/>
      <c r="CA228" s="3"/>
      <c r="CB228" s="3"/>
      <c r="CC228" s="3"/>
      <c r="CD228" s="3"/>
      <c r="CE228" s="3"/>
      <c r="CF228" s="3"/>
      <c r="CG228" s="3"/>
      <c r="CH228" s="3"/>
      <c r="CI228" s="3"/>
      <c r="CJ228" s="3"/>
      <c r="CK228" s="3"/>
      <c r="CL228" s="3"/>
      <c r="CM228" s="3"/>
      <c r="CN228" s="3"/>
      <c r="CO228" s="3"/>
      <c r="CP228" s="3"/>
      <c r="CQ228" s="3"/>
      <c r="CR228" s="3"/>
      <c r="CS228" s="3"/>
      <c r="CT228" s="3"/>
      <c r="CU228" s="3"/>
      <c r="CV228" s="3"/>
      <c r="CW228" s="3"/>
      <c r="CX228" s="3"/>
      <c r="CY228" s="3"/>
      <c r="CZ228" s="3"/>
      <c r="DA228" s="3"/>
    </row>
    <row r="229" spans="1:105" x14ac:dyDescent="0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  <c r="BN229" s="3"/>
      <c r="BO229" s="3"/>
      <c r="BP229" s="3"/>
      <c r="BQ229" s="3"/>
      <c r="BR229" s="3"/>
      <c r="BS229" s="3"/>
      <c r="BT229" s="3"/>
      <c r="BU229" s="3"/>
      <c r="BV229" s="3"/>
      <c r="BW229" s="3"/>
      <c r="BX229" s="3"/>
      <c r="BY229" s="3"/>
      <c r="BZ229" s="3"/>
      <c r="CA229" s="3"/>
      <c r="CB229" s="3"/>
      <c r="CC229" s="3"/>
      <c r="CD229" s="3"/>
      <c r="CE229" s="3"/>
      <c r="CF229" s="3"/>
      <c r="CG229" s="3"/>
      <c r="CH229" s="3"/>
      <c r="CI229" s="3"/>
      <c r="CJ229" s="3"/>
      <c r="CK229" s="3"/>
      <c r="CL229" s="3"/>
      <c r="CM229" s="3"/>
      <c r="CN229" s="3"/>
      <c r="CO229" s="3"/>
      <c r="CP229" s="3"/>
      <c r="CQ229" s="3"/>
      <c r="CR229" s="3"/>
      <c r="CS229" s="3"/>
      <c r="CT229" s="3"/>
      <c r="CU229" s="3"/>
      <c r="CV229" s="3"/>
      <c r="CW229" s="3"/>
      <c r="CX229" s="3"/>
      <c r="CY229" s="3"/>
      <c r="CZ229" s="3"/>
      <c r="DA229" s="3"/>
    </row>
    <row r="230" spans="1:105" x14ac:dyDescent="0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  <c r="BN230" s="3"/>
      <c r="BO230" s="3"/>
      <c r="BP230" s="3"/>
      <c r="BQ230" s="3"/>
      <c r="BR230" s="3"/>
      <c r="BS230" s="3"/>
      <c r="BT230" s="3"/>
      <c r="BU230" s="3"/>
      <c r="BV230" s="3"/>
      <c r="BW230" s="3"/>
      <c r="BX230" s="3"/>
      <c r="BY230" s="3"/>
      <c r="BZ230" s="3"/>
      <c r="CA230" s="3"/>
      <c r="CB230" s="3"/>
      <c r="CC230" s="3"/>
      <c r="CD230" s="3"/>
      <c r="CE230" s="3"/>
      <c r="CF230" s="3"/>
      <c r="CG230" s="3"/>
      <c r="CH230" s="3"/>
      <c r="CI230" s="3"/>
      <c r="CJ230" s="3"/>
      <c r="CK230" s="3"/>
      <c r="CL230" s="3"/>
      <c r="CM230" s="3"/>
      <c r="CN230" s="3"/>
      <c r="CO230" s="3"/>
      <c r="CP230" s="3"/>
      <c r="CQ230" s="3"/>
      <c r="CR230" s="3"/>
      <c r="CS230" s="3"/>
      <c r="CT230" s="3"/>
      <c r="CU230" s="3"/>
      <c r="CV230" s="3"/>
      <c r="CW230" s="3"/>
      <c r="CX230" s="3"/>
      <c r="CY230" s="3"/>
      <c r="CZ230" s="3"/>
      <c r="DA230" s="3"/>
    </row>
    <row r="231" spans="1:105" x14ac:dyDescent="0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  <c r="BN231" s="3"/>
      <c r="BO231" s="3"/>
      <c r="BP231" s="3"/>
      <c r="BQ231" s="3"/>
      <c r="BR231" s="3"/>
      <c r="BS231" s="3"/>
      <c r="BT231" s="3"/>
      <c r="BU231" s="3"/>
      <c r="BV231" s="3"/>
      <c r="BW231" s="3"/>
      <c r="BX231" s="3"/>
      <c r="BY231" s="3"/>
      <c r="BZ231" s="3"/>
      <c r="CA231" s="3"/>
      <c r="CB231" s="3"/>
      <c r="CC231" s="3"/>
      <c r="CD231" s="3"/>
      <c r="CE231" s="3"/>
      <c r="CF231" s="3"/>
      <c r="CG231" s="3"/>
      <c r="CH231" s="3"/>
      <c r="CI231" s="3"/>
      <c r="CJ231" s="3"/>
      <c r="CK231" s="3"/>
      <c r="CL231" s="3"/>
      <c r="CM231" s="3"/>
      <c r="CN231" s="3"/>
      <c r="CO231" s="3"/>
      <c r="CP231" s="3"/>
      <c r="CQ231" s="3"/>
      <c r="CR231" s="3"/>
      <c r="CS231" s="3"/>
      <c r="CT231" s="3"/>
      <c r="CU231" s="3"/>
      <c r="CV231" s="3"/>
      <c r="CW231" s="3"/>
      <c r="CX231" s="3"/>
      <c r="CY231" s="3"/>
      <c r="CZ231" s="3"/>
      <c r="DA231" s="3"/>
    </row>
    <row r="232" spans="1:105" x14ac:dyDescent="0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  <c r="BN232" s="3"/>
      <c r="BO232" s="3"/>
      <c r="BP232" s="3"/>
      <c r="BQ232" s="3"/>
      <c r="BR232" s="3"/>
      <c r="BS232" s="3"/>
      <c r="BT232" s="3"/>
      <c r="BU232" s="3"/>
      <c r="BV232" s="3"/>
      <c r="BW232" s="3"/>
      <c r="BX232" s="3"/>
      <c r="BY232" s="3"/>
      <c r="BZ232" s="3"/>
      <c r="CA232" s="3"/>
      <c r="CB232" s="3"/>
      <c r="CC232" s="3"/>
      <c r="CD232" s="3"/>
      <c r="CE232" s="3"/>
      <c r="CF232" s="3"/>
      <c r="CG232" s="3"/>
      <c r="CH232" s="3"/>
      <c r="CI232" s="3"/>
      <c r="CJ232" s="3"/>
      <c r="CK232" s="3"/>
      <c r="CL232" s="3"/>
      <c r="CM232" s="3"/>
      <c r="CN232" s="3"/>
      <c r="CO232" s="3"/>
      <c r="CP232" s="3"/>
      <c r="CQ232" s="3"/>
      <c r="CR232" s="3"/>
      <c r="CS232" s="3"/>
      <c r="CT232" s="3"/>
      <c r="CU232" s="3"/>
      <c r="CV232" s="3"/>
      <c r="CW232" s="3"/>
      <c r="CX232" s="3"/>
      <c r="CY232" s="3"/>
      <c r="CZ232" s="3"/>
      <c r="DA232" s="3"/>
    </row>
    <row r="233" spans="1:105" x14ac:dyDescent="0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  <c r="BN233" s="3"/>
      <c r="BO233" s="3"/>
      <c r="BP233" s="3"/>
      <c r="BQ233" s="3"/>
      <c r="BR233" s="3"/>
      <c r="BS233" s="3"/>
      <c r="BT233" s="3"/>
      <c r="BU233" s="3"/>
      <c r="BV233" s="3"/>
      <c r="BW233" s="3"/>
      <c r="BX233" s="3"/>
      <c r="BY233" s="3"/>
      <c r="BZ233" s="3"/>
      <c r="CA233" s="3"/>
      <c r="CB233" s="3"/>
      <c r="CC233" s="3"/>
      <c r="CD233" s="3"/>
      <c r="CE233" s="3"/>
      <c r="CF233" s="3"/>
      <c r="CG233" s="3"/>
      <c r="CH233" s="3"/>
      <c r="CI233" s="3"/>
      <c r="CJ233" s="3"/>
      <c r="CK233" s="3"/>
      <c r="CL233" s="3"/>
      <c r="CM233" s="3"/>
      <c r="CN233" s="3"/>
      <c r="CO233" s="3"/>
      <c r="CP233" s="3"/>
      <c r="CQ233" s="3"/>
      <c r="CR233" s="3"/>
      <c r="CS233" s="3"/>
      <c r="CT233" s="3"/>
      <c r="CU233" s="3"/>
      <c r="CV233" s="3"/>
      <c r="CW233" s="3"/>
      <c r="CX233" s="3"/>
      <c r="CY233" s="3"/>
      <c r="CZ233" s="3"/>
      <c r="DA233" s="3"/>
    </row>
    <row r="234" spans="1:105" x14ac:dyDescent="0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  <c r="BN234" s="3"/>
      <c r="BO234" s="3"/>
      <c r="BP234" s="3"/>
      <c r="BQ234" s="3"/>
      <c r="BR234" s="3"/>
      <c r="BS234" s="3"/>
      <c r="BT234" s="3"/>
      <c r="BU234" s="3"/>
      <c r="BV234" s="3"/>
      <c r="BW234" s="3"/>
      <c r="BX234" s="3"/>
      <c r="BY234" s="3"/>
      <c r="BZ234" s="3"/>
      <c r="CA234" s="3"/>
      <c r="CB234" s="3"/>
      <c r="CC234" s="3"/>
      <c r="CD234" s="3"/>
      <c r="CE234" s="3"/>
      <c r="CF234" s="3"/>
      <c r="CG234" s="3"/>
      <c r="CH234" s="3"/>
      <c r="CI234" s="3"/>
      <c r="CJ234" s="3"/>
      <c r="CK234" s="3"/>
      <c r="CL234" s="3"/>
      <c r="CM234" s="3"/>
      <c r="CN234" s="3"/>
      <c r="CO234" s="3"/>
      <c r="CP234" s="3"/>
      <c r="CQ234" s="3"/>
      <c r="CR234" s="3"/>
      <c r="CS234" s="3"/>
      <c r="CT234" s="3"/>
      <c r="CU234" s="3"/>
      <c r="CV234" s="3"/>
      <c r="CW234" s="3"/>
      <c r="CX234" s="3"/>
      <c r="CY234" s="3"/>
      <c r="CZ234" s="3"/>
      <c r="DA234" s="3"/>
    </row>
    <row r="235" spans="1:105" x14ac:dyDescent="0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  <c r="BN235" s="3"/>
      <c r="BO235" s="3"/>
      <c r="BP235" s="3"/>
      <c r="BQ235" s="3"/>
      <c r="BR235" s="3"/>
      <c r="BS235" s="3"/>
      <c r="BT235" s="3"/>
      <c r="BU235" s="3"/>
      <c r="BV235" s="3"/>
      <c r="BW235" s="3"/>
      <c r="BX235" s="3"/>
      <c r="BY235" s="3"/>
      <c r="BZ235" s="3"/>
      <c r="CA235" s="3"/>
      <c r="CB235" s="3"/>
      <c r="CC235" s="3"/>
      <c r="CD235" s="3"/>
      <c r="CE235" s="3"/>
      <c r="CF235" s="3"/>
      <c r="CG235" s="3"/>
      <c r="CH235" s="3"/>
      <c r="CI235" s="3"/>
      <c r="CJ235" s="3"/>
      <c r="CK235" s="3"/>
      <c r="CL235" s="3"/>
      <c r="CM235" s="3"/>
      <c r="CN235" s="3"/>
      <c r="CO235" s="3"/>
      <c r="CP235" s="3"/>
      <c r="CQ235" s="3"/>
      <c r="CR235" s="3"/>
      <c r="CS235" s="3"/>
      <c r="CT235" s="3"/>
      <c r="CU235" s="3"/>
      <c r="CV235" s="3"/>
      <c r="CW235" s="3"/>
      <c r="CX235" s="3"/>
      <c r="CY235" s="3"/>
      <c r="CZ235" s="3"/>
      <c r="DA235" s="3"/>
    </row>
    <row r="236" spans="1:105" x14ac:dyDescent="0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  <c r="BN236" s="3"/>
      <c r="BO236" s="3"/>
      <c r="BP236" s="3"/>
      <c r="BQ236" s="3"/>
      <c r="BR236" s="3"/>
      <c r="BS236" s="3"/>
      <c r="BT236" s="3"/>
      <c r="BU236" s="3"/>
      <c r="BV236" s="3"/>
      <c r="BW236" s="3"/>
      <c r="BX236" s="3"/>
      <c r="BY236" s="3"/>
      <c r="BZ236" s="3"/>
      <c r="CA236" s="3"/>
      <c r="CB236" s="3"/>
      <c r="CC236" s="3"/>
      <c r="CD236" s="3"/>
      <c r="CE236" s="3"/>
      <c r="CF236" s="3"/>
      <c r="CG236" s="3"/>
      <c r="CH236" s="3"/>
      <c r="CI236" s="3"/>
      <c r="CJ236" s="3"/>
      <c r="CK236" s="3"/>
      <c r="CL236" s="3"/>
      <c r="CM236" s="3"/>
      <c r="CN236" s="3"/>
      <c r="CO236" s="3"/>
      <c r="CP236" s="3"/>
      <c r="CQ236" s="3"/>
      <c r="CR236" s="3"/>
      <c r="CS236" s="3"/>
      <c r="CT236" s="3"/>
      <c r="CU236" s="3"/>
      <c r="CV236" s="3"/>
      <c r="CW236" s="3"/>
      <c r="CX236" s="3"/>
      <c r="CY236" s="3"/>
      <c r="CZ236" s="3"/>
      <c r="DA236" s="3"/>
    </row>
    <row r="237" spans="1:105" x14ac:dyDescent="0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  <c r="BN237" s="3"/>
      <c r="BO237" s="3"/>
      <c r="BP237" s="3"/>
      <c r="BQ237" s="3"/>
      <c r="BR237" s="3"/>
      <c r="BS237" s="3"/>
      <c r="BT237" s="3"/>
      <c r="BU237" s="3"/>
      <c r="BV237" s="3"/>
      <c r="BW237" s="3"/>
      <c r="BX237" s="3"/>
      <c r="BY237" s="3"/>
      <c r="BZ237" s="3"/>
      <c r="CA237" s="3"/>
      <c r="CB237" s="3"/>
      <c r="CC237" s="3"/>
      <c r="CD237" s="3"/>
      <c r="CE237" s="3"/>
      <c r="CF237" s="3"/>
      <c r="CG237" s="3"/>
      <c r="CH237" s="3"/>
      <c r="CI237" s="3"/>
      <c r="CJ237" s="3"/>
      <c r="CK237" s="3"/>
      <c r="CL237" s="3"/>
      <c r="CM237" s="3"/>
      <c r="CN237" s="3"/>
      <c r="CO237" s="3"/>
      <c r="CP237" s="3"/>
      <c r="CQ237" s="3"/>
      <c r="CR237" s="3"/>
      <c r="CS237" s="3"/>
      <c r="CT237" s="3"/>
      <c r="CU237" s="3"/>
      <c r="CV237" s="3"/>
      <c r="CW237" s="3"/>
      <c r="CX237" s="3"/>
      <c r="CY237" s="3"/>
      <c r="CZ237" s="3"/>
      <c r="DA237" s="3"/>
    </row>
    <row r="238" spans="1:105" x14ac:dyDescent="0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  <c r="BN238" s="3"/>
      <c r="BO238" s="3"/>
      <c r="BP238" s="3"/>
      <c r="BQ238" s="3"/>
      <c r="BR238" s="3"/>
      <c r="BS238" s="3"/>
      <c r="BT238" s="3"/>
      <c r="BU238" s="3"/>
      <c r="BV238" s="3"/>
      <c r="BW238" s="3"/>
      <c r="BX238" s="3"/>
      <c r="BY238" s="3"/>
      <c r="BZ238" s="3"/>
      <c r="CA238" s="3"/>
      <c r="CB238" s="3"/>
      <c r="CC238" s="3"/>
      <c r="CD238" s="3"/>
      <c r="CE238" s="3"/>
      <c r="CF238" s="3"/>
      <c r="CG238" s="3"/>
      <c r="CH238" s="3"/>
      <c r="CI238" s="3"/>
      <c r="CJ238" s="3"/>
      <c r="CK238" s="3"/>
      <c r="CL238" s="3"/>
      <c r="CM238" s="3"/>
      <c r="CN238" s="3"/>
      <c r="CO238" s="3"/>
      <c r="CP238" s="3"/>
      <c r="CQ238" s="3"/>
      <c r="CR238" s="3"/>
      <c r="CS238" s="3"/>
      <c r="CT238" s="3"/>
      <c r="CU238" s="3"/>
      <c r="CV238" s="3"/>
      <c r="CW238" s="3"/>
      <c r="CX238" s="3"/>
      <c r="CY238" s="3"/>
      <c r="CZ238" s="3"/>
      <c r="DA238" s="3"/>
    </row>
    <row r="239" spans="1:105" x14ac:dyDescent="0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  <c r="BN239" s="3"/>
      <c r="BO239" s="3"/>
      <c r="BP239" s="3"/>
      <c r="BQ239" s="3"/>
      <c r="BR239" s="3"/>
      <c r="BS239" s="3"/>
      <c r="BT239" s="3"/>
      <c r="BU239" s="3"/>
      <c r="BV239" s="3"/>
      <c r="BW239" s="3"/>
      <c r="BX239" s="3"/>
      <c r="BY239" s="3"/>
      <c r="BZ239" s="3"/>
      <c r="CA239" s="3"/>
      <c r="CB239" s="3"/>
      <c r="CC239" s="3"/>
      <c r="CD239" s="3"/>
      <c r="CE239" s="3"/>
      <c r="CF239" s="3"/>
      <c r="CG239" s="3"/>
      <c r="CH239" s="3"/>
      <c r="CI239" s="3"/>
      <c r="CJ239" s="3"/>
      <c r="CK239" s="3"/>
      <c r="CL239" s="3"/>
      <c r="CM239" s="3"/>
      <c r="CN239" s="3"/>
      <c r="CO239" s="3"/>
      <c r="CP239" s="3"/>
      <c r="CQ239" s="3"/>
      <c r="CR239" s="3"/>
      <c r="CS239" s="3"/>
      <c r="CT239" s="3"/>
      <c r="CU239" s="3"/>
      <c r="CV239" s="3"/>
      <c r="CW239" s="3"/>
      <c r="CX239" s="3"/>
      <c r="CY239" s="3"/>
      <c r="CZ239" s="3"/>
      <c r="DA239" s="3"/>
    </row>
    <row r="240" spans="1:105" x14ac:dyDescent="0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  <c r="BU240" s="3"/>
      <c r="BV240" s="3"/>
      <c r="BW240" s="3"/>
      <c r="BX240" s="3"/>
      <c r="BY240" s="3"/>
      <c r="BZ240" s="3"/>
      <c r="CA240" s="3"/>
      <c r="CB240" s="3"/>
      <c r="CC240" s="3"/>
      <c r="CD240" s="3"/>
      <c r="CE240" s="3"/>
      <c r="CF240" s="3"/>
      <c r="CG240" s="3"/>
      <c r="CH240" s="3"/>
      <c r="CI240" s="3"/>
      <c r="CJ240" s="3"/>
      <c r="CK240" s="3"/>
      <c r="CL240" s="3"/>
      <c r="CM240" s="3"/>
      <c r="CN240" s="3"/>
      <c r="CO240" s="3"/>
      <c r="CP240" s="3"/>
      <c r="CQ240" s="3"/>
      <c r="CR240" s="3"/>
      <c r="CS240" s="3"/>
      <c r="CT240" s="3"/>
      <c r="CU240" s="3"/>
      <c r="CV240" s="3"/>
      <c r="CW240" s="3"/>
      <c r="CX240" s="3"/>
      <c r="CY240" s="3"/>
      <c r="CZ240" s="3"/>
      <c r="DA240" s="3"/>
    </row>
    <row r="241" spans="1:105" x14ac:dyDescent="0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  <c r="BN241" s="3"/>
      <c r="BO241" s="3"/>
      <c r="BP241" s="3"/>
      <c r="BQ241" s="3"/>
      <c r="BR241" s="3"/>
      <c r="BS241" s="3"/>
      <c r="BT241" s="3"/>
      <c r="BU241" s="3"/>
      <c r="BV241" s="3"/>
      <c r="BW241" s="3"/>
      <c r="BX241" s="3"/>
      <c r="BY241" s="3"/>
      <c r="BZ241" s="3"/>
      <c r="CA241" s="3"/>
      <c r="CB241" s="3"/>
      <c r="CC241" s="3"/>
      <c r="CD241" s="3"/>
      <c r="CE241" s="3"/>
      <c r="CF241" s="3"/>
      <c r="CG241" s="3"/>
      <c r="CH241" s="3"/>
      <c r="CI241" s="3"/>
      <c r="CJ241" s="3"/>
      <c r="CK241" s="3"/>
      <c r="CL241" s="3"/>
      <c r="CM241" s="3"/>
      <c r="CN241" s="3"/>
      <c r="CO241" s="3"/>
      <c r="CP241" s="3"/>
      <c r="CQ241" s="3"/>
      <c r="CR241" s="3"/>
      <c r="CS241" s="3"/>
      <c r="CT241" s="3"/>
      <c r="CU241" s="3"/>
      <c r="CV241" s="3"/>
      <c r="CW241" s="3"/>
      <c r="CX241" s="3"/>
      <c r="CY241" s="3"/>
      <c r="CZ241" s="3"/>
      <c r="DA241" s="3"/>
    </row>
    <row r="242" spans="1:105" x14ac:dyDescent="0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  <c r="BN242" s="3"/>
      <c r="BO242" s="3"/>
      <c r="BP242" s="3"/>
      <c r="BQ242" s="3"/>
      <c r="BR242" s="3"/>
      <c r="BS242" s="3"/>
      <c r="BT242" s="3"/>
      <c r="BU242" s="3"/>
      <c r="BV242" s="3"/>
      <c r="BW242" s="3"/>
      <c r="BX242" s="3"/>
      <c r="BY242" s="3"/>
      <c r="BZ242" s="3"/>
      <c r="CA242" s="3"/>
      <c r="CB242" s="3"/>
      <c r="CC242" s="3"/>
      <c r="CD242" s="3"/>
      <c r="CE242" s="3"/>
      <c r="CF242" s="3"/>
      <c r="CG242" s="3"/>
      <c r="CH242" s="3"/>
      <c r="CI242" s="3"/>
      <c r="CJ242" s="3"/>
      <c r="CK242" s="3"/>
      <c r="CL242" s="3"/>
      <c r="CM242" s="3"/>
      <c r="CN242" s="3"/>
      <c r="CO242" s="3"/>
      <c r="CP242" s="3"/>
      <c r="CQ242" s="3"/>
      <c r="CR242" s="3"/>
      <c r="CS242" s="3"/>
      <c r="CT242" s="3"/>
      <c r="CU242" s="3"/>
      <c r="CV242" s="3"/>
      <c r="CW242" s="3"/>
      <c r="CX242" s="3"/>
      <c r="CY242" s="3"/>
      <c r="CZ242" s="3"/>
      <c r="DA242" s="3"/>
    </row>
    <row r="243" spans="1:105" x14ac:dyDescent="0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  <c r="BN243" s="3"/>
      <c r="BO243" s="3"/>
      <c r="BP243" s="3"/>
      <c r="BQ243" s="3"/>
      <c r="BR243" s="3"/>
      <c r="BS243" s="3"/>
      <c r="BT243" s="3"/>
      <c r="BU243" s="3"/>
      <c r="BV243" s="3"/>
      <c r="BW243" s="3"/>
      <c r="BX243" s="3"/>
      <c r="BY243" s="3"/>
      <c r="BZ243" s="3"/>
      <c r="CA243" s="3"/>
      <c r="CB243" s="3"/>
      <c r="CC243" s="3"/>
      <c r="CD243" s="3"/>
      <c r="CE243" s="3"/>
      <c r="CF243" s="3"/>
      <c r="CG243" s="3"/>
      <c r="CH243" s="3"/>
      <c r="CI243" s="3"/>
      <c r="CJ243" s="3"/>
      <c r="CK243" s="3"/>
      <c r="CL243" s="3"/>
      <c r="CM243" s="3"/>
      <c r="CN243" s="3"/>
      <c r="CO243" s="3"/>
      <c r="CP243" s="3"/>
      <c r="CQ243" s="3"/>
      <c r="CR243" s="3"/>
      <c r="CS243" s="3"/>
      <c r="CT243" s="3"/>
      <c r="CU243" s="3"/>
      <c r="CV243" s="3"/>
      <c r="CW243" s="3"/>
      <c r="CX243" s="3"/>
      <c r="CY243" s="3"/>
      <c r="CZ243" s="3"/>
      <c r="DA243" s="3"/>
    </row>
    <row r="244" spans="1:105" x14ac:dyDescent="0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  <c r="BN244" s="3"/>
      <c r="BO244" s="3"/>
      <c r="BP244" s="3"/>
      <c r="BQ244" s="3"/>
      <c r="BR244" s="3"/>
      <c r="BS244" s="3"/>
      <c r="BT244" s="3"/>
      <c r="BU244" s="3"/>
      <c r="BV244" s="3"/>
      <c r="BW244" s="3"/>
      <c r="BX244" s="3"/>
      <c r="BY244" s="3"/>
      <c r="BZ244" s="3"/>
      <c r="CA244" s="3"/>
      <c r="CB244" s="3"/>
      <c r="CC244" s="3"/>
      <c r="CD244" s="3"/>
      <c r="CE244" s="3"/>
      <c r="CF244" s="3"/>
      <c r="CG244" s="3"/>
      <c r="CH244" s="3"/>
      <c r="CI244" s="3"/>
      <c r="CJ244" s="3"/>
      <c r="CK244" s="3"/>
      <c r="CL244" s="3"/>
      <c r="CM244" s="3"/>
      <c r="CN244" s="3"/>
      <c r="CO244" s="3"/>
      <c r="CP244" s="3"/>
      <c r="CQ244" s="3"/>
      <c r="CR244" s="3"/>
      <c r="CS244" s="3"/>
      <c r="CT244" s="3"/>
      <c r="CU244" s="3"/>
      <c r="CV244" s="3"/>
      <c r="CW244" s="3"/>
      <c r="CX244" s="3"/>
      <c r="CY244" s="3"/>
      <c r="CZ244" s="3"/>
      <c r="DA244" s="3"/>
    </row>
    <row r="245" spans="1:105" x14ac:dyDescent="0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  <c r="BN245" s="3"/>
      <c r="BO245" s="3"/>
      <c r="BP245" s="3"/>
      <c r="BQ245" s="3"/>
      <c r="BR245" s="3"/>
      <c r="BS245" s="3"/>
      <c r="BT245" s="3"/>
      <c r="BU245" s="3"/>
      <c r="BV245" s="3"/>
      <c r="BW245" s="3"/>
      <c r="BX245" s="3"/>
      <c r="BY245" s="3"/>
      <c r="BZ245" s="3"/>
      <c r="CA245" s="3"/>
      <c r="CB245" s="3"/>
      <c r="CC245" s="3"/>
      <c r="CD245" s="3"/>
      <c r="CE245" s="3"/>
      <c r="CF245" s="3"/>
      <c r="CG245" s="3"/>
      <c r="CH245" s="3"/>
      <c r="CI245" s="3"/>
      <c r="CJ245" s="3"/>
      <c r="CK245" s="3"/>
      <c r="CL245" s="3"/>
      <c r="CM245" s="3"/>
      <c r="CN245" s="3"/>
      <c r="CO245" s="3"/>
      <c r="CP245" s="3"/>
      <c r="CQ245" s="3"/>
      <c r="CR245" s="3"/>
      <c r="CS245" s="3"/>
      <c r="CT245" s="3"/>
      <c r="CU245" s="3"/>
      <c r="CV245" s="3"/>
      <c r="CW245" s="3"/>
      <c r="CX245" s="3"/>
      <c r="CY245" s="3"/>
      <c r="CZ245" s="3"/>
      <c r="DA245" s="3"/>
    </row>
    <row r="246" spans="1:105" x14ac:dyDescent="0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  <c r="BN246" s="3"/>
      <c r="BO246" s="3"/>
      <c r="BP246" s="3"/>
      <c r="BQ246" s="3"/>
      <c r="BR246" s="3"/>
      <c r="BS246" s="3"/>
      <c r="BT246" s="3"/>
      <c r="BU246" s="3"/>
      <c r="BV246" s="3"/>
      <c r="BW246" s="3"/>
      <c r="BX246" s="3"/>
      <c r="BY246" s="3"/>
      <c r="BZ246" s="3"/>
      <c r="CA246" s="3"/>
      <c r="CB246" s="3"/>
      <c r="CC246" s="3"/>
      <c r="CD246" s="3"/>
      <c r="CE246" s="3"/>
      <c r="CF246" s="3"/>
      <c r="CG246" s="3"/>
      <c r="CH246" s="3"/>
      <c r="CI246" s="3"/>
      <c r="CJ246" s="3"/>
      <c r="CK246" s="3"/>
      <c r="CL246" s="3"/>
      <c r="CM246" s="3"/>
      <c r="CN246" s="3"/>
      <c r="CO246" s="3"/>
      <c r="CP246" s="3"/>
      <c r="CQ246" s="3"/>
      <c r="CR246" s="3"/>
      <c r="CS246" s="3"/>
      <c r="CT246" s="3"/>
      <c r="CU246" s="3"/>
      <c r="CV246" s="3"/>
      <c r="CW246" s="3"/>
      <c r="CX246" s="3"/>
      <c r="CY246" s="3"/>
      <c r="CZ246" s="3"/>
      <c r="DA246" s="3"/>
    </row>
    <row r="247" spans="1:105" x14ac:dyDescent="0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  <c r="BN247" s="3"/>
      <c r="BO247" s="3"/>
      <c r="BP247" s="3"/>
      <c r="BQ247" s="3"/>
      <c r="BR247" s="3"/>
      <c r="BS247" s="3"/>
      <c r="BT247" s="3"/>
      <c r="BU247" s="3"/>
      <c r="BV247" s="3"/>
      <c r="BW247" s="3"/>
      <c r="BX247" s="3"/>
      <c r="BY247" s="3"/>
      <c r="BZ247" s="3"/>
      <c r="CA247" s="3"/>
      <c r="CB247" s="3"/>
      <c r="CC247" s="3"/>
      <c r="CD247" s="3"/>
      <c r="CE247" s="3"/>
      <c r="CF247" s="3"/>
      <c r="CG247" s="3"/>
      <c r="CH247" s="3"/>
      <c r="CI247" s="3"/>
      <c r="CJ247" s="3"/>
      <c r="CK247" s="3"/>
      <c r="CL247" s="3"/>
      <c r="CM247" s="3"/>
      <c r="CN247" s="3"/>
      <c r="CO247" s="3"/>
      <c r="CP247" s="3"/>
      <c r="CQ247" s="3"/>
      <c r="CR247" s="3"/>
      <c r="CS247" s="3"/>
      <c r="CT247" s="3"/>
      <c r="CU247" s="3"/>
      <c r="CV247" s="3"/>
      <c r="CW247" s="3"/>
      <c r="CX247" s="3"/>
      <c r="CY247" s="3"/>
      <c r="CZ247" s="3"/>
      <c r="DA247" s="3"/>
    </row>
    <row r="248" spans="1:105" x14ac:dyDescent="0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  <c r="BN248" s="3"/>
      <c r="BO248" s="3"/>
      <c r="BP248" s="3"/>
      <c r="BQ248" s="3"/>
      <c r="BR248" s="3"/>
      <c r="BS248" s="3"/>
      <c r="BT248" s="3"/>
      <c r="BU248" s="3"/>
      <c r="BV248" s="3"/>
      <c r="BW248" s="3"/>
      <c r="BX248" s="3"/>
      <c r="BY248" s="3"/>
      <c r="BZ248" s="3"/>
      <c r="CA248" s="3"/>
      <c r="CB248" s="3"/>
      <c r="CC248" s="3"/>
      <c r="CD248" s="3"/>
      <c r="CE248" s="3"/>
      <c r="CF248" s="3"/>
      <c r="CG248" s="3"/>
      <c r="CH248" s="3"/>
      <c r="CI248" s="3"/>
      <c r="CJ248" s="3"/>
      <c r="CK248" s="3"/>
      <c r="CL248" s="3"/>
      <c r="CM248" s="3"/>
      <c r="CN248" s="3"/>
      <c r="CO248" s="3"/>
      <c r="CP248" s="3"/>
      <c r="CQ248" s="3"/>
      <c r="CR248" s="3"/>
      <c r="CS248" s="3"/>
      <c r="CT248" s="3"/>
      <c r="CU248" s="3"/>
      <c r="CV248" s="3"/>
      <c r="CW248" s="3"/>
      <c r="CX248" s="3"/>
      <c r="CY248" s="3"/>
      <c r="CZ248" s="3"/>
      <c r="DA248" s="3"/>
    </row>
    <row r="249" spans="1:105" x14ac:dyDescent="0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  <c r="BN249" s="3"/>
      <c r="BO249" s="3"/>
      <c r="BP249" s="3"/>
      <c r="BQ249" s="3"/>
      <c r="BR249" s="3"/>
      <c r="BS249" s="3"/>
      <c r="BT249" s="3"/>
      <c r="BU249" s="3"/>
      <c r="BV249" s="3"/>
      <c r="BW249" s="3"/>
      <c r="BX249" s="3"/>
      <c r="BY249" s="3"/>
      <c r="BZ249" s="3"/>
      <c r="CA249" s="3"/>
      <c r="CB249" s="3"/>
      <c r="CC249" s="3"/>
      <c r="CD249" s="3"/>
      <c r="CE249" s="3"/>
      <c r="CF249" s="3"/>
      <c r="CG249" s="3"/>
      <c r="CH249" s="3"/>
      <c r="CI249" s="3"/>
      <c r="CJ249" s="3"/>
      <c r="CK249" s="3"/>
      <c r="CL249" s="3"/>
      <c r="CM249" s="3"/>
      <c r="CN249" s="3"/>
      <c r="CO249" s="3"/>
      <c r="CP249" s="3"/>
      <c r="CQ249" s="3"/>
      <c r="CR249" s="3"/>
      <c r="CS249" s="3"/>
      <c r="CT249" s="3"/>
      <c r="CU249" s="3"/>
      <c r="CV249" s="3"/>
      <c r="CW249" s="3"/>
      <c r="CX249" s="3"/>
      <c r="CY249" s="3"/>
      <c r="CZ249" s="3"/>
      <c r="DA249" s="3"/>
    </row>
    <row r="250" spans="1:105" x14ac:dyDescent="0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  <c r="BN250" s="3"/>
      <c r="BO250" s="3"/>
      <c r="BP250" s="3"/>
      <c r="BQ250" s="3"/>
      <c r="BR250" s="3"/>
      <c r="BS250" s="3"/>
      <c r="BT250" s="3"/>
      <c r="BU250" s="3"/>
      <c r="BV250" s="3"/>
      <c r="BW250" s="3"/>
      <c r="BX250" s="3"/>
      <c r="BY250" s="3"/>
      <c r="BZ250" s="3"/>
      <c r="CA250" s="3"/>
      <c r="CB250" s="3"/>
      <c r="CC250" s="3"/>
      <c r="CD250" s="3"/>
      <c r="CE250" s="3"/>
      <c r="CF250" s="3"/>
      <c r="CG250" s="3"/>
      <c r="CH250" s="3"/>
      <c r="CI250" s="3"/>
      <c r="CJ250" s="3"/>
      <c r="CK250" s="3"/>
      <c r="CL250" s="3"/>
      <c r="CM250" s="3"/>
      <c r="CN250" s="3"/>
      <c r="CO250" s="3"/>
      <c r="CP250" s="3"/>
      <c r="CQ250" s="3"/>
      <c r="CR250" s="3"/>
      <c r="CS250" s="3"/>
      <c r="CT250" s="3"/>
      <c r="CU250" s="3"/>
      <c r="CV250" s="3"/>
      <c r="CW250" s="3"/>
      <c r="CX250" s="3"/>
      <c r="CY250" s="3"/>
      <c r="CZ250" s="3"/>
      <c r="DA250" s="3"/>
    </row>
    <row r="251" spans="1:105" x14ac:dyDescent="0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  <c r="BN251" s="3"/>
      <c r="BO251" s="3"/>
      <c r="BP251" s="3"/>
      <c r="BQ251" s="3"/>
      <c r="BR251" s="3"/>
      <c r="BS251" s="3"/>
      <c r="BT251" s="3"/>
      <c r="BU251" s="3"/>
      <c r="BV251" s="3"/>
      <c r="BW251" s="3"/>
      <c r="BX251" s="3"/>
      <c r="BY251" s="3"/>
      <c r="BZ251" s="3"/>
      <c r="CA251" s="3"/>
      <c r="CB251" s="3"/>
      <c r="CC251" s="3"/>
      <c r="CD251" s="3"/>
      <c r="CE251" s="3"/>
      <c r="CF251" s="3"/>
      <c r="CG251" s="3"/>
      <c r="CH251" s="3"/>
      <c r="CI251" s="3"/>
      <c r="CJ251" s="3"/>
      <c r="CK251" s="3"/>
      <c r="CL251" s="3"/>
      <c r="CM251" s="3"/>
      <c r="CN251" s="3"/>
      <c r="CO251" s="3"/>
      <c r="CP251" s="3"/>
      <c r="CQ251" s="3"/>
      <c r="CR251" s="3"/>
      <c r="CS251" s="3"/>
      <c r="CT251" s="3"/>
      <c r="CU251" s="3"/>
      <c r="CV251" s="3"/>
      <c r="CW251" s="3"/>
      <c r="CX251" s="3"/>
      <c r="CY251" s="3"/>
      <c r="CZ251" s="3"/>
      <c r="DA251" s="3"/>
    </row>
    <row r="252" spans="1:105" x14ac:dyDescent="0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  <c r="BN252" s="3"/>
      <c r="BO252" s="3"/>
      <c r="BP252" s="3"/>
      <c r="BQ252" s="3"/>
      <c r="BR252" s="3"/>
      <c r="BS252" s="3"/>
      <c r="BT252" s="3"/>
      <c r="BU252" s="3"/>
      <c r="BV252" s="3"/>
      <c r="BW252" s="3"/>
      <c r="BX252" s="3"/>
      <c r="BY252" s="3"/>
      <c r="BZ252" s="3"/>
      <c r="CA252" s="3"/>
      <c r="CB252" s="3"/>
      <c r="CC252" s="3"/>
      <c r="CD252" s="3"/>
      <c r="CE252" s="3"/>
      <c r="CF252" s="3"/>
      <c r="CG252" s="3"/>
      <c r="CH252" s="3"/>
      <c r="CI252" s="3"/>
      <c r="CJ252" s="3"/>
      <c r="CK252" s="3"/>
      <c r="CL252" s="3"/>
      <c r="CM252" s="3"/>
      <c r="CN252" s="3"/>
      <c r="CO252" s="3"/>
      <c r="CP252" s="3"/>
      <c r="CQ252" s="3"/>
      <c r="CR252" s="3"/>
      <c r="CS252" s="3"/>
      <c r="CT252" s="3"/>
      <c r="CU252" s="3"/>
      <c r="CV252" s="3"/>
      <c r="CW252" s="3"/>
      <c r="CX252" s="3"/>
      <c r="CY252" s="3"/>
      <c r="CZ252" s="3"/>
      <c r="DA252" s="3"/>
    </row>
    <row r="253" spans="1:105" x14ac:dyDescent="0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  <c r="BN253" s="3"/>
      <c r="BO253" s="3"/>
      <c r="BP253" s="3"/>
      <c r="BQ253" s="3"/>
      <c r="BR253" s="3"/>
      <c r="BS253" s="3"/>
      <c r="BT253" s="3"/>
      <c r="BU253" s="3"/>
      <c r="BV253" s="3"/>
      <c r="BW253" s="3"/>
      <c r="BX253" s="3"/>
      <c r="BY253" s="3"/>
      <c r="BZ253" s="3"/>
      <c r="CA253" s="3"/>
      <c r="CB253" s="3"/>
      <c r="CC253" s="3"/>
      <c r="CD253" s="3"/>
      <c r="CE253" s="3"/>
      <c r="CF253" s="3"/>
      <c r="CG253" s="3"/>
      <c r="CH253" s="3"/>
      <c r="CI253" s="3"/>
      <c r="CJ253" s="3"/>
      <c r="CK253" s="3"/>
      <c r="CL253" s="3"/>
      <c r="CM253" s="3"/>
      <c r="CN253" s="3"/>
      <c r="CO253" s="3"/>
      <c r="CP253" s="3"/>
      <c r="CQ253" s="3"/>
      <c r="CR253" s="3"/>
      <c r="CS253" s="3"/>
      <c r="CT253" s="3"/>
      <c r="CU253" s="3"/>
      <c r="CV253" s="3"/>
      <c r="CW253" s="3"/>
      <c r="CX253" s="3"/>
      <c r="CY253" s="3"/>
      <c r="CZ253" s="3"/>
      <c r="DA253" s="3"/>
    </row>
    <row r="254" spans="1:105" x14ac:dyDescent="0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  <c r="BN254" s="3"/>
      <c r="BO254" s="3"/>
      <c r="BP254" s="3"/>
      <c r="BQ254" s="3"/>
      <c r="BR254" s="3"/>
      <c r="BS254" s="3"/>
      <c r="BT254" s="3"/>
      <c r="BU254" s="3"/>
      <c r="BV254" s="3"/>
      <c r="BW254" s="3"/>
      <c r="BX254" s="3"/>
      <c r="BY254" s="3"/>
      <c r="BZ254" s="3"/>
      <c r="CA254" s="3"/>
      <c r="CB254" s="3"/>
      <c r="CC254" s="3"/>
      <c r="CD254" s="3"/>
      <c r="CE254" s="3"/>
      <c r="CF254" s="3"/>
      <c r="CG254" s="3"/>
      <c r="CH254" s="3"/>
      <c r="CI254" s="3"/>
      <c r="CJ254" s="3"/>
      <c r="CK254" s="3"/>
      <c r="CL254" s="3"/>
      <c r="CM254" s="3"/>
      <c r="CN254" s="3"/>
      <c r="CO254" s="3"/>
      <c r="CP254" s="3"/>
      <c r="CQ254" s="3"/>
      <c r="CR254" s="3"/>
      <c r="CS254" s="3"/>
      <c r="CT254" s="3"/>
      <c r="CU254" s="3"/>
      <c r="CV254" s="3"/>
      <c r="CW254" s="3"/>
      <c r="CX254" s="3"/>
      <c r="CY254" s="3"/>
      <c r="CZ254" s="3"/>
      <c r="DA254" s="3"/>
    </row>
    <row r="255" spans="1:105" x14ac:dyDescent="0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  <c r="BN255" s="3"/>
      <c r="BO255" s="3"/>
      <c r="BP255" s="3"/>
      <c r="BQ255" s="3"/>
      <c r="BR255" s="3"/>
      <c r="BS255" s="3"/>
      <c r="BT255" s="3"/>
      <c r="BU255" s="3"/>
      <c r="BV255" s="3"/>
      <c r="BW255" s="3"/>
      <c r="BX255" s="3"/>
      <c r="BY255" s="3"/>
      <c r="BZ255" s="3"/>
      <c r="CA255" s="3"/>
      <c r="CB255" s="3"/>
      <c r="CC255" s="3"/>
      <c r="CD255" s="3"/>
      <c r="CE255" s="3"/>
      <c r="CF255" s="3"/>
      <c r="CG255" s="3"/>
      <c r="CH255" s="3"/>
      <c r="CI255" s="3"/>
      <c r="CJ255" s="3"/>
      <c r="CK255" s="3"/>
      <c r="CL255" s="3"/>
      <c r="CM255" s="3"/>
      <c r="CN255" s="3"/>
      <c r="CO255" s="3"/>
      <c r="CP255" s="3"/>
      <c r="CQ255" s="3"/>
      <c r="CR255" s="3"/>
      <c r="CS255" s="3"/>
      <c r="CT255" s="3"/>
      <c r="CU255" s="3"/>
      <c r="CV255" s="3"/>
      <c r="CW255" s="3"/>
      <c r="CX255" s="3"/>
      <c r="CY255" s="3"/>
      <c r="CZ255" s="3"/>
      <c r="DA255" s="3"/>
    </row>
    <row r="256" spans="1:105" x14ac:dyDescent="0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  <c r="BN256" s="3"/>
      <c r="BO256" s="3"/>
      <c r="BP256" s="3"/>
      <c r="BQ256" s="3"/>
      <c r="BR256" s="3"/>
      <c r="BS256" s="3"/>
      <c r="BT256" s="3"/>
      <c r="BU256" s="3"/>
      <c r="BV256" s="3"/>
      <c r="BW256" s="3"/>
      <c r="BX256" s="3"/>
      <c r="BY256" s="3"/>
      <c r="BZ256" s="3"/>
      <c r="CA256" s="3"/>
      <c r="CB256" s="3"/>
      <c r="CC256" s="3"/>
      <c r="CD256" s="3"/>
      <c r="CE256" s="3"/>
      <c r="CF256" s="3"/>
      <c r="CG256" s="3"/>
      <c r="CH256" s="3"/>
      <c r="CI256" s="3"/>
      <c r="CJ256" s="3"/>
      <c r="CK256" s="3"/>
      <c r="CL256" s="3"/>
      <c r="CM256" s="3"/>
      <c r="CN256" s="3"/>
      <c r="CO256" s="3"/>
      <c r="CP256" s="3"/>
      <c r="CQ256" s="3"/>
      <c r="CR256" s="3"/>
      <c r="CS256" s="3"/>
      <c r="CT256" s="3"/>
      <c r="CU256" s="3"/>
      <c r="CV256" s="3"/>
      <c r="CW256" s="3"/>
      <c r="CX256" s="3"/>
      <c r="CY256" s="3"/>
      <c r="CZ256" s="3"/>
      <c r="DA256" s="3"/>
    </row>
    <row r="257" spans="1:105" x14ac:dyDescent="0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  <c r="BN257" s="3"/>
      <c r="BO257" s="3"/>
      <c r="BP257" s="3"/>
      <c r="BQ257" s="3"/>
      <c r="BR257" s="3"/>
      <c r="BS257" s="3"/>
      <c r="BT257" s="3"/>
      <c r="BU257" s="3"/>
      <c r="BV257" s="3"/>
      <c r="BW257" s="3"/>
      <c r="BX257" s="3"/>
      <c r="BY257" s="3"/>
      <c r="BZ257" s="3"/>
      <c r="CA257" s="3"/>
      <c r="CB257" s="3"/>
      <c r="CC257" s="3"/>
      <c r="CD257" s="3"/>
      <c r="CE257" s="3"/>
      <c r="CF257" s="3"/>
      <c r="CG257" s="3"/>
      <c r="CH257" s="3"/>
      <c r="CI257" s="3"/>
      <c r="CJ257" s="3"/>
      <c r="CK257" s="3"/>
      <c r="CL257" s="3"/>
      <c r="CM257" s="3"/>
      <c r="CN257" s="3"/>
      <c r="CO257" s="3"/>
      <c r="CP257" s="3"/>
      <c r="CQ257" s="3"/>
      <c r="CR257" s="3"/>
      <c r="CS257" s="3"/>
      <c r="CT257" s="3"/>
      <c r="CU257" s="3"/>
      <c r="CV257" s="3"/>
      <c r="CW257" s="3"/>
      <c r="CX257" s="3"/>
      <c r="CY257" s="3"/>
      <c r="CZ257" s="3"/>
      <c r="DA257" s="3"/>
    </row>
    <row r="258" spans="1:105" x14ac:dyDescent="0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  <c r="BN258" s="3"/>
      <c r="BO258" s="3"/>
      <c r="BP258" s="3"/>
      <c r="BQ258" s="3"/>
      <c r="BR258" s="3"/>
      <c r="BS258" s="3"/>
      <c r="BT258" s="3"/>
      <c r="BU258" s="3"/>
      <c r="BV258" s="3"/>
      <c r="BW258" s="3"/>
      <c r="BX258" s="3"/>
      <c r="BY258" s="3"/>
      <c r="BZ258" s="3"/>
      <c r="CA258" s="3"/>
      <c r="CB258" s="3"/>
      <c r="CC258" s="3"/>
      <c r="CD258" s="3"/>
      <c r="CE258" s="3"/>
      <c r="CF258" s="3"/>
      <c r="CG258" s="3"/>
      <c r="CH258" s="3"/>
      <c r="CI258" s="3"/>
      <c r="CJ258" s="3"/>
      <c r="CK258" s="3"/>
      <c r="CL258" s="3"/>
      <c r="CM258" s="3"/>
      <c r="CN258" s="3"/>
      <c r="CO258" s="3"/>
      <c r="CP258" s="3"/>
      <c r="CQ258" s="3"/>
      <c r="CR258" s="3"/>
      <c r="CS258" s="3"/>
      <c r="CT258" s="3"/>
      <c r="CU258" s="3"/>
      <c r="CV258" s="3"/>
      <c r="CW258" s="3"/>
      <c r="CX258" s="3"/>
      <c r="CY258" s="3"/>
      <c r="CZ258" s="3"/>
      <c r="DA258" s="3"/>
    </row>
    <row r="259" spans="1:105" x14ac:dyDescent="0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  <c r="BN259" s="3"/>
      <c r="BO259" s="3"/>
      <c r="BP259" s="3"/>
      <c r="BQ259" s="3"/>
      <c r="BR259" s="3"/>
      <c r="BS259" s="3"/>
      <c r="BT259" s="3"/>
      <c r="BU259" s="3"/>
      <c r="BV259" s="3"/>
      <c r="BW259" s="3"/>
      <c r="BX259" s="3"/>
      <c r="BY259" s="3"/>
      <c r="BZ259" s="3"/>
      <c r="CA259" s="3"/>
      <c r="CB259" s="3"/>
      <c r="CC259" s="3"/>
      <c r="CD259" s="3"/>
      <c r="CE259" s="3"/>
      <c r="CF259" s="3"/>
      <c r="CG259" s="3"/>
      <c r="CH259" s="3"/>
      <c r="CI259" s="3"/>
      <c r="CJ259" s="3"/>
      <c r="CK259" s="3"/>
      <c r="CL259" s="3"/>
      <c r="CM259" s="3"/>
      <c r="CN259" s="3"/>
      <c r="CO259" s="3"/>
      <c r="CP259" s="3"/>
      <c r="CQ259" s="3"/>
      <c r="CR259" s="3"/>
      <c r="CS259" s="3"/>
      <c r="CT259" s="3"/>
      <c r="CU259" s="3"/>
      <c r="CV259" s="3"/>
      <c r="CW259" s="3"/>
      <c r="CX259" s="3"/>
      <c r="CY259" s="3"/>
      <c r="CZ259" s="3"/>
      <c r="DA259" s="3"/>
    </row>
    <row r="260" spans="1:105" x14ac:dyDescent="0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  <c r="BN260" s="3"/>
      <c r="BO260" s="3"/>
      <c r="BP260" s="3"/>
      <c r="BQ260" s="3"/>
      <c r="BR260" s="3"/>
      <c r="BS260" s="3"/>
      <c r="BT260" s="3"/>
      <c r="BU260" s="3"/>
      <c r="BV260" s="3"/>
      <c r="BW260" s="3"/>
      <c r="BX260" s="3"/>
      <c r="BY260" s="3"/>
      <c r="BZ260" s="3"/>
      <c r="CA260" s="3"/>
      <c r="CB260" s="3"/>
      <c r="CC260" s="3"/>
      <c r="CD260" s="3"/>
      <c r="CE260" s="3"/>
      <c r="CF260" s="3"/>
      <c r="CG260" s="3"/>
      <c r="CH260" s="3"/>
      <c r="CI260" s="3"/>
      <c r="CJ260" s="3"/>
      <c r="CK260" s="3"/>
      <c r="CL260" s="3"/>
      <c r="CM260" s="3"/>
      <c r="CN260" s="3"/>
      <c r="CO260" s="3"/>
      <c r="CP260" s="3"/>
      <c r="CQ260" s="3"/>
      <c r="CR260" s="3"/>
      <c r="CS260" s="3"/>
      <c r="CT260" s="3"/>
      <c r="CU260" s="3"/>
      <c r="CV260" s="3"/>
      <c r="CW260" s="3"/>
      <c r="CX260" s="3"/>
      <c r="CY260" s="3"/>
      <c r="CZ260" s="3"/>
      <c r="DA260" s="3"/>
    </row>
    <row r="261" spans="1:105" x14ac:dyDescent="0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  <c r="BN261" s="3"/>
      <c r="BO261" s="3"/>
      <c r="BP261" s="3"/>
      <c r="BQ261" s="3"/>
      <c r="BR261" s="3"/>
      <c r="BS261" s="3"/>
      <c r="BT261" s="3"/>
      <c r="BU261" s="3"/>
      <c r="BV261" s="3"/>
      <c r="BW261" s="3"/>
      <c r="BX261" s="3"/>
      <c r="BY261" s="3"/>
      <c r="BZ261" s="3"/>
      <c r="CA261" s="3"/>
      <c r="CB261" s="3"/>
      <c r="CC261" s="3"/>
      <c r="CD261" s="3"/>
      <c r="CE261" s="3"/>
      <c r="CF261" s="3"/>
      <c r="CG261" s="3"/>
      <c r="CH261" s="3"/>
      <c r="CI261" s="3"/>
      <c r="CJ261" s="3"/>
      <c r="CK261" s="3"/>
      <c r="CL261" s="3"/>
      <c r="CM261" s="3"/>
      <c r="CN261" s="3"/>
      <c r="CO261" s="3"/>
      <c r="CP261" s="3"/>
      <c r="CQ261" s="3"/>
      <c r="CR261" s="3"/>
      <c r="CS261" s="3"/>
      <c r="CT261" s="3"/>
      <c r="CU261" s="3"/>
      <c r="CV261" s="3"/>
      <c r="CW261" s="3"/>
      <c r="CX261" s="3"/>
      <c r="CY261" s="3"/>
      <c r="CZ261" s="3"/>
      <c r="DA261" s="3"/>
    </row>
    <row r="262" spans="1:105" x14ac:dyDescent="0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  <c r="BN262" s="3"/>
      <c r="BO262" s="3"/>
      <c r="BP262" s="3"/>
      <c r="BQ262" s="3"/>
      <c r="BR262" s="3"/>
      <c r="BS262" s="3"/>
      <c r="BT262" s="3"/>
      <c r="BU262" s="3"/>
      <c r="BV262" s="3"/>
      <c r="BW262" s="3"/>
      <c r="BX262" s="3"/>
      <c r="BY262" s="3"/>
      <c r="BZ262" s="3"/>
      <c r="CA262" s="3"/>
      <c r="CB262" s="3"/>
      <c r="CC262" s="3"/>
      <c r="CD262" s="3"/>
      <c r="CE262" s="3"/>
      <c r="CF262" s="3"/>
      <c r="CG262" s="3"/>
      <c r="CH262" s="3"/>
      <c r="CI262" s="3"/>
      <c r="CJ262" s="3"/>
      <c r="CK262" s="3"/>
      <c r="CL262" s="3"/>
      <c r="CM262" s="3"/>
      <c r="CN262" s="3"/>
      <c r="CO262" s="3"/>
      <c r="CP262" s="3"/>
      <c r="CQ262" s="3"/>
      <c r="CR262" s="3"/>
      <c r="CS262" s="3"/>
      <c r="CT262" s="3"/>
      <c r="CU262" s="3"/>
      <c r="CV262" s="3"/>
      <c r="CW262" s="3"/>
      <c r="CX262" s="3"/>
      <c r="CY262" s="3"/>
      <c r="CZ262" s="3"/>
      <c r="DA262" s="3"/>
    </row>
    <row r="263" spans="1:105" x14ac:dyDescent="0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  <c r="BN263" s="3"/>
      <c r="BO263" s="3"/>
      <c r="BP263" s="3"/>
      <c r="BQ263" s="3"/>
      <c r="BR263" s="3"/>
      <c r="BS263" s="3"/>
      <c r="BT263" s="3"/>
      <c r="BU263" s="3"/>
      <c r="BV263" s="3"/>
      <c r="BW263" s="3"/>
      <c r="BX263" s="3"/>
      <c r="BY263" s="3"/>
      <c r="BZ263" s="3"/>
      <c r="CA263" s="3"/>
      <c r="CB263" s="3"/>
      <c r="CC263" s="3"/>
      <c r="CD263" s="3"/>
      <c r="CE263" s="3"/>
      <c r="CF263" s="3"/>
      <c r="CG263" s="3"/>
      <c r="CH263" s="3"/>
      <c r="CI263" s="3"/>
      <c r="CJ263" s="3"/>
      <c r="CK263" s="3"/>
      <c r="CL263" s="3"/>
      <c r="CM263" s="3"/>
      <c r="CN263" s="3"/>
      <c r="CO263" s="3"/>
      <c r="CP263" s="3"/>
      <c r="CQ263" s="3"/>
      <c r="CR263" s="3"/>
      <c r="CS263" s="3"/>
      <c r="CT263" s="3"/>
      <c r="CU263" s="3"/>
      <c r="CV263" s="3"/>
      <c r="CW263" s="3"/>
      <c r="CX263" s="3"/>
      <c r="CY263" s="3"/>
      <c r="CZ263" s="3"/>
      <c r="DA263" s="3"/>
    </row>
    <row r="264" spans="1:105" x14ac:dyDescent="0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  <c r="BN264" s="3"/>
      <c r="BO264" s="3"/>
      <c r="BP264" s="3"/>
      <c r="BQ264" s="3"/>
      <c r="BR264" s="3"/>
      <c r="BS264" s="3"/>
      <c r="BT264" s="3"/>
      <c r="BU264" s="3"/>
      <c r="BV264" s="3"/>
      <c r="BW264" s="3"/>
      <c r="BX264" s="3"/>
      <c r="BY264" s="3"/>
      <c r="BZ264" s="3"/>
      <c r="CA264" s="3"/>
      <c r="CB264" s="3"/>
      <c r="CC264" s="3"/>
      <c r="CD264" s="3"/>
      <c r="CE264" s="3"/>
      <c r="CF264" s="3"/>
      <c r="CG264" s="3"/>
      <c r="CH264" s="3"/>
      <c r="CI264" s="3"/>
      <c r="CJ264" s="3"/>
      <c r="CK264" s="3"/>
      <c r="CL264" s="3"/>
      <c r="CM264" s="3"/>
      <c r="CN264" s="3"/>
      <c r="CO264" s="3"/>
      <c r="CP264" s="3"/>
      <c r="CQ264" s="3"/>
      <c r="CR264" s="3"/>
      <c r="CS264" s="3"/>
      <c r="CT264" s="3"/>
      <c r="CU264" s="3"/>
      <c r="CV264" s="3"/>
      <c r="CW264" s="3"/>
      <c r="CX264" s="3"/>
      <c r="CY264" s="3"/>
      <c r="CZ264" s="3"/>
      <c r="DA264" s="3"/>
    </row>
    <row r="265" spans="1:105" x14ac:dyDescent="0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  <c r="BN265" s="3"/>
      <c r="BO265" s="3"/>
      <c r="BP265" s="3"/>
      <c r="BQ265" s="3"/>
      <c r="BR265" s="3"/>
      <c r="BS265" s="3"/>
      <c r="BT265" s="3"/>
      <c r="BU265" s="3"/>
      <c r="BV265" s="3"/>
      <c r="BW265" s="3"/>
      <c r="BX265" s="3"/>
      <c r="BY265" s="3"/>
      <c r="BZ265" s="3"/>
      <c r="CA265" s="3"/>
      <c r="CB265" s="3"/>
      <c r="CC265" s="3"/>
      <c r="CD265" s="3"/>
      <c r="CE265" s="3"/>
      <c r="CF265" s="3"/>
      <c r="CG265" s="3"/>
      <c r="CH265" s="3"/>
      <c r="CI265" s="3"/>
      <c r="CJ265" s="3"/>
      <c r="CK265" s="3"/>
      <c r="CL265" s="3"/>
      <c r="CM265" s="3"/>
      <c r="CN265" s="3"/>
      <c r="CO265" s="3"/>
      <c r="CP265" s="3"/>
      <c r="CQ265" s="3"/>
      <c r="CR265" s="3"/>
      <c r="CS265" s="3"/>
      <c r="CT265" s="3"/>
      <c r="CU265" s="3"/>
      <c r="CV265" s="3"/>
      <c r="CW265" s="3"/>
      <c r="CX265" s="3"/>
      <c r="CY265" s="3"/>
      <c r="CZ265" s="3"/>
      <c r="DA265" s="3"/>
    </row>
    <row r="266" spans="1:105" x14ac:dyDescent="0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  <c r="BN266" s="3"/>
      <c r="BO266" s="3"/>
      <c r="BP266" s="3"/>
      <c r="BQ266" s="3"/>
      <c r="BR266" s="3"/>
      <c r="BS266" s="3"/>
      <c r="BT266" s="3"/>
      <c r="BU266" s="3"/>
      <c r="BV266" s="3"/>
      <c r="BW266" s="3"/>
      <c r="BX266" s="3"/>
      <c r="BY266" s="3"/>
      <c r="BZ266" s="3"/>
      <c r="CA266" s="3"/>
      <c r="CB266" s="3"/>
      <c r="CC266" s="3"/>
      <c r="CD266" s="3"/>
      <c r="CE266" s="3"/>
      <c r="CF266" s="3"/>
      <c r="CG266" s="3"/>
      <c r="CH266" s="3"/>
      <c r="CI266" s="3"/>
      <c r="CJ266" s="3"/>
      <c r="CK266" s="3"/>
      <c r="CL266" s="3"/>
      <c r="CM266" s="3"/>
      <c r="CN266" s="3"/>
      <c r="CO266" s="3"/>
      <c r="CP266" s="3"/>
      <c r="CQ266" s="3"/>
      <c r="CR266" s="3"/>
      <c r="CS266" s="3"/>
      <c r="CT266" s="3"/>
      <c r="CU266" s="3"/>
      <c r="CV266" s="3"/>
      <c r="CW266" s="3"/>
      <c r="CX266" s="3"/>
      <c r="CY266" s="3"/>
      <c r="CZ266" s="3"/>
      <c r="DA266" s="3"/>
    </row>
    <row r="267" spans="1:105" x14ac:dyDescent="0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  <c r="BN267" s="3"/>
      <c r="BO267" s="3"/>
      <c r="BP267" s="3"/>
      <c r="BQ267" s="3"/>
      <c r="BR267" s="3"/>
      <c r="BS267" s="3"/>
      <c r="BT267" s="3"/>
      <c r="BU267" s="3"/>
      <c r="BV267" s="3"/>
      <c r="BW267" s="3"/>
      <c r="BX267" s="3"/>
      <c r="BY267" s="3"/>
      <c r="BZ267" s="3"/>
      <c r="CA267" s="3"/>
      <c r="CB267" s="3"/>
      <c r="CC267" s="3"/>
      <c r="CD267" s="3"/>
      <c r="CE267" s="3"/>
      <c r="CF267" s="3"/>
      <c r="CG267" s="3"/>
      <c r="CH267" s="3"/>
      <c r="CI267" s="3"/>
      <c r="CJ267" s="3"/>
      <c r="CK267" s="3"/>
      <c r="CL267" s="3"/>
      <c r="CM267" s="3"/>
      <c r="CN267" s="3"/>
      <c r="CO267" s="3"/>
      <c r="CP267" s="3"/>
      <c r="CQ267" s="3"/>
      <c r="CR267" s="3"/>
      <c r="CS267" s="3"/>
      <c r="CT267" s="3"/>
      <c r="CU267" s="3"/>
      <c r="CV267" s="3"/>
      <c r="CW267" s="3"/>
      <c r="CX267" s="3"/>
      <c r="CY267" s="3"/>
      <c r="CZ267" s="3"/>
      <c r="DA267" s="3"/>
    </row>
    <row r="268" spans="1:105" x14ac:dyDescent="0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  <c r="BN268" s="3"/>
      <c r="BO268" s="3"/>
      <c r="BP268" s="3"/>
      <c r="BQ268" s="3"/>
      <c r="BR268" s="3"/>
      <c r="BS268" s="3"/>
      <c r="BT268" s="3"/>
      <c r="BU268" s="3"/>
      <c r="BV268" s="3"/>
      <c r="BW268" s="3"/>
      <c r="BX268" s="3"/>
      <c r="BY268" s="3"/>
      <c r="BZ268" s="3"/>
      <c r="CA268" s="3"/>
      <c r="CB268" s="3"/>
      <c r="CC268" s="3"/>
      <c r="CD268" s="3"/>
      <c r="CE268" s="3"/>
      <c r="CF268" s="3"/>
      <c r="CG268" s="3"/>
      <c r="CH268" s="3"/>
      <c r="CI268" s="3"/>
      <c r="CJ268" s="3"/>
      <c r="CK268" s="3"/>
      <c r="CL268" s="3"/>
      <c r="CM268" s="3"/>
      <c r="CN268" s="3"/>
      <c r="CO268" s="3"/>
      <c r="CP268" s="3"/>
      <c r="CQ268" s="3"/>
      <c r="CR268" s="3"/>
      <c r="CS268" s="3"/>
      <c r="CT268" s="3"/>
      <c r="CU268" s="3"/>
      <c r="CV268" s="3"/>
      <c r="CW268" s="3"/>
      <c r="CX268" s="3"/>
      <c r="CY268" s="3"/>
      <c r="CZ268" s="3"/>
      <c r="DA268" s="3"/>
    </row>
    <row r="269" spans="1:105" x14ac:dyDescent="0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  <c r="BN269" s="3"/>
      <c r="BO269" s="3"/>
      <c r="BP269" s="3"/>
      <c r="BQ269" s="3"/>
      <c r="BR269" s="3"/>
      <c r="BS269" s="3"/>
      <c r="BT269" s="3"/>
      <c r="BU269" s="3"/>
      <c r="BV269" s="3"/>
      <c r="BW269" s="3"/>
      <c r="BX269" s="3"/>
      <c r="BY269" s="3"/>
      <c r="BZ269" s="3"/>
      <c r="CA269" s="3"/>
      <c r="CB269" s="3"/>
      <c r="CC269" s="3"/>
      <c r="CD269" s="3"/>
      <c r="CE269" s="3"/>
      <c r="CF269" s="3"/>
      <c r="CG269" s="3"/>
      <c r="CH269" s="3"/>
      <c r="CI269" s="3"/>
      <c r="CJ269" s="3"/>
      <c r="CK269" s="3"/>
      <c r="CL269" s="3"/>
      <c r="CM269" s="3"/>
      <c r="CN269" s="3"/>
      <c r="CO269" s="3"/>
      <c r="CP269" s="3"/>
      <c r="CQ269" s="3"/>
      <c r="CR269" s="3"/>
      <c r="CS269" s="3"/>
      <c r="CT269" s="3"/>
      <c r="CU269" s="3"/>
      <c r="CV269" s="3"/>
      <c r="CW269" s="3"/>
      <c r="CX269" s="3"/>
      <c r="CY269" s="3"/>
      <c r="CZ269" s="3"/>
      <c r="DA269" s="3"/>
    </row>
    <row r="270" spans="1:105" x14ac:dyDescent="0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  <c r="BN270" s="3"/>
      <c r="BO270" s="3"/>
      <c r="BP270" s="3"/>
      <c r="BQ270" s="3"/>
      <c r="BR270" s="3"/>
      <c r="BS270" s="3"/>
      <c r="BT270" s="3"/>
      <c r="BU270" s="3"/>
      <c r="BV270" s="3"/>
      <c r="BW270" s="3"/>
      <c r="BX270" s="3"/>
      <c r="BY270" s="3"/>
      <c r="BZ270" s="3"/>
      <c r="CA270" s="3"/>
      <c r="CB270" s="3"/>
      <c r="CC270" s="3"/>
      <c r="CD270" s="3"/>
      <c r="CE270" s="3"/>
      <c r="CF270" s="3"/>
      <c r="CG270" s="3"/>
      <c r="CH270" s="3"/>
      <c r="CI270" s="3"/>
      <c r="CJ270" s="3"/>
      <c r="CK270" s="3"/>
      <c r="CL270" s="3"/>
      <c r="CM270" s="3"/>
      <c r="CN270" s="3"/>
      <c r="CO270" s="3"/>
      <c r="CP270" s="3"/>
      <c r="CQ270" s="3"/>
      <c r="CR270" s="3"/>
      <c r="CS270" s="3"/>
      <c r="CT270" s="3"/>
      <c r="CU270" s="3"/>
      <c r="CV270" s="3"/>
      <c r="CW270" s="3"/>
      <c r="CX270" s="3"/>
      <c r="CY270" s="3"/>
      <c r="CZ270" s="3"/>
      <c r="DA270" s="3"/>
    </row>
    <row r="271" spans="1:105" x14ac:dyDescent="0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  <c r="BN271" s="3"/>
      <c r="BO271" s="3"/>
      <c r="BP271" s="3"/>
      <c r="BQ271" s="3"/>
      <c r="BR271" s="3"/>
      <c r="BS271" s="3"/>
      <c r="BT271" s="3"/>
      <c r="BU271" s="3"/>
      <c r="BV271" s="3"/>
      <c r="BW271" s="3"/>
      <c r="BX271" s="3"/>
      <c r="BY271" s="3"/>
      <c r="BZ271" s="3"/>
      <c r="CA271" s="3"/>
      <c r="CB271" s="3"/>
      <c r="CC271" s="3"/>
      <c r="CD271" s="3"/>
      <c r="CE271" s="3"/>
      <c r="CF271" s="3"/>
      <c r="CG271" s="3"/>
      <c r="CH271" s="3"/>
      <c r="CI271" s="3"/>
      <c r="CJ271" s="3"/>
      <c r="CK271" s="3"/>
      <c r="CL271" s="3"/>
      <c r="CM271" s="3"/>
      <c r="CN271" s="3"/>
      <c r="CO271" s="3"/>
      <c r="CP271" s="3"/>
      <c r="CQ271" s="3"/>
      <c r="CR271" s="3"/>
      <c r="CS271" s="3"/>
      <c r="CT271" s="3"/>
      <c r="CU271" s="3"/>
      <c r="CV271" s="3"/>
      <c r="CW271" s="3"/>
      <c r="CX271" s="3"/>
      <c r="CY271" s="3"/>
      <c r="CZ271" s="3"/>
      <c r="DA271" s="3"/>
    </row>
    <row r="272" spans="1:105" x14ac:dyDescent="0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  <c r="BN272" s="3"/>
      <c r="BO272" s="3"/>
      <c r="BP272" s="3"/>
      <c r="BQ272" s="3"/>
      <c r="BR272" s="3"/>
      <c r="BS272" s="3"/>
      <c r="BT272" s="3"/>
      <c r="BU272" s="3"/>
      <c r="BV272" s="3"/>
      <c r="BW272" s="3"/>
      <c r="BX272" s="3"/>
      <c r="BY272" s="3"/>
      <c r="BZ272" s="3"/>
      <c r="CA272" s="3"/>
      <c r="CB272" s="3"/>
      <c r="CC272" s="3"/>
      <c r="CD272" s="3"/>
      <c r="CE272" s="3"/>
      <c r="CF272" s="3"/>
      <c r="CG272" s="3"/>
      <c r="CH272" s="3"/>
      <c r="CI272" s="3"/>
      <c r="CJ272" s="3"/>
      <c r="CK272" s="3"/>
      <c r="CL272" s="3"/>
      <c r="CM272" s="3"/>
      <c r="CN272" s="3"/>
      <c r="CO272" s="3"/>
      <c r="CP272" s="3"/>
      <c r="CQ272" s="3"/>
      <c r="CR272" s="3"/>
      <c r="CS272" s="3"/>
      <c r="CT272" s="3"/>
      <c r="CU272" s="3"/>
      <c r="CV272" s="3"/>
      <c r="CW272" s="3"/>
      <c r="CX272" s="3"/>
      <c r="CY272" s="3"/>
      <c r="CZ272" s="3"/>
      <c r="DA272" s="3"/>
    </row>
    <row r="273" spans="1:105" x14ac:dyDescent="0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  <c r="BN273" s="3"/>
      <c r="BO273" s="3"/>
      <c r="BP273" s="3"/>
      <c r="BQ273" s="3"/>
      <c r="BR273" s="3"/>
      <c r="BS273" s="3"/>
      <c r="BT273" s="3"/>
      <c r="BU273" s="3"/>
      <c r="BV273" s="3"/>
      <c r="BW273" s="3"/>
      <c r="BX273" s="3"/>
      <c r="BY273" s="3"/>
      <c r="BZ273" s="3"/>
      <c r="CA273" s="3"/>
      <c r="CB273" s="3"/>
      <c r="CC273" s="3"/>
      <c r="CD273" s="3"/>
      <c r="CE273" s="3"/>
      <c r="CF273" s="3"/>
      <c r="CG273" s="3"/>
      <c r="CH273" s="3"/>
      <c r="CI273" s="3"/>
      <c r="CJ273" s="3"/>
      <c r="CK273" s="3"/>
      <c r="CL273" s="3"/>
      <c r="CM273" s="3"/>
      <c r="CN273" s="3"/>
      <c r="CO273" s="3"/>
      <c r="CP273" s="3"/>
      <c r="CQ273" s="3"/>
      <c r="CR273" s="3"/>
      <c r="CS273" s="3"/>
      <c r="CT273" s="3"/>
      <c r="CU273" s="3"/>
      <c r="CV273" s="3"/>
      <c r="CW273" s="3"/>
      <c r="CX273" s="3"/>
      <c r="CY273" s="3"/>
      <c r="CZ273" s="3"/>
      <c r="DA273" s="3"/>
    </row>
    <row r="274" spans="1:105" x14ac:dyDescent="0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  <c r="BN274" s="3"/>
      <c r="BO274" s="3"/>
      <c r="BP274" s="3"/>
      <c r="BQ274" s="3"/>
      <c r="BR274" s="3"/>
      <c r="BS274" s="3"/>
      <c r="BT274" s="3"/>
      <c r="BU274" s="3"/>
      <c r="BV274" s="3"/>
      <c r="BW274" s="3"/>
      <c r="BX274" s="3"/>
      <c r="BY274" s="3"/>
      <c r="BZ274" s="3"/>
      <c r="CA274" s="3"/>
      <c r="CB274" s="3"/>
      <c r="CC274" s="3"/>
      <c r="CD274" s="3"/>
      <c r="CE274" s="3"/>
      <c r="CF274" s="3"/>
      <c r="CG274" s="3"/>
      <c r="CH274" s="3"/>
      <c r="CI274" s="3"/>
      <c r="CJ274" s="3"/>
      <c r="CK274" s="3"/>
      <c r="CL274" s="3"/>
      <c r="CM274" s="3"/>
      <c r="CN274" s="3"/>
      <c r="CO274" s="3"/>
      <c r="CP274" s="3"/>
      <c r="CQ274" s="3"/>
      <c r="CR274" s="3"/>
      <c r="CS274" s="3"/>
      <c r="CT274" s="3"/>
      <c r="CU274" s="3"/>
      <c r="CV274" s="3"/>
      <c r="CW274" s="3"/>
      <c r="CX274" s="3"/>
      <c r="CY274" s="3"/>
      <c r="CZ274" s="3"/>
      <c r="DA274" s="3"/>
    </row>
    <row r="275" spans="1:105" x14ac:dyDescent="0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  <c r="BN275" s="3"/>
      <c r="BO275" s="3"/>
      <c r="BP275" s="3"/>
      <c r="BQ275" s="3"/>
      <c r="BR275" s="3"/>
      <c r="BS275" s="3"/>
      <c r="BT275" s="3"/>
      <c r="BU275" s="3"/>
      <c r="BV275" s="3"/>
      <c r="BW275" s="3"/>
      <c r="BX275" s="3"/>
      <c r="BY275" s="3"/>
      <c r="BZ275" s="3"/>
      <c r="CA275" s="3"/>
      <c r="CB275" s="3"/>
      <c r="CC275" s="3"/>
      <c r="CD275" s="3"/>
      <c r="CE275" s="3"/>
      <c r="CF275" s="3"/>
      <c r="CG275" s="3"/>
      <c r="CH275" s="3"/>
      <c r="CI275" s="3"/>
      <c r="CJ275" s="3"/>
      <c r="CK275" s="3"/>
      <c r="CL275" s="3"/>
      <c r="CM275" s="3"/>
      <c r="CN275" s="3"/>
      <c r="CO275" s="3"/>
      <c r="CP275" s="3"/>
      <c r="CQ275" s="3"/>
      <c r="CR275" s="3"/>
      <c r="CS275" s="3"/>
      <c r="CT275" s="3"/>
      <c r="CU275" s="3"/>
      <c r="CV275" s="3"/>
      <c r="CW275" s="3"/>
      <c r="CX275" s="3"/>
      <c r="CY275" s="3"/>
      <c r="CZ275" s="3"/>
      <c r="DA275" s="3"/>
    </row>
    <row r="276" spans="1:105" x14ac:dyDescent="0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  <c r="BN276" s="3"/>
      <c r="BO276" s="3"/>
      <c r="BP276" s="3"/>
      <c r="BQ276" s="3"/>
      <c r="BR276" s="3"/>
      <c r="BS276" s="3"/>
      <c r="BT276" s="3"/>
      <c r="BU276" s="3"/>
      <c r="BV276" s="3"/>
      <c r="BW276" s="3"/>
      <c r="BX276" s="3"/>
      <c r="BY276" s="3"/>
      <c r="BZ276" s="3"/>
      <c r="CA276" s="3"/>
      <c r="CB276" s="3"/>
      <c r="CC276" s="3"/>
      <c r="CD276" s="3"/>
      <c r="CE276" s="3"/>
      <c r="CF276" s="3"/>
      <c r="CG276" s="3"/>
      <c r="CH276" s="3"/>
      <c r="CI276" s="3"/>
      <c r="CJ276" s="3"/>
      <c r="CK276" s="3"/>
      <c r="CL276" s="3"/>
      <c r="CM276" s="3"/>
      <c r="CN276" s="3"/>
      <c r="CO276" s="3"/>
      <c r="CP276" s="3"/>
      <c r="CQ276" s="3"/>
      <c r="CR276" s="3"/>
      <c r="CS276" s="3"/>
      <c r="CT276" s="3"/>
      <c r="CU276" s="3"/>
      <c r="CV276" s="3"/>
      <c r="CW276" s="3"/>
      <c r="CX276" s="3"/>
      <c r="CY276" s="3"/>
      <c r="CZ276" s="3"/>
      <c r="DA276" s="3"/>
    </row>
    <row r="277" spans="1:105" x14ac:dyDescent="0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  <c r="BN277" s="3"/>
      <c r="BO277" s="3"/>
      <c r="BP277" s="3"/>
      <c r="BQ277" s="3"/>
      <c r="BR277" s="3"/>
      <c r="BS277" s="3"/>
      <c r="BT277" s="3"/>
      <c r="BU277" s="3"/>
      <c r="BV277" s="3"/>
      <c r="BW277" s="3"/>
      <c r="BX277" s="3"/>
      <c r="BY277" s="3"/>
      <c r="BZ277" s="3"/>
      <c r="CA277" s="3"/>
      <c r="CB277" s="3"/>
      <c r="CC277" s="3"/>
      <c r="CD277" s="3"/>
      <c r="CE277" s="3"/>
      <c r="CF277" s="3"/>
      <c r="CG277" s="3"/>
      <c r="CH277" s="3"/>
      <c r="CI277" s="3"/>
      <c r="CJ277" s="3"/>
      <c r="CK277" s="3"/>
      <c r="CL277" s="3"/>
      <c r="CM277" s="3"/>
      <c r="CN277" s="3"/>
      <c r="CO277" s="3"/>
      <c r="CP277" s="3"/>
      <c r="CQ277" s="3"/>
      <c r="CR277" s="3"/>
      <c r="CS277" s="3"/>
      <c r="CT277" s="3"/>
      <c r="CU277" s="3"/>
      <c r="CV277" s="3"/>
      <c r="CW277" s="3"/>
      <c r="CX277" s="3"/>
      <c r="CY277" s="3"/>
      <c r="CZ277" s="3"/>
      <c r="DA277" s="3"/>
    </row>
    <row r="278" spans="1:105" x14ac:dyDescent="0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  <c r="BN278" s="3"/>
      <c r="BO278" s="3"/>
      <c r="BP278" s="3"/>
      <c r="BQ278" s="3"/>
      <c r="BR278" s="3"/>
      <c r="BS278" s="3"/>
      <c r="BT278" s="3"/>
      <c r="BU278" s="3"/>
      <c r="BV278" s="3"/>
      <c r="BW278" s="3"/>
      <c r="BX278" s="3"/>
      <c r="BY278" s="3"/>
      <c r="BZ278" s="3"/>
      <c r="CA278" s="3"/>
      <c r="CB278" s="3"/>
      <c r="CC278" s="3"/>
      <c r="CD278" s="3"/>
      <c r="CE278" s="3"/>
      <c r="CF278" s="3"/>
      <c r="CG278" s="3"/>
      <c r="CH278" s="3"/>
      <c r="CI278" s="3"/>
      <c r="CJ278" s="3"/>
      <c r="CK278" s="3"/>
      <c r="CL278" s="3"/>
      <c r="CM278" s="3"/>
      <c r="CN278" s="3"/>
      <c r="CO278" s="3"/>
      <c r="CP278" s="3"/>
      <c r="CQ278" s="3"/>
      <c r="CR278" s="3"/>
      <c r="CS278" s="3"/>
      <c r="CT278" s="3"/>
      <c r="CU278" s="3"/>
      <c r="CV278" s="3"/>
      <c r="CW278" s="3"/>
      <c r="CX278" s="3"/>
      <c r="CY278" s="3"/>
      <c r="CZ278" s="3"/>
      <c r="DA278" s="3"/>
    </row>
    <row r="279" spans="1:105" x14ac:dyDescent="0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  <c r="BN279" s="3"/>
      <c r="BO279" s="3"/>
      <c r="BP279" s="3"/>
      <c r="BQ279" s="3"/>
      <c r="BR279" s="3"/>
      <c r="BS279" s="3"/>
      <c r="BT279" s="3"/>
      <c r="BU279" s="3"/>
      <c r="BV279" s="3"/>
      <c r="BW279" s="3"/>
      <c r="BX279" s="3"/>
      <c r="BY279" s="3"/>
      <c r="BZ279" s="3"/>
      <c r="CA279" s="3"/>
      <c r="CB279" s="3"/>
      <c r="CC279" s="3"/>
      <c r="CD279" s="3"/>
      <c r="CE279" s="3"/>
      <c r="CF279" s="3"/>
      <c r="CG279" s="3"/>
      <c r="CH279" s="3"/>
      <c r="CI279" s="3"/>
      <c r="CJ279" s="3"/>
      <c r="CK279" s="3"/>
      <c r="CL279" s="3"/>
      <c r="CM279" s="3"/>
      <c r="CN279" s="3"/>
      <c r="CO279" s="3"/>
      <c r="CP279" s="3"/>
      <c r="CQ279" s="3"/>
      <c r="CR279" s="3"/>
      <c r="CS279" s="3"/>
      <c r="CT279" s="3"/>
      <c r="CU279" s="3"/>
      <c r="CV279" s="3"/>
      <c r="CW279" s="3"/>
      <c r="CX279" s="3"/>
      <c r="CY279" s="3"/>
      <c r="CZ279" s="3"/>
      <c r="DA279" s="3"/>
    </row>
    <row r="280" spans="1:105" x14ac:dyDescent="0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  <c r="BN280" s="3"/>
      <c r="BO280" s="3"/>
      <c r="BP280" s="3"/>
      <c r="BQ280" s="3"/>
      <c r="BR280" s="3"/>
      <c r="BS280" s="3"/>
      <c r="BT280" s="3"/>
      <c r="BU280" s="3"/>
      <c r="BV280" s="3"/>
      <c r="BW280" s="3"/>
      <c r="BX280" s="3"/>
      <c r="BY280" s="3"/>
      <c r="BZ280" s="3"/>
      <c r="CA280" s="3"/>
      <c r="CB280" s="3"/>
      <c r="CC280" s="3"/>
      <c r="CD280" s="3"/>
      <c r="CE280" s="3"/>
      <c r="CF280" s="3"/>
      <c r="CG280" s="3"/>
      <c r="CH280" s="3"/>
      <c r="CI280" s="3"/>
      <c r="CJ280" s="3"/>
      <c r="CK280" s="3"/>
      <c r="CL280" s="3"/>
      <c r="CM280" s="3"/>
      <c r="CN280" s="3"/>
      <c r="CO280" s="3"/>
      <c r="CP280" s="3"/>
      <c r="CQ280" s="3"/>
      <c r="CR280" s="3"/>
      <c r="CS280" s="3"/>
      <c r="CT280" s="3"/>
      <c r="CU280" s="3"/>
      <c r="CV280" s="3"/>
      <c r="CW280" s="3"/>
      <c r="CX280" s="3"/>
      <c r="CY280" s="3"/>
      <c r="CZ280" s="3"/>
      <c r="DA280" s="3"/>
    </row>
    <row r="281" spans="1:105" x14ac:dyDescent="0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  <c r="BN281" s="3"/>
      <c r="BO281" s="3"/>
      <c r="BP281" s="3"/>
      <c r="BQ281" s="3"/>
      <c r="BR281" s="3"/>
      <c r="BS281" s="3"/>
      <c r="BT281" s="3"/>
      <c r="BU281" s="3"/>
      <c r="BV281" s="3"/>
      <c r="BW281" s="3"/>
      <c r="BX281" s="3"/>
      <c r="BY281" s="3"/>
      <c r="BZ281" s="3"/>
      <c r="CA281" s="3"/>
      <c r="CB281" s="3"/>
      <c r="CC281" s="3"/>
      <c r="CD281" s="3"/>
      <c r="CE281" s="3"/>
      <c r="CF281" s="3"/>
      <c r="CG281" s="3"/>
      <c r="CH281" s="3"/>
      <c r="CI281" s="3"/>
      <c r="CJ281" s="3"/>
      <c r="CK281" s="3"/>
      <c r="CL281" s="3"/>
      <c r="CM281" s="3"/>
      <c r="CN281" s="3"/>
      <c r="CO281" s="3"/>
      <c r="CP281" s="3"/>
      <c r="CQ281" s="3"/>
      <c r="CR281" s="3"/>
      <c r="CS281" s="3"/>
      <c r="CT281" s="3"/>
      <c r="CU281" s="3"/>
      <c r="CV281" s="3"/>
      <c r="CW281" s="3"/>
      <c r="CX281" s="3"/>
      <c r="CY281" s="3"/>
      <c r="CZ281" s="3"/>
      <c r="DA281" s="3"/>
    </row>
    <row r="282" spans="1:105" x14ac:dyDescent="0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  <c r="BN282" s="3"/>
      <c r="BO282" s="3"/>
      <c r="BP282" s="3"/>
      <c r="BQ282" s="3"/>
      <c r="BR282" s="3"/>
      <c r="BS282" s="3"/>
      <c r="BT282" s="3"/>
      <c r="BU282" s="3"/>
      <c r="BV282" s="3"/>
      <c r="BW282" s="3"/>
      <c r="BX282" s="3"/>
      <c r="BY282" s="3"/>
      <c r="BZ282" s="3"/>
      <c r="CA282" s="3"/>
      <c r="CB282" s="3"/>
      <c r="CC282" s="3"/>
      <c r="CD282" s="3"/>
      <c r="CE282" s="3"/>
      <c r="CF282" s="3"/>
      <c r="CG282" s="3"/>
      <c r="CH282" s="3"/>
      <c r="CI282" s="3"/>
      <c r="CJ282" s="3"/>
      <c r="CK282" s="3"/>
      <c r="CL282" s="3"/>
      <c r="CM282" s="3"/>
      <c r="CN282" s="3"/>
      <c r="CO282" s="3"/>
      <c r="CP282" s="3"/>
      <c r="CQ282" s="3"/>
      <c r="CR282" s="3"/>
      <c r="CS282" s="3"/>
      <c r="CT282" s="3"/>
      <c r="CU282" s="3"/>
      <c r="CV282" s="3"/>
      <c r="CW282" s="3"/>
      <c r="CX282" s="3"/>
      <c r="CY282" s="3"/>
      <c r="CZ282" s="3"/>
      <c r="DA282" s="3"/>
    </row>
    <row r="283" spans="1:105" x14ac:dyDescent="0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  <c r="BN283" s="3"/>
      <c r="BO283" s="3"/>
      <c r="BP283" s="3"/>
      <c r="BQ283" s="3"/>
      <c r="BR283" s="3"/>
      <c r="BS283" s="3"/>
      <c r="BT283" s="3"/>
      <c r="BU283" s="3"/>
      <c r="BV283" s="3"/>
      <c r="BW283" s="3"/>
      <c r="BX283" s="3"/>
      <c r="BY283" s="3"/>
      <c r="BZ283" s="3"/>
      <c r="CA283" s="3"/>
      <c r="CB283" s="3"/>
      <c r="CC283" s="3"/>
      <c r="CD283" s="3"/>
      <c r="CE283" s="3"/>
      <c r="CF283" s="3"/>
      <c r="CG283" s="3"/>
      <c r="CH283" s="3"/>
      <c r="CI283" s="3"/>
      <c r="CJ283" s="3"/>
      <c r="CK283" s="3"/>
      <c r="CL283" s="3"/>
      <c r="CM283" s="3"/>
      <c r="CN283" s="3"/>
      <c r="CO283" s="3"/>
      <c r="CP283" s="3"/>
      <c r="CQ283" s="3"/>
      <c r="CR283" s="3"/>
      <c r="CS283" s="3"/>
      <c r="CT283" s="3"/>
      <c r="CU283" s="3"/>
      <c r="CV283" s="3"/>
      <c r="CW283" s="3"/>
      <c r="CX283" s="3"/>
      <c r="CY283" s="3"/>
      <c r="CZ283" s="3"/>
      <c r="DA283" s="3"/>
    </row>
    <row r="284" spans="1:105" x14ac:dyDescent="0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  <c r="BN284" s="3"/>
      <c r="BO284" s="3"/>
      <c r="BP284" s="3"/>
      <c r="BQ284" s="3"/>
      <c r="BR284" s="3"/>
      <c r="BS284" s="3"/>
      <c r="BT284" s="3"/>
      <c r="BU284" s="3"/>
      <c r="BV284" s="3"/>
      <c r="BW284" s="3"/>
      <c r="BX284" s="3"/>
      <c r="BY284" s="3"/>
      <c r="BZ284" s="3"/>
      <c r="CA284" s="3"/>
      <c r="CB284" s="3"/>
      <c r="CC284" s="3"/>
      <c r="CD284" s="3"/>
      <c r="CE284" s="3"/>
      <c r="CF284" s="3"/>
      <c r="CG284" s="3"/>
      <c r="CH284" s="3"/>
      <c r="CI284" s="3"/>
      <c r="CJ284" s="3"/>
      <c r="CK284" s="3"/>
      <c r="CL284" s="3"/>
      <c r="CM284" s="3"/>
      <c r="CN284" s="3"/>
      <c r="CO284" s="3"/>
      <c r="CP284" s="3"/>
      <c r="CQ284" s="3"/>
      <c r="CR284" s="3"/>
      <c r="CS284" s="3"/>
      <c r="CT284" s="3"/>
      <c r="CU284" s="3"/>
      <c r="CV284" s="3"/>
      <c r="CW284" s="3"/>
      <c r="CX284" s="3"/>
      <c r="CY284" s="3"/>
      <c r="CZ284" s="3"/>
      <c r="DA284" s="3"/>
    </row>
    <row r="285" spans="1:105" x14ac:dyDescent="0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  <c r="BN285" s="3"/>
      <c r="BO285" s="3"/>
      <c r="BP285" s="3"/>
      <c r="BQ285" s="3"/>
      <c r="BR285" s="3"/>
      <c r="BS285" s="3"/>
      <c r="BT285" s="3"/>
      <c r="BU285" s="3"/>
      <c r="BV285" s="3"/>
      <c r="BW285" s="3"/>
      <c r="BX285" s="3"/>
      <c r="BY285" s="3"/>
      <c r="BZ285" s="3"/>
      <c r="CA285" s="3"/>
      <c r="CB285" s="3"/>
      <c r="CC285" s="3"/>
      <c r="CD285" s="3"/>
      <c r="CE285" s="3"/>
      <c r="CF285" s="3"/>
      <c r="CG285" s="3"/>
      <c r="CH285" s="3"/>
      <c r="CI285" s="3"/>
      <c r="CJ285" s="3"/>
      <c r="CK285" s="3"/>
      <c r="CL285" s="3"/>
      <c r="CM285" s="3"/>
      <c r="CN285" s="3"/>
      <c r="CO285" s="3"/>
      <c r="CP285" s="3"/>
      <c r="CQ285" s="3"/>
      <c r="CR285" s="3"/>
      <c r="CS285" s="3"/>
      <c r="CT285" s="3"/>
      <c r="CU285" s="3"/>
      <c r="CV285" s="3"/>
      <c r="CW285" s="3"/>
      <c r="CX285" s="3"/>
      <c r="CY285" s="3"/>
      <c r="CZ285" s="3"/>
      <c r="DA285" s="3"/>
    </row>
    <row r="286" spans="1:105" x14ac:dyDescent="0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  <c r="BN286" s="3"/>
      <c r="BO286" s="3"/>
      <c r="BP286" s="3"/>
      <c r="BQ286" s="3"/>
      <c r="BR286" s="3"/>
      <c r="BS286" s="3"/>
      <c r="BT286" s="3"/>
      <c r="BU286" s="3"/>
      <c r="BV286" s="3"/>
      <c r="BW286" s="3"/>
      <c r="BX286" s="3"/>
      <c r="BY286" s="3"/>
      <c r="BZ286" s="3"/>
      <c r="CA286" s="3"/>
      <c r="CB286" s="3"/>
      <c r="CC286" s="3"/>
      <c r="CD286" s="3"/>
      <c r="CE286" s="3"/>
      <c r="CF286" s="3"/>
      <c r="CG286" s="3"/>
      <c r="CH286" s="3"/>
      <c r="CI286" s="3"/>
      <c r="CJ286" s="3"/>
      <c r="CK286" s="3"/>
      <c r="CL286" s="3"/>
      <c r="CM286" s="3"/>
      <c r="CN286" s="3"/>
      <c r="CO286" s="3"/>
      <c r="CP286" s="3"/>
      <c r="CQ286" s="3"/>
      <c r="CR286" s="3"/>
      <c r="CS286" s="3"/>
      <c r="CT286" s="3"/>
      <c r="CU286" s="3"/>
      <c r="CV286" s="3"/>
      <c r="CW286" s="3"/>
      <c r="CX286" s="3"/>
      <c r="CY286" s="3"/>
      <c r="CZ286" s="3"/>
      <c r="DA286" s="3"/>
    </row>
    <row r="287" spans="1:105" x14ac:dyDescent="0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  <c r="BN287" s="3"/>
      <c r="BO287" s="3"/>
      <c r="BP287" s="3"/>
      <c r="BQ287" s="3"/>
      <c r="BR287" s="3"/>
      <c r="BS287" s="3"/>
      <c r="BT287" s="3"/>
      <c r="BU287" s="3"/>
      <c r="BV287" s="3"/>
      <c r="BW287" s="3"/>
      <c r="BX287" s="3"/>
      <c r="BY287" s="3"/>
      <c r="BZ287" s="3"/>
      <c r="CA287" s="3"/>
      <c r="CB287" s="3"/>
      <c r="CC287" s="3"/>
      <c r="CD287" s="3"/>
      <c r="CE287" s="3"/>
      <c r="CF287" s="3"/>
      <c r="CG287" s="3"/>
      <c r="CH287" s="3"/>
      <c r="CI287" s="3"/>
      <c r="CJ287" s="3"/>
      <c r="CK287" s="3"/>
      <c r="CL287" s="3"/>
      <c r="CM287" s="3"/>
      <c r="CN287" s="3"/>
      <c r="CO287" s="3"/>
      <c r="CP287" s="3"/>
      <c r="CQ287" s="3"/>
      <c r="CR287" s="3"/>
      <c r="CS287" s="3"/>
      <c r="CT287" s="3"/>
      <c r="CU287" s="3"/>
      <c r="CV287" s="3"/>
      <c r="CW287" s="3"/>
      <c r="CX287" s="3"/>
      <c r="CY287" s="3"/>
      <c r="CZ287" s="3"/>
      <c r="DA287" s="3"/>
    </row>
    <row r="288" spans="1:105" x14ac:dyDescent="0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  <c r="BN288" s="3"/>
      <c r="BO288" s="3"/>
      <c r="BP288" s="3"/>
      <c r="BQ288" s="3"/>
      <c r="BR288" s="3"/>
      <c r="BS288" s="3"/>
      <c r="BT288" s="3"/>
      <c r="BU288" s="3"/>
      <c r="BV288" s="3"/>
      <c r="BW288" s="3"/>
      <c r="BX288" s="3"/>
      <c r="BY288" s="3"/>
      <c r="BZ288" s="3"/>
      <c r="CA288" s="3"/>
      <c r="CB288" s="3"/>
      <c r="CC288" s="3"/>
      <c r="CD288" s="3"/>
      <c r="CE288" s="3"/>
      <c r="CF288" s="3"/>
      <c r="CG288" s="3"/>
      <c r="CH288" s="3"/>
      <c r="CI288" s="3"/>
      <c r="CJ288" s="3"/>
      <c r="CK288" s="3"/>
      <c r="CL288" s="3"/>
      <c r="CM288" s="3"/>
      <c r="CN288" s="3"/>
      <c r="CO288" s="3"/>
      <c r="CP288" s="3"/>
      <c r="CQ288" s="3"/>
      <c r="CR288" s="3"/>
      <c r="CS288" s="3"/>
      <c r="CT288" s="3"/>
      <c r="CU288" s="3"/>
      <c r="CV288" s="3"/>
      <c r="CW288" s="3"/>
      <c r="CX288" s="3"/>
      <c r="CY288" s="3"/>
      <c r="CZ288" s="3"/>
      <c r="DA288" s="3"/>
    </row>
    <row r="289" spans="1:105" x14ac:dyDescent="0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  <c r="BU289" s="3"/>
      <c r="BV289" s="3"/>
      <c r="BW289" s="3"/>
      <c r="BX289" s="3"/>
      <c r="BY289" s="3"/>
      <c r="BZ289" s="3"/>
      <c r="CA289" s="3"/>
      <c r="CB289" s="3"/>
      <c r="CC289" s="3"/>
      <c r="CD289" s="3"/>
      <c r="CE289" s="3"/>
      <c r="CF289" s="3"/>
      <c r="CG289" s="3"/>
      <c r="CH289" s="3"/>
      <c r="CI289" s="3"/>
      <c r="CJ289" s="3"/>
      <c r="CK289" s="3"/>
      <c r="CL289" s="3"/>
      <c r="CM289" s="3"/>
      <c r="CN289" s="3"/>
      <c r="CO289" s="3"/>
      <c r="CP289" s="3"/>
      <c r="CQ289" s="3"/>
      <c r="CR289" s="3"/>
      <c r="CS289" s="3"/>
      <c r="CT289" s="3"/>
      <c r="CU289" s="3"/>
      <c r="CV289" s="3"/>
      <c r="CW289" s="3"/>
      <c r="CX289" s="3"/>
      <c r="CY289" s="3"/>
      <c r="CZ289" s="3"/>
      <c r="DA289" s="3"/>
    </row>
    <row r="290" spans="1:105" x14ac:dyDescent="0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  <c r="BN290" s="3"/>
      <c r="BO290" s="3"/>
      <c r="BP290" s="3"/>
      <c r="BQ290" s="3"/>
      <c r="BR290" s="3"/>
      <c r="BS290" s="3"/>
      <c r="BT290" s="3"/>
      <c r="BU290" s="3"/>
      <c r="BV290" s="3"/>
      <c r="BW290" s="3"/>
      <c r="BX290" s="3"/>
      <c r="BY290" s="3"/>
      <c r="BZ290" s="3"/>
      <c r="CA290" s="3"/>
      <c r="CB290" s="3"/>
      <c r="CC290" s="3"/>
      <c r="CD290" s="3"/>
      <c r="CE290" s="3"/>
      <c r="CF290" s="3"/>
      <c r="CG290" s="3"/>
      <c r="CH290" s="3"/>
      <c r="CI290" s="3"/>
      <c r="CJ290" s="3"/>
      <c r="CK290" s="3"/>
      <c r="CL290" s="3"/>
      <c r="CM290" s="3"/>
      <c r="CN290" s="3"/>
      <c r="CO290" s="3"/>
      <c r="CP290" s="3"/>
      <c r="CQ290" s="3"/>
      <c r="CR290" s="3"/>
      <c r="CS290" s="3"/>
      <c r="CT290" s="3"/>
      <c r="CU290" s="3"/>
      <c r="CV290" s="3"/>
      <c r="CW290" s="3"/>
      <c r="CX290" s="3"/>
      <c r="CY290" s="3"/>
      <c r="CZ290" s="3"/>
      <c r="DA290" s="3"/>
    </row>
    <row r="291" spans="1:105" x14ac:dyDescent="0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  <c r="BN291" s="3"/>
      <c r="BO291" s="3"/>
      <c r="BP291" s="3"/>
      <c r="BQ291" s="3"/>
      <c r="BR291" s="3"/>
      <c r="BS291" s="3"/>
      <c r="BT291" s="3"/>
      <c r="BU291" s="3"/>
      <c r="BV291" s="3"/>
      <c r="BW291" s="3"/>
      <c r="BX291" s="3"/>
      <c r="BY291" s="3"/>
      <c r="BZ291" s="3"/>
      <c r="CA291" s="3"/>
      <c r="CB291" s="3"/>
      <c r="CC291" s="3"/>
      <c r="CD291" s="3"/>
      <c r="CE291" s="3"/>
      <c r="CF291" s="3"/>
      <c r="CG291" s="3"/>
      <c r="CH291" s="3"/>
      <c r="CI291" s="3"/>
      <c r="CJ291" s="3"/>
      <c r="CK291" s="3"/>
      <c r="CL291" s="3"/>
      <c r="CM291" s="3"/>
      <c r="CN291" s="3"/>
      <c r="CO291" s="3"/>
      <c r="CP291" s="3"/>
      <c r="CQ291" s="3"/>
      <c r="CR291" s="3"/>
      <c r="CS291" s="3"/>
      <c r="CT291" s="3"/>
      <c r="CU291" s="3"/>
      <c r="CV291" s="3"/>
      <c r="CW291" s="3"/>
      <c r="CX291" s="3"/>
      <c r="CY291" s="3"/>
      <c r="CZ291" s="3"/>
      <c r="DA291" s="3"/>
    </row>
    <row r="292" spans="1:105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  <c r="BN292" s="3"/>
      <c r="BO292" s="3"/>
      <c r="BP292" s="3"/>
      <c r="BQ292" s="3"/>
      <c r="BR292" s="3"/>
      <c r="BS292" s="3"/>
      <c r="BT292" s="3"/>
      <c r="BU292" s="3"/>
      <c r="BV292" s="3"/>
      <c r="BW292" s="3"/>
      <c r="BX292" s="3"/>
      <c r="BY292" s="3"/>
      <c r="BZ292" s="3"/>
      <c r="CA292" s="3"/>
      <c r="CB292" s="3"/>
      <c r="CC292" s="3"/>
      <c r="CD292" s="3"/>
      <c r="CE292" s="3"/>
      <c r="CF292" s="3"/>
      <c r="CG292" s="3"/>
      <c r="CH292" s="3"/>
      <c r="CI292" s="3"/>
      <c r="CJ292" s="3"/>
      <c r="CK292" s="3"/>
      <c r="CL292" s="3"/>
      <c r="CM292" s="3"/>
      <c r="CN292" s="3"/>
      <c r="CO292" s="3"/>
      <c r="CP292" s="3"/>
      <c r="CQ292" s="3"/>
      <c r="CR292" s="3"/>
      <c r="CS292" s="3"/>
      <c r="CT292" s="3"/>
      <c r="CU292" s="3"/>
      <c r="CV292" s="3"/>
      <c r="CW292" s="3"/>
      <c r="CX292" s="3"/>
      <c r="CY292" s="3"/>
      <c r="CZ292" s="3"/>
      <c r="DA292" s="3"/>
    </row>
    <row r="293" spans="1:105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  <c r="BU293" s="3"/>
      <c r="BV293" s="3"/>
      <c r="BW293" s="3"/>
      <c r="BX293" s="3"/>
      <c r="BY293" s="3"/>
      <c r="BZ293" s="3"/>
      <c r="CA293" s="3"/>
      <c r="CB293" s="3"/>
      <c r="CC293" s="3"/>
      <c r="CD293" s="3"/>
      <c r="CE293" s="3"/>
      <c r="CF293" s="3"/>
      <c r="CG293" s="3"/>
      <c r="CH293" s="3"/>
      <c r="CI293" s="3"/>
      <c r="CJ293" s="3"/>
      <c r="CK293" s="3"/>
      <c r="CL293" s="3"/>
      <c r="CM293" s="3"/>
      <c r="CN293" s="3"/>
      <c r="CO293" s="3"/>
      <c r="CP293" s="3"/>
      <c r="CQ293" s="3"/>
      <c r="CR293" s="3"/>
      <c r="CS293" s="3"/>
      <c r="CT293" s="3"/>
      <c r="CU293" s="3"/>
      <c r="CV293" s="3"/>
      <c r="CW293" s="3"/>
      <c r="CX293" s="3"/>
      <c r="CY293" s="3"/>
      <c r="CZ293" s="3"/>
      <c r="DA293" s="3"/>
    </row>
    <row r="294" spans="1:105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  <c r="BU294" s="3"/>
      <c r="BV294" s="3"/>
      <c r="BW294" s="3"/>
      <c r="BX294" s="3"/>
      <c r="BY294" s="3"/>
      <c r="BZ294" s="3"/>
      <c r="CA294" s="3"/>
      <c r="CB294" s="3"/>
      <c r="CC294" s="3"/>
      <c r="CD294" s="3"/>
      <c r="CE294" s="3"/>
      <c r="CF294" s="3"/>
      <c r="CG294" s="3"/>
      <c r="CH294" s="3"/>
      <c r="CI294" s="3"/>
      <c r="CJ294" s="3"/>
      <c r="CK294" s="3"/>
      <c r="CL294" s="3"/>
      <c r="CM294" s="3"/>
      <c r="CN294" s="3"/>
      <c r="CO294" s="3"/>
      <c r="CP294" s="3"/>
      <c r="CQ294" s="3"/>
      <c r="CR294" s="3"/>
      <c r="CS294" s="3"/>
      <c r="CT294" s="3"/>
      <c r="CU294" s="3"/>
      <c r="CV294" s="3"/>
      <c r="CW294" s="3"/>
      <c r="CX294" s="3"/>
      <c r="CY294" s="3"/>
      <c r="CZ294" s="3"/>
      <c r="DA294" s="3"/>
    </row>
    <row r="295" spans="1:105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  <c r="BN295" s="3"/>
      <c r="BO295" s="3"/>
      <c r="BP295" s="3"/>
      <c r="BQ295" s="3"/>
      <c r="BR295" s="3"/>
      <c r="BS295" s="3"/>
      <c r="BT295" s="3"/>
      <c r="BU295" s="3"/>
      <c r="BV295" s="3"/>
      <c r="BW295" s="3"/>
      <c r="BX295" s="3"/>
      <c r="BY295" s="3"/>
      <c r="BZ295" s="3"/>
      <c r="CA295" s="3"/>
      <c r="CB295" s="3"/>
      <c r="CC295" s="3"/>
      <c r="CD295" s="3"/>
      <c r="CE295" s="3"/>
      <c r="CF295" s="3"/>
      <c r="CG295" s="3"/>
      <c r="CH295" s="3"/>
      <c r="CI295" s="3"/>
      <c r="CJ295" s="3"/>
      <c r="CK295" s="3"/>
      <c r="CL295" s="3"/>
      <c r="CM295" s="3"/>
      <c r="CN295" s="3"/>
      <c r="CO295" s="3"/>
      <c r="CP295" s="3"/>
      <c r="CQ295" s="3"/>
      <c r="CR295" s="3"/>
      <c r="CS295" s="3"/>
      <c r="CT295" s="3"/>
      <c r="CU295" s="3"/>
      <c r="CV295" s="3"/>
      <c r="CW295" s="3"/>
      <c r="CX295" s="3"/>
      <c r="CY295" s="3"/>
      <c r="CZ295" s="3"/>
      <c r="DA295" s="3"/>
    </row>
    <row r="296" spans="1:105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  <c r="BN296" s="3"/>
      <c r="BO296" s="3"/>
      <c r="BP296" s="3"/>
      <c r="BQ296" s="3"/>
      <c r="BR296" s="3"/>
      <c r="BS296" s="3"/>
      <c r="BT296" s="3"/>
      <c r="BU296" s="3"/>
      <c r="BV296" s="3"/>
      <c r="BW296" s="3"/>
      <c r="BX296" s="3"/>
      <c r="BY296" s="3"/>
      <c r="BZ296" s="3"/>
      <c r="CA296" s="3"/>
      <c r="CB296" s="3"/>
      <c r="CC296" s="3"/>
      <c r="CD296" s="3"/>
      <c r="CE296" s="3"/>
      <c r="CF296" s="3"/>
      <c r="CG296" s="3"/>
      <c r="CH296" s="3"/>
      <c r="CI296" s="3"/>
      <c r="CJ296" s="3"/>
      <c r="CK296" s="3"/>
      <c r="CL296" s="3"/>
      <c r="CM296" s="3"/>
      <c r="CN296" s="3"/>
      <c r="CO296" s="3"/>
      <c r="CP296" s="3"/>
      <c r="CQ296" s="3"/>
      <c r="CR296" s="3"/>
      <c r="CS296" s="3"/>
      <c r="CT296" s="3"/>
      <c r="CU296" s="3"/>
      <c r="CV296" s="3"/>
      <c r="CW296" s="3"/>
      <c r="CX296" s="3"/>
      <c r="CY296" s="3"/>
      <c r="CZ296" s="3"/>
      <c r="DA296" s="3"/>
    </row>
    <row r="297" spans="1:105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  <c r="BU297" s="3"/>
      <c r="BV297" s="3"/>
      <c r="BW297" s="3"/>
      <c r="BX297" s="3"/>
      <c r="BY297" s="3"/>
      <c r="BZ297" s="3"/>
      <c r="CA297" s="3"/>
      <c r="CB297" s="3"/>
      <c r="CC297" s="3"/>
      <c r="CD297" s="3"/>
      <c r="CE297" s="3"/>
      <c r="CF297" s="3"/>
      <c r="CG297" s="3"/>
      <c r="CH297" s="3"/>
      <c r="CI297" s="3"/>
      <c r="CJ297" s="3"/>
      <c r="CK297" s="3"/>
      <c r="CL297" s="3"/>
      <c r="CM297" s="3"/>
      <c r="CN297" s="3"/>
      <c r="CO297" s="3"/>
      <c r="CP297" s="3"/>
      <c r="CQ297" s="3"/>
      <c r="CR297" s="3"/>
      <c r="CS297" s="3"/>
      <c r="CT297" s="3"/>
      <c r="CU297" s="3"/>
      <c r="CV297" s="3"/>
      <c r="CW297" s="3"/>
      <c r="CX297" s="3"/>
      <c r="CY297" s="3"/>
      <c r="CZ297" s="3"/>
      <c r="DA297" s="3"/>
    </row>
    <row r="298" spans="1:105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  <c r="BN298" s="3"/>
      <c r="BO298" s="3"/>
      <c r="BP298" s="3"/>
      <c r="BQ298" s="3"/>
      <c r="BR298" s="3"/>
      <c r="BS298" s="3"/>
      <c r="BT298" s="3"/>
      <c r="BU298" s="3"/>
      <c r="BV298" s="3"/>
      <c r="BW298" s="3"/>
      <c r="BX298" s="3"/>
      <c r="BY298" s="3"/>
      <c r="BZ298" s="3"/>
      <c r="CA298" s="3"/>
      <c r="CB298" s="3"/>
      <c r="CC298" s="3"/>
      <c r="CD298" s="3"/>
      <c r="CE298" s="3"/>
      <c r="CF298" s="3"/>
      <c r="CG298" s="3"/>
      <c r="CH298" s="3"/>
      <c r="CI298" s="3"/>
      <c r="CJ298" s="3"/>
      <c r="CK298" s="3"/>
      <c r="CL298" s="3"/>
      <c r="CM298" s="3"/>
      <c r="CN298" s="3"/>
      <c r="CO298" s="3"/>
      <c r="CP298" s="3"/>
      <c r="CQ298" s="3"/>
      <c r="CR298" s="3"/>
      <c r="CS298" s="3"/>
      <c r="CT298" s="3"/>
      <c r="CU298" s="3"/>
      <c r="CV298" s="3"/>
      <c r="CW298" s="3"/>
      <c r="CX298" s="3"/>
      <c r="CY298" s="3"/>
      <c r="CZ298" s="3"/>
      <c r="DA298" s="3"/>
    </row>
    <row r="299" spans="1:105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  <c r="BN299" s="3"/>
      <c r="BO299" s="3"/>
      <c r="BP299" s="3"/>
      <c r="BQ299" s="3"/>
      <c r="BR299" s="3"/>
      <c r="BS299" s="3"/>
      <c r="BT299" s="3"/>
      <c r="BU299" s="3"/>
      <c r="BV299" s="3"/>
      <c r="BW299" s="3"/>
      <c r="BX299" s="3"/>
      <c r="BY299" s="3"/>
      <c r="BZ299" s="3"/>
      <c r="CA299" s="3"/>
      <c r="CB299" s="3"/>
      <c r="CC299" s="3"/>
      <c r="CD299" s="3"/>
      <c r="CE299" s="3"/>
      <c r="CF299" s="3"/>
      <c r="CG299" s="3"/>
      <c r="CH299" s="3"/>
      <c r="CI299" s="3"/>
      <c r="CJ299" s="3"/>
      <c r="CK299" s="3"/>
      <c r="CL299" s="3"/>
      <c r="CM299" s="3"/>
      <c r="CN299" s="3"/>
      <c r="CO299" s="3"/>
      <c r="CP299" s="3"/>
      <c r="CQ299" s="3"/>
      <c r="CR299" s="3"/>
      <c r="CS299" s="3"/>
      <c r="CT299" s="3"/>
      <c r="CU299" s="3"/>
      <c r="CV299" s="3"/>
      <c r="CW299" s="3"/>
      <c r="CX299" s="3"/>
      <c r="CY299" s="3"/>
      <c r="CZ299" s="3"/>
      <c r="DA299" s="3"/>
    </row>
    <row r="300" spans="1:105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  <c r="BN300" s="3"/>
      <c r="BO300" s="3"/>
      <c r="BP300" s="3"/>
      <c r="BQ300" s="3"/>
      <c r="BR300" s="3"/>
      <c r="BS300" s="3"/>
      <c r="BT300" s="3"/>
      <c r="BU300" s="3"/>
      <c r="BV300" s="3"/>
      <c r="BW300" s="3"/>
      <c r="BX300" s="3"/>
      <c r="BY300" s="3"/>
      <c r="BZ300" s="3"/>
      <c r="CA300" s="3"/>
      <c r="CB300" s="3"/>
      <c r="CC300" s="3"/>
      <c r="CD300" s="3"/>
      <c r="CE300" s="3"/>
      <c r="CF300" s="3"/>
      <c r="CG300" s="3"/>
      <c r="CH300" s="3"/>
      <c r="CI300" s="3"/>
      <c r="CJ300" s="3"/>
      <c r="CK300" s="3"/>
      <c r="CL300" s="3"/>
      <c r="CM300" s="3"/>
      <c r="CN300" s="3"/>
      <c r="CO300" s="3"/>
      <c r="CP300" s="3"/>
      <c r="CQ300" s="3"/>
      <c r="CR300" s="3"/>
      <c r="CS300" s="3"/>
      <c r="CT300" s="3"/>
      <c r="CU300" s="3"/>
      <c r="CV300" s="3"/>
      <c r="CW300" s="3"/>
      <c r="CX300" s="3"/>
      <c r="CY300" s="3"/>
      <c r="CZ300" s="3"/>
      <c r="DA300" s="3"/>
    </row>
    <row r="301" spans="1:105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  <c r="BN301" s="3"/>
      <c r="BO301" s="3"/>
      <c r="BP301" s="3"/>
      <c r="BQ301" s="3"/>
      <c r="BR301" s="3"/>
      <c r="BS301" s="3"/>
      <c r="BT301" s="3"/>
      <c r="BU301" s="3"/>
      <c r="BV301" s="3"/>
      <c r="BW301" s="3"/>
      <c r="BX301" s="3"/>
      <c r="BY301" s="3"/>
      <c r="BZ301" s="3"/>
      <c r="CA301" s="3"/>
      <c r="CB301" s="3"/>
      <c r="CC301" s="3"/>
      <c r="CD301" s="3"/>
      <c r="CE301" s="3"/>
      <c r="CF301" s="3"/>
      <c r="CG301" s="3"/>
      <c r="CH301" s="3"/>
      <c r="CI301" s="3"/>
      <c r="CJ301" s="3"/>
      <c r="CK301" s="3"/>
      <c r="CL301" s="3"/>
      <c r="CM301" s="3"/>
      <c r="CN301" s="3"/>
      <c r="CO301" s="3"/>
      <c r="CP301" s="3"/>
      <c r="CQ301" s="3"/>
      <c r="CR301" s="3"/>
      <c r="CS301" s="3"/>
      <c r="CT301" s="3"/>
      <c r="CU301" s="3"/>
      <c r="CV301" s="3"/>
      <c r="CW301" s="3"/>
      <c r="CX301" s="3"/>
      <c r="CY301" s="3"/>
      <c r="CZ301" s="3"/>
      <c r="DA301" s="3"/>
    </row>
    <row r="302" spans="1:105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  <c r="BN302" s="3"/>
      <c r="BO302" s="3"/>
      <c r="BP302" s="3"/>
      <c r="BQ302" s="3"/>
      <c r="BR302" s="3"/>
      <c r="BS302" s="3"/>
      <c r="BT302" s="3"/>
      <c r="BU302" s="3"/>
      <c r="BV302" s="3"/>
      <c r="BW302" s="3"/>
      <c r="BX302" s="3"/>
      <c r="BY302" s="3"/>
      <c r="BZ302" s="3"/>
      <c r="CA302" s="3"/>
      <c r="CB302" s="3"/>
      <c r="CC302" s="3"/>
      <c r="CD302" s="3"/>
      <c r="CE302" s="3"/>
      <c r="CF302" s="3"/>
      <c r="CG302" s="3"/>
      <c r="CH302" s="3"/>
      <c r="CI302" s="3"/>
      <c r="CJ302" s="3"/>
      <c r="CK302" s="3"/>
      <c r="CL302" s="3"/>
      <c r="CM302" s="3"/>
      <c r="CN302" s="3"/>
      <c r="CO302" s="3"/>
      <c r="CP302" s="3"/>
      <c r="CQ302" s="3"/>
      <c r="CR302" s="3"/>
      <c r="CS302" s="3"/>
      <c r="CT302" s="3"/>
      <c r="CU302" s="3"/>
      <c r="CV302" s="3"/>
      <c r="CW302" s="3"/>
      <c r="CX302" s="3"/>
      <c r="CY302" s="3"/>
      <c r="CZ302" s="3"/>
      <c r="DA302" s="3"/>
    </row>
    <row r="303" spans="1:105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  <c r="BN303" s="3"/>
      <c r="BO303" s="3"/>
      <c r="BP303" s="3"/>
      <c r="BQ303" s="3"/>
      <c r="BR303" s="3"/>
      <c r="BS303" s="3"/>
      <c r="BT303" s="3"/>
      <c r="BU303" s="3"/>
      <c r="BV303" s="3"/>
      <c r="BW303" s="3"/>
      <c r="BX303" s="3"/>
      <c r="BY303" s="3"/>
      <c r="BZ303" s="3"/>
      <c r="CA303" s="3"/>
      <c r="CB303" s="3"/>
      <c r="CC303" s="3"/>
      <c r="CD303" s="3"/>
      <c r="CE303" s="3"/>
      <c r="CF303" s="3"/>
      <c r="CG303" s="3"/>
      <c r="CH303" s="3"/>
      <c r="CI303" s="3"/>
      <c r="CJ303" s="3"/>
      <c r="CK303" s="3"/>
      <c r="CL303" s="3"/>
      <c r="CM303" s="3"/>
      <c r="CN303" s="3"/>
      <c r="CO303" s="3"/>
      <c r="CP303" s="3"/>
      <c r="CQ303" s="3"/>
      <c r="CR303" s="3"/>
      <c r="CS303" s="3"/>
      <c r="CT303" s="3"/>
      <c r="CU303" s="3"/>
      <c r="CV303" s="3"/>
      <c r="CW303" s="3"/>
      <c r="CX303" s="3"/>
      <c r="CY303" s="3"/>
      <c r="CZ303" s="3"/>
      <c r="DA303" s="3"/>
    </row>
    <row r="304" spans="1:105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  <c r="BN304" s="3"/>
      <c r="BO304" s="3"/>
      <c r="BP304" s="3"/>
      <c r="BQ304" s="3"/>
      <c r="BR304" s="3"/>
      <c r="BS304" s="3"/>
      <c r="BT304" s="3"/>
      <c r="BU304" s="3"/>
      <c r="BV304" s="3"/>
      <c r="BW304" s="3"/>
      <c r="BX304" s="3"/>
      <c r="BY304" s="3"/>
      <c r="BZ304" s="3"/>
      <c r="CA304" s="3"/>
      <c r="CB304" s="3"/>
      <c r="CC304" s="3"/>
      <c r="CD304" s="3"/>
      <c r="CE304" s="3"/>
      <c r="CF304" s="3"/>
      <c r="CG304" s="3"/>
      <c r="CH304" s="3"/>
      <c r="CI304" s="3"/>
      <c r="CJ304" s="3"/>
      <c r="CK304" s="3"/>
      <c r="CL304" s="3"/>
      <c r="CM304" s="3"/>
      <c r="CN304" s="3"/>
      <c r="CO304" s="3"/>
      <c r="CP304" s="3"/>
      <c r="CQ304" s="3"/>
      <c r="CR304" s="3"/>
      <c r="CS304" s="3"/>
      <c r="CT304" s="3"/>
      <c r="CU304" s="3"/>
      <c r="CV304" s="3"/>
      <c r="CW304" s="3"/>
      <c r="CX304" s="3"/>
      <c r="CY304" s="3"/>
      <c r="CZ304" s="3"/>
      <c r="DA304" s="3"/>
    </row>
    <row r="305" spans="1:105" x14ac:dyDescent="0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  <c r="BN305" s="3"/>
      <c r="BO305" s="3"/>
      <c r="BP305" s="3"/>
      <c r="BQ305" s="3"/>
      <c r="BR305" s="3"/>
      <c r="BS305" s="3"/>
      <c r="BT305" s="3"/>
      <c r="BU305" s="3"/>
      <c r="BV305" s="3"/>
      <c r="BW305" s="3"/>
      <c r="BX305" s="3"/>
      <c r="BY305" s="3"/>
      <c r="BZ305" s="3"/>
      <c r="CA305" s="3"/>
      <c r="CB305" s="3"/>
      <c r="CC305" s="3"/>
      <c r="CD305" s="3"/>
      <c r="CE305" s="3"/>
      <c r="CF305" s="3"/>
      <c r="CG305" s="3"/>
      <c r="CH305" s="3"/>
      <c r="CI305" s="3"/>
      <c r="CJ305" s="3"/>
      <c r="CK305" s="3"/>
      <c r="CL305" s="3"/>
      <c r="CM305" s="3"/>
      <c r="CN305" s="3"/>
      <c r="CO305" s="3"/>
      <c r="CP305" s="3"/>
      <c r="CQ305" s="3"/>
      <c r="CR305" s="3"/>
      <c r="CS305" s="3"/>
      <c r="CT305" s="3"/>
      <c r="CU305" s="3"/>
      <c r="CV305" s="3"/>
      <c r="CW305" s="3"/>
      <c r="CX305" s="3"/>
      <c r="CY305" s="3"/>
      <c r="CZ305" s="3"/>
      <c r="DA305" s="3"/>
    </row>
    <row r="306" spans="1:105" x14ac:dyDescent="0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  <c r="BU306" s="3"/>
      <c r="BV306" s="3"/>
      <c r="BW306" s="3"/>
      <c r="BX306" s="3"/>
      <c r="BY306" s="3"/>
      <c r="BZ306" s="3"/>
      <c r="CA306" s="3"/>
      <c r="CB306" s="3"/>
      <c r="CC306" s="3"/>
      <c r="CD306" s="3"/>
      <c r="CE306" s="3"/>
      <c r="CF306" s="3"/>
      <c r="CG306" s="3"/>
      <c r="CH306" s="3"/>
      <c r="CI306" s="3"/>
      <c r="CJ306" s="3"/>
      <c r="CK306" s="3"/>
      <c r="CL306" s="3"/>
      <c r="CM306" s="3"/>
      <c r="CN306" s="3"/>
      <c r="CO306" s="3"/>
      <c r="CP306" s="3"/>
      <c r="CQ306" s="3"/>
      <c r="CR306" s="3"/>
      <c r="CS306" s="3"/>
      <c r="CT306" s="3"/>
      <c r="CU306" s="3"/>
      <c r="CV306" s="3"/>
      <c r="CW306" s="3"/>
      <c r="CX306" s="3"/>
      <c r="CY306" s="3"/>
      <c r="CZ306" s="3"/>
      <c r="DA306" s="3"/>
    </row>
    <row r="307" spans="1:105" x14ac:dyDescent="0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  <c r="BN307" s="3"/>
      <c r="BO307" s="3"/>
      <c r="BP307" s="3"/>
      <c r="BQ307" s="3"/>
      <c r="BR307" s="3"/>
      <c r="BS307" s="3"/>
      <c r="BT307" s="3"/>
      <c r="BU307" s="3"/>
      <c r="BV307" s="3"/>
      <c r="BW307" s="3"/>
      <c r="BX307" s="3"/>
      <c r="BY307" s="3"/>
      <c r="BZ307" s="3"/>
      <c r="CA307" s="3"/>
      <c r="CB307" s="3"/>
      <c r="CC307" s="3"/>
      <c r="CD307" s="3"/>
      <c r="CE307" s="3"/>
      <c r="CF307" s="3"/>
      <c r="CG307" s="3"/>
      <c r="CH307" s="3"/>
      <c r="CI307" s="3"/>
      <c r="CJ307" s="3"/>
      <c r="CK307" s="3"/>
      <c r="CL307" s="3"/>
      <c r="CM307" s="3"/>
      <c r="CN307" s="3"/>
      <c r="CO307" s="3"/>
      <c r="CP307" s="3"/>
      <c r="CQ307" s="3"/>
      <c r="CR307" s="3"/>
      <c r="CS307" s="3"/>
      <c r="CT307" s="3"/>
      <c r="CU307" s="3"/>
      <c r="CV307" s="3"/>
      <c r="CW307" s="3"/>
      <c r="CX307" s="3"/>
      <c r="CY307" s="3"/>
      <c r="CZ307" s="3"/>
      <c r="DA307" s="3"/>
    </row>
    <row r="308" spans="1:105" x14ac:dyDescent="0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  <c r="BN308" s="3"/>
      <c r="BO308" s="3"/>
      <c r="BP308" s="3"/>
      <c r="BQ308" s="3"/>
      <c r="BR308" s="3"/>
      <c r="BS308" s="3"/>
      <c r="BT308" s="3"/>
      <c r="BU308" s="3"/>
      <c r="BV308" s="3"/>
      <c r="BW308" s="3"/>
      <c r="BX308" s="3"/>
      <c r="BY308" s="3"/>
      <c r="BZ308" s="3"/>
      <c r="CA308" s="3"/>
      <c r="CB308" s="3"/>
      <c r="CC308" s="3"/>
      <c r="CD308" s="3"/>
      <c r="CE308" s="3"/>
      <c r="CF308" s="3"/>
      <c r="CG308" s="3"/>
      <c r="CH308" s="3"/>
      <c r="CI308" s="3"/>
      <c r="CJ308" s="3"/>
      <c r="CK308" s="3"/>
      <c r="CL308" s="3"/>
      <c r="CM308" s="3"/>
      <c r="CN308" s="3"/>
      <c r="CO308" s="3"/>
      <c r="CP308" s="3"/>
      <c r="CQ308" s="3"/>
      <c r="CR308" s="3"/>
      <c r="CS308" s="3"/>
      <c r="CT308" s="3"/>
      <c r="CU308" s="3"/>
      <c r="CV308" s="3"/>
      <c r="CW308" s="3"/>
      <c r="CX308" s="3"/>
      <c r="CY308" s="3"/>
      <c r="CZ308" s="3"/>
      <c r="DA308" s="3"/>
    </row>
    <row r="309" spans="1:105" x14ac:dyDescent="0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  <c r="BN309" s="3"/>
      <c r="BO309" s="3"/>
      <c r="BP309" s="3"/>
      <c r="BQ309" s="3"/>
      <c r="BR309" s="3"/>
      <c r="BS309" s="3"/>
      <c r="BT309" s="3"/>
      <c r="BU309" s="3"/>
      <c r="BV309" s="3"/>
      <c r="BW309" s="3"/>
      <c r="BX309" s="3"/>
      <c r="BY309" s="3"/>
      <c r="BZ309" s="3"/>
      <c r="CA309" s="3"/>
      <c r="CB309" s="3"/>
      <c r="CC309" s="3"/>
      <c r="CD309" s="3"/>
      <c r="CE309" s="3"/>
      <c r="CF309" s="3"/>
      <c r="CG309" s="3"/>
      <c r="CH309" s="3"/>
      <c r="CI309" s="3"/>
      <c r="CJ309" s="3"/>
      <c r="CK309" s="3"/>
      <c r="CL309" s="3"/>
      <c r="CM309" s="3"/>
      <c r="CN309" s="3"/>
      <c r="CO309" s="3"/>
      <c r="CP309" s="3"/>
      <c r="CQ309" s="3"/>
      <c r="CR309" s="3"/>
      <c r="CS309" s="3"/>
      <c r="CT309" s="3"/>
      <c r="CU309" s="3"/>
      <c r="CV309" s="3"/>
      <c r="CW309" s="3"/>
      <c r="CX309" s="3"/>
      <c r="CY309" s="3"/>
      <c r="CZ309" s="3"/>
      <c r="DA309" s="3"/>
    </row>
    <row r="310" spans="1:105" x14ac:dyDescent="0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  <c r="BN310" s="3"/>
      <c r="BO310" s="3"/>
      <c r="BP310" s="3"/>
      <c r="BQ310" s="3"/>
      <c r="BR310" s="3"/>
      <c r="BS310" s="3"/>
      <c r="BT310" s="3"/>
      <c r="BU310" s="3"/>
      <c r="BV310" s="3"/>
      <c r="BW310" s="3"/>
      <c r="BX310" s="3"/>
      <c r="BY310" s="3"/>
      <c r="BZ310" s="3"/>
      <c r="CA310" s="3"/>
      <c r="CB310" s="3"/>
      <c r="CC310" s="3"/>
      <c r="CD310" s="3"/>
      <c r="CE310" s="3"/>
      <c r="CF310" s="3"/>
      <c r="CG310" s="3"/>
      <c r="CH310" s="3"/>
      <c r="CI310" s="3"/>
      <c r="CJ310" s="3"/>
      <c r="CK310" s="3"/>
      <c r="CL310" s="3"/>
      <c r="CM310" s="3"/>
      <c r="CN310" s="3"/>
      <c r="CO310" s="3"/>
      <c r="CP310" s="3"/>
      <c r="CQ310" s="3"/>
      <c r="CR310" s="3"/>
      <c r="CS310" s="3"/>
      <c r="CT310" s="3"/>
      <c r="CU310" s="3"/>
      <c r="CV310" s="3"/>
      <c r="CW310" s="3"/>
      <c r="CX310" s="3"/>
      <c r="CY310" s="3"/>
      <c r="CZ310" s="3"/>
      <c r="DA310" s="3"/>
    </row>
    <row r="311" spans="1:105" x14ac:dyDescent="0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  <c r="BN311" s="3"/>
      <c r="BO311" s="3"/>
      <c r="BP311" s="3"/>
      <c r="BQ311" s="3"/>
      <c r="BR311" s="3"/>
      <c r="BS311" s="3"/>
      <c r="BT311" s="3"/>
      <c r="BU311" s="3"/>
      <c r="BV311" s="3"/>
      <c r="BW311" s="3"/>
      <c r="BX311" s="3"/>
      <c r="BY311" s="3"/>
      <c r="BZ311" s="3"/>
      <c r="CA311" s="3"/>
      <c r="CB311" s="3"/>
      <c r="CC311" s="3"/>
      <c r="CD311" s="3"/>
      <c r="CE311" s="3"/>
      <c r="CF311" s="3"/>
      <c r="CG311" s="3"/>
      <c r="CH311" s="3"/>
      <c r="CI311" s="3"/>
      <c r="CJ311" s="3"/>
      <c r="CK311" s="3"/>
      <c r="CL311" s="3"/>
      <c r="CM311" s="3"/>
      <c r="CN311" s="3"/>
      <c r="CO311" s="3"/>
      <c r="CP311" s="3"/>
      <c r="CQ311" s="3"/>
      <c r="CR311" s="3"/>
      <c r="CS311" s="3"/>
      <c r="CT311" s="3"/>
      <c r="CU311" s="3"/>
      <c r="CV311" s="3"/>
      <c r="CW311" s="3"/>
      <c r="CX311" s="3"/>
      <c r="CY311" s="3"/>
      <c r="CZ311" s="3"/>
      <c r="DA311" s="3"/>
    </row>
    <row r="312" spans="1:105" x14ac:dyDescent="0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  <c r="BN312" s="3"/>
      <c r="BO312" s="3"/>
      <c r="BP312" s="3"/>
      <c r="BQ312" s="3"/>
      <c r="BR312" s="3"/>
      <c r="BS312" s="3"/>
      <c r="BT312" s="3"/>
      <c r="BU312" s="3"/>
      <c r="BV312" s="3"/>
      <c r="BW312" s="3"/>
      <c r="BX312" s="3"/>
      <c r="BY312" s="3"/>
      <c r="BZ312" s="3"/>
      <c r="CA312" s="3"/>
      <c r="CB312" s="3"/>
      <c r="CC312" s="3"/>
      <c r="CD312" s="3"/>
      <c r="CE312" s="3"/>
      <c r="CF312" s="3"/>
      <c r="CG312" s="3"/>
      <c r="CH312" s="3"/>
      <c r="CI312" s="3"/>
      <c r="CJ312" s="3"/>
      <c r="CK312" s="3"/>
      <c r="CL312" s="3"/>
      <c r="CM312" s="3"/>
      <c r="CN312" s="3"/>
      <c r="CO312" s="3"/>
      <c r="CP312" s="3"/>
      <c r="CQ312" s="3"/>
      <c r="CR312" s="3"/>
      <c r="CS312" s="3"/>
      <c r="CT312" s="3"/>
      <c r="CU312" s="3"/>
      <c r="CV312" s="3"/>
      <c r="CW312" s="3"/>
      <c r="CX312" s="3"/>
      <c r="CY312" s="3"/>
      <c r="CZ312" s="3"/>
      <c r="DA312" s="3"/>
    </row>
    <row r="313" spans="1:105" x14ac:dyDescent="0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  <c r="BN313" s="3"/>
      <c r="BO313" s="3"/>
      <c r="BP313" s="3"/>
      <c r="BQ313" s="3"/>
      <c r="BR313" s="3"/>
      <c r="BS313" s="3"/>
      <c r="BT313" s="3"/>
      <c r="BU313" s="3"/>
      <c r="BV313" s="3"/>
      <c r="BW313" s="3"/>
      <c r="BX313" s="3"/>
      <c r="BY313" s="3"/>
      <c r="BZ313" s="3"/>
      <c r="CA313" s="3"/>
      <c r="CB313" s="3"/>
      <c r="CC313" s="3"/>
      <c r="CD313" s="3"/>
      <c r="CE313" s="3"/>
      <c r="CF313" s="3"/>
      <c r="CG313" s="3"/>
      <c r="CH313" s="3"/>
      <c r="CI313" s="3"/>
      <c r="CJ313" s="3"/>
      <c r="CK313" s="3"/>
      <c r="CL313" s="3"/>
      <c r="CM313" s="3"/>
      <c r="CN313" s="3"/>
      <c r="CO313" s="3"/>
      <c r="CP313" s="3"/>
      <c r="CQ313" s="3"/>
      <c r="CR313" s="3"/>
      <c r="CS313" s="3"/>
      <c r="CT313" s="3"/>
      <c r="CU313" s="3"/>
      <c r="CV313" s="3"/>
      <c r="CW313" s="3"/>
      <c r="CX313" s="3"/>
      <c r="CY313" s="3"/>
      <c r="CZ313" s="3"/>
      <c r="DA313" s="3"/>
    </row>
    <row r="314" spans="1:105" x14ac:dyDescent="0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  <c r="BN314" s="3"/>
      <c r="BO314" s="3"/>
      <c r="BP314" s="3"/>
      <c r="BQ314" s="3"/>
      <c r="BR314" s="3"/>
      <c r="BS314" s="3"/>
      <c r="BT314" s="3"/>
      <c r="BU314" s="3"/>
      <c r="BV314" s="3"/>
      <c r="BW314" s="3"/>
      <c r="BX314" s="3"/>
      <c r="BY314" s="3"/>
      <c r="BZ314" s="3"/>
      <c r="CA314" s="3"/>
      <c r="CB314" s="3"/>
      <c r="CC314" s="3"/>
      <c r="CD314" s="3"/>
      <c r="CE314" s="3"/>
      <c r="CF314" s="3"/>
      <c r="CG314" s="3"/>
      <c r="CH314" s="3"/>
      <c r="CI314" s="3"/>
      <c r="CJ314" s="3"/>
      <c r="CK314" s="3"/>
      <c r="CL314" s="3"/>
      <c r="CM314" s="3"/>
      <c r="CN314" s="3"/>
      <c r="CO314" s="3"/>
      <c r="CP314" s="3"/>
      <c r="CQ314" s="3"/>
      <c r="CR314" s="3"/>
      <c r="CS314" s="3"/>
      <c r="CT314" s="3"/>
      <c r="CU314" s="3"/>
      <c r="CV314" s="3"/>
      <c r="CW314" s="3"/>
      <c r="CX314" s="3"/>
      <c r="CY314" s="3"/>
      <c r="CZ314" s="3"/>
      <c r="DA314" s="3"/>
    </row>
    <row r="315" spans="1:105" x14ac:dyDescent="0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  <c r="BN315" s="3"/>
      <c r="BO315" s="3"/>
      <c r="BP315" s="3"/>
      <c r="BQ315" s="3"/>
      <c r="BR315" s="3"/>
      <c r="BS315" s="3"/>
      <c r="BT315" s="3"/>
      <c r="BU315" s="3"/>
      <c r="BV315" s="3"/>
      <c r="BW315" s="3"/>
      <c r="BX315" s="3"/>
      <c r="BY315" s="3"/>
      <c r="BZ315" s="3"/>
      <c r="CA315" s="3"/>
      <c r="CB315" s="3"/>
      <c r="CC315" s="3"/>
      <c r="CD315" s="3"/>
      <c r="CE315" s="3"/>
      <c r="CF315" s="3"/>
      <c r="CG315" s="3"/>
      <c r="CH315" s="3"/>
      <c r="CI315" s="3"/>
      <c r="CJ315" s="3"/>
      <c r="CK315" s="3"/>
      <c r="CL315" s="3"/>
      <c r="CM315" s="3"/>
      <c r="CN315" s="3"/>
      <c r="CO315" s="3"/>
      <c r="CP315" s="3"/>
      <c r="CQ315" s="3"/>
      <c r="CR315" s="3"/>
      <c r="CS315" s="3"/>
      <c r="CT315" s="3"/>
      <c r="CU315" s="3"/>
      <c r="CV315" s="3"/>
      <c r="CW315" s="3"/>
      <c r="CX315" s="3"/>
      <c r="CY315" s="3"/>
      <c r="CZ315" s="3"/>
      <c r="DA315" s="3"/>
    </row>
    <row r="316" spans="1:105" x14ac:dyDescent="0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  <c r="BN316" s="3"/>
      <c r="BO316" s="3"/>
      <c r="BP316" s="3"/>
      <c r="BQ316" s="3"/>
      <c r="BR316" s="3"/>
      <c r="BS316" s="3"/>
      <c r="BT316" s="3"/>
      <c r="BU316" s="3"/>
      <c r="BV316" s="3"/>
      <c r="BW316" s="3"/>
      <c r="BX316" s="3"/>
      <c r="BY316" s="3"/>
      <c r="BZ316" s="3"/>
      <c r="CA316" s="3"/>
      <c r="CB316" s="3"/>
      <c r="CC316" s="3"/>
      <c r="CD316" s="3"/>
      <c r="CE316" s="3"/>
      <c r="CF316" s="3"/>
      <c r="CG316" s="3"/>
      <c r="CH316" s="3"/>
      <c r="CI316" s="3"/>
      <c r="CJ316" s="3"/>
      <c r="CK316" s="3"/>
      <c r="CL316" s="3"/>
      <c r="CM316" s="3"/>
      <c r="CN316" s="3"/>
      <c r="CO316" s="3"/>
      <c r="CP316" s="3"/>
      <c r="CQ316" s="3"/>
      <c r="CR316" s="3"/>
      <c r="CS316" s="3"/>
      <c r="CT316" s="3"/>
      <c r="CU316" s="3"/>
      <c r="CV316" s="3"/>
      <c r="CW316" s="3"/>
      <c r="CX316" s="3"/>
      <c r="CY316" s="3"/>
      <c r="CZ316" s="3"/>
      <c r="DA316" s="3"/>
    </row>
    <row r="317" spans="1:105" x14ac:dyDescent="0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  <c r="BN317" s="3"/>
      <c r="BO317" s="3"/>
      <c r="BP317" s="3"/>
      <c r="BQ317" s="3"/>
      <c r="BR317" s="3"/>
      <c r="BS317" s="3"/>
      <c r="BT317" s="3"/>
      <c r="BU317" s="3"/>
      <c r="BV317" s="3"/>
      <c r="BW317" s="3"/>
      <c r="BX317" s="3"/>
      <c r="BY317" s="3"/>
      <c r="BZ317" s="3"/>
      <c r="CA317" s="3"/>
      <c r="CB317" s="3"/>
      <c r="CC317" s="3"/>
      <c r="CD317" s="3"/>
      <c r="CE317" s="3"/>
      <c r="CF317" s="3"/>
      <c r="CG317" s="3"/>
      <c r="CH317" s="3"/>
      <c r="CI317" s="3"/>
      <c r="CJ317" s="3"/>
      <c r="CK317" s="3"/>
      <c r="CL317" s="3"/>
      <c r="CM317" s="3"/>
      <c r="CN317" s="3"/>
      <c r="CO317" s="3"/>
      <c r="CP317" s="3"/>
      <c r="CQ317" s="3"/>
      <c r="CR317" s="3"/>
      <c r="CS317" s="3"/>
      <c r="CT317" s="3"/>
      <c r="CU317" s="3"/>
      <c r="CV317" s="3"/>
      <c r="CW317" s="3"/>
      <c r="CX317" s="3"/>
      <c r="CY317" s="3"/>
      <c r="CZ317" s="3"/>
      <c r="DA317" s="3"/>
    </row>
    <row r="318" spans="1:105" x14ac:dyDescent="0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  <c r="BN318" s="3"/>
      <c r="BO318" s="3"/>
      <c r="BP318" s="3"/>
      <c r="BQ318" s="3"/>
      <c r="BR318" s="3"/>
      <c r="BS318" s="3"/>
      <c r="BT318" s="3"/>
      <c r="BU318" s="3"/>
      <c r="BV318" s="3"/>
      <c r="BW318" s="3"/>
      <c r="BX318" s="3"/>
      <c r="BY318" s="3"/>
      <c r="BZ318" s="3"/>
      <c r="CA318" s="3"/>
      <c r="CB318" s="3"/>
      <c r="CC318" s="3"/>
      <c r="CD318" s="3"/>
      <c r="CE318" s="3"/>
      <c r="CF318" s="3"/>
      <c r="CG318" s="3"/>
      <c r="CH318" s="3"/>
      <c r="CI318" s="3"/>
      <c r="CJ318" s="3"/>
      <c r="CK318" s="3"/>
      <c r="CL318" s="3"/>
      <c r="CM318" s="3"/>
      <c r="CN318" s="3"/>
      <c r="CO318" s="3"/>
      <c r="CP318" s="3"/>
      <c r="CQ318" s="3"/>
      <c r="CR318" s="3"/>
      <c r="CS318" s="3"/>
      <c r="CT318" s="3"/>
      <c r="CU318" s="3"/>
      <c r="CV318" s="3"/>
      <c r="CW318" s="3"/>
      <c r="CX318" s="3"/>
      <c r="CY318" s="3"/>
      <c r="CZ318" s="3"/>
      <c r="DA318" s="3"/>
    </row>
    <row r="319" spans="1:105" x14ac:dyDescent="0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  <c r="BN319" s="3"/>
      <c r="BO319" s="3"/>
      <c r="BP319" s="3"/>
      <c r="BQ319" s="3"/>
      <c r="BR319" s="3"/>
      <c r="BS319" s="3"/>
      <c r="BT319" s="3"/>
      <c r="BU319" s="3"/>
      <c r="BV319" s="3"/>
      <c r="BW319" s="3"/>
      <c r="BX319" s="3"/>
      <c r="BY319" s="3"/>
      <c r="BZ319" s="3"/>
      <c r="CA319" s="3"/>
      <c r="CB319" s="3"/>
      <c r="CC319" s="3"/>
      <c r="CD319" s="3"/>
      <c r="CE319" s="3"/>
      <c r="CF319" s="3"/>
      <c r="CG319" s="3"/>
      <c r="CH319" s="3"/>
      <c r="CI319" s="3"/>
      <c r="CJ319" s="3"/>
      <c r="CK319" s="3"/>
      <c r="CL319" s="3"/>
      <c r="CM319" s="3"/>
      <c r="CN319" s="3"/>
      <c r="CO319" s="3"/>
      <c r="CP319" s="3"/>
      <c r="CQ319" s="3"/>
      <c r="CR319" s="3"/>
      <c r="CS319" s="3"/>
      <c r="CT319" s="3"/>
      <c r="CU319" s="3"/>
      <c r="CV319" s="3"/>
      <c r="CW319" s="3"/>
      <c r="CX319" s="3"/>
      <c r="CY319" s="3"/>
      <c r="CZ319" s="3"/>
      <c r="DA319" s="3"/>
    </row>
    <row r="320" spans="1:105" x14ac:dyDescent="0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  <c r="BN320" s="3"/>
      <c r="BO320" s="3"/>
      <c r="BP320" s="3"/>
      <c r="BQ320" s="3"/>
      <c r="BR320" s="3"/>
      <c r="BS320" s="3"/>
      <c r="BT320" s="3"/>
      <c r="BU320" s="3"/>
      <c r="BV320" s="3"/>
      <c r="BW320" s="3"/>
      <c r="BX320" s="3"/>
      <c r="BY320" s="3"/>
      <c r="BZ320" s="3"/>
      <c r="CA320" s="3"/>
      <c r="CB320" s="3"/>
      <c r="CC320" s="3"/>
      <c r="CD320" s="3"/>
      <c r="CE320" s="3"/>
      <c r="CF320" s="3"/>
      <c r="CG320" s="3"/>
      <c r="CH320" s="3"/>
      <c r="CI320" s="3"/>
      <c r="CJ320" s="3"/>
      <c r="CK320" s="3"/>
      <c r="CL320" s="3"/>
      <c r="CM320" s="3"/>
      <c r="CN320" s="3"/>
      <c r="CO320" s="3"/>
      <c r="CP320" s="3"/>
      <c r="CQ320" s="3"/>
      <c r="CR320" s="3"/>
      <c r="CS320" s="3"/>
      <c r="CT320" s="3"/>
      <c r="CU320" s="3"/>
      <c r="CV320" s="3"/>
      <c r="CW320" s="3"/>
      <c r="CX320" s="3"/>
      <c r="CY320" s="3"/>
      <c r="CZ320" s="3"/>
      <c r="DA320" s="3"/>
    </row>
    <row r="321" spans="1:105" x14ac:dyDescent="0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  <c r="BN321" s="3"/>
      <c r="BO321" s="3"/>
      <c r="BP321" s="3"/>
      <c r="BQ321" s="3"/>
      <c r="BR321" s="3"/>
      <c r="BS321" s="3"/>
      <c r="BT321" s="3"/>
      <c r="BU321" s="3"/>
      <c r="BV321" s="3"/>
      <c r="BW321" s="3"/>
      <c r="BX321" s="3"/>
      <c r="BY321" s="3"/>
      <c r="BZ321" s="3"/>
      <c r="CA321" s="3"/>
      <c r="CB321" s="3"/>
      <c r="CC321" s="3"/>
      <c r="CD321" s="3"/>
      <c r="CE321" s="3"/>
      <c r="CF321" s="3"/>
      <c r="CG321" s="3"/>
      <c r="CH321" s="3"/>
      <c r="CI321" s="3"/>
      <c r="CJ321" s="3"/>
      <c r="CK321" s="3"/>
      <c r="CL321" s="3"/>
      <c r="CM321" s="3"/>
      <c r="CN321" s="3"/>
      <c r="CO321" s="3"/>
      <c r="CP321" s="3"/>
      <c r="CQ321" s="3"/>
      <c r="CR321" s="3"/>
      <c r="CS321" s="3"/>
      <c r="CT321" s="3"/>
      <c r="CU321" s="3"/>
      <c r="CV321" s="3"/>
      <c r="CW321" s="3"/>
      <c r="CX321" s="3"/>
      <c r="CY321" s="3"/>
      <c r="CZ321" s="3"/>
      <c r="DA321" s="3"/>
    </row>
    <row r="322" spans="1:105" x14ac:dyDescent="0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  <c r="BN322" s="3"/>
      <c r="BO322" s="3"/>
      <c r="BP322" s="3"/>
      <c r="BQ322" s="3"/>
      <c r="BR322" s="3"/>
      <c r="BS322" s="3"/>
      <c r="BT322" s="3"/>
      <c r="BU322" s="3"/>
      <c r="BV322" s="3"/>
      <c r="BW322" s="3"/>
      <c r="BX322" s="3"/>
      <c r="BY322" s="3"/>
      <c r="BZ322" s="3"/>
      <c r="CA322" s="3"/>
      <c r="CB322" s="3"/>
      <c r="CC322" s="3"/>
      <c r="CD322" s="3"/>
      <c r="CE322" s="3"/>
      <c r="CF322" s="3"/>
      <c r="CG322" s="3"/>
      <c r="CH322" s="3"/>
      <c r="CI322" s="3"/>
      <c r="CJ322" s="3"/>
      <c r="CK322" s="3"/>
      <c r="CL322" s="3"/>
      <c r="CM322" s="3"/>
      <c r="CN322" s="3"/>
      <c r="CO322" s="3"/>
      <c r="CP322" s="3"/>
      <c r="CQ322" s="3"/>
      <c r="CR322" s="3"/>
      <c r="CS322" s="3"/>
      <c r="CT322" s="3"/>
      <c r="CU322" s="3"/>
      <c r="CV322" s="3"/>
      <c r="CW322" s="3"/>
      <c r="CX322" s="3"/>
      <c r="CY322" s="3"/>
      <c r="CZ322" s="3"/>
      <c r="DA322" s="3"/>
    </row>
    <row r="323" spans="1:105" x14ac:dyDescent="0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/>
      <c r="BS323" s="3"/>
      <c r="BT323" s="3"/>
      <c r="BU323" s="3"/>
      <c r="BV323" s="3"/>
      <c r="BW323" s="3"/>
      <c r="BX323" s="3"/>
      <c r="BY323" s="3"/>
      <c r="BZ323" s="3"/>
      <c r="CA323" s="3"/>
      <c r="CB323" s="3"/>
      <c r="CC323" s="3"/>
      <c r="CD323" s="3"/>
      <c r="CE323" s="3"/>
      <c r="CF323" s="3"/>
      <c r="CG323" s="3"/>
      <c r="CH323" s="3"/>
      <c r="CI323" s="3"/>
      <c r="CJ323" s="3"/>
      <c r="CK323" s="3"/>
      <c r="CL323" s="3"/>
      <c r="CM323" s="3"/>
      <c r="CN323" s="3"/>
      <c r="CO323" s="3"/>
      <c r="CP323" s="3"/>
      <c r="CQ323" s="3"/>
      <c r="CR323" s="3"/>
      <c r="CS323" s="3"/>
      <c r="CT323" s="3"/>
      <c r="CU323" s="3"/>
      <c r="CV323" s="3"/>
      <c r="CW323" s="3"/>
      <c r="CX323" s="3"/>
      <c r="CY323" s="3"/>
      <c r="CZ323" s="3"/>
      <c r="DA323" s="3"/>
    </row>
    <row r="324" spans="1:105" x14ac:dyDescent="0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  <c r="BN324" s="3"/>
      <c r="BO324" s="3"/>
      <c r="BP324" s="3"/>
      <c r="BQ324" s="3"/>
      <c r="BR324" s="3"/>
      <c r="BS324" s="3"/>
      <c r="BT324" s="3"/>
      <c r="BU324" s="3"/>
      <c r="BV324" s="3"/>
      <c r="BW324" s="3"/>
      <c r="BX324" s="3"/>
      <c r="BY324" s="3"/>
      <c r="BZ324" s="3"/>
      <c r="CA324" s="3"/>
      <c r="CB324" s="3"/>
      <c r="CC324" s="3"/>
      <c r="CD324" s="3"/>
      <c r="CE324" s="3"/>
      <c r="CF324" s="3"/>
      <c r="CG324" s="3"/>
      <c r="CH324" s="3"/>
      <c r="CI324" s="3"/>
      <c r="CJ324" s="3"/>
      <c r="CK324" s="3"/>
      <c r="CL324" s="3"/>
      <c r="CM324" s="3"/>
      <c r="CN324" s="3"/>
      <c r="CO324" s="3"/>
      <c r="CP324" s="3"/>
      <c r="CQ324" s="3"/>
      <c r="CR324" s="3"/>
      <c r="CS324" s="3"/>
      <c r="CT324" s="3"/>
      <c r="CU324" s="3"/>
      <c r="CV324" s="3"/>
      <c r="CW324" s="3"/>
      <c r="CX324" s="3"/>
      <c r="CY324" s="3"/>
      <c r="CZ324" s="3"/>
      <c r="DA324" s="3"/>
    </row>
    <row r="325" spans="1:105" x14ac:dyDescent="0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  <c r="BN325" s="3"/>
      <c r="BO325" s="3"/>
      <c r="BP325" s="3"/>
      <c r="BQ325" s="3"/>
      <c r="BR325" s="3"/>
      <c r="BS325" s="3"/>
      <c r="BT325" s="3"/>
      <c r="BU325" s="3"/>
      <c r="BV325" s="3"/>
      <c r="BW325" s="3"/>
      <c r="BX325" s="3"/>
      <c r="BY325" s="3"/>
      <c r="BZ325" s="3"/>
      <c r="CA325" s="3"/>
      <c r="CB325" s="3"/>
      <c r="CC325" s="3"/>
      <c r="CD325" s="3"/>
      <c r="CE325" s="3"/>
      <c r="CF325" s="3"/>
      <c r="CG325" s="3"/>
      <c r="CH325" s="3"/>
      <c r="CI325" s="3"/>
      <c r="CJ325" s="3"/>
      <c r="CK325" s="3"/>
      <c r="CL325" s="3"/>
      <c r="CM325" s="3"/>
      <c r="CN325" s="3"/>
      <c r="CO325" s="3"/>
      <c r="CP325" s="3"/>
      <c r="CQ325" s="3"/>
      <c r="CR325" s="3"/>
      <c r="CS325" s="3"/>
      <c r="CT325" s="3"/>
      <c r="CU325" s="3"/>
      <c r="CV325" s="3"/>
      <c r="CW325" s="3"/>
      <c r="CX325" s="3"/>
      <c r="CY325" s="3"/>
      <c r="CZ325" s="3"/>
      <c r="DA325" s="3"/>
    </row>
    <row r="326" spans="1:105" x14ac:dyDescent="0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  <c r="BN326" s="3"/>
      <c r="BO326" s="3"/>
      <c r="BP326" s="3"/>
      <c r="BQ326" s="3"/>
      <c r="BR326" s="3"/>
      <c r="BS326" s="3"/>
      <c r="BT326" s="3"/>
      <c r="BU326" s="3"/>
      <c r="BV326" s="3"/>
      <c r="BW326" s="3"/>
      <c r="BX326" s="3"/>
      <c r="BY326" s="3"/>
      <c r="BZ326" s="3"/>
      <c r="CA326" s="3"/>
      <c r="CB326" s="3"/>
      <c r="CC326" s="3"/>
      <c r="CD326" s="3"/>
      <c r="CE326" s="3"/>
      <c r="CF326" s="3"/>
      <c r="CG326" s="3"/>
      <c r="CH326" s="3"/>
      <c r="CI326" s="3"/>
      <c r="CJ326" s="3"/>
      <c r="CK326" s="3"/>
      <c r="CL326" s="3"/>
      <c r="CM326" s="3"/>
      <c r="CN326" s="3"/>
      <c r="CO326" s="3"/>
      <c r="CP326" s="3"/>
      <c r="CQ326" s="3"/>
      <c r="CR326" s="3"/>
      <c r="CS326" s="3"/>
      <c r="CT326" s="3"/>
      <c r="CU326" s="3"/>
      <c r="CV326" s="3"/>
      <c r="CW326" s="3"/>
      <c r="CX326" s="3"/>
      <c r="CY326" s="3"/>
      <c r="CZ326" s="3"/>
      <c r="DA326" s="3"/>
    </row>
    <row r="327" spans="1:105" x14ac:dyDescent="0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/>
      <c r="BS327" s="3"/>
      <c r="BT327" s="3"/>
      <c r="BU327" s="3"/>
      <c r="BV327" s="3"/>
      <c r="BW327" s="3"/>
      <c r="BX327" s="3"/>
      <c r="BY327" s="3"/>
      <c r="BZ327" s="3"/>
      <c r="CA327" s="3"/>
      <c r="CB327" s="3"/>
      <c r="CC327" s="3"/>
      <c r="CD327" s="3"/>
      <c r="CE327" s="3"/>
      <c r="CF327" s="3"/>
      <c r="CG327" s="3"/>
      <c r="CH327" s="3"/>
      <c r="CI327" s="3"/>
      <c r="CJ327" s="3"/>
      <c r="CK327" s="3"/>
      <c r="CL327" s="3"/>
      <c r="CM327" s="3"/>
      <c r="CN327" s="3"/>
      <c r="CO327" s="3"/>
      <c r="CP327" s="3"/>
      <c r="CQ327" s="3"/>
      <c r="CR327" s="3"/>
      <c r="CS327" s="3"/>
      <c r="CT327" s="3"/>
      <c r="CU327" s="3"/>
      <c r="CV327" s="3"/>
      <c r="CW327" s="3"/>
      <c r="CX327" s="3"/>
      <c r="CY327" s="3"/>
      <c r="CZ327" s="3"/>
      <c r="DA327" s="3"/>
    </row>
    <row r="328" spans="1:105" x14ac:dyDescent="0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  <c r="BN328" s="3"/>
      <c r="BO328" s="3"/>
      <c r="BP328" s="3"/>
      <c r="BQ328" s="3"/>
      <c r="BR328" s="3"/>
      <c r="BS328" s="3"/>
      <c r="BT328" s="3"/>
      <c r="BU328" s="3"/>
      <c r="BV328" s="3"/>
      <c r="BW328" s="3"/>
      <c r="BX328" s="3"/>
      <c r="BY328" s="3"/>
      <c r="BZ328" s="3"/>
      <c r="CA328" s="3"/>
      <c r="CB328" s="3"/>
      <c r="CC328" s="3"/>
      <c r="CD328" s="3"/>
      <c r="CE328" s="3"/>
      <c r="CF328" s="3"/>
      <c r="CG328" s="3"/>
      <c r="CH328" s="3"/>
      <c r="CI328" s="3"/>
      <c r="CJ328" s="3"/>
      <c r="CK328" s="3"/>
      <c r="CL328" s="3"/>
      <c r="CM328" s="3"/>
      <c r="CN328" s="3"/>
      <c r="CO328" s="3"/>
      <c r="CP328" s="3"/>
      <c r="CQ328" s="3"/>
      <c r="CR328" s="3"/>
      <c r="CS328" s="3"/>
      <c r="CT328" s="3"/>
      <c r="CU328" s="3"/>
      <c r="CV328" s="3"/>
      <c r="CW328" s="3"/>
      <c r="CX328" s="3"/>
      <c r="CY328" s="3"/>
      <c r="CZ328" s="3"/>
      <c r="DA328" s="3"/>
    </row>
    <row r="329" spans="1:105" x14ac:dyDescent="0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  <c r="BN329" s="3"/>
      <c r="BO329" s="3"/>
      <c r="BP329" s="3"/>
      <c r="BQ329" s="3"/>
      <c r="BR329" s="3"/>
      <c r="BS329" s="3"/>
      <c r="BT329" s="3"/>
      <c r="BU329" s="3"/>
      <c r="BV329" s="3"/>
      <c r="BW329" s="3"/>
      <c r="BX329" s="3"/>
      <c r="BY329" s="3"/>
      <c r="BZ329" s="3"/>
      <c r="CA329" s="3"/>
      <c r="CB329" s="3"/>
      <c r="CC329" s="3"/>
      <c r="CD329" s="3"/>
      <c r="CE329" s="3"/>
      <c r="CF329" s="3"/>
      <c r="CG329" s="3"/>
      <c r="CH329" s="3"/>
      <c r="CI329" s="3"/>
      <c r="CJ329" s="3"/>
      <c r="CK329" s="3"/>
      <c r="CL329" s="3"/>
      <c r="CM329" s="3"/>
      <c r="CN329" s="3"/>
      <c r="CO329" s="3"/>
      <c r="CP329" s="3"/>
      <c r="CQ329" s="3"/>
      <c r="CR329" s="3"/>
      <c r="CS329" s="3"/>
      <c r="CT329" s="3"/>
      <c r="CU329" s="3"/>
      <c r="CV329" s="3"/>
      <c r="CW329" s="3"/>
      <c r="CX329" s="3"/>
      <c r="CY329" s="3"/>
      <c r="CZ329" s="3"/>
      <c r="DA329" s="3"/>
    </row>
    <row r="330" spans="1:105" x14ac:dyDescent="0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  <c r="BN330" s="3"/>
      <c r="BO330" s="3"/>
      <c r="BP330" s="3"/>
      <c r="BQ330" s="3"/>
      <c r="BR330" s="3"/>
      <c r="BS330" s="3"/>
      <c r="BT330" s="3"/>
      <c r="BU330" s="3"/>
      <c r="BV330" s="3"/>
      <c r="BW330" s="3"/>
      <c r="BX330" s="3"/>
      <c r="BY330" s="3"/>
      <c r="BZ330" s="3"/>
      <c r="CA330" s="3"/>
      <c r="CB330" s="3"/>
      <c r="CC330" s="3"/>
      <c r="CD330" s="3"/>
      <c r="CE330" s="3"/>
      <c r="CF330" s="3"/>
      <c r="CG330" s="3"/>
      <c r="CH330" s="3"/>
      <c r="CI330" s="3"/>
      <c r="CJ330" s="3"/>
      <c r="CK330" s="3"/>
      <c r="CL330" s="3"/>
      <c r="CM330" s="3"/>
      <c r="CN330" s="3"/>
      <c r="CO330" s="3"/>
      <c r="CP330" s="3"/>
      <c r="CQ330" s="3"/>
      <c r="CR330" s="3"/>
      <c r="CS330" s="3"/>
      <c r="CT330" s="3"/>
      <c r="CU330" s="3"/>
      <c r="CV330" s="3"/>
      <c r="CW330" s="3"/>
      <c r="CX330" s="3"/>
      <c r="CY330" s="3"/>
      <c r="CZ330" s="3"/>
      <c r="DA330" s="3"/>
    </row>
    <row r="331" spans="1:105" x14ac:dyDescent="0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  <c r="BN331" s="3"/>
      <c r="BO331" s="3"/>
      <c r="BP331" s="3"/>
      <c r="BQ331" s="3"/>
      <c r="BR331" s="3"/>
      <c r="BS331" s="3"/>
      <c r="BT331" s="3"/>
      <c r="BU331" s="3"/>
      <c r="BV331" s="3"/>
      <c r="BW331" s="3"/>
      <c r="BX331" s="3"/>
      <c r="BY331" s="3"/>
      <c r="BZ331" s="3"/>
      <c r="CA331" s="3"/>
      <c r="CB331" s="3"/>
      <c r="CC331" s="3"/>
      <c r="CD331" s="3"/>
      <c r="CE331" s="3"/>
      <c r="CF331" s="3"/>
      <c r="CG331" s="3"/>
      <c r="CH331" s="3"/>
      <c r="CI331" s="3"/>
      <c r="CJ331" s="3"/>
      <c r="CK331" s="3"/>
      <c r="CL331" s="3"/>
      <c r="CM331" s="3"/>
      <c r="CN331" s="3"/>
      <c r="CO331" s="3"/>
      <c r="CP331" s="3"/>
      <c r="CQ331" s="3"/>
      <c r="CR331" s="3"/>
      <c r="CS331" s="3"/>
      <c r="CT331" s="3"/>
      <c r="CU331" s="3"/>
      <c r="CV331" s="3"/>
      <c r="CW331" s="3"/>
      <c r="CX331" s="3"/>
      <c r="CY331" s="3"/>
      <c r="CZ331" s="3"/>
      <c r="DA331" s="3"/>
    </row>
    <row r="332" spans="1:105" x14ac:dyDescent="0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  <c r="BN332" s="3"/>
      <c r="BO332" s="3"/>
      <c r="BP332" s="3"/>
      <c r="BQ332" s="3"/>
      <c r="BR332" s="3"/>
      <c r="BS332" s="3"/>
      <c r="BT332" s="3"/>
      <c r="BU332" s="3"/>
      <c r="BV332" s="3"/>
      <c r="BW332" s="3"/>
      <c r="BX332" s="3"/>
      <c r="BY332" s="3"/>
      <c r="BZ332" s="3"/>
      <c r="CA332" s="3"/>
      <c r="CB332" s="3"/>
      <c r="CC332" s="3"/>
      <c r="CD332" s="3"/>
      <c r="CE332" s="3"/>
      <c r="CF332" s="3"/>
      <c r="CG332" s="3"/>
      <c r="CH332" s="3"/>
      <c r="CI332" s="3"/>
      <c r="CJ332" s="3"/>
      <c r="CK332" s="3"/>
      <c r="CL332" s="3"/>
      <c r="CM332" s="3"/>
      <c r="CN332" s="3"/>
      <c r="CO332" s="3"/>
      <c r="CP332" s="3"/>
      <c r="CQ332" s="3"/>
      <c r="CR332" s="3"/>
      <c r="CS332" s="3"/>
      <c r="CT332" s="3"/>
      <c r="CU332" s="3"/>
      <c r="CV332" s="3"/>
      <c r="CW332" s="3"/>
      <c r="CX332" s="3"/>
      <c r="CY332" s="3"/>
      <c r="CZ332" s="3"/>
      <c r="DA332" s="3"/>
    </row>
    <row r="333" spans="1:105" x14ac:dyDescent="0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  <c r="BN333" s="3"/>
      <c r="BO333" s="3"/>
      <c r="BP333" s="3"/>
      <c r="BQ333" s="3"/>
      <c r="BR333" s="3"/>
      <c r="BS333" s="3"/>
      <c r="BT333" s="3"/>
      <c r="BU333" s="3"/>
      <c r="BV333" s="3"/>
      <c r="BW333" s="3"/>
      <c r="BX333" s="3"/>
      <c r="BY333" s="3"/>
      <c r="BZ333" s="3"/>
      <c r="CA333" s="3"/>
      <c r="CB333" s="3"/>
      <c r="CC333" s="3"/>
      <c r="CD333" s="3"/>
      <c r="CE333" s="3"/>
      <c r="CF333" s="3"/>
      <c r="CG333" s="3"/>
      <c r="CH333" s="3"/>
      <c r="CI333" s="3"/>
      <c r="CJ333" s="3"/>
      <c r="CK333" s="3"/>
      <c r="CL333" s="3"/>
      <c r="CM333" s="3"/>
      <c r="CN333" s="3"/>
      <c r="CO333" s="3"/>
      <c r="CP333" s="3"/>
      <c r="CQ333" s="3"/>
      <c r="CR333" s="3"/>
      <c r="CS333" s="3"/>
      <c r="CT333" s="3"/>
      <c r="CU333" s="3"/>
      <c r="CV333" s="3"/>
      <c r="CW333" s="3"/>
      <c r="CX333" s="3"/>
      <c r="CY333" s="3"/>
      <c r="CZ333" s="3"/>
      <c r="DA333" s="3"/>
    </row>
    <row r="334" spans="1:105" x14ac:dyDescent="0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  <c r="BN334" s="3"/>
      <c r="BO334" s="3"/>
      <c r="BP334" s="3"/>
      <c r="BQ334" s="3"/>
      <c r="BR334" s="3"/>
      <c r="BS334" s="3"/>
      <c r="BT334" s="3"/>
      <c r="BU334" s="3"/>
      <c r="BV334" s="3"/>
      <c r="BW334" s="3"/>
      <c r="BX334" s="3"/>
      <c r="BY334" s="3"/>
      <c r="BZ334" s="3"/>
      <c r="CA334" s="3"/>
      <c r="CB334" s="3"/>
      <c r="CC334" s="3"/>
      <c r="CD334" s="3"/>
      <c r="CE334" s="3"/>
      <c r="CF334" s="3"/>
      <c r="CG334" s="3"/>
      <c r="CH334" s="3"/>
      <c r="CI334" s="3"/>
      <c r="CJ334" s="3"/>
      <c r="CK334" s="3"/>
      <c r="CL334" s="3"/>
      <c r="CM334" s="3"/>
      <c r="CN334" s="3"/>
      <c r="CO334" s="3"/>
      <c r="CP334" s="3"/>
      <c r="CQ334" s="3"/>
      <c r="CR334" s="3"/>
      <c r="CS334" s="3"/>
      <c r="CT334" s="3"/>
      <c r="CU334" s="3"/>
      <c r="CV334" s="3"/>
      <c r="CW334" s="3"/>
      <c r="CX334" s="3"/>
      <c r="CY334" s="3"/>
      <c r="CZ334" s="3"/>
      <c r="DA334" s="3"/>
    </row>
    <row r="335" spans="1:105" x14ac:dyDescent="0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  <c r="BN335" s="3"/>
      <c r="BO335" s="3"/>
      <c r="BP335" s="3"/>
      <c r="BQ335" s="3"/>
      <c r="BR335" s="3"/>
      <c r="BS335" s="3"/>
      <c r="BT335" s="3"/>
      <c r="BU335" s="3"/>
      <c r="BV335" s="3"/>
      <c r="BW335" s="3"/>
      <c r="BX335" s="3"/>
      <c r="BY335" s="3"/>
      <c r="BZ335" s="3"/>
      <c r="CA335" s="3"/>
      <c r="CB335" s="3"/>
      <c r="CC335" s="3"/>
      <c r="CD335" s="3"/>
      <c r="CE335" s="3"/>
      <c r="CF335" s="3"/>
      <c r="CG335" s="3"/>
      <c r="CH335" s="3"/>
      <c r="CI335" s="3"/>
      <c r="CJ335" s="3"/>
      <c r="CK335" s="3"/>
      <c r="CL335" s="3"/>
      <c r="CM335" s="3"/>
      <c r="CN335" s="3"/>
      <c r="CO335" s="3"/>
      <c r="CP335" s="3"/>
      <c r="CQ335" s="3"/>
      <c r="CR335" s="3"/>
      <c r="CS335" s="3"/>
      <c r="CT335" s="3"/>
      <c r="CU335" s="3"/>
      <c r="CV335" s="3"/>
      <c r="CW335" s="3"/>
      <c r="CX335" s="3"/>
      <c r="CY335" s="3"/>
      <c r="CZ335" s="3"/>
      <c r="DA335" s="3"/>
    </row>
    <row r="336" spans="1:105" x14ac:dyDescent="0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  <c r="BU336" s="3"/>
      <c r="BV336" s="3"/>
      <c r="BW336" s="3"/>
      <c r="BX336" s="3"/>
      <c r="BY336" s="3"/>
      <c r="BZ336" s="3"/>
      <c r="CA336" s="3"/>
      <c r="CB336" s="3"/>
      <c r="CC336" s="3"/>
      <c r="CD336" s="3"/>
      <c r="CE336" s="3"/>
      <c r="CF336" s="3"/>
      <c r="CG336" s="3"/>
      <c r="CH336" s="3"/>
      <c r="CI336" s="3"/>
      <c r="CJ336" s="3"/>
      <c r="CK336" s="3"/>
      <c r="CL336" s="3"/>
      <c r="CM336" s="3"/>
      <c r="CN336" s="3"/>
      <c r="CO336" s="3"/>
      <c r="CP336" s="3"/>
      <c r="CQ336" s="3"/>
      <c r="CR336" s="3"/>
      <c r="CS336" s="3"/>
      <c r="CT336" s="3"/>
      <c r="CU336" s="3"/>
      <c r="CV336" s="3"/>
      <c r="CW336" s="3"/>
      <c r="CX336" s="3"/>
      <c r="CY336" s="3"/>
      <c r="CZ336" s="3"/>
      <c r="DA336" s="3"/>
    </row>
    <row r="337" spans="1:105" x14ac:dyDescent="0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  <c r="BN337" s="3"/>
      <c r="BO337" s="3"/>
      <c r="BP337" s="3"/>
      <c r="BQ337" s="3"/>
      <c r="BR337" s="3"/>
      <c r="BS337" s="3"/>
      <c r="BT337" s="3"/>
      <c r="BU337" s="3"/>
      <c r="BV337" s="3"/>
      <c r="BW337" s="3"/>
      <c r="BX337" s="3"/>
      <c r="BY337" s="3"/>
      <c r="BZ337" s="3"/>
      <c r="CA337" s="3"/>
      <c r="CB337" s="3"/>
      <c r="CC337" s="3"/>
      <c r="CD337" s="3"/>
      <c r="CE337" s="3"/>
      <c r="CF337" s="3"/>
      <c r="CG337" s="3"/>
      <c r="CH337" s="3"/>
      <c r="CI337" s="3"/>
      <c r="CJ337" s="3"/>
      <c r="CK337" s="3"/>
      <c r="CL337" s="3"/>
      <c r="CM337" s="3"/>
      <c r="CN337" s="3"/>
      <c r="CO337" s="3"/>
      <c r="CP337" s="3"/>
      <c r="CQ337" s="3"/>
      <c r="CR337" s="3"/>
      <c r="CS337" s="3"/>
      <c r="CT337" s="3"/>
      <c r="CU337" s="3"/>
      <c r="CV337" s="3"/>
      <c r="CW337" s="3"/>
      <c r="CX337" s="3"/>
      <c r="CY337" s="3"/>
      <c r="CZ337" s="3"/>
      <c r="DA337" s="3"/>
    </row>
    <row r="338" spans="1:105" x14ac:dyDescent="0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  <c r="BN338" s="3"/>
      <c r="BO338" s="3"/>
      <c r="BP338" s="3"/>
      <c r="BQ338" s="3"/>
      <c r="BR338" s="3"/>
      <c r="BS338" s="3"/>
      <c r="BT338" s="3"/>
      <c r="BU338" s="3"/>
      <c r="BV338" s="3"/>
      <c r="BW338" s="3"/>
      <c r="BX338" s="3"/>
      <c r="BY338" s="3"/>
      <c r="BZ338" s="3"/>
      <c r="CA338" s="3"/>
      <c r="CB338" s="3"/>
      <c r="CC338" s="3"/>
      <c r="CD338" s="3"/>
      <c r="CE338" s="3"/>
      <c r="CF338" s="3"/>
      <c r="CG338" s="3"/>
      <c r="CH338" s="3"/>
      <c r="CI338" s="3"/>
      <c r="CJ338" s="3"/>
      <c r="CK338" s="3"/>
      <c r="CL338" s="3"/>
      <c r="CM338" s="3"/>
      <c r="CN338" s="3"/>
      <c r="CO338" s="3"/>
      <c r="CP338" s="3"/>
      <c r="CQ338" s="3"/>
      <c r="CR338" s="3"/>
      <c r="CS338" s="3"/>
      <c r="CT338" s="3"/>
      <c r="CU338" s="3"/>
      <c r="CV338" s="3"/>
      <c r="CW338" s="3"/>
      <c r="CX338" s="3"/>
      <c r="CY338" s="3"/>
      <c r="CZ338" s="3"/>
      <c r="DA338" s="3"/>
    </row>
    <row r="339" spans="1:105" x14ac:dyDescent="0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  <c r="BN339" s="3"/>
      <c r="BO339" s="3"/>
      <c r="BP339" s="3"/>
      <c r="BQ339" s="3"/>
      <c r="BR339" s="3"/>
      <c r="BS339" s="3"/>
      <c r="BT339" s="3"/>
      <c r="BU339" s="3"/>
      <c r="BV339" s="3"/>
      <c r="BW339" s="3"/>
      <c r="BX339" s="3"/>
      <c r="BY339" s="3"/>
      <c r="BZ339" s="3"/>
      <c r="CA339" s="3"/>
      <c r="CB339" s="3"/>
      <c r="CC339" s="3"/>
      <c r="CD339" s="3"/>
      <c r="CE339" s="3"/>
      <c r="CF339" s="3"/>
      <c r="CG339" s="3"/>
      <c r="CH339" s="3"/>
      <c r="CI339" s="3"/>
      <c r="CJ339" s="3"/>
      <c r="CK339" s="3"/>
      <c r="CL339" s="3"/>
      <c r="CM339" s="3"/>
      <c r="CN339" s="3"/>
      <c r="CO339" s="3"/>
      <c r="CP339" s="3"/>
      <c r="CQ339" s="3"/>
      <c r="CR339" s="3"/>
      <c r="CS339" s="3"/>
      <c r="CT339" s="3"/>
      <c r="CU339" s="3"/>
      <c r="CV339" s="3"/>
      <c r="CW339" s="3"/>
      <c r="CX339" s="3"/>
      <c r="CY339" s="3"/>
      <c r="CZ339" s="3"/>
      <c r="DA339" s="3"/>
    </row>
    <row r="340" spans="1:105" x14ac:dyDescent="0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  <c r="BU340" s="3"/>
      <c r="BV340" s="3"/>
      <c r="BW340" s="3"/>
      <c r="BX340" s="3"/>
      <c r="BY340" s="3"/>
      <c r="BZ340" s="3"/>
      <c r="CA340" s="3"/>
      <c r="CB340" s="3"/>
      <c r="CC340" s="3"/>
      <c r="CD340" s="3"/>
      <c r="CE340" s="3"/>
      <c r="CF340" s="3"/>
      <c r="CG340" s="3"/>
      <c r="CH340" s="3"/>
      <c r="CI340" s="3"/>
      <c r="CJ340" s="3"/>
      <c r="CK340" s="3"/>
      <c r="CL340" s="3"/>
      <c r="CM340" s="3"/>
      <c r="CN340" s="3"/>
      <c r="CO340" s="3"/>
      <c r="CP340" s="3"/>
      <c r="CQ340" s="3"/>
      <c r="CR340" s="3"/>
      <c r="CS340" s="3"/>
      <c r="CT340" s="3"/>
      <c r="CU340" s="3"/>
      <c r="CV340" s="3"/>
      <c r="CW340" s="3"/>
      <c r="CX340" s="3"/>
      <c r="CY340" s="3"/>
      <c r="CZ340" s="3"/>
      <c r="DA340" s="3"/>
    </row>
    <row r="341" spans="1:105" x14ac:dyDescent="0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  <c r="BU341" s="3"/>
      <c r="BV341" s="3"/>
      <c r="BW341" s="3"/>
      <c r="BX341" s="3"/>
      <c r="BY341" s="3"/>
      <c r="BZ341" s="3"/>
      <c r="CA341" s="3"/>
      <c r="CB341" s="3"/>
      <c r="CC341" s="3"/>
      <c r="CD341" s="3"/>
      <c r="CE341" s="3"/>
      <c r="CF341" s="3"/>
      <c r="CG341" s="3"/>
      <c r="CH341" s="3"/>
      <c r="CI341" s="3"/>
      <c r="CJ341" s="3"/>
      <c r="CK341" s="3"/>
      <c r="CL341" s="3"/>
      <c r="CM341" s="3"/>
      <c r="CN341" s="3"/>
      <c r="CO341" s="3"/>
      <c r="CP341" s="3"/>
      <c r="CQ341" s="3"/>
      <c r="CR341" s="3"/>
      <c r="CS341" s="3"/>
      <c r="CT341" s="3"/>
      <c r="CU341" s="3"/>
      <c r="CV341" s="3"/>
      <c r="CW341" s="3"/>
      <c r="CX341" s="3"/>
      <c r="CY341" s="3"/>
      <c r="CZ341" s="3"/>
      <c r="DA341" s="3"/>
    </row>
    <row r="342" spans="1:105" x14ac:dyDescent="0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/>
      <c r="BO342" s="3"/>
      <c r="BP342" s="3"/>
      <c r="BQ342" s="3"/>
      <c r="BR342" s="3"/>
      <c r="BS342" s="3"/>
      <c r="BT342" s="3"/>
      <c r="BU342" s="3"/>
      <c r="BV342" s="3"/>
      <c r="BW342" s="3"/>
      <c r="BX342" s="3"/>
      <c r="BY342" s="3"/>
      <c r="BZ342" s="3"/>
      <c r="CA342" s="3"/>
      <c r="CB342" s="3"/>
      <c r="CC342" s="3"/>
      <c r="CD342" s="3"/>
      <c r="CE342" s="3"/>
      <c r="CF342" s="3"/>
      <c r="CG342" s="3"/>
      <c r="CH342" s="3"/>
      <c r="CI342" s="3"/>
      <c r="CJ342" s="3"/>
      <c r="CK342" s="3"/>
      <c r="CL342" s="3"/>
      <c r="CM342" s="3"/>
      <c r="CN342" s="3"/>
      <c r="CO342" s="3"/>
      <c r="CP342" s="3"/>
      <c r="CQ342" s="3"/>
      <c r="CR342" s="3"/>
      <c r="CS342" s="3"/>
      <c r="CT342" s="3"/>
      <c r="CU342" s="3"/>
      <c r="CV342" s="3"/>
      <c r="CW342" s="3"/>
      <c r="CX342" s="3"/>
      <c r="CY342" s="3"/>
      <c r="CZ342" s="3"/>
      <c r="DA342" s="3"/>
    </row>
    <row r="343" spans="1:105" x14ac:dyDescent="0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  <c r="BN343" s="3"/>
      <c r="BO343" s="3"/>
      <c r="BP343" s="3"/>
      <c r="BQ343" s="3"/>
      <c r="BR343" s="3"/>
      <c r="BS343" s="3"/>
      <c r="BT343" s="3"/>
      <c r="BU343" s="3"/>
      <c r="BV343" s="3"/>
      <c r="BW343" s="3"/>
      <c r="BX343" s="3"/>
      <c r="BY343" s="3"/>
      <c r="BZ343" s="3"/>
      <c r="CA343" s="3"/>
      <c r="CB343" s="3"/>
      <c r="CC343" s="3"/>
      <c r="CD343" s="3"/>
      <c r="CE343" s="3"/>
      <c r="CF343" s="3"/>
      <c r="CG343" s="3"/>
      <c r="CH343" s="3"/>
      <c r="CI343" s="3"/>
      <c r="CJ343" s="3"/>
      <c r="CK343" s="3"/>
      <c r="CL343" s="3"/>
      <c r="CM343" s="3"/>
      <c r="CN343" s="3"/>
      <c r="CO343" s="3"/>
      <c r="CP343" s="3"/>
      <c r="CQ343" s="3"/>
      <c r="CR343" s="3"/>
      <c r="CS343" s="3"/>
      <c r="CT343" s="3"/>
      <c r="CU343" s="3"/>
      <c r="CV343" s="3"/>
      <c r="CW343" s="3"/>
      <c r="CX343" s="3"/>
      <c r="CY343" s="3"/>
      <c r="CZ343" s="3"/>
      <c r="DA343" s="3"/>
    </row>
    <row r="344" spans="1:105" x14ac:dyDescent="0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  <c r="BN344" s="3"/>
      <c r="BO344" s="3"/>
      <c r="BP344" s="3"/>
      <c r="BQ344" s="3"/>
      <c r="BR344" s="3"/>
      <c r="BS344" s="3"/>
      <c r="BT344" s="3"/>
      <c r="BU344" s="3"/>
      <c r="BV344" s="3"/>
      <c r="BW344" s="3"/>
      <c r="BX344" s="3"/>
      <c r="BY344" s="3"/>
      <c r="BZ344" s="3"/>
      <c r="CA344" s="3"/>
      <c r="CB344" s="3"/>
      <c r="CC344" s="3"/>
      <c r="CD344" s="3"/>
      <c r="CE344" s="3"/>
      <c r="CF344" s="3"/>
      <c r="CG344" s="3"/>
      <c r="CH344" s="3"/>
      <c r="CI344" s="3"/>
      <c r="CJ344" s="3"/>
      <c r="CK344" s="3"/>
      <c r="CL344" s="3"/>
      <c r="CM344" s="3"/>
      <c r="CN344" s="3"/>
      <c r="CO344" s="3"/>
      <c r="CP344" s="3"/>
      <c r="CQ344" s="3"/>
      <c r="CR344" s="3"/>
      <c r="CS344" s="3"/>
      <c r="CT344" s="3"/>
      <c r="CU344" s="3"/>
      <c r="CV344" s="3"/>
      <c r="CW344" s="3"/>
      <c r="CX344" s="3"/>
      <c r="CY344" s="3"/>
      <c r="CZ344" s="3"/>
      <c r="DA344" s="3"/>
    </row>
    <row r="345" spans="1:105" x14ac:dyDescent="0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  <c r="BP345" s="3"/>
      <c r="BQ345" s="3"/>
      <c r="BR345" s="3"/>
      <c r="BS345" s="3"/>
      <c r="BT345" s="3"/>
      <c r="BU345" s="3"/>
      <c r="BV345" s="3"/>
      <c r="BW345" s="3"/>
      <c r="BX345" s="3"/>
      <c r="BY345" s="3"/>
      <c r="BZ345" s="3"/>
      <c r="CA345" s="3"/>
      <c r="CB345" s="3"/>
      <c r="CC345" s="3"/>
      <c r="CD345" s="3"/>
      <c r="CE345" s="3"/>
      <c r="CF345" s="3"/>
      <c r="CG345" s="3"/>
      <c r="CH345" s="3"/>
      <c r="CI345" s="3"/>
      <c r="CJ345" s="3"/>
      <c r="CK345" s="3"/>
      <c r="CL345" s="3"/>
      <c r="CM345" s="3"/>
      <c r="CN345" s="3"/>
      <c r="CO345" s="3"/>
      <c r="CP345" s="3"/>
      <c r="CQ345" s="3"/>
      <c r="CR345" s="3"/>
      <c r="CS345" s="3"/>
      <c r="CT345" s="3"/>
      <c r="CU345" s="3"/>
      <c r="CV345" s="3"/>
      <c r="CW345" s="3"/>
      <c r="CX345" s="3"/>
      <c r="CY345" s="3"/>
      <c r="CZ345" s="3"/>
      <c r="DA345" s="3"/>
    </row>
    <row r="346" spans="1:105" x14ac:dyDescent="0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  <c r="BN346" s="3"/>
      <c r="BO346" s="3"/>
      <c r="BP346" s="3"/>
      <c r="BQ346" s="3"/>
      <c r="BR346" s="3"/>
      <c r="BS346" s="3"/>
      <c r="BT346" s="3"/>
      <c r="BU346" s="3"/>
      <c r="BV346" s="3"/>
      <c r="BW346" s="3"/>
      <c r="BX346" s="3"/>
      <c r="BY346" s="3"/>
      <c r="BZ346" s="3"/>
      <c r="CA346" s="3"/>
      <c r="CB346" s="3"/>
      <c r="CC346" s="3"/>
      <c r="CD346" s="3"/>
      <c r="CE346" s="3"/>
      <c r="CF346" s="3"/>
      <c r="CG346" s="3"/>
      <c r="CH346" s="3"/>
      <c r="CI346" s="3"/>
      <c r="CJ346" s="3"/>
      <c r="CK346" s="3"/>
      <c r="CL346" s="3"/>
      <c r="CM346" s="3"/>
      <c r="CN346" s="3"/>
      <c r="CO346" s="3"/>
      <c r="CP346" s="3"/>
      <c r="CQ346" s="3"/>
      <c r="CR346" s="3"/>
      <c r="CS346" s="3"/>
      <c r="CT346" s="3"/>
      <c r="CU346" s="3"/>
      <c r="CV346" s="3"/>
      <c r="CW346" s="3"/>
      <c r="CX346" s="3"/>
      <c r="CY346" s="3"/>
      <c r="CZ346" s="3"/>
      <c r="DA346" s="3"/>
    </row>
    <row r="347" spans="1:105" x14ac:dyDescent="0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  <c r="BN347" s="3"/>
      <c r="BO347" s="3"/>
      <c r="BP347" s="3"/>
      <c r="BQ347" s="3"/>
      <c r="BR347" s="3"/>
      <c r="BS347" s="3"/>
      <c r="BT347" s="3"/>
      <c r="BU347" s="3"/>
      <c r="BV347" s="3"/>
      <c r="BW347" s="3"/>
      <c r="BX347" s="3"/>
      <c r="BY347" s="3"/>
      <c r="BZ347" s="3"/>
      <c r="CA347" s="3"/>
      <c r="CB347" s="3"/>
      <c r="CC347" s="3"/>
      <c r="CD347" s="3"/>
      <c r="CE347" s="3"/>
      <c r="CF347" s="3"/>
      <c r="CG347" s="3"/>
      <c r="CH347" s="3"/>
      <c r="CI347" s="3"/>
      <c r="CJ347" s="3"/>
      <c r="CK347" s="3"/>
      <c r="CL347" s="3"/>
      <c r="CM347" s="3"/>
      <c r="CN347" s="3"/>
      <c r="CO347" s="3"/>
      <c r="CP347" s="3"/>
      <c r="CQ347" s="3"/>
      <c r="CR347" s="3"/>
      <c r="CS347" s="3"/>
      <c r="CT347" s="3"/>
      <c r="CU347" s="3"/>
      <c r="CV347" s="3"/>
      <c r="CW347" s="3"/>
      <c r="CX347" s="3"/>
      <c r="CY347" s="3"/>
      <c r="CZ347" s="3"/>
      <c r="DA347" s="3"/>
    </row>
    <row r="348" spans="1:105" x14ac:dyDescent="0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  <c r="BN348" s="3"/>
      <c r="BO348" s="3"/>
      <c r="BP348" s="3"/>
      <c r="BQ348" s="3"/>
      <c r="BR348" s="3"/>
      <c r="BS348" s="3"/>
      <c r="BT348" s="3"/>
      <c r="BU348" s="3"/>
      <c r="BV348" s="3"/>
      <c r="BW348" s="3"/>
      <c r="BX348" s="3"/>
      <c r="BY348" s="3"/>
      <c r="BZ348" s="3"/>
      <c r="CA348" s="3"/>
      <c r="CB348" s="3"/>
      <c r="CC348" s="3"/>
      <c r="CD348" s="3"/>
      <c r="CE348" s="3"/>
      <c r="CF348" s="3"/>
      <c r="CG348" s="3"/>
      <c r="CH348" s="3"/>
      <c r="CI348" s="3"/>
      <c r="CJ348" s="3"/>
      <c r="CK348" s="3"/>
      <c r="CL348" s="3"/>
      <c r="CM348" s="3"/>
      <c r="CN348" s="3"/>
      <c r="CO348" s="3"/>
      <c r="CP348" s="3"/>
      <c r="CQ348" s="3"/>
      <c r="CR348" s="3"/>
      <c r="CS348" s="3"/>
      <c r="CT348" s="3"/>
      <c r="CU348" s="3"/>
      <c r="CV348" s="3"/>
      <c r="CW348" s="3"/>
      <c r="CX348" s="3"/>
      <c r="CY348" s="3"/>
      <c r="CZ348" s="3"/>
      <c r="DA348" s="3"/>
    </row>
    <row r="349" spans="1:105" x14ac:dyDescent="0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  <c r="BN349" s="3"/>
      <c r="BO349" s="3"/>
      <c r="BP349" s="3"/>
      <c r="BQ349" s="3"/>
      <c r="BR349" s="3"/>
      <c r="BS349" s="3"/>
      <c r="BT349" s="3"/>
      <c r="BU349" s="3"/>
      <c r="BV349" s="3"/>
      <c r="BW349" s="3"/>
      <c r="BX349" s="3"/>
      <c r="BY349" s="3"/>
      <c r="BZ349" s="3"/>
      <c r="CA349" s="3"/>
      <c r="CB349" s="3"/>
      <c r="CC349" s="3"/>
      <c r="CD349" s="3"/>
      <c r="CE349" s="3"/>
      <c r="CF349" s="3"/>
      <c r="CG349" s="3"/>
      <c r="CH349" s="3"/>
      <c r="CI349" s="3"/>
      <c r="CJ349" s="3"/>
      <c r="CK349" s="3"/>
      <c r="CL349" s="3"/>
      <c r="CM349" s="3"/>
      <c r="CN349" s="3"/>
      <c r="CO349" s="3"/>
      <c r="CP349" s="3"/>
      <c r="CQ349" s="3"/>
      <c r="CR349" s="3"/>
      <c r="CS349" s="3"/>
      <c r="CT349" s="3"/>
      <c r="CU349" s="3"/>
      <c r="CV349" s="3"/>
      <c r="CW349" s="3"/>
      <c r="CX349" s="3"/>
      <c r="CY349" s="3"/>
      <c r="CZ349" s="3"/>
      <c r="DA349" s="3"/>
    </row>
    <row r="350" spans="1:105" x14ac:dyDescent="0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  <c r="BN350" s="3"/>
      <c r="BO350" s="3"/>
      <c r="BP350" s="3"/>
      <c r="BQ350" s="3"/>
      <c r="BR350" s="3"/>
      <c r="BS350" s="3"/>
      <c r="BT350" s="3"/>
      <c r="BU350" s="3"/>
      <c r="BV350" s="3"/>
      <c r="BW350" s="3"/>
      <c r="BX350" s="3"/>
      <c r="BY350" s="3"/>
      <c r="BZ350" s="3"/>
      <c r="CA350" s="3"/>
      <c r="CB350" s="3"/>
      <c r="CC350" s="3"/>
      <c r="CD350" s="3"/>
      <c r="CE350" s="3"/>
      <c r="CF350" s="3"/>
      <c r="CG350" s="3"/>
      <c r="CH350" s="3"/>
      <c r="CI350" s="3"/>
      <c r="CJ350" s="3"/>
      <c r="CK350" s="3"/>
      <c r="CL350" s="3"/>
      <c r="CM350" s="3"/>
      <c r="CN350" s="3"/>
      <c r="CO350" s="3"/>
      <c r="CP350" s="3"/>
      <c r="CQ350" s="3"/>
      <c r="CR350" s="3"/>
      <c r="CS350" s="3"/>
      <c r="CT350" s="3"/>
      <c r="CU350" s="3"/>
      <c r="CV350" s="3"/>
      <c r="CW350" s="3"/>
      <c r="CX350" s="3"/>
      <c r="CY350" s="3"/>
      <c r="CZ350" s="3"/>
      <c r="DA350" s="3"/>
    </row>
    <row r="351" spans="1:105" x14ac:dyDescent="0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  <c r="BN351" s="3"/>
      <c r="BO351" s="3"/>
      <c r="BP351" s="3"/>
      <c r="BQ351" s="3"/>
      <c r="BR351" s="3"/>
      <c r="BS351" s="3"/>
      <c r="BT351" s="3"/>
      <c r="BU351" s="3"/>
      <c r="BV351" s="3"/>
      <c r="BW351" s="3"/>
      <c r="BX351" s="3"/>
      <c r="BY351" s="3"/>
      <c r="BZ351" s="3"/>
      <c r="CA351" s="3"/>
      <c r="CB351" s="3"/>
      <c r="CC351" s="3"/>
      <c r="CD351" s="3"/>
      <c r="CE351" s="3"/>
      <c r="CF351" s="3"/>
      <c r="CG351" s="3"/>
      <c r="CH351" s="3"/>
      <c r="CI351" s="3"/>
      <c r="CJ351" s="3"/>
      <c r="CK351" s="3"/>
      <c r="CL351" s="3"/>
      <c r="CM351" s="3"/>
      <c r="CN351" s="3"/>
      <c r="CO351" s="3"/>
      <c r="CP351" s="3"/>
      <c r="CQ351" s="3"/>
      <c r="CR351" s="3"/>
      <c r="CS351" s="3"/>
      <c r="CT351" s="3"/>
      <c r="CU351" s="3"/>
      <c r="CV351" s="3"/>
      <c r="CW351" s="3"/>
      <c r="CX351" s="3"/>
      <c r="CY351" s="3"/>
      <c r="CZ351" s="3"/>
      <c r="DA351" s="3"/>
    </row>
    <row r="352" spans="1:105" x14ac:dyDescent="0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  <c r="BN352" s="3"/>
      <c r="BO352" s="3"/>
      <c r="BP352" s="3"/>
      <c r="BQ352" s="3"/>
      <c r="BR352" s="3"/>
      <c r="BS352" s="3"/>
      <c r="BT352" s="3"/>
      <c r="BU352" s="3"/>
      <c r="BV352" s="3"/>
      <c r="BW352" s="3"/>
      <c r="BX352" s="3"/>
      <c r="BY352" s="3"/>
      <c r="BZ352" s="3"/>
      <c r="CA352" s="3"/>
      <c r="CB352" s="3"/>
      <c r="CC352" s="3"/>
      <c r="CD352" s="3"/>
      <c r="CE352" s="3"/>
      <c r="CF352" s="3"/>
      <c r="CG352" s="3"/>
      <c r="CH352" s="3"/>
      <c r="CI352" s="3"/>
      <c r="CJ352" s="3"/>
      <c r="CK352" s="3"/>
      <c r="CL352" s="3"/>
      <c r="CM352" s="3"/>
      <c r="CN352" s="3"/>
      <c r="CO352" s="3"/>
      <c r="CP352" s="3"/>
      <c r="CQ352" s="3"/>
      <c r="CR352" s="3"/>
      <c r="CS352" s="3"/>
      <c r="CT352" s="3"/>
      <c r="CU352" s="3"/>
      <c r="CV352" s="3"/>
      <c r="CW352" s="3"/>
      <c r="CX352" s="3"/>
      <c r="CY352" s="3"/>
      <c r="CZ352" s="3"/>
      <c r="DA352" s="3"/>
    </row>
    <row r="353" spans="1:105" x14ac:dyDescent="0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  <c r="BN353" s="3"/>
      <c r="BO353" s="3"/>
      <c r="BP353" s="3"/>
      <c r="BQ353" s="3"/>
      <c r="BR353" s="3"/>
      <c r="BS353" s="3"/>
      <c r="BT353" s="3"/>
      <c r="BU353" s="3"/>
      <c r="BV353" s="3"/>
      <c r="BW353" s="3"/>
      <c r="BX353" s="3"/>
      <c r="BY353" s="3"/>
      <c r="BZ353" s="3"/>
      <c r="CA353" s="3"/>
      <c r="CB353" s="3"/>
      <c r="CC353" s="3"/>
      <c r="CD353" s="3"/>
      <c r="CE353" s="3"/>
      <c r="CF353" s="3"/>
      <c r="CG353" s="3"/>
      <c r="CH353" s="3"/>
      <c r="CI353" s="3"/>
      <c r="CJ353" s="3"/>
      <c r="CK353" s="3"/>
      <c r="CL353" s="3"/>
      <c r="CM353" s="3"/>
      <c r="CN353" s="3"/>
      <c r="CO353" s="3"/>
      <c r="CP353" s="3"/>
      <c r="CQ353" s="3"/>
      <c r="CR353" s="3"/>
      <c r="CS353" s="3"/>
      <c r="CT353" s="3"/>
      <c r="CU353" s="3"/>
      <c r="CV353" s="3"/>
      <c r="CW353" s="3"/>
      <c r="CX353" s="3"/>
      <c r="CY353" s="3"/>
      <c r="CZ353" s="3"/>
      <c r="DA353" s="3"/>
    </row>
    <row r="354" spans="1:105" x14ac:dyDescent="0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  <c r="BN354" s="3"/>
      <c r="BO354" s="3"/>
      <c r="BP354" s="3"/>
      <c r="BQ354" s="3"/>
      <c r="BR354" s="3"/>
      <c r="BS354" s="3"/>
      <c r="BT354" s="3"/>
      <c r="BU354" s="3"/>
      <c r="BV354" s="3"/>
      <c r="BW354" s="3"/>
      <c r="BX354" s="3"/>
      <c r="BY354" s="3"/>
      <c r="BZ354" s="3"/>
      <c r="CA354" s="3"/>
      <c r="CB354" s="3"/>
      <c r="CC354" s="3"/>
      <c r="CD354" s="3"/>
      <c r="CE354" s="3"/>
      <c r="CF354" s="3"/>
      <c r="CG354" s="3"/>
      <c r="CH354" s="3"/>
      <c r="CI354" s="3"/>
      <c r="CJ354" s="3"/>
      <c r="CK354" s="3"/>
      <c r="CL354" s="3"/>
      <c r="CM354" s="3"/>
      <c r="CN354" s="3"/>
      <c r="CO354" s="3"/>
      <c r="CP354" s="3"/>
      <c r="CQ354" s="3"/>
      <c r="CR354" s="3"/>
      <c r="CS354" s="3"/>
      <c r="CT354" s="3"/>
      <c r="CU354" s="3"/>
      <c r="CV354" s="3"/>
      <c r="CW354" s="3"/>
      <c r="CX354" s="3"/>
      <c r="CY354" s="3"/>
      <c r="CZ354" s="3"/>
      <c r="DA354" s="3"/>
    </row>
    <row r="355" spans="1:105" x14ac:dyDescent="0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  <c r="BN355" s="3"/>
      <c r="BO355" s="3"/>
      <c r="BP355" s="3"/>
      <c r="BQ355" s="3"/>
      <c r="BR355" s="3"/>
      <c r="BS355" s="3"/>
      <c r="BT355" s="3"/>
      <c r="BU355" s="3"/>
      <c r="BV355" s="3"/>
      <c r="BW355" s="3"/>
      <c r="BX355" s="3"/>
      <c r="BY355" s="3"/>
      <c r="BZ355" s="3"/>
      <c r="CA355" s="3"/>
      <c r="CB355" s="3"/>
      <c r="CC355" s="3"/>
      <c r="CD355" s="3"/>
      <c r="CE355" s="3"/>
      <c r="CF355" s="3"/>
      <c r="CG355" s="3"/>
      <c r="CH355" s="3"/>
      <c r="CI355" s="3"/>
      <c r="CJ355" s="3"/>
      <c r="CK355" s="3"/>
      <c r="CL355" s="3"/>
      <c r="CM355" s="3"/>
      <c r="CN355" s="3"/>
      <c r="CO355" s="3"/>
      <c r="CP355" s="3"/>
      <c r="CQ355" s="3"/>
      <c r="CR355" s="3"/>
      <c r="CS355" s="3"/>
      <c r="CT355" s="3"/>
      <c r="CU355" s="3"/>
      <c r="CV355" s="3"/>
      <c r="CW355" s="3"/>
      <c r="CX355" s="3"/>
      <c r="CY355" s="3"/>
      <c r="CZ355" s="3"/>
      <c r="DA355" s="3"/>
    </row>
    <row r="356" spans="1:105" x14ac:dyDescent="0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  <c r="BN356" s="3"/>
      <c r="BO356" s="3"/>
      <c r="BP356" s="3"/>
      <c r="BQ356" s="3"/>
      <c r="BR356" s="3"/>
      <c r="BS356" s="3"/>
      <c r="BT356" s="3"/>
      <c r="BU356" s="3"/>
      <c r="BV356" s="3"/>
      <c r="BW356" s="3"/>
      <c r="BX356" s="3"/>
      <c r="BY356" s="3"/>
      <c r="BZ356" s="3"/>
      <c r="CA356" s="3"/>
      <c r="CB356" s="3"/>
      <c r="CC356" s="3"/>
      <c r="CD356" s="3"/>
      <c r="CE356" s="3"/>
      <c r="CF356" s="3"/>
      <c r="CG356" s="3"/>
      <c r="CH356" s="3"/>
      <c r="CI356" s="3"/>
      <c r="CJ356" s="3"/>
      <c r="CK356" s="3"/>
      <c r="CL356" s="3"/>
      <c r="CM356" s="3"/>
      <c r="CN356" s="3"/>
      <c r="CO356" s="3"/>
      <c r="CP356" s="3"/>
      <c r="CQ356" s="3"/>
      <c r="CR356" s="3"/>
      <c r="CS356" s="3"/>
      <c r="CT356" s="3"/>
      <c r="CU356" s="3"/>
      <c r="CV356" s="3"/>
      <c r="CW356" s="3"/>
      <c r="CX356" s="3"/>
      <c r="CY356" s="3"/>
      <c r="CZ356" s="3"/>
      <c r="DA356" s="3"/>
    </row>
    <row r="357" spans="1:105" x14ac:dyDescent="0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  <c r="BN357" s="3"/>
      <c r="BO357" s="3"/>
      <c r="BP357" s="3"/>
      <c r="BQ357" s="3"/>
      <c r="BR357" s="3"/>
      <c r="BS357" s="3"/>
      <c r="BT357" s="3"/>
      <c r="BU357" s="3"/>
      <c r="BV357" s="3"/>
      <c r="BW357" s="3"/>
      <c r="BX357" s="3"/>
      <c r="BY357" s="3"/>
      <c r="BZ357" s="3"/>
      <c r="CA357" s="3"/>
      <c r="CB357" s="3"/>
      <c r="CC357" s="3"/>
      <c r="CD357" s="3"/>
      <c r="CE357" s="3"/>
      <c r="CF357" s="3"/>
      <c r="CG357" s="3"/>
      <c r="CH357" s="3"/>
      <c r="CI357" s="3"/>
      <c r="CJ357" s="3"/>
      <c r="CK357" s="3"/>
      <c r="CL357" s="3"/>
      <c r="CM357" s="3"/>
      <c r="CN357" s="3"/>
      <c r="CO357" s="3"/>
      <c r="CP357" s="3"/>
      <c r="CQ357" s="3"/>
      <c r="CR357" s="3"/>
      <c r="CS357" s="3"/>
      <c r="CT357" s="3"/>
      <c r="CU357" s="3"/>
      <c r="CV357" s="3"/>
      <c r="CW357" s="3"/>
      <c r="CX357" s="3"/>
      <c r="CY357" s="3"/>
      <c r="CZ357" s="3"/>
      <c r="DA357" s="3"/>
    </row>
    <row r="358" spans="1:105" x14ac:dyDescent="0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  <c r="BN358" s="3"/>
      <c r="BO358" s="3"/>
      <c r="BP358" s="3"/>
      <c r="BQ358" s="3"/>
      <c r="BR358" s="3"/>
      <c r="BS358" s="3"/>
      <c r="BT358" s="3"/>
      <c r="BU358" s="3"/>
      <c r="BV358" s="3"/>
      <c r="BW358" s="3"/>
      <c r="BX358" s="3"/>
      <c r="BY358" s="3"/>
      <c r="BZ358" s="3"/>
      <c r="CA358" s="3"/>
      <c r="CB358" s="3"/>
      <c r="CC358" s="3"/>
      <c r="CD358" s="3"/>
      <c r="CE358" s="3"/>
      <c r="CF358" s="3"/>
      <c r="CG358" s="3"/>
      <c r="CH358" s="3"/>
      <c r="CI358" s="3"/>
      <c r="CJ358" s="3"/>
      <c r="CK358" s="3"/>
      <c r="CL358" s="3"/>
      <c r="CM358" s="3"/>
      <c r="CN358" s="3"/>
      <c r="CO358" s="3"/>
      <c r="CP358" s="3"/>
      <c r="CQ358" s="3"/>
      <c r="CR358" s="3"/>
      <c r="CS358" s="3"/>
      <c r="CT358" s="3"/>
      <c r="CU358" s="3"/>
      <c r="CV358" s="3"/>
      <c r="CW358" s="3"/>
      <c r="CX358" s="3"/>
      <c r="CY358" s="3"/>
      <c r="CZ358" s="3"/>
      <c r="DA358" s="3"/>
    </row>
    <row r="359" spans="1:105" x14ac:dyDescent="0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  <c r="BN359" s="3"/>
      <c r="BO359" s="3"/>
      <c r="BP359" s="3"/>
      <c r="BQ359" s="3"/>
      <c r="BR359" s="3"/>
      <c r="BS359" s="3"/>
      <c r="BT359" s="3"/>
      <c r="BU359" s="3"/>
      <c r="BV359" s="3"/>
      <c r="BW359" s="3"/>
      <c r="BX359" s="3"/>
      <c r="BY359" s="3"/>
      <c r="BZ359" s="3"/>
      <c r="CA359" s="3"/>
      <c r="CB359" s="3"/>
      <c r="CC359" s="3"/>
      <c r="CD359" s="3"/>
      <c r="CE359" s="3"/>
      <c r="CF359" s="3"/>
      <c r="CG359" s="3"/>
      <c r="CH359" s="3"/>
      <c r="CI359" s="3"/>
      <c r="CJ359" s="3"/>
      <c r="CK359" s="3"/>
      <c r="CL359" s="3"/>
      <c r="CM359" s="3"/>
      <c r="CN359" s="3"/>
      <c r="CO359" s="3"/>
      <c r="CP359" s="3"/>
      <c r="CQ359" s="3"/>
      <c r="CR359" s="3"/>
      <c r="CS359" s="3"/>
      <c r="CT359" s="3"/>
      <c r="CU359" s="3"/>
      <c r="CV359" s="3"/>
      <c r="CW359" s="3"/>
      <c r="CX359" s="3"/>
      <c r="CY359" s="3"/>
      <c r="CZ359" s="3"/>
      <c r="DA359" s="3"/>
    </row>
    <row r="360" spans="1:105" x14ac:dyDescent="0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  <c r="BN360" s="3"/>
      <c r="BO360" s="3"/>
      <c r="BP360" s="3"/>
      <c r="BQ360" s="3"/>
      <c r="BR360" s="3"/>
      <c r="BS360" s="3"/>
      <c r="BT360" s="3"/>
      <c r="BU360" s="3"/>
      <c r="BV360" s="3"/>
      <c r="BW360" s="3"/>
      <c r="BX360" s="3"/>
      <c r="BY360" s="3"/>
      <c r="BZ360" s="3"/>
      <c r="CA360" s="3"/>
      <c r="CB360" s="3"/>
      <c r="CC360" s="3"/>
      <c r="CD360" s="3"/>
      <c r="CE360" s="3"/>
      <c r="CF360" s="3"/>
      <c r="CG360" s="3"/>
      <c r="CH360" s="3"/>
      <c r="CI360" s="3"/>
      <c r="CJ360" s="3"/>
      <c r="CK360" s="3"/>
      <c r="CL360" s="3"/>
      <c r="CM360" s="3"/>
      <c r="CN360" s="3"/>
      <c r="CO360" s="3"/>
      <c r="CP360" s="3"/>
      <c r="CQ360" s="3"/>
      <c r="CR360" s="3"/>
      <c r="CS360" s="3"/>
      <c r="CT360" s="3"/>
      <c r="CU360" s="3"/>
      <c r="CV360" s="3"/>
      <c r="CW360" s="3"/>
      <c r="CX360" s="3"/>
      <c r="CY360" s="3"/>
      <c r="CZ360" s="3"/>
      <c r="DA360" s="3"/>
    </row>
    <row r="361" spans="1:105" x14ac:dyDescent="0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  <c r="BN361" s="3"/>
      <c r="BO361" s="3"/>
      <c r="BP361" s="3"/>
      <c r="BQ361" s="3"/>
      <c r="BR361" s="3"/>
      <c r="BS361" s="3"/>
      <c r="BT361" s="3"/>
      <c r="BU361" s="3"/>
      <c r="BV361" s="3"/>
      <c r="BW361" s="3"/>
      <c r="BX361" s="3"/>
      <c r="BY361" s="3"/>
      <c r="BZ361" s="3"/>
      <c r="CA361" s="3"/>
      <c r="CB361" s="3"/>
      <c r="CC361" s="3"/>
      <c r="CD361" s="3"/>
      <c r="CE361" s="3"/>
      <c r="CF361" s="3"/>
      <c r="CG361" s="3"/>
      <c r="CH361" s="3"/>
      <c r="CI361" s="3"/>
      <c r="CJ361" s="3"/>
      <c r="CK361" s="3"/>
      <c r="CL361" s="3"/>
      <c r="CM361" s="3"/>
      <c r="CN361" s="3"/>
      <c r="CO361" s="3"/>
      <c r="CP361" s="3"/>
      <c r="CQ361" s="3"/>
      <c r="CR361" s="3"/>
      <c r="CS361" s="3"/>
      <c r="CT361" s="3"/>
      <c r="CU361" s="3"/>
      <c r="CV361" s="3"/>
      <c r="CW361" s="3"/>
      <c r="CX361" s="3"/>
      <c r="CY361" s="3"/>
      <c r="CZ361" s="3"/>
      <c r="DA361" s="3"/>
    </row>
    <row r="362" spans="1:105" x14ac:dyDescent="0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  <c r="BN362" s="3"/>
      <c r="BO362" s="3"/>
      <c r="BP362" s="3"/>
      <c r="BQ362" s="3"/>
      <c r="BR362" s="3"/>
      <c r="BS362" s="3"/>
      <c r="BT362" s="3"/>
      <c r="BU362" s="3"/>
      <c r="BV362" s="3"/>
      <c r="BW362" s="3"/>
      <c r="BX362" s="3"/>
      <c r="BY362" s="3"/>
      <c r="BZ362" s="3"/>
      <c r="CA362" s="3"/>
      <c r="CB362" s="3"/>
      <c r="CC362" s="3"/>
      <c r="CD362" s="3"/>
      <c r="CE362" s="3"/>
      <c r="CF362" s="3"/>
      <c r="CG362" s="3"/>
      <c r="CH362" s="3"/>
      <c r="CI362" s="3"/>
      <c r="CJ362" s="3"/>
      <c r="CK362" s="3"/>
      <c r="CL362" s="3"/>
      <c r="CM362" s="3"/>
      <c r="CN362" s="3"/>
      <c r="CO362" s="3"/>
      <c r="CP362" s="3"/>
      <c r="CQ362" s="3"/>
      <c r="CR362" s="3"/>
      <c r="CS362" s="3"/>
      <c r="CT362" s="3"/>
      <c r="CU362" s="3"/>
      <c r="CV362" s="3"/>
      <c r="CW362" s="3"/>
      <c r="CX362" s="3"/>
      <c r="CY362" s="3"/>
      <c r="CZ362" s="3"/>
      <c r="DA362" s="3"/>
    </row>
    <row r="363" spans="1:105" x14ac:dyDescent="0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  <c r="BN363" s="3"/>
      <c r="BO363" s="3"/>
      <c r="BP363" s="3"/>
      <c r="BQ363" s="3"/>
      <c r="BR363" s="3"/>
      <c r="BS363" s="3"/>
      <c r="BT363" s="3"/>
      <c r="BU363" s="3"/>
      <c r="BV363" s="3"/>
      <c r="BW363" s="3"/>
      <c r="BX363" s="3"/>
      <c r="BY363" s="3"/>
      <c r="BZ363" s="3"/>
      <c r="CA363" s="3"/>
      <c r="CB363" s="3"/>
      <c r="CC363" s="3"/>
      <c r="CD363" s="3"/>
      <c r="CE363" s="3"/>
      <c r="CF363" s="3"/>
      <c r="CG363" s="3"/>
      <c r="CH363" s="3"/>
      <c r="CI363" s="3"/>
      <c r="CJ363" s="3"/>
      <c r="CK363" s="3"/>
      <c r="CL363" s="3"/>
      <c r="CM363" s="3"/>
      <c r="CN363" s="3"/>
      <c r="CO363" s="3"/>
      <c r="CP363" s="3"/>
      <c r="CQ363" s="3"/>
      <c r="CR363" s="3"/>
      <c r="CS363" s="3"/>
      <c r="CT363" s="3"/>
      <c r="CU363" s="3"/>
      <c r="CV363" s="3"/>
      <c r="CW363" s="3"/>
      <c r="CX363" s="3"/>
      <c r="CY363" s="3"/>
      <c r="CZ363" s="3"/>
      <c r="DA363" s="3"/>
    </row>
    <row r="364" spans="1:105" x14ac:dyDescent="0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  <c r="BN364" s="3"/>
      <c r="BO364" s="3"/>
      <c r="BP364" s="3"/>
      <c r="BQ364" s="3"/>
      <c r="BR364" s="3"/>
      <c r="BS364" s="3"/>
      <c r="BT364" s="3"/>
      <c r="BU364" s="3"/>
      <c r="BV364" s="3"/>
      <c r="BW364" s="3"/>
      <c r="BX364" s="3"/>
      <c r="BY364" s="3"/>
      <c r="BZ364" s="3"/>
      <c r="CA364" s="3"/>
      <c r="CB364" s="3"/>
      <c r="CC364" s="3"/>
      <c r="CD364" s="3"/>
      <c r="CE364" s="3"/>
      <c r="CF364" s="3"/>
      <c r="CG364" s="3"/>
      <c r="CH364" s="3"/>
      <c r="CI364" s="3"/>
      <c r="CJ364" s="3"/>
      <c r="CK364" s="3"/>
      <c r="CL364" s="3"/>
      <c r="CM364" s="3"/>
      <c r="CN364" s="3"/>
      <c r="CO364" s="3"/>
      <c r="CP364" s="3"/>
      <c r="CQ364" s="3"/>
      <c r="CR364" s="3"/>
      <c r="CS364" s="3"/>
      <c r="CT364" s="3"/>
      <c r="CU364" s="3"/>
      <c r="CV364" s="3"/>
      <c r="CW364" s="3"/>
      <c r="CX364" s="3"/>
      <c r="CY364" s="3"/>
      <c r="CZ364" s="3"/>
      <c r="DA364" s="3"/>
    </row>
    <row r="365" spans="1:105" x14ac:dyDescent="0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  <c r="BN365" s="3"/>
      <c r="BO365" s="3"/>
      <c r="BP365" s="3"/>
      <c r="BQ365" s="3"/>
      <c r="BR365" s="3"/>
      <c r="BS365" s="3"/>
      <c r="BT365" s="3"/>
      <c r="BU365" s="3"/>
      <c r="BV365" s="3"/>
      <c r="BW365" s="3"/>
      <c r="BX365" s="3"/>
      <c r="BY365" s="3"/>
      <c r="BZ365" s="3"/>
      <c r="CA365" s="3"/>
      <c r="CB365" s="3"/>
      <c r="CC365" s="3"/>
      <c r="CD365" s="3"/>
      <c r="CE365" s="3"/>
      <c r="CF365" s="3"/>
      <c r="CG365" s="3"/>
      <c r="CH365" s="3"/>
      <c r="CI365" s="3"/>
      <c r="CJ365" s="3"/>
      <c r="CK365" s="3"/>
      <c r="CL365" s="3"/>
      <c r="CM365" s="3"/>
      <c r="CN365" s="3"/>
      <c r="CO365" s="3"/>
      <c r="CP365" s="3"/>
      <c r="CQ365" s="3"/>
      <c r="CR365" s="3"/>
      <c r="CS365" s="3"/>
      <c r="CT365" s="3"/>
      <c r="CU365" s="3"/>
      <c r="CV365" s="3"/>
      <c r="CW365" s="3"/>
      <c r="CX365" s="3"/>
      <c r="CY365" s="3"/>
      <c r="CZ365" s="3"/>
      <c r="DA365" s="3"/>
    </row>
    <row r="366" spans="1:105" x14ac:dyDescent="0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  <c r="BN366" s="3"/>
      <c r="BO366" s="3"/>
      <c r="BP366" s="3"/>
      <c r="BQ366" s="3"/>
      <c r="BR366" s="3"/>
      <c r="BS366" s="3"/>
      <c r="BT366" s="3"/>
      <c r="BU366" s="3"/>
      <c r="BV366" s="3"/>
      <c r="BW366" s="3"/>
      <c r="BX366" s="3"/>
      <c r="BY366" s="3"/>
      <c r="BZ366" s="3"/>
      <c r="CA366" s="3"/>
      <c r="CB366" s="3"/>
      <c r="CC366" s="3"/>
      <c r="CD366" s="3"/>
      <c r="CE366" s="3"/>
      <c r="CF366" s="3"/>
      <c r="CG366" s="3"/>
      <c r="CH366" s="3"/>
      <c r="CI366" s="3"/>
      <c r="CJ366" s="3"/>
      <c r="CK366" s="3"/>
      <c r="CL366" s="3"/>
      <c r="CM366" s="3"/>
      <c r="CN366" s="3"/>
      <c r="CO366" s="3"/>
      <c r="CP366" s="3"/>
      <c r="CQ366" s="3"/>
      <c r="CR366" s="3"/>
      <c r="CS366" s="3"/>
      <c r="CT366" s="3"/>
      <c r="CU366" s="3"/>
      <c r="CV366" s="3"/>
      <c r="CW366" s="3"/>
      <c r="CX366" s="3"/>
      <c r="CY366" s="3"/>
      <c r="CZ366" s="3"/>
      <c r="DA366" s="3"/>
    </row>
    <row r="367" spans="1:105" x14ac:dyDescent="0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  <c r="BN367" s="3"/>
      <c r="BO367" s="3"/>
      <c r="BP367" s="3"/>
      <c r="BQ367" s="3"/>
      <c r="BR367" s="3"/>
      <c r="BS367" s="3"/>
      <c r="BT367" s="3"/>
      <c r="BU367" s="3"/>
      <c r="BV367" s="3"/>
      <c r="BW367" s="3"/>
      <c r="BX367" s="3"/>
      <c r="BY367" s="3"/>
      <c r="BZ367" s="3"/>
      <c r="CA367" s="3"/>
      <c r="CB367" s="3"/>
      <c r="CC367" s="3"/>
      <c r="CD367" s="3"/>
      <c r="CE367" s="3"/>
      <c r="CF367" s="3"/>
      <c r="CG367" s="3"/>
      <c r="CH367" s="3"/>
      <c r="CI367" s="3"/>
      <c r="CJ367" s="3"/>
      <c r="CK367" s="3"/>
      <c r="CL367" s="3"/>
      <c r="CM367" s="3"/>
      <c r="CN367" s="3"/>
      <c r="CO367" s="3"/>
      <c r="CP367" s="3"/>
      <c r="CQ367" s="3"/>
      <c r="CR367" s="3"/>
      <c r="CS367" s="3"/>
      <c r="CT367" s="3"/>
      <c r="CU367" s="3"/>
      <c r="CV367" s="3"/>
      <c r="CW367" s="3"/>
      <c r="CX367" s="3"/>
      <c r="CY367" s="3"/>
      <c r="CZ367" s="3"/>
      <c r="DA367" s="3"/>
    </row>
    <row r="368" spans="1:105" x14ac:dyDescent="0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  <c r="BN368" s="3"/>
      <c r="BO368" s="3"/>
      <c r="BP368" s="3"/>
      <c r="BQ368" s="3"/>
      <c r="BR368" s="3"/>
      <c r="BS368" s="3"/>
      <c r="BT368" s="3"/>
      <c r="BU368" s="3"/>
      <c r="BV368" s="3"/>
      <c r="BW368" s="3"/>
      <c r="BX368" s="3"/>
      <c r="BY368" s="3"/>
      <c r="BZ368" s="3"/>
      <c r="CA368" s="3"/>
      <c r="CB368" s="3"/>
      <c r="CC368" s="3"/>
      <c r="CD368" s="3"/>
      <c r="CE368" s="3"/>
      <c r="CF368" s="3"/>
      <c r="CG368" s="3"/>
      <c r="CH368" s="3"/>
      <c r="CI368" s="3"/>
      <c r="CJ368" s="3"/>
      <c r="CK368" s="3"/>
      <c r="CL368" s="3"/>
      <c r="CM368" s="3"/>
      <c r="CN368" s="3"/>
      <c r="CO368" s="3"/>
      <c r="CP368" s="3"/>
      <c r="CQ368" s="3"/>
      <c r="CR368" s="3"/>
      <c r="CS368" s="3"/>
      <c r="CT368" s="3"/>
      <c r="CU368" s="3"/>
      <c r="CV368" s="3"/>
      <c r="CW368" s="3"/>
      <c r="CX368" s="3"/>
      <c r="CY368" s="3"/>
      <c r="CZ368" s="3"/>
      <c r="DA368" s="3"/>
    </row>
    <row r="369" spans="1:105" x14ac:dyDescent="0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  <c r="BN369" s="3"/>
      <c r="BO369" s="3"/>
      <c r="BP369" s="3"/>
      <c r="BQ369" s="3"/>
      <c r="BR369" s="3"/>
      <c r="BS369" s="3"/>
      <c r="BT369" s="3"/>
      <c r="BU369" s="3"/>
      <c r="BV369" s="3"/>
      <c r="BW369" s="3"/>
      <c r="BX369" s="3"/>
      <c r="BY369" s="3"/>
      <c r="BZ369" s="3"/>
      <c r="CA369" s="3"/>
      <c r="CB369" s="3"/>
      <c r="CC369" s="3"/>
      <c r="CD369" s="3"/>
      <c r="CE369" s="3"/>
      <c r="CF369" s="3"/>
      <c r="CG369" s="3"/>
      <c r="CH369" s="3"/>
      <c r="CI369" s="3"/>
      <c r="CJ369" s="3"/>
      <c r="CK369" s="3"/>
      <c r="CL369" s="3"/>
      <c r="CM369" s="3"/>
      <c r="CN369" s="3"/>
      <c r="CO369" s="3"/>
      <c r="CP369" s="3"/>
      <c r="CQ369" s="3"/>
      <c r="CR369" s="3"/>
      <c r="CS369" s="3"/>
      <c r="CT369" s="3"/>
      <c r="CU369" s="3"/>
      <c r="CV369" s="3"/>
      <c r="CW369" s="3"/>
      <c r="CX369" s="3"/>
      <c r="CY369" s="3"/>
      <c r="CZ369" s="3"/>
      <c r="DA369" s="3"/>
    </row>
    <row r="370" spans="1:105" x14ac:dyDescent="0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  <c r="BN370" s="3"/>
      <c r="BO370" s="3"/>
      <c r="BP370" s="3"/>
      <c r="BQ370" s="3"/>
      <c r="BR370" s="3"/>
      <c r="BS370" s="3"/>
      <c r="BT370" s="3"/>
      <c r="BU370" s="3"/>
      <c r="BV370" s="3"/>
      <c r="BW370" s="3"/>
      <c r="BX370" s="3"/>
      <c r="BY370" s="3"/>
      <c r="BZ370" s="3"/>
      <c r="CA370" s="3"/>
      <c r="CB370" s="3"/>
      <c r="CC370" s="3"/>
      <c r="CD370" s="3"/>
      <c r="CE370" s="3"/>
      <c r="CF370" s="3"/>
      <c r="CG370" s="3"/>
      <c r="CH370" s="3"/>
      <c r="CI370" s="3"/>
      <c r="CJ370" s="3"/>
      <c r="CK370" s="3"/>
      <c r="CL370" s="3"/>
      <c r="CM370" s="3"/>
      <c r="CN370" s="3"/>
      <c r="CO370" s="3"/>
      <c r="CP370" s="3"/>
      <c r="CQ370" s="3"/>
      <c r="CR370" s="3"/>
      <c r="CS370" s="3"/>
      <c r="CT370" s="3"/>
      <c r="CU370" s="3"/>
      <c r="CV370" s="3"/>
      <c r="CW370" s="3"/>
      <c r="CX370" s="3"/>
      <c r="CY370" s="3"/>
      <c r="CZ370" s="3"/>
      <c r="DA370" s="3"/>
    </row>
    <row r="371" spans="1:105" x14ac:dyDescent="0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  <c r="BN371" s="3"/>
      <c r="BO371" s="3"/>
      <c r="BP371" s="3"/>
      <c r="BQ371" s="3"/>
      <c r="BR371" s="3"/>
      <c r="BS371" s="3"/>
      <c r="BT371" s="3"/>
      <c r="BU371" s="3"/>
      <c r="BV371" s="3"/>
      <c r="BW371" s="3"/>
      <c r="BX371" s="3"/>
      <c r="BY371" s="3"/>
      <c r="BZ371" s="3"/>
      <c r="CA371" s="3"/>
      <c r="CB371" s="3"/>
      <c r="CC371" s="3"/>
      <c r="CD371" s="3"/>
      <c r="CE371" s="3"/>
      <c r="CF371" s="3"/>
      <c r="CG371" s="3"/>
      <c r="CH371" s="3"/>
      <c r="CI371" s="3"/>
      <c r="CJ371" s="3"/>
      <c r="CK371" s="3"/>
      <c r="CL371" s="3"/>
      <c r="CM371" s="3"/>
      <c r="CN371" s="3"/>
      <c r="CO371" s="3"/>
      <c r="CP371" s="3"/>
      <c r="CQ371" s="3"/>
      <c r="CR371" s="3"/>
      <c r="CS371" s="3"/>
      <c r="CT371" s="3"/>
      <c r="CU371" s="3"/>
      <c r="CV371" s="3"/>
      <c r="CW371" s="3"/>
      <c r="CX371" s="3"/>
      <c r="CY371" s="3"/>
      <c r="CZ371" s="3"/>
      <c r="DA371" s="3"/>
    </row>
    <row r="372" spans="1:105" x14ac:dyDescent="0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  <c r="BN372" s="3"/>
      <c r="BO372" s="3"/>
      <c r="BP372" s="3"/>
      <c r="BQ372" s="3"/>
      <c r="BR372" s="3"/>
      <c r="BS372" s="3"/>
      <c r="BT372" s="3"/>
      <c r="BU372" s="3"/>
      <c r="BV372" s="3"/>
      <c r="BW372" s="3"/>
      <c r="BX372" s="3"/>
      <c r="BY372" s="3"/>
      <c r="BZ372" s="3"/>
      <c r="CA372" s="3"/>
      <c r="CB372" s="3"/>
      <c r="CC372" s="3"/>
      <c r="CD372" s="3"/>
      <c r="CE372" s="3"/>
      <c r="CF372" s="3"/>
      <c r="CG372" s="3"/>
      <c r="CH372" s="3"/>
      <c r="CI372" s="3"/>
      <c r="CJ372" s="3"/>
      <c r="CK372" s="3"/>
      <c r="CL372" s="3"/>
      <c r="CM372" s="3"/>
      <c r="CN372" s="3"/>
      <c r="CO372" s="3"/>
      <c r="CP372" s="3"/>
      <c r="CQ372" s="3"/>
      <c r="CR372" s="3"/>
      <c r="CS372" s="3"/>
      <c r="CT372" s="3"/>
      <c r="CU372" s="3"/>
      <c r="CV372" s="3"/>
      <c r="CW372" s="3"/>
      <c r="CX372" s="3"/>
      <c r="CY372" s="3"/>
      <c r="CZ372" s="3"/>
      <c r="DA372" s="3"/>
    </row>
    <row r="373" spans="1:105" x14ac:dyDescent="0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  <c r="BN373" s="3"/>
      <c r="BO373" s="3"/>
      <c r="BP373" s="3"/>
      <c r="BQ373" s="3"/>
      <c r="BR373" s="3"/>
      <c r="BS373" s="3"/>
      <c r="BT373" s="3"/>
      <c r="BU373" s="3"/>
      <c r="BV373" s="3"/>
      <c r="BW373" s="3"/>
      <c r="BX373" s="3"/>
      <c r="BY373" s="3"/>
      <c r="BZ373" s="3"/>
      <c r="CA373" s="3"/>
      <c r="CB373" s="3"/>
      <c r="CC373" s="3"/>
      <c r="CD373" s="3"/>
      <c r="CE373" s="3"/>
      <c r="CF373" s="3"/>
      <c r="CG373" s="3"/>
      <c r="CH373" s="3"/>
      <c r="CI373" s="3"/>
      <c r="CJ373" s="3"/>
      <c r="CK373" s="3"/>
      <c r="CL373" s="3"/>
      <c r="CM373" s="3"/>
      <c r="CN373" s="3"/>
      <c r="CO373" s="3"/>
      <c r="CP373" s="3"/>
      <c r="CQ373" s="3"/>
      <c r="CR373" s="3"/>
      <c r="CS373" s="3"/>
      <c r="CT373" s="3"/>
      <c r="CU373" s="3"/>
      <c r="CV373" s="3"/>
      <c r="CW373" s="3"/>
      <c r="CX373" s="3"/>
      <c r="CY373" s="3"/>
      <c r="CZ373" s="3"/>
      <c r="DA373" s="3"/>
    </row>
    <row r="374" spans="1:105" x14ac:dyDescent="0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  <c r="BN374" s="3"/>
      <c r="BO374" s="3"/>
      <c r="BP374" s="3"/>
      <c r="BQ374" s="3"/>
      <c r="BR374" s="3"/>
      <c r="BS374" s="3"/>
      <c r="BT374" s="3"/>
      <c r="BU374" s="3"/>
      <c r="BV374" s="3"/>
      <c r="BW374" s="3"/>
      <c r="BX374" s="3"/>
      <c r="BY374" s="3"/>
      <c r="BZ374" s="3"/>
      <c r="CA374" s="3"/>
      <c r="CB374" s="3"/>
      <c r="CC374" s="3"/>
      <c r="CD374" s="3"/>
      <c r="CE374" s="3"/>
      <c r="CF374" s="3"/>
      <c r="CG374" s="3"/>
      <c r="CH374" s="3"/>
      <c r="CI374" s="3"/>
      <c r="CJ374" s="3"/>
      <c r="CK374" s="3"/>
      <c r="CL374" s="3"/>
      <c r="CM374" s="3"/>
      <c r="CN374" s="3"/>
      <c r="CO374" s="3"/>
      <c r="CP374" s="3"/>
      <c r="CQ374" s="3"/>
      <c r="CR374" s="3"/>
      <c r="CS374" s="3"/>
      <c r="CT374" s="3"/>
      <c r="CU374" s="3"/>
      <c r="CV374" s="3"/>
      <c r="CW374" s="3"/>
      <c r="CX374" s="3"/>
      <c r="CY374" s="3"/>
      <c r="CZ374" s="3"/>
      <c r="DA374" s="3"/>
    </row>
    <row r="375" spans="1:105" x14ac:dyDescent="0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  <c r="BN375" s="3"/>
      <c r="BO375" s="3"/>
      <c r="BP375" s="3"/>
      <c r="BQ375" s="3"/>
      <c r="BR375" s="3"/>
      <c r="BS375" s="3"/>
      <c r="BT375" s="3"/>
      <c r="BU375" s="3"/>
      <c r="BV375" s="3"/>
      <c r="BW375" s="3"/>
      <c r="BX375" s="3"/>
      <c r="BY375" s="3"/>
      <c r="BZ375" s="3"/>
      <c r="CA375" s="3"/>
      <c r="CB375" s="3"/>
      <c r="CC375" s="3"/>
      <c r="CD375" s="3"/>
      <c r="CE375" s="3"/>
      <c r="CF375" s="3"/>
      <c r="CG375" s="3"/>
      <c r="CH375" s="3"/>
      <c r="CI375" s="3"/>
      <c r="CJ375" s="3"/>
      <c r="CK375" s="3"/>
      <c r="CL375" s="3"/>
      <c r="CM375" s="3"/>
      <c r="CN375" s="3"/>
      <c r="CO375" s="3"/>
      <c r="CP375" s="3"/>
      <c r="CQ375" s="3"/>
      <c r="CR375" s="3"/>
      <c r="CS375" s="3"/>
      <c r="CT375" s="3"/>
      <c r="CU375" s="3"/>
      <c r="CV375" s="3"/>
      <c r="CW375" s="3"/>
      <c r="CX375" s="3"/>
      <c r="CY375" s="3"/>
      <c r="CZ375" s="3"/>
      <c r="DA375" s="3"/>
    </row>
    <row r="376" spans="1:105" x14ac:dyDescent="0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  <c r="BN376" s="3"/>
      <c r="BO376" s="3"/>
      <c r="BP376" s="3"/>
      <c r="BQ376" s="3"/>
      <c r="BR376" s="3"/>
      <c r="BS376" s="3"/>
      <c r="BT376" s="3"/>
      <c r="BU376" s="3"/>
      <c r="BV376" s="3"/>
      <c r="BW376" s="3"/>
      <c r="BX376" s="3"/>
      <c r="BY376" s="3"/>
      <c r="BZ376" s="3"/>
      <c r="CA376" s="3"/>
      <c r="CB376" s="3"/>
      <c r="CC376" s="3"/>
      <c r="CD376" s="3"/>
      <c r="CE376" s="3"/>
      <c r="CF376" s="3"/>
      <c r="CG376" s="3"/>
      <c r="CH376" s="3"/>
      <c r="CI376" s="3"/>
      <c r="CJ376" s="3"/>
      <c r="CK376" s="3"/>
      <c r="CL376" s="3"/>
      <c r="CM376" s="3"/>
      <c r="CN376" s="3"/>
      <c r="CO376" s="3"/>
      <c r="CP376" s="3"/>
      <c r="CQ376" s="3"/>
      <c r="CR376" s="3"/>
      <c r="CS376" s="3"/>
      <c r="CT376" s="3"/>
      <c r="CU376" s="3"/>
      <c r="CV376" s="3"/>
      <c r="CW376" s="3"/>
      <c r="CX376" s="3"/>
      <c r="CY376" s="3"/>
      <c r="CZ376" s="3"/>
      <c r="DA376" s="3"/>
    </row>
    <row r="377" spans="1:105" x14ac:dyDescent="0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  <c r="BN377" s="3"/>
      <c r="BO377" s="3"/>
      <c r="BP377" s="3"/>
      <c r="BQ377" s="3"/>
      <c r="BR377" s="3"/>
      <c r="BS377" s="3"/>
      <c r="BT377" s="3"/>
      <c r="BU377" s="3"/>
      <c r="BV377" s="3"/>
      <c r="BW377" s="3"/>
      <c r="BX377" s="3"/>
      <c r="BY377" s="3"/>
      <c r="BZ377" s="3"/>
      <c r="CA377" s="3"/>
      <c r="CB377" s="3"/>
      <c r="CC377" s="3"/>
      <c r="CD377" s="3"/>
      <c r="CE377" s="3"/>
      <c r="CF377" s="3"/>
      <c r="CG377" s="3"/>
      <c r="CH377" s="3"/>
      <c r="CI377" s="3"/>
      <c r="CJ377" s="3"/>
      <c r="CK377" s="3"/>
      <c r="CL377" s="3"/>
      <c r="CM377" s="3"/>
      <c r="CN377" s="3"/>
      <c r="CO377" s="3"/>
      <c r="CP377" s="3"/>
      <c r="CQ377" s="3"/>
      <c r="CR377" s="3"/>
      <c r="CS377" s="3"/>
      <c r="CT377" s="3"/>
      <c r="CU377" s="3"/>
      <c r="CV377" s="3"/>
      <c r="CW377" s="3"/>
      <c r="CX377" s="3"/>
      <c r="CY377" s="3"/>
      <c r="CZ377" s="3"/>
      <c r="DA377" s="3"/>
    </row>
    <row r="378" spans="1:105" x14ac:dyDescent="0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  <c r="BN378" s="3"/>
      <c r="BO378" s="3"/>
      <c r="BP378" s="3"/>
      <c r="BQ378" s="3"/>
      <c r="BR378" s="3"/>
      <c r="BS378" s="3"/>
      <c r="BT378" s="3"/>
      <c r="BU378" s="3"/>
      <c r="BV378" s="3"/>
      <c r="BW378" s="3"/>
      <c r="BX378" s="3"/>
      <c r="BY378" s="3"/>
      <c r="BZ378" s="3"/>
      <c r="CA378" s="3"/>
      <c r="CB378" s="3"/>
      <c r="CC378" s="3"/>
      <c r="CD378" s="3"/>
      <c r="CE378" s="3"/>
      <c r="CF378" s="3"/>
      <c r="CG378" s="3"/>
      <c r="CH378" s="3"/>
      <c r="CI378" s="3"/>
      <c r="CJ378" s="3"/>
      <c r="CK378" s="3"/>
      <c r="CL378" s="3"/>
      <c r="CM378" s="3"/>
      <c r="CN378" s="3"/>
      <c r="CO378" s="3"/>
      <c r="CP378" s="3"/>
      <c r="CQ378" s="3"/>
      <c r="CR378" s="3"/>
      <c r="CS378" s="3"/>
      <c r="CT378" s="3"/>
      <c r="CU378" s="3"/>
      <c r="CV378" s="3"/>
      <c r="CW378" s="3"/>
      <c r="CX378" s="3"/>
      <c r="CY378" s="3"/>
      <c r="CZ378" s="3"/>
      <c r="DA378" s="3"/>
    </row>
    <row r="379" spans="1:105" x14ac:dyDescent="0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  <c r="BN379" s="3"/>
      <c r="BO379" s="3"/>
      <c r="BP379" s="3"/>
      <c r="BQ379" s="3"/>
      <c r="BR379" s="3"/>
      <c r="BS379" s="3"/>
      <c r="BT379" s="3"/>
      <c r="BU379" s="3"/>
      <c r="BV379" s="3"/>
      <c r="BW379" s="3"/>
      <c r="BX379" s="3"/>
      <c r="BY379" s="3"/>
      <c r="BZ379" s="3"/>
      <c r="CA379" s="3"/>
      <c r="CB379" s="3"/>
      <c r="CC379" s="3"/>
      <c r="CD379" s="3"/>
      <c r="CE379" s="3"/>
      <c r="CF379" s="3"/>
      <c r="CG379" s="3"/>
      <c r="CH379" s="3"/>
      <c r="CI379" s="3"/>
      <c r="CJ379" s="3"/>
      <c r="CK379" s="3"/>
      <c r="CL379" s="3"/>
      <c r="CM379" s="3"/>
      <c r="CN379" s="3"/>
      <c r="CO379" s="3"/>
      <c r="CP379" s="3"/>
      <c r="CQ379" s="3"/>
      <c r="CR379" s="3"/>
      <c r="CS379" s="3"/>
      <c r="CT379" s="3"/>
      <c r="CU379" s="3"/>
      <c r="CV379" s="3"/>
      <c r="CW379" s="3"/>
      <c r="CX379" s="3"/>
      <c r="CY379" s="3"/>
      <c r="CZ379" s="3"/>
      <c r="DA379" s="3"/>
    </row>
    <row r="380" spans="1:105" x14ac:dyDescent="0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  <c r="BN380" s="3"/>
      <c r="BO380" s="3"/>
      <c r="BP380" s="3"/>
      <c r="BQ380" s="3"/>
      <c r="BR380" s="3"/>
      <c r="BS380" s="3"/>
      <c r="BT380" s="3"/>
      <c r="BU380" s="3"/>
      <c r="BV380" s="3"/>
      <c r="BW380" s="3"/>
      <c r="BX380" s="3"/>
      <c r="BY380" s="3"/>
      <c r="BZ380" s="3"/>
      <c r="CA380" s="3"/>
      <c r="CB380" s="3"/>
      <c r="CC380" s="3"/>
      <c r="CD380" s="3"/>
      <c r="CE380" s="3"/>
      <c r="CF380" s="3"/>
      <c r="CG380" s="3"/>
      <c r="CH380" s="3"/>
      <c r="CI380" s="3"/>
      <c r="CJ380" s="3"/>
      <c r="CK380" s="3"/>
      <c r="CL380" s="3"/>
      <c r="CM380" s="3"/>
      <c r="CN380" s="3"/>
      <c r="CO380" s="3"/>
      <c r="CP380" s="3"/>
      <c r="CQ380" s="3"/>
      <c r="CR380" s="3"/>
      <c r="CS380" s="3"/>
      <c r="CT380" s="3"/>
      <c r="CU380" s="3"/>
      <c r="CV380" s="3"/>
      <c r="CW380" s="3"/>
      <c r="CX380" s="3"/>
      <c r="CY380" s="3"/>
      <c r="CZ380" s="3"/>
      <c r="DA380" s="3"/>
    </row>
    <row r="381" spans="1:105" x14ac:dyDescent="0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  <c r="BN381" s="3"/>
      <c r="BO381" s="3"/>
      <c r="BP381" s="3"/>
      <c r="BQ381" s="3"/>
      <c r="BR381" s="3"/>
      <c r="BS381" s="3"/>
      <c r="BT381" s="3"/>
      <c r="BU381" s="3"/>
      <c r="BV381" s="3"/>
      <c r="BW381" s="3"/>
      <c r="BX381" s="3"/>
      <c r="BY381" s="3"/>
      <c r="BZ381" s="3"/>
      <c r="CA381" s="3"/>
      <c r="CB381" s="3"/>
      <c r="CC381" s="3"/>
      <c r="CD381" s="3"/>
      <c r="CE381" s="3"/>
      <c r="CF381" s="3"/>
      <c r="CG381" s="3"/>
      <c r="CH381" s="3"/>
      <c r="CI381" s="3"/>
      <c r="CJ381" s="3"/>
      <c r="CK381" s="3"/>
      <c r="CL381" s="3"/>
      <c r="CM381" s="3"/>
      <c r="CN381" s="3"/>
      <c r="CO381" s="3"/>
      <c r="CP381" s="3"/>
      <c r="CQ381" s="3"/>
      <c r="CR381" s="3"/>
      <c r="CS381" s="3"/>
      <c r="CT381" s="3"/>
      <c r="CU381" s="3"/>
      <c r="CV381" s="3"/>
      <c r="CW381" s="3"/>
      <c r="CX381" s="3"/>
      <c r="CY381" s="3"/>
      <c r="CZ381" s="3"/>
      <c r="DA381" s="3"/>
    </row>
    <row r="382" spans="1:105" x14ac:dyDescent="0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  <c r="BN382" s="3"/>
      <c r="BO382" s="3"/>
      <c r="BP382" s="3"/>
      <c r="BQ382" s="3"/>
      <c r="BR382" s="3"/>
      <c r="BS382" s="3"/>
      <c r="BT382" s="3"/>
      <c r="BU382" s="3"/>
      <c r="BV382" s="3"/>
      <c r="BW382" s="3"/>
      <c r="BX382" s="3"/>
      <c r="BY382" s="3"/>
      <c r="BZ382" s="3"/>
      <c r="CA382" s="3"/>
      <c r="CB382" s="3"/>
      <c r="CC382" s="3"/>
      <c r="CD382" s="3"/>
      <c r="CE382" s="3"/>
      <c r="CF382" s="3"/>
      <c r="CG382" s="3"/>
      <c r="CH382" s="3"/>
      <c r="CI382" s="3"/>
      <c r="CJ382" s="3"/>
      <c r="CK382" s="3"/>
      <c r="CL382" s="3"/>
      <c r="CM382" s="3"/>
      <c r="CN382" s="3"/>
      <c r="CO382" s="3"/>
      <c r="CP382" s="3"/>
      <c r="CQ382" s="3"/>
      <c r="CR382" s="3"/>
      <c r="CS382" s="3"/>
      <c r="CT382" s="3"/>
      <c r="CU382" s="3"/>
      <c r="CV382" s="3"/>
      <c r="CW382" s="3"/>
      <c r="CX382" s="3"/>
      <c r="CY382" s="3"/>
      <c r="CZ382" s="3"/>
      <c r="DA382" s="3"/>
    </row>
    <row r="383" spans="1:105" x14ac:dyDescent="0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  <c r="BN383" s="3"/>
      <c r="BO383" s="3"/>
      <c r="BP383" s="3"/>
      <c r="BQ383" s="3"/>
      <c r="BR383" s="3"/>
      <c r="BS383" s="3"/>
      <c r="BT383" s="3"/>
      <c r="BU383" s="3"/>
      <c r="BV383" s="3"/>
      <c r="BW383" s="3"/>
      <c r="BX383" s="3"/>
      <c r="BY383" s="3"/>
      <c r="BZ383" s="3"/>
      <c r="CA383" s="3"/>
      <c r="CB383" s="3"/>
      <c r="CC383" s="3"/>
      <c r="CD383" s="3"/>
      <c r="CE383" s="3"/>
      <c r="CF383" s="3"/>
      <c r="CG383" s="3"/>
      <c r="CH383" s="3"/>
      <c r="CI383" s="3"/>
      <c r="CJ383" s="3"/>
      <c r="CK383" s="3"/>
      <c r="CL383" s="3"/>
      <c r="CM383" s="3"/>
      <c r="CN383" s="3"/>
      <c r="CO383" s="3"/>
      <c r="CP383" s="3"/>
      <c r="CQ383" s="3"/>
      <c r="CR383" s="3"/>
      <c r="CS383" s="3"/>
      <c r="CT383" s="3"/>
      <c r="CU383" s="3"/>
      <c r="CV383" s="3"/>
      <c r="CW383" s="3"/>
      <c r="CX383" s="3"/>
      <c r="CY383" s="3"/>
      <c r="CZ383" s="3"/>
      <c r="DA383" s="3"/>
    </row>
    <row r="384" spans="1:105" x14ac:dyDescent="0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  <c r="BN384" s="3"/>
      <c r="BO384" s="3"/>
      <c r="BP384" s="3"/>
      <c r="BQ384" s="3"/>
      <c r="BR384" s="3"/>
      <c r="BS384" s="3"/>
      <c r="BT384" s="3"/>
      <c r="BU384" s="3"/>
      <c r="BV384" s="3"/>
      <c r="BW384" s="3"/>
      <c r="BX384" s="3"/>
      <c r="BY384" s="3"/>
      <c r="BZ384" s="3"/>
      <c r="CA384" s="3"/>
      <c r="CB384" s="3"/>
      <c r="CC384" s="3"/>
      <c r="CD384" s="3"/>
      <c r="CE384" s="3"/>
      <c r="CF384" s="3"/>
      <c r="CG384" s="3"/>
      <c r="CH384" s="3"/>
      <c r="CI384" s="3"/>
      <c r="CJ384" s="3"/>
      <c r="CK384" s="3"/>
      <c r="CL384" s="3"/>
      <c r="CM384" s="3"/>
      <c r="CN384" s="3"/>
      <c r="CO384" s="3"/>
      <c r="CP384" s="3"/>
      <c r="CQ384" s="3"/>
      <c r="CR384" s="3"/>
      <c r="CS384" s="3"/>
      <c r="CT384" s="3"/>
      <c r="CU384" s="3"/>
      <c r="CV384" s="3"/>
      <c r="CW384" s="3"/>
      <c r="CX384" s="3"/>
      <c r="CY384" s="3"/>
      <c r="CZ384" s="3"/>
      <c r="DA384" s="3"/>
    </row>
    <row r="385" spans="1:105" x14ac:dyDescent="0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  <c r="BN385" s="3"/>
      <c r="BO385" s="3"/>
      <c r="BP385" s="3"/>
      <c r="BQ385" s="3"/>
      <c r="BR385" s="3"/>
      <c r="BS385" s="3"/>
      <c r="BT385" s="3"/>
      <c r="BU385" s="3"/>
      <c r="BV385" s="3"/>
      <c r="BW385" s="3"/>
      <c r="BX385" s="3"/>
      <c r="BY385" s="3"/>
      <c r="BZ385" s="3"/>
      <c r="CA385" s="3"/>
      <c r="CB385" s="3"/>
      <c r="CC385" s="3"/>
      <c r="CD385" s="3"/>
      <c r="CE385" s="3"/>
      <c r="CF385" s="3"/>
      <c r="CG385" s="3"/>
      <c r="CH385" s="3"/>
      <c r="CI385" s="3"/>
      <c r="CJ385" s="3"/>
      <c r="CK385" s="3"/>
      <c r="CL385" s="3"/>
      <c r="CM385" s="3"/>
      <c r="CN385" s="3"/>
      <c r="CO385" s="3"/>
      <c r="CP385" s="3"/>
      <c r="CQ385" s="3"/>
      <c r="CR385" s="3"/>
      <c r="CS385" s="3"/>
      <c r="CT385" s="3"/>
      <c r="CU385" s="3"/>
      <c r="CV385" s="3"/>
      <c r="CW385" s="3"/>
      <c r="CX385" s="3"/>
      <c r="CY385" s="3"/>
      <c r="CZ385" s="3"/>
      <c r="DA385" s="3"/>
    </row>
    <row r="386" spans="1:105" x14ac:dyDescent="0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  <c r="BN386" s="3"/>
      <c r="BO386" s="3"/>
      <c r="BP386" s="3"/>
      <c r="BQ386" s="3"/>
      <c r="BR386" s="3"/>
      <c r="BS386" s="3"/>
      <c r="BT386" s="3"/>
      <c r="BU386" s="3"/>
      <c r="BV386" s="3"/>
      <c r="BW386" s="3"/>
      <c r="BX386" s="3"/>
      <c r="BY386" s="3"/>
      <c r="BZ386" s="3"/>
      <c r="CA386" s="3"/>
      <c r="CB386" s="3"/>
      <c r="CC386" s="3"/>
      <c r="CD386" s="3"/>
      <c r="CE386" s="3"/>
      <c r="CF386" s="3"/>
      <c r="CG386" s="3"/>
      <c r="CH386" s="3"/>
      <c r="CI386" s="3"/>
      <c r="CJ386" s="3"/>
      <c r="CK386" s="3"/>
      <c r="CL386" s="3"/>
      <c r="CM386" s="3"/>
      <c r="CN386" s="3"/>
      <c r="CO386" s="3"/>
      <c r="CP386" s="3"/>
      <c r="CQ386" s="3"/>
      <c r="CR386" s="3"/>
      <c r="CS386" s="3"/>
      <c r="CT386" s="3"/>
      <c r="CU386" s="3"/>
      <c r="CV386" s="3"/>
      <c r="CW386" s="3"/>
      <c r="CX386" s="3"/>
      <c r="CY386" s="3"/>
      <c r="CZ386" s="3"/>
      <c r="DA386" s="3"/>
    </row>
    <row r="387" spans="1:105" x14ac:dyDescent="0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  <c r="BN387" s="3"/>
      <c r="BO387" s="3"/>
      <c r="BP387" s="3"/>
      <c r="BQ387" s="3"/>
      <c r="BR387" s="3"/>
      <c r="BS387" s="3"/>
      <c r="BT387" s="3"/>
      <c r="BU387" s="3"/>
      <c r="BV387" s="3"/>
      <c r="BW387" s="3"/>
      <c r="BX387" s="3"/>
      <c r="BY387" s="3"/>
      <c r="BZ387" s="3"/>
      <c r="CA387" s="3"/>
      <c r="CB387" s="3"/>
      <c r="CC387" s="3"/>
      <c r="CD387" s="3"/>
      <c r="CE387" s="3"/>
      <c r="CF387" s="3"/>
      <c r="CG387" s="3"/>
      <c r="CH387" s="3"/>
      <c r="CI387" s="3"/>
      <c r="CJ387" s="3"/>
      <c r="CK387" s="3"/>
      <c r="CL387" s="3"/>
      <c r="CM387" s="3"/>
      <c r="CN387" s="3"/>
      <c r="CO387" s="3"/>
      <c r="CP387" s="3"/>
      <c r="CQ387" s="3"/>
      <c r="CR387" s="3"/>
      <c r="CS387" s="3"/>
      <c r="CT387" s="3"/>
      <c r="CU387" s="3"/>
      <c r="CV387" s="3"/>
      <c r="CW387" s="3"/>
      <c r="CX387" s="3"/>
      <c r="CY387" s="3"/>
      <c r="CZ387" s="3"/>
      <c r="DA387" s="3"/>
    </row>
    <row r="388" spans="1:105" x14ac:dyDescent="0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  <c r="BN388" s="3"/>
      <c r="BO388" s="3"/>
      <c r="BP388" s="3"/>
      <c r="BQ388" s="3"/>
      <c r="BR388" s="3"/>
      <c r="BS388" s="3"/>
      <c r="BT388" s="3"/>
      <c r="BU388" s="3"/>
      <c r="BV388" s="3"/>
      <c r="BW388" s="3"/>
      <c r="BX388" s="3"/>
      <c r="BY388" s="3"/>
      <c r="BZ388" s="3"/>
      <c r="CA388" s="3"/>
      <c r="CB388" s="3"/>
      <c r="CC388" s="3"/>
      <c r="CD388" s="3"/>
      <c r="CE388" s="3"/>
      <c r="CF388" s="3"/>
      <c r="CG388" s="3"/>
      <c r="CH388" s="3"/>
      <c r="CI388" s="3"/>
      <c r="CJ388" s="3"/>
      <c r="CK388" s="3"/>
      <c r="CL388" s="3"/>
      <c r="CM388" s="3"/>
      <c r="CN388" s="3"/>
      <c r="CO388" s="3"/>
      <c r="CP388" s="3"/>
      <c r="CQ388" s="3"/>
      <c r="CR388" s="3"/>
      <c r="CS388" s="3"/>
      <c r="CT388" s="3"/>
      <c r="CU388" s="3"/>
      <c r="CV388" s="3"/>
      <c r="CW388" s="3"/>
      <c r="CX388" s="3"/>
      <c r="CY388" s="3"/>
      <c r="CZ388" s="3"/>
      <c r="DA388" s="3"/>
    </row>
    <row r="389" spans="1:105" x14ac:dyDescent="0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  <c r="BN389" s="3"/>
      <c r="BO389" s="3"/>
      <c r="BP389" s="3"/>
      <c r="BQ389" s="3"/>
      <c r="BR389" s="3"/>
      <c r="BS389" s="3"/>
      <c r="BT389" s="3"/>
      <c r="BU389" s="3"/>
      <c r="BV389" s="3"/>
      <c r="BW389" s="3"/>
      <c r="BX389" s="3"/>
      <c r="BY389" s="3"/>
      <c r="BZ389" s="3"/>
      <c r="CA389" s="3"/>
      <c r="CB389" s="3"/>
      <c r="CC389" s="3"/>
      <c r="CD389" s="3"/>
      <c r="CE389" s="3"/>
      <c r="CF389" s="3"/>
      <c r="CG389" s="3"/>
      <c r="CH389" s="3"/>
      <c r="CI389" s="3"/>
      <c r="CJ389" s="3"/>
      <c r="CK389" s="3"/>
      <c r="CL389" s="3"/>
      <c r="CM389" s="3"/>
      <c r="CN389" s="3"/>
      <c r="CO389" s="3"/>
      <c r="CP389" s="3"/>
      <c r="CQ389" s="3"/>
      <c r="CR389" s="3"/>
      <c r="CS389" s="3"/>
      <c r="CT389" s="3"/>
      <c r="CU389" s="3"/>
      <c r="CV389" s="3"/>
      <c r="CW389" s="3"/>
      <c r="CX389" s="3"/>
      <c r="CY389" s="3"/>
      <c r="CZ389" s="3"/>
      <c r="DA389" s="3"/>
    </row>
    <row r="390" spans="1:105" x14ac:dyDescent="0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  <c r="BN390" s="3"/>
      <c r="BO390" s="3"/>
      <c r="BP390" s="3"/>
      <c r="BQ390" s="3"/>
      <c r="BR390" s="3"/>
      <c r="BS390" s="3"/>
      <c r="BT390" s="3"/>
      <c r="BU390" s="3"/>
      <c r="BV390" s="3"/>
      <c r="BW390" s="3"/>
      <c r="BX390" s="3"/>
      <c r="BY390" s="3"/>
      <c r="BZ390" s="3"/>
      <c r="CA390" s="3"/>
      <c r="CB390" s="3"/>
      <c r="CC390" s="3"/>
      <c r="CD390" s="3"/>
      <c r="CE390" s="3"/>
      <c r="CF390" s="3"/>
      <c r="CG390" s="3"/>
      <c r="CH390" s="3"/>
      <c r="CI390" s="3"/>
      <c r="CJ390" s="3"/>
      <c r="CK390" s="3"/>
      <c r="CL390" s="3"/>
      <c r="CM390" s="3"/>
      <c r="CN390" s="3"/>
      <c r="CO390" s="3"/>
      <c r="CP390" s="3"/>
      <c r="CQ390" s="3"/>
      <c r="CR390" s="3"/>
      <c r="CS390" s="3"/>
      <c r="CT390" s="3"/>
      <c r="CU390" s="3"/>
      <c r="CV390" s="3"/>
      <c r="CW390" s="3"/>
      <c r="CX390" s="3"/>
      <c r="CY390" s="3"/>
      <c r="CZ390" s="3"/>
      <c r="DA390" s="3"/>
    </row>
    <row r="391" spans="1:105" x14ac:dyDescent="0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  <c r="BN391" s="3"/>
      <c r="BO391" s="3"/>
      <c r="BP391" s="3"/>
      <c r="BQ391" s="3"/>
      <c r="BR391" s="3"/>
      <c r="BS391" s="3"/>
      <c r="BT391" s="3"/>
      <c r="BU391" s="3"/>
      <c r="BV391" s="3"/>
      <c r="BW391" s="3"/>
      <c r="BX391" s="3"/>
      <c r="BY391" s="3"/>
      <c r="BZ391" s="3"/>
      <c r="CA391" s="3"/>
      <c r="CB391" s="3"/>
      <c r="CC391" s="3"/>
      <c r="CD391" s="3"/>
      <c r="CE391" s="3"/>
      <c r="CF391" s="3"/>
      <c r="CG391" s="3"/>
      <c r="CH391" s="3"/>
      <c r="CI391" s="3"/>
      <c r="CJ391" s="3"/>
      <c r="CK391" s="3"/>
      <c r="CL391" s="3"/>
      <c r="CM391" s="3"/>
      <c r="CN391" s="3"/>
      <c r="CO391" s="3"/>
      <c r="CP391" s="3"/>
      <c r="CQ391" s="3"/>
      <c r="CR391" s="3"/>
      <c r="CS391" s="3"/>
      <c r="CT391" s="3"/>
      <c r="CU391" s="3"/>
      <c r="CV391" s="3"/>
      <c r="CW391" s="3"/>
      <c r="CX391" s="3"/>
      <c r="CY391" s="3"/>
      <c r="CZ391" s="3"/>
      <c r="DA391" s="3"/>
    </row>
    <row r="392" spans="1:105" x14ac:dyDescent="0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  <c r="BN392" s="3"/>
      <c r="BO392" s="3"/>
      <c r="BP392" s="3"/>
      <c r="BQ392" s="3"/>
      <c r="BR392" s="3"/>
      <c r="BS392" s="3"/>
      <c r="BT392" s="3"/>
      <c r="BU392" s="3"/>
      <c r="BV392" s="3"/>
      <c r="BW392" s="3"/>
      <c r="BX392" s="3"/>
      <c r="BY392" s="3"/>
      <c r="BZ392" s="3"/>
      <c r="CA392" s="3"/>
      <c r="CB392" s="3"/>
      <c r="CC392" s="3"/>
      <c r="CD392" s="3"/>
      <c r="CE392" s="3"/>
      <c r="CF392" s="3"/>
      <c r="CG392" s="3"/>
      <c r="CH392" s="3"/>
      <c r="CI392" s="3"/>
      <c r="CJ392" s="3"/>
      <c r="CK392" s="3"/>
      <c r="CL392" s="3"/>
      <c r="CM392" s="3"/>
      <c r="CN392" s="3"/>
      <c r="CO392" s="3"/>
      <c r="CP392" s="3"/>
      <c r="CQ392" s="3"/>
      <c r="CR392" s="3"/>
      <c r="CS392" s="3"/>
      <c r="CT392" s="3"/>
      <c r="CU392" s="3"/>
      <c r="CV392" s="3"/>
      <c r="CW392" s="3"/>
      <c r="CX392" s="3"/>
      <c r="CY392" s="3"/>
      <c r="CZ392" s="3"/>
      <c r="DA392" s="3"/>
    </row>
    <row r="393" spans="1:105" x14ac:dyDescent="0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  <c r="BN393" s="3"/>
      <c r="BO393" s="3"/>
      <c r="BP393" s="3"/>
      <c r="BQ393" s="3"/>
      <c r="BR393" s="3"/>
      <c r="BS393" s="3"/>
      <c r="BT393" s="3"/>
      <c r="BU393" s="3"/>
      <c r="BV393" s="3"/>
      <c r="BW393" s="3"/>
      <c r="BX393" s="3"/>
      <c r="BY393" s="3"/>
      <c r="BZ393" s="3"/>
      <c r="CA393" s="3"/>
      <c r="CB393" s="3"/>
      <c r="CC393" s="3"/>
      <c r="CD393" s="3"/>
      <c r="CE393" s="3"/>
      <c r="CF393" s="3"/>
      <c r="CG393" s="3"/>
      <c r="CH393" s="3"/>
      <c r="CI393" s="3"/>
      <c r="CJ393" s="3"/>
      <c r="CK393" s="3"/>
      <c r="CL393" s="3"/>
      <c r="CM393" s="3"/>
      <c r="CN393" s="3"/>
      <c r="CO393" s="3"/>
      <c r="CP393" s="3"/>
      <c r="CQ393" s="3"/>
      <c r="CR393" s="3"/>
      <c r="CS393" s="3"/>
      <c r="CT393" s="3"/>
      <c r="CU393" s="3"/>
      <c r="CV393" s="3"/>
      <c r="CW393" s="3"/>
      <c r="CX393" s="3"/>
      <c r="CY393" s="3"/>
      <c r="CZ393" s="3"/>
      <c r="DA393" s="3"/>
    </row>
    <row r="394" spans="1:105" x14ac:dyDescent="0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  <c r="BN394" s="3"/>
      <c r="BO394" s="3"/>
      <c r="BP394" s="3"/>
      <c r="BQ394" s="3"/>
      <c r="BR394" s="3"/>
      <c r="BS394" s="3"/>
      <c r="BT394" s="3"/>
      <c r="BU394" s="3"/>
      <c r="BV394" s="3"/>
      <c r="BW394" s="3"/>
      <c r="BX394" s="3"/>
      <c r="BY394" s="3"/>
      <c r="BZ394" s="3"/>
      <c r="CA394" s="3"/>
      <c r="CB394" s="3"/>
      <c r="CC394" s="3"/>
      <c r="CD394" s="3"/>
      <c r="CE394" s="3"/>
      <c r="CF394" s="3"/>
      <c r="CG394" s="3"/>
      <c r="CH394" s="3"/>
      <c r="CI394" s="3"/>
      <c r="CJ394" s="3"/>
      <c r="CK394" s="3"/>
      <c r="CL394" s="3"/>
      <c r="CM394" s="3"/>
      <c r="CN394" s="3"/>
      <c r="CO394" s="3"/>
      <c r="CP394" s="3"/>
      <c r="CQ394" s="3"/>
      <c r="CR394" s="3"/>
      <c r="CS394" s="3"/>
      <c r="CT394" s="3"/>
      <c r="CU394" s="3"/>
      <c r="CV394" s="3"/>
      <c r="CW394" s="3"/>
      <c r="CX394" s="3"/>
      <c r="CY394" s="3"/>
      <c r="CZ394" s="3"/>
      <c r="DA394" s="3"/>
    </row>
    <row r="395" spans="1:105" x14ac:dyDescent="0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  <c r="BN395" s="3"/>
      <c r="BO395" s="3"/>
      <c r="BP395" s="3"/>
      <c r="BQ395" s="3"/>
      <c r="BR395" s="3"/>
      <c r="BS395" s="3"/>
      <c r="BT395" s="3"/>
      <c r="BU395" s="3"/>
      <c r="BV395" s="3"/>
      <c r="BW395" s="3"/>
      <c r="BX395" s="3"/>
      <c r="BY395" s="3"/>
      <c r="BZ395" s="3"/>
      <c r="CA395" s="3"/>
      <c r="CB395" s="3"/>
      <c r="CC395" s="3"/>
      <c r="CD395" s="3"/>
      <c r="CE395" s="3"/>
      <c r="CF395" s="3"/>
      <c r="CG395" s="3"/>
      <c r="CH395" s="3"/>
      <c r="CI395" s="3"/>
      <c r="CJ395" s="3"/>
      <c r="CK395" s="3"/>
      <c r="CL395" s="3"/>
      <c r="CM395" s="3"/>
      <c r="CN395" s="3"/>
      <c r="CO395" s="3"/>
      <c r="CP395" s="3"/>
      <c r="CQ395" s="3"/>
      <c r="CR395" s="3"/>
      <c r="CS395" s="3"/>
      <c r="CT395" s="3"/>
      <c r="CU395" s="3"/>
      <c r="CV395" s="3"/>
      <c r="CW395" s="3"/>
      <c r="CX395" s="3"/>
      <c r="CY395" s="3"/>
      <c r="CZ395" s="3"/>
      <c r="DA395" s="3"/>
    </row>
    <row r="396" spans="1:105" x14ac:dyDescent="0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  <c r="BN396" s="3"/>
      <c r="BO396" s="3"/>
      <c r="BP396" s="3"/>
      <c r="BQ396" s="3"/>
      <c r="BR396" s="3"/>
      <c r="BS396" s="3"/>
      <c r="BT396" s="3"/>
      <c r="BU396" s="3"/>
      <c r="BV396" s="3"/>
      <c r="BW396" s="3"/>
      <c r="BX396" s="3"/>
      <c r="BY396" s="3"/>
      <c r="BZ396" s="3"/>
      <c r="CA396" s="3"/>
      <c r="CB396" s="3"/>
      <c r="CC396" s="3"/>
      <c r="CD396" s="3"/>
      <c r="CE396" s="3"/>
      <c r="CF396" s="3"/>
      <c r="CG396" s="3"/>
      <c r="CH396" s="3"/>
      <c r="CI396" s="3"/>
      <c r="CJ396" s="3"/>
      <c r="CK396" s="3"/>
      <c r="CL396" s="3"/>
      <c r="CM396" s="3"/>
      <c r="CN396" s="3"/>
      <c r="CO396" s="3"/>
      <c r="CP396" s="3"/>
      <c r="CQ396" s="3"/>
      <c r="CR396" s="3"/>
      <c r="CS396" s="3"/>
      <c r="CT396" s="3"/>
      <c r="CU396" s="3"/>
      <c r="CV396" s="3"/>
      <c r="CW396" s="3"/>
      <c r="CX396" s="3"/>
      <c r="CY396" s="3"/>
      <c r="CZ396" s="3"/>
      <c r="DA396" s="3"/>
    </row>
    <row r="397" spans="1:105" x14ac:dyDescent="0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  <c r="BN397" s="3"/>
      <c r="BO397" s="3"/>
      <c r="BP397" s="3"/>
      <c r="BQ397" s="3"/>
      <c r="BR397" s="3"/>
      <c r="BS397" s="3"/>
      <c r="BT397" s="3"/>
      <c r="BU397" s="3"/>
      <c r="BV397" s="3"/>
      <c r="BW397" s="3"/>
      <c r="BX397" s="3"/>
      <c r="BY397" s="3"/>
      <c r="BZ397" s="3"/>
      <c r="CA397" s="3"/>
      <c r="CB397" s="3"/>
      <c r="CC397" s="3"/>
      <c r="CD397" s="3"/>
      <c r="CE397" s="3"/>
      <c r="CF397" s="3"/>
      <c r="CG397" s="3"/>
      <c r="CH397" s="3"/>
      <c r="CI397" s="3"/>
      <c r="CJ397" s="3"/>
      <c r="CK397" s="3"/>
      <c r="CL397" s="3"/>
      <c r="CM397" s="3"/>
      <c r="CN397" s="3"/>
      <c r="CO397" s="3"/>
      <c r="CP397" s="3"/>
      <c r="CQ397" s="3"/>
      <c r="CR397" s="3"/>
      <c r="CS397" s="3"/>
      <c r="CT397" s="3"/>
      <c r="CU397" s="3"/>
      <c r="CV397" s="3"/>
      <c r="CW397" s="3"/>
      <c r="CX397" s="3"/>
      <c r="CY397" s="3"/>
      <c r="CZ397" s="3"/>
      <c r="DA397" s="3"/>
    </row>
    <row r="398" spans="1:105" x14ac:dyDescent="0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  <c r="BN398" s="3"/>
      <c r="BO398" s="3"/>
      <c r="BP398" s="3"/>
      <c r="BQ398" s="3"/>
      <c r="BR398" s="3"/>
      <c r="BS398" s="3"/>
      <c r="BT398" s="3"/>
      <c r="BU398" s="3"/>
      <c r="BV398" s="3"/>
      <c r="BW398" s="3"/>
      <c r="BX398" s="3"/>
      <c r="BY398" s="3"/>
      <c r="BZ398" s="3"/>
      <c r="CA398" s="3"/>
      <c r="CB398" s="3"/>
      <c r="CC398" s="3"/>
      <c r="CD398" s="3"/>
      <c r="CE398" s="3"/>
      <c r="CF398" s="3"/>
      <c r="CG398" s="3"/>
      <c r="CH398" s="3"/>
      <c r="CI398" s="3"/>
      <c r="CJ398" s="3"/>
      <c r="CK398" s="3"/>
      <c r="CL398" s="3"/>
      <c r="CM398" s="3"/>
      <c r="CN398" s="3"/>
      <c r="CO398" s="3"/>
      <c r="CP398" s="3"/>
      <c r="CQ398" s="3"/>
      <c r="CR398" s="3"/>
      <c r="CS398" s="3"/>
      <c r="CT398" s="3"/>
      <c r="CU398" s="3"/>
      <c r="CV398" s="3"/>
      <c r="CW398" s="3"/>
      <c r="CX398" s="3"/>
      <c r="CY398" s="3"/>
      <c r="CZ398" s="3"/>
      <c r="DA398" s="3"/>
    </row>
    <row r="399" spans="1:105" x14ac:dyDescent="0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  <c r="BN399" s="3"/>
      <c r="BO399" s="3"/>
      <c r="BP399" s="3"/>
      <c r="BQ399" s="3"/>
      <c r="BR399" s="3"/>
      <c r="BS399" s="3"/>
      <c r="BT399" s="3"/>
      <c r="BU399" s="3"/>
      <c r="BV399" s="3"/>
      <c r="BW399" s="3"/>
      <c r="BX399" s="3"/>
      <c r="BY399" s="3"/>
      <c r="BZ399" s="3"/>
      <c r="CA399" s="3"/>
      <c r="CB399" s="3"/>
      <c r="CC399" s="3"/>
      <c r="CD399" s="3"/>
      <c r="CE399" s="3"/>
      <c r="CF399" s="3"/>
      <c r="CG399" s="3"/>
      <c r="CH399" s="3"/>
      <c r="CI399" s="3"/>
      <c r="CJ399" s="3"/>
      <c r="CK399" s="3"/>
      <c r="CL399" s="3"/>
      <c r="CM399" s="3"/>
      <c r="CN399" s="3"/>
      <c r="CO399" s="3"/>
      <c r="CP399" s="3"/>
      <c r="CQ399" s="3"/>
      <c r="CR399" s="3"/>
      <c r="CS399" s="3"/>
      <c r="CT399" s="3"/>
      <c r="CU399" s="3"/>
      <c r="CV399" s="3"/>
      <c r="CW399" s="3"/>
      <c r="CX399" s="3"/>
      <c r="CY399" s="3"/>
      <c r="CZ399" s="3"/>
      <c r="DA399" s="3"/>
    </row>
    <row r="400" spans="1:105" x14ac:dyDescent="0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  <c r="BN400" s="3"/>
      <c r="BO400" s="3"/>
      <c r="BP400" s="3"/>
      <c r="BQ400" s="3"/>
      <c r="BR400" s="3"/>
      <c r="BS400" s="3"/>
      <c r="BT400" s="3"/>
      <c r="BU400" s="3"/>
      <c r="BV400" s="3"/>
      <c r="BW400" s="3"/>
      <c r="BX400" s="3"/>
      <c r="BY400" s="3"/>
      <c r="BZ400" s="3"/>
      <c r="CA400" s="3"/>
      <c r="CB400" s="3"/>
      <c r="CC400" s="3"/>
      <c r="CD400" s="3"/>
      <c r="CE400" s="3"/>
      <c r="CF400" s="3"/>
      <c r="CG400" s="3"/>
      <c r="CH400" s="3"/>
      <c r="CI400" s="3"/>
      <c r="CJ400" s="3"/>
      <c r="CK400" s="3"/>
      <c r="CL400" s="3"/>
      <c r="CM400" s="3"/>
      <c r="CN400" s="3"/>
      <c r="CO400" s="3"/>
      <c r="CP400" s="3"/>
      <c r="CQ400" s="3"/>
      <c r="CR400" s="3"/>
      <c r="CS400" s="3"/>
      <c r="CT400" s="3"/>
      <c r="CU400" s="3"/>
      <c r="CV400" s="3"/>
      <c r="CW400" s="3"/>
      <c r="CX400" s="3"/>
      <c r="CY400" s="3"/>
      <c r="CZ400" s="3"/>
      <c r="DA400" s="3"/>
    </row>
    <row r="401" spans="1:105" x14ac:dyDescent="0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  <c r="BN401" s="3"/>
      <c r="BO401" s="3"/>
      <c r="BP401" s="3"/>
      <c r="BQ401" s="3"/>
      <c r="BR401" s="3"/>
      <c r="BS401" s="3"/>
      <c r="BT401" s="3"/>
      <c r="BU401" s="3"/>
      <c r="BV401" s="3"/>
      <c r="BW401" s="3"/>
      <c r="BX401" s="3"/>
      <c r="BY401" s="3"/>
      <c r="BZ401" s="3"/>
      <c r="CA401" s="3"/>
      <c r="CB401" s="3"/>
      <c r="CC401" s="3"/>
      <c r="CD401" s="3"/>
      <c r="CE401" s="3"/>
      <c r="CF401" s="3"/>
      <c r="CG401" s="3"/>
      <c r="CH401" s="3"/>
      <c r="CI401" s="3"/>
      <c r="CJ401" s="3"/>
      <c r="CK401" s="3"/>
      <c r="CL401" s="3"/>
      <c r="CM401" s="3"/>
      <c r="CN401" s="3"/>
      <c r="CO401" s="3"/>
      <c r="CP401" s="3"/>
      <c r="CQ401" s="3"/>
      <c r="CR401" s="3"/>
      <c r="CS401" s="3"/>
      <c r="CT401" s="3"/>
      <c r="CU401" s="3"/>
      <c r="CV401" s="3"/>
      <c r="CW401" s="3"/>
      <c r="CX401" s="3"/>
      <c r="CY401" s="3"/>
      <c r="CZ401" s="3"/>
      <c r="DA401" s="3"/>
    </row>
    <row r="402" spans="1:105" x14ac:dyDescent="0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  <c r="BN402" s="3"/>
      <c r="BO402" s="3"/>
      <c r="BP402" s="3"/>
      <c r="BQ402" s="3"/>
      <c r="BR402" s="3"/>
      <c r="BS402" s="3"/>
      <c r="BT402" s="3"/>
      <c r="BU402" s="3"/>
      <c r="BV402" s="3"/>
      <c r="BW402" s="3"/>
      <c r="BX402" s="3"/>
      <c r="BY402" s="3"/>
      <c r="BZ402" s="3"/>
      <c r="CA402" s="3"/>
      <c r="CB402" s="3"/>
      <c r="CC402" s="3"/>
      <c r="CD402" s="3"/>
      <c r="CE402" s="3"/>
      <c r="CF402" s="3"/>
      <c r="CG402" s="3"/>
      <c r="CH402" s="3"/>
      <c r="CI402" s="3"/>
      <c r="CJ402" s="3"/>
      <c r="CK402" s="3"/>
      <c r="CL402" s="3"/>
      <c r="CM402" s="3"/>
      <c r="CN402" s="3"/>
      <c r="CO402" s="3"/>
      <c r="CP402" s="3"/>
      <c r="CQ402" s="3"/>
      <c r="CR402" s="3"/>
      <c r="CS402" s="3"/>
      <c r="CT402" s="3"/>
      <c r="CU402" s="3"/>
      <c r="CV402" s="3"/>
      <c r="CW402" s="3"/>
      <c r="CX402" s="3"/>
      <c r="CY402" s="3"/>
      <c r="CZ402" s="3"/>
      <c r="DA402" s="3"/>
    </row>
    <row r="403" spans="1:105" x14ac:dyDescent="0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  <c r="BN403" s="3"/>
      <c r="BO403" s="3"/>
      <c r="BP403" s="3"/>
      <c r="BQ403" s="3"/>
      <c r="BR403" s="3"/>
      <c r="BS403" s="3"/>
      <c r="BT403" s="3"/>
      <c r="BU403" s="3"/>
      <c r="BV403" s="3"/>
      <c r="BW403" s="3"/>
      <c r="BX403" s="3"/>
      <c r="BY403" s="3"/>
      <c r="BZ403" s="3"/>
      <c r="CA403" s="3"/>
      <c r="CB403" s="3"/>
      <c r="CC403" s="3"/>
      <c r="CD403" s="3"/>
      <c r="CE403" s="3"/>
      <c r="CF403" s="3"/>
      <c r="CG403" s="3"/>
      <c r="CH403" s="3"/>
      <c r="CI403" s="3"/>
      <c r="CJ403" s="3"/>
      <c r="CK403" s="3"/>
      <c r="CL403" s="3"/>
      <c r="CM403" s="3"/>
      <c r="CN403" s="3"/>
      <c r="CO403" s="3"/>
      <c r="CP403" s="3"/>
      <c r="CQ403" s="3"/>
      <c r="CR403" s="3"/>
      <c r="CS403" s="3"/>
      <c r="CT403" s="3"/>
      <c r="CU403" s="3"/>
      <c r="CV403" s="3"/>
      <c r="CW403" s="3"/>
      <c r="CX403" s="3"/>
      <c r="CY403" s="3"/>
      <c r="CZ403" s="3"/>
      <c r="DA403" s="3"/>
    </row>
    <row r="404" spans="1:105" x14ac:dyDescent="0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  <c r="BN404" s="3"/>
      <c r="BO404" s="3"/>
      <c r="BP404" s="3"/>
      <c r="BQ404" s="3"/>
      <c r="BR404" s="3"/>
      <c r="BS404" s="3"/>
      <c r="BT404" s="3"/>
      <c r="BU404" s="3"/>
      <c r="BV404" s="3"/>
      <c r="BW404" s="3"/>
      <c r="BX404" s="3"/>
      <c r="BY404" s="3"/>
      <c r="BZ404" s="3"/>
      <c r="CA404" s="3"/>
      <c r="CB404" s="3"/>
      <c r="CC404" s="3"/>
      <c r="CD404" s="3"/>
      <c r="CE404" s="3"/>
      <c r="CF404" s="3"/>
      <c r="CG404" s="3"/>
      <c r="CH404" s="3"/>
      <c r="CI404" s="3"/>
      <c r="CJ404" s="3"/>
      <c r="CK404" s="3"/>
      <c r="CL404" s="3"/>
      <c r="CM404" s="3"/>
      <c r="CN404" s="3"/>
      <c r="CO404" s="3"/>
      <c r="CP404" s="3"/>
      <c r="CQ404" s="3"/>
      <c r="CR404" s="3"/>
      <c r="CS404" s="3"/>
      <c r="CT404" s="3"/>
      <c r="CU404" s="3"/>
      <c r="CV404" s="3"/>
      <c r="CW404" s="3"/>
      <c r="CX404" s="3"/>
      <c r="CY404" s="3"/>
      <c r="CZ404" s="3"/>
      <c r="DA404" s="3"/>
    </row>
    <row r="405" spans="1:105" x14ac:dyDescent="0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  <c r="BN405" s="3"/>
      <c r="BO405" s="3"/>
      <c r="BP405" s="3"/>
      <c r="BQ405" s="3"/>
      <c r="BR405" s="3"/>
      <c r="BS405" s="3"/>
      <c r="BT405" s="3"/>
      <c r="BU405" s="3"/>
      <c r="BV405" s="3"/>
      <c r="BW405" s="3"/>
      <c r="BX405" s="3"/>
      <c r="BY405" s="3"/>
      <c r="BZ405" s="3"/>
      <c r="CA405" s="3"/>
      <c r="CB405" s="3"/>
      <c r="CC405" s="3"/>
      <c r="CD405" s="3"/>
      <c r="CE405" s="3"/>
      <c r="CF405" s="3"/>
      <c r="CG405" s="3"/>
      <c r="CH405" s="3"/>
      <c r="CI405" s="3"/>
      <c r="CJ405" s="3"/>
      <c r="CK405" s="3"/>
      <c r="CL405" s="3"/>
      <c r="CM405" s="3"/>
      <c r="CN405" s="3"/>
      <c r="CO405" s="3"/>
      <c r="CP405" s="3"/>
      <c r="CQ405" s="3"/>
      <c r="CR405" s="3"/>
      <c r="CS405" s="3"/>
      <c r="CT405" s="3"/>
      <c r="CU405" s="3"/>
      <c r="CV405" s="3"/>
      <c r="CW405" s="3"/>
      <c r="CX405" s="3"/>
      <c r="CY405" s="3"/>
      <c r="CZ405" s="3"/>
      <c r="DA405" s="3"/>
    </row>
    <row r="406" spans="1:105" x14ac:dyDescent="0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  <c r="BN406" s="3"/>
      <c r="BO406" s="3"/>
      <c r="BP406" s="3"/>
      <c r="BQ406" s="3"/>
      <c r="BR406" s="3"/>
      <c r="BS406" s="3"/>
      <c r="BT406" s="3"/>
      <c r="BU406" s="3"/>
      <c r="BV406" s="3"/>
      <c r="BW406" s="3"/>
      <c r="BX406" s="3"/>
      <c r="BY406" s="3"/>
      <c r="BZ406" s="3"/>
      <c r="CA406" s="3"/>
      <c r="CB406" s="3"/>
      <c r="CC406" s="3"/>
      <c r="CD406" s="3"/>
      <c r="CE406" s="3"/>
      <c r="CF406" s="3"/>
      <c r="CG406" s="3"/>
      <c r="CH406" s="3"/>
      <c r="CI406" s="3"/>
      <c r="CJ406" s="3"/>
      <c r="CK406" s="3"/>
      <c r="CL406" s="3"/>
      <c r="CM406" s="3"/>
      <c r="CN406" s="3"/>
      <c r="CO406" s="3"/>
      <c r="CP406" s="3"/>
      <c r="CQ406" s="3"/>
      <c r="CR406" s="3"/>
      <c r="CS406" s="3"/>
      <c r="CT406" s="3"/>
      <c r="CU406" s="3"/>
      <c r="CV406" s="3"/>
      <c r="CW406" s="3"/>
      <c r="CX406" s="3"/>
      <c r="CY406" s="3"/>
      <c r="CZ406" s="3"/>
      <c r="DA406" s="3"/>
    </row>
    <row r="407" spans="1:105" x14ac:dyDescent="0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  <c r="BN407" s="3"/>
      <c r="BO407" s="3"/>
      <c r="BP407" s="3"/>
      <c r="BQ407" s="3"/>
      <c r="BR407" s="3"/>
      <c r="BS407" s="3"/>
      <c r="BT407" s="3"/>
      <c r="BU407" s="3"/>
      <c r="BV407" s="3"/>
      <c r="BW407" s="3"/>
      <c r="BX407" s="3"/>
      <c r="BY407" s="3"/>
      <c r="BZ407" s="3"/>
      <c r="CA407" s="3"/>
      <c r="CB407" s="3"/>
      <c r="CC407" s="3"/>
      <c r="CD407" s="3"/>
      <c r="CE407" s="3"/>
      <c r="CF407" s="3"/>
      <c r="CG407" s="3"/>
      <c r="CH407" s="3"/>
      <c r="CI407" s="3"/>
      <c r="CJ407" s="3"/>
      <c r="CK407" s="3"/>
      <c r="CL407" s="3"/>
      <c r="CM407" s="3"/>
      <c r="CN407" s="3"/>
      <c r="CO407" s="3"/>
      <c r="CP407" s="3"/>
      <c r="CQ407" s="3"/>
      <c r="CR407" s="3"/>
      <c r="CS407" s="3"/>
      <c r="CT407" s="3"/>
      <c r="CU407" s="3"/>
      <c r="CV407" s="3"/>
      <c r="CW407" s="3"/>
      <c r="CX407" s="3"/>
      <c r="CY407" s="3"/>
      <c r="CZ407" s="3"/>
      <c r="DA407" s="3"/>
    </row>
    <row r="408" spans="1:105" x14ac:dyDescent="0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  <c r="BN408" s="3"/>
      <c r="BO408" s="3"/>
      <c r="BP408" s="3"/>
      <c r="BQ408" s="3"/>
      <c r="BR408" s="3"/>
      <c r="BS408" s="3"/>
      <c r="BT408" s="3"/>
      <c r="BU408" s="3"/>
      <c r="BV408" s="3"/>
      <c r="BW408" s="3"/>
      <c r="BX408" s="3"/>
      <c r="BY408" s="3"/>
      <c r="BZ408" s="3"/>
      <c r="CA408" s="3"/>
      <c r="CB408" s="3"/>
      <c r="CC408" s="3"/>
      <c r="CD408" s="3"/>
      <c r="CE408" s="3"/>
      <c r="CF408" s="3"/>
      <c r="CG408" s="3"/>
      <c r="CH408" s="3"/>
      <c r="CI408" s="3"/>
      <c r="CJ408" s="3"/>
      <c r="CK408" s="3"/>
      <c r="CL408" s="3"/>
      <c r="CM408" s="3"/>
      <c r="CN408" s="3"/>
      <c r="CO408" s="3"/>
      <c r="CP408" s="3"/>
      <c r="CQ408" s="3"/>
      <c r="CR408" s="3"/>
      <c r="CS408" s="3"/>
      <c r="CT408" s="3"/>
      <c r="CU408" s="3"/>
      <c r="CV408" s="3"/>
      <c r="CW408" s="3"/>
      <c r="CX408" s="3"/>
      <c r="CY408" s="3"/>
      <c r="CZ408" s="3"/>
      <c r="DA408" s="3"/>
    </row>
    <row r="409" spans="1:105" x14ac:dyDescent="0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  <c r="BN409" s="3"/>
      <c r="BO409" s="3"/>
      <c r="BP409" s="3"/>
      <c r="BQ409" s="3"/>
      <c r="BR409" s="3"/>
      <c r="BS409" s="3"/>
      <c r="BT409" s="3"/>
      <c r="BU409" s="3"/>
      <c r="BV409" s="3"/>
      <c r="BW409" s="3"/>
      <c r="BX409" s="3"/>
      <c r="BY409" s="3"/>
      <c r="BZ409" s="3"/>
      <c r="CA409" s="3"/>
      <c r="CB409" s="3"/>
      <c r="CC409" s="3"/>
      <c r="CD409" s="3"/>
      <c r="CE409" s="3"/>
      <c r="CF409" s="3"/>
      <c r="CG409" s="3"/>
      <c r="CH409" s="3"/>
      <c r="CI409" s="3"/>
      <c r="CJ409" s="3"/>
      <c r="CK409" s="3"/>
      <c r="CL409" s="3"/>
      <c r="CM409" s="3"/>
      <c r="CN409" s="3"/>
      <c r="CO409" s="3"/>
      <c r="CP409" s="3"/>
      <c r="CQ409" s="3"/>
      <c r="CR409" s="3"/>
      <c r="CS409" s="3"/>
      <c r="CT409" s="3"/>
      <c r="CU409" s="3"/>
      <c r="CV409" s="3"/>
      <c r="CW409" s="3"/>
      <c r="CX409" s="3"/>
      <c r="CY409" s="3"/>
      <c r="CZ409" s="3"/>
      <c r="DA409" s="3"/>
    </row>
    <row r="410" spans="1:105" x14ac:dyDescent="0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  <c r="BN410" s="3"/>
      <c r="BO410" s="3"/>
      <c r="BP410" s="3"/>
      <c r="BQ410" s="3"/>
      <c r="BR410" s="3"/>
      <c r="BS410" s="3"/>
      <c r="BT410" s="3"/>
      <c r="BU410" s="3"/>
      <c r="BV410" s="3"/>
      <c r="BW410" s="3"/>
      <c r="BX410" s="3"/>
      <c r="BY410" s="3"/>
      <c r="BZ410" s="3"/>
      <c r="CA410" s="3"/>
      <c r="CB410" s="3"/>
      <c r="CC410" s="3"/>
      <c r="CD410" s="3"/>
      <c r="CE410" s="3"/>
      <c r="CF410" s="3"/>
      <c r="CG410" s="3"/>
      <c r="CH410" s="3"/>
      <c r="CI410" s="3"/>
      <c r="CJ410" s="3"/>
      <c r="CK410" s="3"/>
      <c r="CL410" s="3"/>
      <c r="CM410" s="3"/>
      <c r="CN410" s="3"/>
      <c r="CO410" s="3"/>
      <c r="CP410" s="3"/>
      <c r="CQ410" s="3"/>
      <c r="CR410" s="3"/>
      <c r="CS410" s="3"/>
      <c r="CT410" s="3"/>
      <c r="CU410" s="3"/>
      <c r="CV410" s="3"/>
      <c r="CW410" s="3"/>
      <c r="CX410" s="3"/>
      <c r="CY410" s="3"/>
      <c r="CZ410" s="3"/>
      <c r="DA410" s="3"/>
    </row>
    <row r="411" spans="1:105" x14ac:dyDescent="0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  <c r="BN411" s="3"/>
      <c r="BO411" s="3"/>
      <c r="BP411" s="3"/>
      <c r="BQ411" s="3"/>
      <c r="BR411" s="3"/>
      <c r="BS411" s="3"/>
      <c r="BT411" s="3"/>
      <c r="BU411" s="3"/>
      <c r="BV411" s="3"/>
      <c r="BW411" s="3"/>
      <c r="BX411" s="3"/>
      <c r="BY411" s="3"/>
      <c r="BZ411" s="3"/>
      <c r="CA411" s="3"/>
      <c r="CB411" s="3"/>
      <c r="CC411" s="3"/>
      <c r="CD411" s="3"/>
      <c r="CE411" s="3"/>
      <c r="CF411" s="3"/>
      <c r="CG411" s="3"/>
      <c r="CH411" s="3"/>
      <c r="CI411" s="3"/>
      <c r="CJ411" s="3"/>
      <c r="CK411" s="3"/>
      <c r="CL411" s="3"/>
      <c r="CM411" s="3"/>
      <c r="CN411" s="3"/>
      <c r="CO411" s="3"/>
      <c r="CP411" s="3"/>
      <c r="CQ411" s="3"/>
      <c r="CR411" s="3"/>
      <c r="CS411" s="3"/>
      <c r="CT411" s="3"/>
      <c r="CU411" s="3"/>
      <c r="CV411" s="3"/>
      <c r="CW411" s="3"/>
      <c r="CX411" s="3"/>
      <c r="CY411" s="3"/>
      <c r="CZ411" s="3"/>
      <c r="DA411" s="3"/>
    </row>
    <row r="412" spans="1:105" x14ac:dyDescent="0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  <c r="BN412" s="3"/>
      <c r="BO412" s="3"/>
      <c r="BP412" s="3"/>
      <c r="BQ412" s="3"/>
      <c r="BR412" s="3"/>
      <c r="BS412" s="3"/>
      <c r="BT412" s="3"/>
      <c r="BU412" s="3"/>
      <c r="BV412" s="3"/>
      <c r="BW412" s="3"/>
      <c r="BX412" s="3"/>
      <c r="BY412" s="3"/>
      <c r="BZ412" s="3"/>
      <c r="CA412" s="3"/>
      <c r="CB412" s="3"/>
      <c r="CC412" s="3"/>
      <c r="CD412" s="3"/>
      <c r="CE412" s="3"/>
      <c r="CF412" s="3"/>
      <c r="CG412" s="3"/>
      <c r="CH412" s="3"/>
      <c r="CI412" s="3"/>
      <c r="CJ412" s="3"/>
      <c r="CK412" s="3"/>
      <c r="CL412" s="3"/>
      <c r="CM412" s="3"/>
      <c r="CN412" s="3"/>
      <c r="CO412" s="3"/>
      <c r="CP412" s="3"/>
      <c r="CQ412" s="3"/>
      <c r="CR412" s="3"/>
      <c r="CS412" s="3"/>
      <c r="CT412" s="3"/>
      <c r="CU412" s="3"/>
      <c r="CV412" s="3"/>
      <c r="CW412" s="3"/>
      <c r="CX412" s="3"/>
      <c r="CY412" s="3"/>
      <c r="CZ412" s="3"/>
      <c r="DA412" s="3"/>
    </row>
    <row r="413" spans="1:105" x14ac:dyDescent="0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  <c r="BN413" s="3"/>
      <c r="BO413" s="3"/>
      <c r="BP413" s="3"/>
      <c r="BQ413" s="3"/>
      <c r="BR413" s="3"/>
      <c r="BS413" s="3"/>
      <c r="BT413" s="3"/>
      <c r="BU413" s="3"/>
      <c r="BV413" s="3"/>
      <c r="BW413" s="3"/>
      <c r="BX413" s="3"/>
      <c r="BY413" s="3"/>
      <c r="BZ413" s="3"/>
      <c r="CA413" s="3"/>
      <c r="CB413" s="3"/>
      <c r="CC413" s="3"/>
      <c r="CD413" s="3"/>
      <c r="CE413" s="3"/>
      <c r="CF413" s="3"/>
      <c r="CG413" s="3"/>
      <c r="CH413" s="3"/>
      <c r="CI413" s="3"/>
      <c r="CJ413" s="3"/>
      <c r="CK413" s="3"/>
      <c r="CL413" s="3"/>
      <c r="CM413" s="3"/>
      <c r="CN413" s="3"/>
      <c r="CO413" s="3"/>
      <c r="CP413" s="3"/>
      <c r="CQ413" s="3"/>
      <c r="CR413" s="3"/>
      <c r="CS413" s="3"/>
      <c r="CT413" s="3"/>
      <c r="CU413" s="3"/>
      <c r="CV413" s="3"/>
      <c r="CW413" s="3"/>
      <c r="CX413" s="3"/>
      <c r="CY413" s="3"/>
      <c r="CZ413" s="3"/>
      <c r="DA413" s="3"/>
    </row>
    <row r="414" spans="1:105" x14ac:dyDescent="0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  <c r="BN414" s="3"/>
      <c r="BO414" s="3"/>
      <c r="BP414" s="3"/>
      <c r="BQ414" s="3"/>
      <c r="BR414" s="3"/>
      <c r="BS414" s="3"/>
      <c r="BT414" s="3"/>
      <c r="BU414" s="3"/>
      <c r="BV414" s="3"/>
      <c r="BW414" s="3"/>
      <c r="BX414" s="3"/>
      <c r="BY414" s="3"/>
      <c r="BZ414" s="3"/>
      <c r="CA414" s="3"/>
      <c r="CB414" s="3"/>
      <c r="CC414" s="3"/>
      <c r="CD414" s="3"/>
      <c r="CE414" s="3"/>
      <c r="CF414" s="3"/>
      <c r="CG414" s="3"/>
      <c r="CH414" s="3"/>
      <c r="CI414" s="3"/>
      <c r="CJ414" s="3"/>
      <c r="CK414" s="3"/>
      <c r="CL414" s="3"/>
      <c r="CM414" s="3"/>
      <c r="CN414" s="3"/>
      <c r="CO414" s="3"/>
      <c r="CP414" s="3"/>
      <c r="CQ414" s="3"/>
      <c r="CR414" s="3"/>
      <c r="CS414" s="3"/>
      <c r="CT414" s="3"/>
      <c r="CU414" s="3"/>
      <c r="CV414" s="3"/>
      <c r="CW414" s="3"/>
      <c r="CX414" s="3"/>
      <c r="CY414" s="3"/>
      <c r="CZ414" s="3"/>
      <c r="DA414" s="3"/>
    </row>
    <row r="415" spans="1:105" x14ac:dyDescent="0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  <c r="BN415" s="3"/>
      <c r="BO415" s="3"/>
      <c r="BP415" s="3"/>
      <c r="BQ415" s="3"/>
      <c r="BR415" s="3"/>
      <c r="BS415" s="3"/>
      <c r="BT415" s="3"/>
      <c r="BU415" s="3"/>
      <c r="BV415" s="3"/>
      <c r="BW415" s="3"/>
      <c r="BX415" s="3"/>
      <c r="BY415" s="3"/>
      <c r="BZ415" s="3"/>
      <c r="CA415" s="3"/>
      <c r="CB415" s="3"/>
      <c r="CC415" s="3"/>
      <c r="CD415" s="3"/>
      <c r="CE415" s="3"/>
      <c r="CF415" s="3"/>
      <c r="CG415" s="3"/>
      <c r="CH415" s="3"/>
      <c r="CI415" s="3"/>
      <c r="CJ415" s="3"/>
      <c r="CK415" s="3"/>
      <c r="CL415" s="3"/>
      <c r="CM415" s="3"/>
      <c r="CN415" s="3"/>
      <c r="CO415" s="3"/>
      <c r="CP415" s="3"/>
      <c r="CQ415" s="3"/>
      <c r="CR415" s="3"/>
      <c r="CS415" s="3"/>
      <c r="CT415" s="3"/>
      <c r="CU415" s="3"/>
      <c r="CV415" s="3"/>
      <c r="CW415" s="3"/>
      <c r="CX415" s="3"/>
      <c r="CY415" s="3"/>
      <c r="CZ415" s="3"/>
      <c r="DA415" s="3"/>
    </row>
    <row r="416" spans="1:105" x14ac:dyDescent="0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  <c r="BN416" s="3"/>
      <c r="BO416" s="3"/>
      <c r="BP416" s="3"/>
      <c r="BQ416" s="3"/>
      <c r="BR416" s="3"/>
      <c r="BS416" s="3"/>
      <c r="BT416" s="3"/>
      <c r="BU416" s="3"/>
      <c r="BV416" s="3"/>
      <c r="BW416" s="3"/>
      <c r="BX416" s="3"/>
      <c r="BY416" s="3"/>
      <c r="BZ416" s="3"/>
      <c r="CA416" s="3"/>
      <c r="CB416" s="3"/>
      <c r="CC416" s="3"/>
      <c r="CD416" s="3"/>
      <c r="CE416" s="3"/>
      <c r="CF416" s="3"/>
      <c r="CG416" s="3"/>
      <c r="CH416" s="3"/>
      <c r="CI416" s="3"/>
      <c r="CJ416" s="3"/>
      <c r="CK416" s="3"/>
      <c r="CL416" s="3"/>
      <c r="CM416" s="3"/>
      <c r="CN416" s="3"/>
      <c r="CO416" s="3"/>
      <c r="CP416" s="3"/>
      <c r="CQ416" s="3"/>
      <c r="CR416" s="3"/>
      <c r="CS416" s="3"/>
      <c r="CT416" s="3"/>
      <c r="CU416" s="3"/>
      <c r="CV416" s="3"/>
      <c r="CW416" s="3"/>
      <c r="CX416" s="3"/>
      <c r="CY416" s="3"/>
      <c r="CZ416" s="3"/>
      <c r="DA416" s="3"/>
    </row>
    <row r="417" spans="1:105" x14ac:dyDescent="0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  <c r="BN417" s="3"/>
      <c r="BO417" s="3"/>
      <c r="BP417" s="3"/>
      <c r="BQ417" s="3"/>
      <c r="BR417" s="3"/>
      <c r="BS417" s="3"/>
      <c r="BT417" s="3"/>
      <c r="BU417" s="3"/>
      <c r="BV417" s="3"/>
      <c r="BW417" s="3"/>
      <c r="BX417" s="3"/>
      <c r="BY417" s="3"/>
      <c r="BZ417" s="3"/>
      <c r="CA417" s="3"/>
      <c r="CB417" s="3"/>
      <c r="CC417" s="3"/>
      <c r="CD417" s="3"/>
      <c r="CE417" s="3"/>
      <c r="CF417" s="3"/>
      <c r="CG417" s="3"/>
      <c r="CH417" s="3"/>
      <c r="CI417" s="3"/>
      <c r="CJ417" s="3"/>
      <c r="CK417" s="3"/>
      <c r="CL417" s="3"/>
      <c r="CM417" s="3"/>
      <c r="CN417" s="3"/>
      <c r="CO417" s="3"/>
      <c r="CP417" s="3"/>
      <c r="CQ417" s="3"/>
      <c r="CR417" s="3"/>
      <c r="CS417" s="3"/>
      <c r="CT417" s="3"/>
      <c r="CU417" s="3"/>
      <c r="CV417" s="3"/>
      <c r="CW417" s="3"/>
      <c r="CX417" s="3"/>
      <c r="CY417" s="3"/>
      <c r="CZ417" s="3"/>
      <c r="DA417" s="3"/>
    </row>
    <row r="418" spans="1:105" x14ac:dyDescent="0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  <c r="BN418" s="3"/>
      <c r="BO418" s="3"/>
      <c r="BP418" s="3"/>
      <c r="BQ418" s="3"/>
      <c r="BR418" s="3"/>
      <c r="BS418" s="3"/>
      <c r="BT418" s="3"/>
      <c r="BU418" s="3"/>
      <c r="BV418" s="3"/>
      <c r="BW418" s="3"/>
      <c r="BX418" s="3"/>
      <c r="BY418" s="3"/>
      <c r="BZ418" s="3"/>
      <c r="CA418" s="3"/>
      <c r="CB418" s="3"/>
      <c r="CC418" s="3"/>
      <c r="CD418" s="3"/>
      <c r="CE418" s="3"/>
      <c r="CF418" s="3"/>
      <c r="CG418" s="3"/>
      <c r="CH418" s="3"/>
      <c r="CI418" s="3"/>
      <c r="CJ418" s="3"/>
      <c r="CK418" s="3"/>
      <c r="CL418" s="3"/>
      <c r="CM418" s="3"/>
      <c r="CN418" s="3"/>
      <c r="CO418" s="3"/>
      <c r="CP418" s="3"/>
      <c r="CQ418" s="3"/>
      <c r="CR418" s="3"/>
      <c r="CS418" s="3"/>
      <c r="CT418" s="3"/>
      <c r="CU418" s="3"/>
      <c r="CV418" s="3"/>
      <c r="CW418" s="3"/>
      <c r="CX418" s="3"/>
      <c r="CY418" s="3"/>
      <c r="CZ418" s="3"/>
      <c r="DA418" s="3"/>
    </row>
    <row r="419" spans="1:105" x14ac:dyDescent="0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  <c r="BN419" s="3"/>
      <c r="BO419" s="3"/>
      <c r="BP419" s="3"/>
      <c r="BQ419" s="3"/>
      <c r="BR419" s="3"/>
      <c r="BS419" s="3"/>
      <c r="BT419" s="3"/>
      <c r="BU419" s="3"/>
      <c r="BV419" s="3"/>
      <c r="BW419" s="3"/>
      <c r="BX419" s="3"/>
      <c r="BY419" s="3"/>
      <c r="BZ419" s="3"/>
      <c r="CA419" s="3"/>
      <c r="CB419" s="3"/>
      <c r="CC419" s="3"/>
      <c r="CD419" s="3"/>
      <c r="CE419" s="3"/>
      <c r="CF419" s="3"/>
      <c r="CG419" s="3"/>
      <c r="CH419" s="3"/>
      <c r="CI419" s="3"/>
      <c r="CJ419" s="3"/>
      <c r="CK419" s="3"/>
      <c r="CL419" s="3"/>
      <c r="CM419" s="3"/>
      <c r="CN419" s="3"/>
      <c r="CO419" s="3"/>
      <c r="CP419" s="3"/>
      <c r="CQ419" s="3"/>
      <c r="CR419" s="3"/>
      <c r="CS419" s="3"/>
      <c r="CT419" s="3"/>
      <c r="CU419" s="3"/>
      <c r="CV419" s="3"/>
      <c r="CW419" s="3"/>
      <c r="CX419" s="3"/>
      <c r="CY419" s="3"/>
      <c r="CZ419" s="3"/>
      <c r="DA419" s="3"/>
    </row>
    <row r="420" spans="1:105" x14ac:dyDescent="0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  <c r="BN420" s="3"/>
      <c r="BO420" s="3"/>
      <c r="BP420" s="3"/>
      <c r="BQ420" s="3"/>
      <c r="BR420" s="3"/>
      <c r="BS420" s="3"/>
      <c r="BT420" s="3"/>
      <c r="BU420" s="3"/>
      <c r="BV420" s="3"/>
      <c r="BW420" s="3"/>
      <c r="BX420" s="3"/>
      <c r="BY420" s="3"/>
      <c r="BZ420" s="3"/>
      <c r="CA420" s="3"/>
      <c r="CB420" s="3"/>
      <c r="CC420" s="3"/>
      <c r="CD420" s="3"/>
      <c r="CE420" s="3"/>
      <c r="CF420" s="3"/>
      <c r="CG420" s="3"/>
      <c r="CH420" s="3"/>
      <c r="CI420" s="3"/>
      <c r="CJ420" s="3"/>
      <c r="CK420" s="3"/>
      <c r="CL420" s="3"/>
      <c r="CM420" s="3"/>
      <c r="CN420" s="3"/>
      <c r="CO420" s="3"/>
      <c r="CP420" s="3"/>
      <c r="CQ420" s="3"/>
      <c r="CR420" s="3"/>
      <c r="CS420" s="3"/>
      <c r="CT420" s="3"/>
      <c r="CU420" s="3"/>
      <c r="CV420" s="3"/>
      <c r="CW420" s="3"/>
      <c r="CX420" s="3"/>
      <c r="CY420" s="3"/>
      <c r="CZ420" s="3"/>
      <c r="DA420" s="3"/>
    </row>
    <row r="421" spans="1:105" x14ac:dyDescent="0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  <c r="BN421" s="3"/>
      <c r="BO421" s="3"/>
      <c r="BP421" s="3"/>
      <c r="BQ421" s="3"/>
      <c r="BR421" s="3"/>
      <c r="BS421" s="3"/>
      <c r="BT421" s="3"/>
      <c r="BU421" s="3"/>
      <c r="BV421" s="3"/>
      <c r="BW421" s="3"/>
      <c r="BX421" s="3"/>
      <c r="BY421" s="3"/>
      <c r="BZ421" s="3"/>
      <c r="CA421" s="3"/>
      <c r="CB421" s="3"/>
      <c r="CC421" s="3"/>
      <c r="CD421" s="3"/>
      <c r="CE421" s="3"/>
      <c r="CF421" s="3"/>
      <c r="CG421" s="3"/>
      <c r="CH421" s="3"/>
      <c r="CI421" s="3"/>
      <c r="CJ421" s="3"/>
      <c r="CK421" s="3"/>
      <c r="CL421" s="3"/>
      <c r="CM421" s="3"/>
      <c r="CN421" s="3"/>
      <c r="CO421" s="3"/>
      <c r="CP421" s="3"/>
      <c r="CQ421" s="3"/>
      <c r="CR421" s="3"/>
      <c r="CS421" s="3"/>
      <c r="CT421" s="3"/>
      <c r="CU421" s="3"/>
      <c r="CV421" s="3"/>
      <c r="CW421" s="3"/>
      <c r="CX421" s="3"/>
      <c r="CY421" s="3"/>
      <c r="CZ421" s="3"/>
      <c r="DA421" s="3"/>
    </row>
    <row r="422" spans="1:105" x14ac:dyDescent="0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  <c r="BN422" s="3"/>
      <c r="BO422" s="3"/>
      <c r="BP422" s="3"/>
      <c r="BQ422" s="3"/>
      <c r="BR422" s="3"/>
      <c r="BS422" s="3"/>
      <c r="BT422" s="3"/>
      <c r="BU422" s="3"/>
      <c r="BV422" s="3"/>
      <c r="BW422" s="3"/>
      <c r="BX422" s="3"/>
      <c r="BY422" s="3"/>
      <c r="BZ422" s="3"/>
      <c r="CA422" s="3"/>
      <c r="CB422" s="3"/>
      <c r="CC422" s="3"/>
      <c r="CD422" s="3"/>
      <c r="CE422" s="3"/>
      <c r="CF422" s="3"/>
      <c r="CG422" s="3"/>
      <c r="CH422" s="3"/>
      <c r="CI422" s="3"/>
      <c r="CJ422" s="3"/>
      <c r="CK422" s="3"/>
      <c r="CL422" s="3"/>
      <c r="CM422" s="3"/>
      <c r="CN422" s="3"/>
      <c r="CO422" s="3"/>
      <c r="CP422" s="3"/>
      <c r="CQ422" s="3"/>
      <c r="CR422" s="3"/>
      <c r="CS422" s="3"/>
      <c r="CT422" s="3"/>
      <c r="CU422" s="3"/>
      <c r="CV422" s="3"/>
      <c r="CW422" s="3"/>
      <c r="CX422" s="3"/>
      <c r="CY422" s="3"/>
      <c r="CZ422" s="3"/>
      <c r="DA422" s="3"/>
    </row>
    <row r="423" spans="1:105" x14ac:dyDescent="0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  <c r="BN423" s="3"/>
      <c r="BO423" s="3"/>
      <c r="BP423" s="3"/>
      <c r="BQ423" s="3"/>
      <c r="BR423" s="3"/>
      <c r="BS423" s="3"/>
      <c r="BT423" s="3"/>
      <c r="BU423" s="3"/>
      <c r="BV423" s="3"/>
      <c r="BW423" s="3"/>
      <c r="BX423" s="3"/>
      <c r="BY423" s="3"/>
      <c r="BZ423" s="3"/>
      <c r="CA423" s="3"/>
      <c r="CB423" s="3"/>
      <c r="CC423" s="3"/>
      <c r="CD423" s="3"/>
      <c r="CE423" s="3"/>
      <c r="CF423" s="3"/>
      <c r="CG423" s="3"/>
      <c r="CH423" s="3"/>
      <c r="CI423" s="3"/>
      <c r="CJ423" s="3"/>
      <c r="CK423" s="3"/>
      <c r="CL423" s="3"/>
      <c r="CM423" s="3"/>
      <c r="CN423" s="3"/>
      <c r="CO423" s="3"/>
      <c r="CP423" s="3"/>
      <c r="CQ423" s="3"/>
      <c r="CR423" s="3"/>
      <c r="CS423" s="3"/>
      <c r="CT423" s="3"/>
      <c r="CU423" s="3"/>
      <c r="CV423" s="3"/>
      <c r="CW423" s="3"/>
      <c r="CX423" s="3"/>
      <c r="CY423" s="3"/>
      <c r="CZ423" s="3"/>
      <c r="DA423" s="3"/>
    </row>
    <row r="424" spans="1:105" x14ac:dyDescent="0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  <c r="BN424" s="3"/>
      <c r="BO424" s="3"/>
      <c r="BP424" s="3"/>
      <c r="BQ424" s="3"/>
      <c r="BR424" s="3"/>
      <c r="BS424" s="3"/>
      <c r="BT424" s="3"/>
      <c r="BU424" s="3"/>
      <c r="BV424" s="3"/>
      <c r="BW424" s="3"/>
      <c r="BX424" s="3"/>
      <c r="BY424" s="3"/>
      <c r="BZ424" s="3"/>
      <c r="CA424" s="3"/>
      <c r="CB424" s="3"/>
      <c r="CC424" s="3"/>
      <c r="CD424" s="3"/>
      <c r="CE424" s="3"/>
      <c r="CF424" s="3"/>
      <c r="CG424" s="3"/>
      <c r="CH424" s="3"/>
      <c r="CI424" s="3"/>
      <c r="CJ424" s="3"/>
      <c r="CK424" s="3"/>
      <c r="CL424" s="3"/>
      <c r="CM424" s="3"/>
      <c r="CN424" s="3"/>
      <c r="CO424" s="3"/>
      <c r="CP424" s="3"/>
      <c r="CQ424" s="3"/>
      <c r="CR424" s="3"/>
      <c r="CS424" s="3"/>
      <c r="CT424" s="3"/>
      <c r="CU424" s="3"/>
      <c r="CV424" s="3"/>
      <c r="CW424" s="3"/>
      <c r="CX424" s="3"/>
      <c r="CY424" s="3"/>
      <c r="CZ424" s="3"/>
      <c r="DA424" s="3"/>
    </row>
    <row r="425" spans="1:105" x14ac:dyDescent="0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  <c r="BN425" s="3"/>
      <c r="BO425" s="3"/>
      <c r="BP425" s="3"/>
      <c r="BQ425" s="3"/>
      <c r="BR425" s="3"/>
      <c r="BS425" s="3"/>
      <c r="BT425" s="3"/>
      <c r="BU425" s="3"/>
      <c r="BV425" s="3"/>
      <c r="BW425" s="3"/>
      <c r="BX425" s="3"/>
      <c r="BY425" s="3"/>
      <c r="BZ425" s="3"/>
      <c r="CA425" s="3"/>
      <c r="CB425" s="3"/>
      <c r="CC425" s="3"/>
      <c r="CD425" s="3"/>
      <c r="CE425" s="3"/>
      <c r="CF425" s="3"/>
      <c r="CG425" s="3"/>
      <c r="CH425" s="3"/>
      <c r="CI425" s="3"/>
      <c r="CJ425" s="3"/>
      <c r="CK425" s="3"/>
      <c r="CL425" s="3"/>
      <c r="CM425" s="3"/>
      <c r="CN425" s="3"/>
      <c r="CO425" s="3"/>
      <c r="CP425" s="3"/>
      <c r="CQ425" s="3"/>
      <c r="CR425" s="3"/>
      <c r="CS425" s="3"/>
      <c r="CT425" s="3"/>
      <c r="CU425" s="3"/>
      <c r="CV425" s="3"/>
      <c r="CW425" s="3"/>
      <c r="CX425" s="3"/>
      <c r="CY425" s="3"/>
      <c r="CZ425" s="3"/>
      <c r="DA425" s="3"/>
    </row>
    <row r="426" spans="1:105" x14ac:dyDescent="0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  <c r="BN426" s="3"/>
      <c r="BO426" s="3"/>
      <c r="BP426" s="3"/>
      <c r="BQ426" s="3"/>
      <c r="BR426" s="3"/>
      <c r="BS426" s="3"/>
      <c r="BT426" s="3"/>
      <c r="BU426" s="3"/>
      <c r="BV426" s="3"/>
      <c r="BW426" s="3"/>
      <c r="BX426" s="3"/>
      <c r="BY426" s="3"/>
      <c r="BZ426" s="3"/>
      <c r="CA426" s="3"/>
      <c r="CB426" s="3"/>
      <c r="CC426" s="3"/>
      <c r="CD426" s="3"/>
      <c r="CE426" s="3"/>
      <c r="CF426" s="3"/>
      <c r="CG426" s="3"/>
      <c r="CH426" s="3"/>
      <c r="CI426" s="3"/>
      <c r="CJ426" s="3"/>
      <c r="CK426" s="3"/>
      <c r="CL426" s="3"/>
      <c r="CM426" s="3"/>
      <c r="CN426" s="3"/>
      <c r="CO426" s="3"/>
      <c r="CP426" s="3"/>
      <c r="CQ426" s="3"/>
      <c r="CR426" s="3"/>
      <c r="CS426" s="3"/>
      <c r="CT426" s="3"/>
      <c r="CU426" s="3"/>
      <c r="CV426" s="3"/>
      <c r="CW426" s="3"/>
      <c r="CX426" s="3"/>
      <c r="CY426" s="3"/>
      <c r="CZ426" s="3"/>
      <c r="DA426" s="3"/>
    </row>
    <row r="427" spans="1:105" x14ac:dyDescent="0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  <c r="BN427" s="3"/>
      <c r="BO427" s="3"/>
      <c r="BP427" s="3"/>
      <c r="BQ427" s="3"/>
      <c r="BR427" s="3"/>
      <c r="BS427" s="3"/>
      <c r="BT427" s="3"/>
      <c r="BU427" s="3"/>
      <c r="BV427" s="3"/>
      <c r="BW427" s="3"/>
      <c r="BX427" s="3"/>
      <c r="BY427" s="3"/>
      <c r="BZ427" s="3"/>
      <c r="CA427" s="3"/>
      <c r="CB427" s="3"/>
      <c r="CC427" s="3"/>
      <c r="CD427" s="3"/>
      <c r="CE427" s="3"/>
      <c r="CF427" s="3"/>
      <c r="CG427" s="3"/>
      <c r="CH427" s="3"/>
      <c r="CI427" s="3"/>
      <c r="CJ427" s="3"/>
      <c r="CK427" s="3"/>
      <c r="CL427" s="3"/>
      <c r="CM427" s="3"/>
      <c r="CN427" s="3"/>
      <c r="CO427" s="3"/>
      <c r="CP427" s="3"/>
      <c r="CQ427" s="3"/>
      <c r="CR427" s="3"/>
      <c r="CS427" s="3"/>
      <c r="CT427" s="3"/>
      <c r="CU427" s="3"/>
      <c r="CV427" s="3"/>
      <c r="CW427" s="3"/>
      <c r="CX427" s="3"/>
      <c r="CY427" s="3"/>
      <c r="CZ427" s="3"/>
      <c r="DA427" s="3"/>
    </row>
    <row r="428" spans="1:105" x14ac:dyDescent="0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  <c r="BN428" s="3"/>
      <c r="BO428" s="3"/>
      <c r="BP428" s="3"/>
      <c r="BQ428" s="3"/>
      <c r="BR428" s="3"/>
      <c r="BS428" s="3"/>
      <c r="BT428" s="3"/>
      <c r="BU428" s="3"/>
      <c r="BV428" s="3"/>
      <c r="BW428" s="3"/>
      <c r="BX428" s="3"/>
      <c r="BY428" s="3"/>
      <c r="BZ428" s="3"/>
      <c r="CA428" s="3"/>
      <c r="CB428" s="3"/>
      <c r="CC428" s="3"/>
      <c r="CD428" s="3"/>
      <c r="CE428" s="3"/>
      <c r="CF428" s="3"/>
      <c r="CG428" s="3"/>
      <c r="CH428" s="3"/>
      <c r="CI428" s="3"/>
      <c r="CJ428" s="3"/>
      <c r="CK428" s="3"/>
      <c r="CL428" s="3"/>
      <c r="CM428" s="3"/>
      <c r="CN428" s="3"/>
      <c r="CO428" s="3"/>
      <c r="CP428" s="3"/>
      <c r="CQ428" s="3"/>
      <c r="CR428" s="3"/>
      <c r="CS428" s="3"/>
      <c r="CT428" s="3"/>
      <c r="CU428" s="3"/>
      <c r="CV428" s="3"/>
      <c r="CW428" s="3"/>
      <c r="CX428" s="3"/>
      <c r="CY428" s="3"/>
      <c r="CZ428" s="3"/>
      <c r="DA428" s="3"/>
    </row>
    <row r="429" spans="1:105" x14ac:dyDescent="0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  <c r="BN429" s="3"/>
      <c r="BO429" s="3"/>
      <c r="BP429" s="3"/>
      <c r="BQ429" s="3"/>
      <c r="BR429" s="3"/>
      <c r="BS429" s="3"/>
      <c r="BT429" s="3"/>
      <c r="BU429" s="3"/>
      <c r="BV429" s="3"/>
      <c r="BW429" s="3"/>
      <c r="BX429" s="3"/>
      <c r="BY429" s="3"/>
      <c r="BZ429" s="3"/>
      <c r="CA429" s="3"/>
      <c r="CB429" s="3"/>
      <c r="CC429" s="3"/>
      <c r="CD429" s="3"/>
      <c r="CE429" s="3"/>
      <c r="CF429" s="3"/>
      <c r="CG429" s="3"/>
      <c r="CH429" s="3"/>
      <c r="CI429" s="3"/>
      <c r="CJ429" s="3"/>
      <c r="CK429" s="3"/>
      <c r="CL429" s="3"/>
      <c r="CM429" s="3"/>
      <c r="CN429" s="3"/>
      <c r="CO429" s="3"/>
      <c r="CP429" s="3"/>
      <c r="CQ429" s="3"/>
      <c r="CR429" s="3"/>
      <c r="CS429" s="3"/>
      <c r="CT429" s="3"/>
      <c r="CU429" s="3"/>
      <c r="CV429" s="3"/>
      <c r="CW429" s="3"/>
      <c r="CX429" s="3"/>
      <c r="CY429" s="3"/>
      <c r="CZ429" s="3"/>
      <c r="DA429" s="3"/>
    </row>
    <row r="430" spans="1:105" x14ac:dyDescent="0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  <c r="BN430" s="3"/>
      <c r="BO430" s="3"/>
      <c r="BP430" s="3"/>
      <c r="BQ430" s="3"/>
      <c r="BR430" s="3"/>
      <c r="BS430" s="3"/>
      <c r="BT430" s="3"/>
      <c r="BU430" s="3"/>
      <c r="BV430" s="3"/>
      <c r="BW430" s="3"/>
      <c r="BX430" s="3"/>
      <c r="BY430" s="3"/>
      <c r="BZ430" s="3"/>
      <c r="CA430" s="3"/>
      <c r="CB430" s="3"/>
      <c r="CC430" s="3"/>
      <c r="CD430" s="3"/>
      <c r="CE430" s="3"/>
      <c r="CF430" s="3"/>
      <c r="CG430" s="3"/>
      <c r="CH430" s="3"/>
      <c r="CI430" s="3"/>
      <c r="CJ430" s="3"/>
      <c r="CK430" s="3"/>
      <c r="CL430" s="3"/>
      <c r="CM430" s="3"/>
      <c r="CN430" s="3"/>
      <c r="CO430" s="3"/>
      <c r="CP430" s="3"/>
      <c r="CQ430" s="3"/>
      <c r="CR430" s="3"/>
      <c r="CS430" s="3"/>
      <c r="CT430" s="3"/>
      <c r="CU430" s="3"/>
      <c r="CV430" s="3"/>
      <c r="CW430" s="3"/>
      <c r="CX430" s="3"/>
      <c r="CY430" s="3"/>
      <c r="CZ430" s="3"/>
      <c r="DA430" s="3"/>
    </row>
    <row r="431" spans="1:105" x14ac:dyDescent="0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  <c r="BN431" s="3"/>
      <c r="BO431" s="3"/>
      <c r="BP431" s="3"/>
      <c r="BQ431" s="3"/>
      <c r="BR431" s="3"/>
      <c r="BS431" s="3"/>
      <c r="BT431" s="3"/>
      <c r="BU431" s="3"/>
      <c r="BV431" s="3"/>
      <c r="BW431" s="3"/>
      <c r="BX431" s="3"/>
      <c r="BY431" s="3"/>
      <c r="BZ431" s="3"/>
      <c r="CA431" s="3"/>
      <c r="CB431" s="3"/>
      <c r="CC431" s="3"/>
      <c r="CD431" s="3"/>
      <c r="CE431" s="3"/>
      <c r="CF431" s="3"/>
      <c r="CG431" s="3"/>
      <c r="CH431" s="3"/>
      <c r="CI431" s="3"/>
      <c r="CJ431" s="3"/>
      <c r="CK431" s="3"/>
      <c r="CL431" s="3"/>
      <c r="CM431" s="3"/>
      <c r="CN431" s="3"/>
      <c r="CO431" s="3"/>
      <c r="CP431" s="3"/>
      <c r="CQ431" s="3"/>
      <c r="CR431" s="3"/>
      <c r="CS431" s="3"/>
      <c r="CT431" s="3"/>
      <c r="CU431" s="3"/>
      <c r="CV431" s="3"/>
      <c r="CW431" s="3"/>
      <c r="CX431" s="3"/>
      <c r="CY431" s="3"/>
      <c r="CZ431" s="3"/>
      <c r="DA431" s="3"/>
    </row>
    <row r="432" spans="1:105" x14ac:dyDescent="0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  <c r="BN432" s="3"/>
      <c r="BO432" s="3"/>
      <c r="BP432" s="3"/>
      <c r="BQ432" s="3"/>
      <c r="BR432" s="3"/>
      <c r="BS432" s="3"/>
      <c r="BT432" s="3"/>
      <c r="BU432" s="3"/>
      <c r="BV432" s="3"/>
      <c r="BW432" s="3"/>
      <c r="BX432" s="3"/>
      <c r="BY432" s="3"/>
      <c r="BZ432" s="3"/>
      <c r="CA432" s="3"/>
      <c r="CB432" s="3"/>
      <c r="CC432" s="3"/>
      <c r="CD432" s="3"/>
      <c r="CE432" s="3"/>
      <c r="CF432" s="3"/>
      <c r="CG432" s="3"/>
      <c r="CH432" s="3"/>
      <c r="CI432" s="3"/>
      <c r="CJ432" s="3"/>
      <c r="CK432" s="3"/>
      <c r="CL432" s="3"/>
      <c r="CM432" s="3"/>
      <c r="CN432" s="3"/>
      <c r="CO432" s="3"/>
      <c r="CP432" s="3"/>
      <c r="CQ432" s="3"/>
      <c r="CR432" s="3"/>
      <c r="CS432" s="3"/>
      <c r="CT432" s="3"/>
      <c r="CU432" s="3"/>
      <c r="CV432" s="3"/>
      <c r="CW432" s="3"/>
      <c r="CX432" s="3"/>
      <c r="CY432" s="3"/>
      <c r="CZ432" s="3"/>
      <c r="DA432" s="3"/>
    </row>
    <row r="433" spans="1:105" x14ac:dyDescent="0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  <c r="BN433" s="3"/>
      <c r="BO433" s="3"/>
      <c r="BP433" s="3"/>
      <c r="BQ433" s="3"/>
      <c r="BR433" s="3"/>
      <c r="BS433" s="3"/>
      <c r="BT433" s="3"/>
      <c r="BU433" s="3"/>
      <c r="BV433" s="3"/>
      <c r="BW433" s="3"/>
      <c r="BX433" s="3"/>
      <c r="BY433" s="3"/>
      <c r="BZ433" s="3"/>
      <c r="CA433" s="3"/>
      <c r="CB433" s="3"/>
      <c r="CC433" s="3"/>
      <c r="CD433" s="3"/>
      <c r="CE433" s="3"/>
      <c r="CF433" s="3"/>
      <c r="CG433" s="3"/>
      <c r="CH433" s="3"/>
      <c r="CI433" s="3"/>
      <c r="CJ433" s="3"/>
      <c r="CK433" s="3"/>
      <c r="CL433" s="3"/>
      <c r="CM433" s="3"/>
      <c r="CN433" s="3"/>
      <c r="CO433" s="3"/>
      <c r="CP433" s="3"/>
      <c r="CQ433" s="3"/>
      <c r="CR433" s="3"/>
      <c r="CS433" s="3"/>
      <c r="CT433" s="3"/>
      <c r="CU433" s="3"/>
      <c r="CV433" s="3"/>
      <c r="CW433" s="3"/>
      <c r="CX433" s="3"/>
      <c r="CY433" s="3"/>
      <c r="CZ433" s="3"/>
      <c r="DA433" s="3"/>
    </row>
    <row r="434" spans="1:105" x14ac:dyDescent="0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  <c r="BN434" s="3"/>
      <c r="BO434" s="3"/>
      <c r="BP434" s="3"/>
      <c r="BQ434" s="3"/>
      <c r="BR434" s="3"/>
      <c r="BS434" s="3"/>
      <c r="BT434" s="3"/>
      <c r="BU434" s="3"/>
      <c r="BV434" s="3"/>
      <c r="BW434" s="3"/>
      <c r="BX434" s="3"/>
      <c r="BY434" s="3"/>
      <c r="BZ434" s="3"/>
      <c r="CA434" s="3"/>
      <c r="CB434" s="3"/>
      <c r="CC434" s="3"/>
      <c r="CD434" s="3"/>
      <c r="CE434" s="3"/>
      <c r="CF434" s="3"/>
      <c r="CG434" s="3"/>
      <c r="CH434" s="3"/>
      <c r="CI434" s="3"/>
      <c r="CJ434" s="3"/>
      <c r="CK434" s="3"/>
      <c r="CL434" s="3"/>
      <c r="CM434" s="3"/>
      <c r="CN434" s="3"/>
      <c r="CO434" s="3"/>
      <c r="CP434" s="3"/>
      <c r="CQ434" s="3"/>
      <c r="CR434" s="3"/>
      <c r="CS434" s="3"/>
      <c r="CT434" s="3"/>
      <c r="CU434" s="3"/>
      <c r="CV434" s="3"/>
      <c r="CW434" s="3"/>
      <c r="CX434" s="3"/>
      <c r="CY434" s="3"/>
      <c r="CZ434" s="3"/>
      <c r="DA434" s="3"/>
    </row>
    <row r="435" spans="1:105" x14ac:dyDescent="0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  <c r="BN435" s="3"/>
      <c r="BO435" s="3"/>
      <c r="BP435" s="3"/>
      <c r="BQ435" s="3"/>
      <c r="BR435" s="3"/>
      <c r="BS435" s="3"/>
      <c r="BT435" s="3"/>
      <c r="BU435" s="3"/>
      <c r="BV435" s="3"/>
      <c r="BW435" s="3"/>
      <c r="BX435" s="3"/>
      <c r="BY435" s="3"/>
      <c r="BZ435" s="3"/>
      <c r="CA435" s="3"/>
      <c r="CB435" s="3"/>
      <c r="CC435" s="3"/>
      <c r="CD435" s="3"/>
      <c r="CE435" s="3"/>
      <c r="CF435" s="3"/>
      <c r="CG435" s="3"/>
      <c r="CH435" s="3"/>
      <c r="CI435" s="3"/>
      <c r="CJ435" s="3"/>
      <c r="CK435" s="3"/>
      <c r="CL435" s="3"/>
      <c r="CM435" s="3"/>
      <c r="CN435" s="3"/>
      <c r="CO435" s="3"/>
      <c r="CP435" s="3"/>
      <c r="CQ435" s="3"/>
      <c r="CR435" s="3"/>
      <c r="CS435" s="3"/>
      <c r="CT435" s="3"/>
      <c r="CU435" s="3"/>
      <c r="CV435" s="3"/>
      <c r="CW435" s="3"/>
      <c r="CX435" s="3"/>
      <c r="CY435" s="3"/>
      <c r="CZ435" s="3"/>
      <c r="DA435" s="3"/>
    </row>
    <row r="436" spans="1:105" x14ac:dyDescent="0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  <c r="BN436" s="3"/>
      <c r="BO436" s="3"/>
      <c r="BP436" s="3"/>
      <c r="BQ436" s="3"/>
      <c r="BR436" s="3"/>
      <c r="BS436" s="3"/>
      <c r="BT436" s="3"/>
      <c r="BU436" s="3"/>
      <c r="BV436" s="3"/>
      <c r="BW436" s="3"/>
      <c r="BX436" s="3"/>
      <c r="BY436" s="3"/>
      <c r="BZ436" s="3"/>
      <c r="CA436" s="3"/>
      <c r="CB436" s="3"/>
      <c r="CC436" s="3"/>
      <c r="CD436" s="3"/>
      <c r="CE436" s="3"/>
      <c r="CF436" s="3"/>
      <c r="CG436" s="3"/>
      <c r="CH436" s="3"/>
      <c r="CI436" s="3"/>
      <c r="CJ436" s="3"/>
      <c r="CK436" s="3"/>
      <c r="CL436" s="3"/>
      <c r="CM436" s="3"/>
      <c r="CN436" s="3"/>
      <c r="CO436" s="3"/>
      <c r="CP436" s="3"/>
      <c r="CQ436" s="3"/>
      <c r="CR436" s="3"/>
      <c r="CS436" s="3"/>
      <c r="CT436" s="3"/>
      <c r="CU436" s="3"/>
      <c r="CV436" s="3"/>
      <c r="CW436" s="3"/>
      <c r="CX436" s="3"/>
      <c r="CY436" s="3"/>
      <c r="CZ436" s="3"/>
      <c r="DA436" s="3"/>
    </row>
    <row r="437" spans="1:105" x14ac:dyDescent="0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  <c r="BN437" s="3"/>
      <c r="BO437" s="3"/>
      <c r="BP437" s="3"/>
      <c r="BQ437" s="3"/>
      <c r="BR437" s="3"/>
      <c r="BS437" s="3"/>
      <c r="BT437" s="3"/>
      <c r="BU437" s="3"/>
      <c r="BV437" s="3"/>
      <c r="BW437" s="3"/>
      <c r="BX437" s="3"/>
      <c r="BY437" s="3"/>
      <c r="BZ437" s="3"/>
      <c r="CA437" s="3"/>
      <c r="CB437" s="3"/>
      <c r="CC437" s="3"/>
      <c r="CD437" s="3"/>
      <c r="CE437" s="3"/>
      <c r="CF437" s="3"/>
      <c r="CG437" s="3"/>
      <c r="CH437" s="3"/>
      <c r="CI437" s="3"/>
      <c r="CJ437" s="3"/>
      <c r="CK437" s="3"/>
      <c r="CL437" s="3"/>
      <c r="CM437" s="3"/>
      <c r="CN437" s="3"/>
      <c r="CO437" s="3"/>
      <c r="CP437" s="3"/>
      <c r="CQ437" s="3"/>
      <c r="CR437" s="3"/>
      <c r="CS437" s="3"/>
      <c r="CT437" s="3"/>
      <c r="CU437" s="3"/>
      <c r="CV437" s="3"/>
      <c r="CW437" s="3"/>
      <c r="CX437" s="3"/>
      <c r="CY437" s="3"/>
      <c r="CZ437" s="3"/>
      <c r="DA437" s="3"/>
    </row>
    <row r="438" spans="1:105" x14ac:dyDescent="0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  <c r="BN438" s="3"/>
      <c r="BO438" s="3"/>
      <c r="BP438" s="3"/>
      <c r="BQ438" s="3"/>
      <c r="BR438" s="3"/>
      <c r="BS438" s="3"/>
      <c r="BT438" s="3"/>
      <c r="BU438" s="3"/>
      <c r="BV438" s="3"/>
      <c r="BW438" s="3"/>
      <c r="BX438" s="3"/>
      <c r="BY438" s="3"/>
      <c r="BZ438" s="3"/>
      <c r="CA438" s="3"/>
      <c r="CB438" s="3"/>
      <c r="CC438" s="3"/>
      <c r="CD438" s="3"/>
      <c r="CE438" s="3"/>
      <c r="CF438" s="3"/>
      <c r="CG438" s="3"/>
      <c r="CH438" s="3"/>
      <c r="CI438" s="3"/>
      <c r="CJ438" s="3"/>
      <c r="CK438" s="3"/>
      <c r="CL438" s="3"/>
      <c r="CM438" s="3"/>
      <c r="CN438" s="3"/>
      <c r="CO438" s="3"/>
      <c r="CP438" s="3"/>
      <c r="CQ438" s="3"/>
      <c r="CR438" s="3"/>
      <c r="CS438" s="3"/>
      <c r="CT438" s="3"/>
      <c r="CU438" s="3"/>
      <c r="CV438" s="3"/>
      <c r="CW438" s="3"/>
      <c r="CX438" s="3"/>
      <c r="CY438" s="3"/>
      <c r="CZ438" s="3"/>
      <c r="DA438" s="3"/>
    </row>
    <row r="439" spans="1:105" x14ac:dyDescent="0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  <c r="BN439" s="3"/>
      <c r="BO439" s="3"/>
      <c r="BP439" s="3"/>
      <c r="BQ439" s="3"/>
      <c r="BR439" s="3"/>
      <c r="BS439" s="3"/>
      <c r="BT439" s="3"/>
      <c r="BU439" s="3"/>
      <c r="BV439" s="3"/>
      <c r="BW439" s="3"/>
      <c r="BX439" s="3"/>
      <c r="BY439" s="3"/>
      <c r="BZ439" s="3"/>
      <c r="CA439" s="3"/>
      <c r="CB439" s="3"/>
      <c r="CC439" s="3"/>
      <c r="CD439" s="3"/>
      <c r="CE439" s="3"/>
      <c r="CF439" s="3"/>
      <c r="CG439" s="3"/>
      <c r="CH439" s="3"/>
      <c r="CI439" s="3"/>
      <c r="CJ439" s="3"/>
      <c r="CK439" s="3"/>
      <c r="CL439" s="3"/>
      <c r="CM439" s="3"/>
      <c r="CN439" s="3"/>
      <c r="CO439" s="3"/>
      <c r="CP439" s="3"/>
      <c r="CQ439" s="3"/>
      <c r="CR439" s="3"/>
      <c r="CS439" s="3"/>
      <c r="CT439" s="3"/>
      <c r="CU439" s="3"/>
      <c r="CV439" s="3"/>
      <c r="CW439" s="3"/>
      <c r="CX439" s="3"/>
      <c r="CY439" s="3"/>
      <c r="CZ439" s="3"/>
      <c r="DA439" s="3"/>
    </row>
    <row r="440" spans="1:105" x14ac:dyDescent="0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  <c r="BN440" s="3"/>
      <c r="BO440" s="3"/>
      <c r="BP440" s="3"/>
      <c r="BQ440" s="3"/>
      <c r="BR440" s="3"/>
      <c r="BS440" s="3"/>
      <c r="BT440" s="3"/>
      <c r="BU440" s="3"/>
      <c r="BV440" s="3"/>
      <c r="BW440" s="3"/>
      <c r="BX440" s="3"/>
      <c r="BY440" s="3"/>
      <c r="BZ440" s="3"/>
      <c r="CA440" s="3"/>
      <c r="CB440" s="3"/>
      <c r="CC440" s="3"/>
      <c r="CD440" s="3"/>
      <c r="CE440" s="3"/>
      <c r="CF440" s="3"/>
      <c r="CG440" s="3"/>
      <c r="CH440" s="3"/>
      <c r="CI440" s="3"/>
      <c r="CJ440" s="3"/>
      <c r="CK440" s="3"/>
      <c r="CL440" s="3"/>
      <c r="CM440" s="3"/>
      <c r="CN440" s="3"/>
      <c r="CO440" s="3"/>
      <c r="CP440" s="3"/>
      <c r="CQ440" s="3"/>
      <c r="CR440" s="3"/>
      <c r="CS440" s="3"/>
      <c r="CT440" s="3"/>
      <c r="CU440" s="3"/>
      <c r="CV440" s="3"/>
      <c r="CW440" s="3"/>
      <c r="CX440" s="3"/>
      <c r="CY440" s="3"/>
      <c r="CZ440" s="3"/>
      <c r="DA440" s="3"/>
    </row>
    <row r="441" spans="1:105" x14ac:dyDescent="0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  <c r="BN441" s="3"/>
      <c r="BO441" s="3"/>
      <c r="BP441" s="3"/>
      <c r="BQ441" s="3"/>
      <c r="BR441" s="3"/>
      <c r="BS441" s="3"/>
      <c r="BT441" s="3"/>
      <c r="BU441" s="3"/>
      <c r="BV441" s="3"/>
      <c r="BW441" s="3"/>
      <c r="BX441" s="3"/>
      <c r="BY441" s="3"/>
      <c r="BZ441" s="3"/>
      <c r="CA441" s="3"/>
      <c r="CB441" s="3"/>
      <c r="CC441" s="3"/>
      <c r="CD441" s="3"/>
      <c r="CE441" s="3"/>
      <c r="CF441" s="3"/>
      <c r="CG441" s="3"/>
      <c r="CH441" s="3"/>
      <c r="CI441" s="3"/>
      <c r="CJ441" s="3"/>
      <c r="CK441" s="3"/>
      <c r="CL441" s="3"/>
      <c r="CM441" s="3"/>
      <c r="CN441" s="3"/>
      <c r="CO441" s="3"/>
      <c r="CP441" s="3"/>
      <c r="CQ441" s="3"/>
      <c r="CR441" s="3"/>
      <c r="CS441" s="3"/>
      <c r="CT441" s="3"/>
      <c r="CU441" s="3"/>
      <c r="CV441" s="3"/>
      <c r="CW441" s="3"/>
      <c r="CX441" s="3"/>
      <c r="CY441" s="3"/>
      <c r="CZ441" s="3"/>
      <c r="DA441" s="3"/>
    </row>
    <row r="442" spans="1:105" x14ac:dyDescent="0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  <c r="BN442" s="3"/>
      <c r="BO442" s="3"/>
      <c r="BP442" s="3"/>
      <c r="BQ442" s="3"/>
      <c r="BR442" s="3"/>
      <c r="BS442" s="3"/>
      <c r="BT442" s="3"/>
      <c r="BU442" s="3"/>
      <c r="BV442" s="3"/>
      <c r="BW442" s="3"/>
      <c r="BX442" s="3"/>
      <c r="BY442" s="3"/>
      <c r="BZ442" s="3"/>
      <c r="CA442" s="3"/>
      <c r="CB442" s="3"/>
      <c r="CC442" s="3"/>
      <c r="CD442" s="3"/>
      <c r="CE442" s="3"/>
      <c r="CF442" s="3"/>
      <c r="CG442" s="3"/>
      <c r="CH442" s="3"/>
      <c r="CI442" s="3"/>
      <c r="CJ442" s="3"/>
      <c r="CK442" s="3"/>
      <c r="CL442" s="3"/>
      <c r="CM442" s="3"/>
      <c r="CN442" s="3"/>
      <c r="CO442" s="3"/>
      <c r="CP442" s="3"/>
      <c r="CQ442" s="3"/>
      <c r="CR442" s="3"/>
      <c r="CS442" s="3"/>
      <c r="CT442" s="3"/>
      <c r="CU442" s="3"/>
      <c r="CV442" s="3"/>
      <c r="CW442" s="3"/>
      <c r="CX442" s="3"/>
      <c r="CY442" s="3"/>
      <c r="CZ442" s="3"/>
      <c r="DA442" s="3"/>
    </row>
    <row r="443" spans="1:105" x14ac:dyDescent="0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  <c r="BN443" s="3"/>
      <c r="BO443" s="3"/>
      <c r="BP443" s="3"/>
      <c r="BQ443" s="3"/>
      <c r="BR443" s="3"/>
      <c r="BS443" s="3"/>
      <c r="BT443" s="3"/>
      <c r="BU443" s="3"/>
      <c r="BV443" s="3"/>
      <c r="BW443" s="3"/>
      <c r="BX443" s="3"/>
      <c r="BY443" s="3"/>
      <c r="BZ443" s="3"/>
      <c r="CA443" s="3"/>
      <c r="CB443" s="3"/>
      <c r="CC443" s="3"/>
      <c r="CD443" s="3"/>
      <c r="CE443" s="3"/>
      <c r="CF443" s="3"/>
      <c r="CG443" s="3"/>
      <c r="CH443" s="3"/>
      <c r="CI443" s="3"/>
      <c r="CJ443" s="3"/>
      <c r="CK443" s="3"/>
      <c r="CL443" s="3"/>
      <c r="CM443" s="3"/>
      <c r="CN443" s="3"/>
      <c r="CO443" s="3"/>
      <c r="CP443" s="3"/>
      <c r="CQ443" s="3"/>
      <c r="CR443" s="3"/>
      <c r="CS443" s="3"/>
      <c r="CT443" s="3"/>
      <c r="CU443" s="3"/>
      <c r="CV443" s="3"/>
      <c r="CW443" s="3"/>
      <c r="CX443" s="3"/>
      <c r="CY443" s="3"/>
      <c r="CZ443" s="3"/>
      <c r="DA443" s="3"/>
    </row>
    <row r="444" spans="1:105" x14ac:dyDescent="0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  <c r="BN444" s="3"/>
      <c r="BO444" s="3"/>
      <c r="BP444" s="3"/>
      <c r="BQ444" s="3"/>
      <c r="BR444" s="3"/>
      <c r="BS444" s="3"/>
      <c r="BT444" s="3"/>
      <c r="BU444" s="3"/>
      <c r="BV444" s="3"/>
      <c r="BW444" s="3"/>
      <c r="BX444" s="3"/>
      <c r="BY444" s="3"/>
      <c r="BZ444" s="3"/>
      <c r="CA444" s="3"/>
      <c r="CB444" s="3"/>
      <c r="CC444" s="3"/>
      <c r="CD444" s="3"/>
      <c r="CE444" s="3"/>
      <c r="CF444" s="3"/>
      <c r="CG444" s="3"/>
      <c r="CH444" s="3"/>
      <c r="CI444" s="3"/>
      <c r="CJ444" s="3"/>
      <c r="CK444" s="3"/>
      <c r="CL444" s="3"/>
      <c r="CM444" s="3"/>
      <c r="CN444" s="3"/>
      <c r="CO444" s="3"/>
      <c r="CP444" s="3"/>
      <c r="CQ444" s="3"/>
      <c r="CR444" s="3"/>
      <c r="CS444" s="3"/>
      <c r="CT444" s="3"/>
      <c r="CU444" s="3"/>
      <c r="CV444" s="3"/>
      <c r="CW444" s="3"/>
      <c r="CX444" s="3"/>
      <c r="CY444" s="3"/>
      <c r="CZ444" s="3"/>
      <c r="DA444" s="3"/>
    </row>
    <row r="445" spans="1:105" x14ac:dyDescent="0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  <c r="BN445" s="3"/>
      <c r="BO445" s="3"/>
      <c r="BP445" s="3"/>
      <c r="BQ445" s="3"/>
      <c r="BR445" s="3"/>
      <c r="BS445" s="3"/>
      <c r="BT445" s="3"/>
      <c r="BU445" s="3"/>
      <c r="BV445" s="3"/>
      <c r="BW445" s="3"/>
      <c r="BX445" s="3"/>
      <c r="BY445" s="3"/>
      <c r="BZ445" s="3"/>
      <c r="CA445" s="3"/>
      <c r="CB445" s="3"/>
      <c r="CC445" s="3"/>
      <c r="CD445" s="3"/>
      <c r="CE445" s="3"/>
      <c r="CF445" s="3"/>
      <c r="CG445" s="3"/>
      <c r="CH445" s="3"/>
      <c r="CI445" s="3"/>
      <c r="CJ445" s="3"/>
      <c r="CK445" s="3"/>
      <c r="CL445" s="3"/>
      <c r="CM445" s="3"/>
      <c r="CN445" s="3"/>
      <c r="CO445" s="3"/>
      <c r="CP445" s="3"/>
      <c r="CQ445" s="3"/>
      <c r="CR445" s="3"/>
      <c r="CS445" s="3"/>
      <c r="CT445" s="3"/>
      <c r="CU445" s="3"/>
      <c r="CV445" s="3"/>
      <c r="CW445" s="3"/>
      <c r="CX445" s="3"/>
      <c r="CY445" s="3"/>
      <c r="CZ445" s="3"/>
      <c r="DA445" s="3"/>
    </row>
    <row r="446" spans="1:105" x14ac:dyDescent="0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  <c r="BN446" s="3"/>
      <c r="BO446" s="3"/>
      <c r="BP446" s="3"/>
      <c r="BQ446" s="3"/>
      <c r="BR446" s="3"/>
      <c r="BS446" s="3"/>
      <c r="BT446" s="3"/>
      <c r="BU446" s="3"/>
      <c r="BV446" s="3"/>
      <c r="BW446" s="3"/>
      <c r="BX446" s="3"/>
      <c r="BY446" s="3"/>
      <c r="BZ446" s="3"/>
      <c r="CA446" s="3"/>
      <c r="CB446" s="3"/>
      <c r="CC446" s="3"/>
      <c r="CD446" s="3"/>
      <c r="CE446" s="3"/>
      <c r="CF446" s="3"/>
      <c r="CG446" s="3"/>
      <c r="CH446" s="3"/>
      <c r="CI446" s="3"/>
      <c r="CJ446" s="3"/>
      <c r="CK446" s="3"/>
      <c r="CL446" s="3"/>
      <c r="CM446" s="3"/>
      <c r="CN446" s="3"/>
      <c r="CO446" s="3"/>
      <c r="CP446" s="3"/>
      <c r="CQ446" s="3"/>
      <c r="CR446" s="3"/>
      <c r="CS446" s="3"/>
      <c r="CT446" s="3"/>
      <c r="CU446" s="3"/>
      <c r="CV446" s="3"/>
      <c r="CW446" s="3"/>
      <c r="CX446" s="3"/>
      <c r="CY446" s="3"/>
      <c r="CZ446" s="3"/>
      <c r="DA446" s="3"/>
    </row>
    <row r="447" spans="1:105" x14ac:dyDescent="0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  <c r="BN447" s="3"/>
      <c r="BO447" s="3"/>
      <c r="BP447" s="3"/>
      <c r="BQ447" s="3"/>
      <c r="BR447" s="3"/>
      <c r="BS447" s="3"/>
      <c r="BT447" s="3"/>
      <c r="BU447" s="3"/>
      <c r="BV447" s="3"/>
      <c r="BW447" s="3"/>
      <c r="BX447" s="3"/>
      <c r="BY447" s="3"/>
      <c r="BZ447" s="3"/>
      <c r="CA447" s="3"/>
      <c r="CB447" s="3"/>
      <c r="CC447" s="3"/>
      <c r="CD447" s="3"/>
      <c r="CE447" s="3"/>
      <c r="CF447" s="3"/>
      <c r="CG447" s="3"/>
      <c r="CH447" s="3"/>
      <c r="CI447" s="3"/>
      <c r="CJ447" s="3"/>
      <c r="CK447" s="3"/>
      <c r="CL447" s="3"/>
      <c r="CM447" s="3"/>
      <c r="CN447" s="3"/>
      <c r="CO447" s="3"/>
      <c r="CP447" s="3"/>
      <c r="CQ447" s="3"/>
      <c r="CR447" s="3"/>
      <c r="CS447" s="3"/>
      <c r="CT447" s="3"/>
      <c r="CU447" s="3"/>
      <c r="CV447" s="3"/>
      <c r="CW447" s="3"/>
      <c r="CX447" s="3"/>
      <c r="CY447" s="3"/>
      <c r="CZ447" s="3"/>
      <c r="DA447" s="3"/>
    </row>
    <row r="448" spans="1:105" x14ac:dyDescent="0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  <c r="BN448" s="3"/>
      <c r="BO448" s="3"/>
      <c r="BP448" s="3"/>
      <c r="BQ448" s="3"/>
      <c r="BR448" s="3"/>
      <c r="BS448" s="3"/>
      <c r="BT448" s="3"/>
      <c r="BU448" s="3"/>
      <c r="BV448" s="3"/>
      <c r="BW448" s="3"/>
      <c r="BX448" s="3"/>
      <c r="BY448" s="3"/>
      <c r="BZ448" s="3"/>
      <c r="CA448" s="3"/>
      <c r="CB448" s="3"/>
      <c r="CC448" s="3"/>
      <c r="CD448" s="3"/>
      <c r="CE448" s="3"/>
      <c r="CF448" s="3"/>
      <c r="CG448" s="3"/>
      <c r="CH448" s="3"/>
      <c r="CI448" s="3"/>
      <c r="CJ448" s="3"/>
      <c r="CK448" s="3"/>
      <c r="CL448" s="3"/>
      <c r="CM448" s="3"/>
      <c r="CN448" s="3"/>
      <c r="CO448" s="3"/>
      <c r="CP448" s="3"/>
      <c r="CQ448" s="3"/>
      <c r="CR448" s="3"/>
      <c r="CS448" s="3"/>
      <c r="CT448" s="3"/>
      <c r="CU448" s="3"/>
      <c r="CV448" s="3"/>
      <c r="CW448" s="3"/>
      <c r="CX448" s="3"/>
      <c r="CY448" s="3"/>
      <c r="CZ448" s="3"/>
      <c r="DA448" s="3"/>
    </row>
    <row r="449" spans="1:105" x14ac:dyDescent="0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  <c r="BN449" s="3"/>
      <c r="BO449" s="3"/>
      <c r="BP449" s="3"/>
      <c r="BQ449" s="3"/>
      <c r="BR449" s="3"/>
      <c r="BS449" s="3"/>
      <c r="BT449" s="3"/>
      <c r="BU449" s="3"/>
      <c r="BV449" s="3"/>
      <c r="BW449" s="3"/>
      <c r="BX449" s="3"/>
      <c r="BY449" s="3"/>
      <c r="BZ449" s="3"/>
      <c r="CA449" s="3"/>
      <c r="CB449" s="3"/>
      <c r="CC449" s="3"/>
      <c r="CD449" s="3"/>
      <c r="CE449" s="3"/>
      <c r="CF449" s="3"/>
      <c r="CG449" s="3"/>
      <c r="CH449" s="3"/>
      <c r="CI449" s="3"/>
      <c r="CJ449" s="3"/>
      <c r="CK449" s="3"/>
      <c r="CL449" s="3"/>
      <c r="CM449" s="3"/>
      <c r="CN449" s="3"/>
      <c r="CO449" s="3"/>
      <c r="CP449" s="3"/>
      <c r="CQ449" s="3"/>
      <c r="CR449" s="3"/>
      <c r="CS449" s="3"/>
      <c r="CT449" s="3"/>
      <c r="CU449" s="3"/>
      <c r="CV449" s="3"/>
      <c r="CW449" s="3"/>
      <c r="CX449" s="3"/>
      <c r="CY449" s="3"/>
      <c r="CZ449" s="3"/>
      <c r="DA449" s="3"/>
    </row>
    <row r="450" spans="1:105" x14ac:dyDescent="0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  <c r="BN450" s="3"/>
      <c r="BO450" s="3"/>
      <c r="BP450" s="3"/>
      <c r="BQ450" s="3"/>
      <c r="BR450" s="3"/>
      <c r="BS450" s="3"/>
      <c r="BT450" s="3"/>
      <c r="BU450" s="3"/>
      <c r="BV450" s="3"/>
      <c r="BW450" s="3"/>
      <c r="BX450" s="3"/>
      <c r="BY450" s="3"/>
      <c r="BZ450" s="3"/>
      <c r="CA450" s="3"/>
      <c r="CB450" s="3"/>
      <c r="CC450" s="3"/>
      <c r="CD450" s="3"/>
      <c r="CE450" s="3"/>
      <c r="CF450" s="3"/>
      <c r="CG450" s="3"/>
      <c r="CH450" s="3"/>
      <c r="CI450" s="3"/>
      <c r="CJ450" s="3"/>
      <c r="CK450" s="3"/>
      <c r="CL450" s="3"/>
      <c r="CM450" s="3"/>
      <c r="CN450" s="3"/>
      <c r="CO450" s="3"/>
      <c r="CP450" s="3"/>
      <c r="CQ450" s="3"/>
      <c r="CR450" s="3"/>
      <c r="CS450" s="3"/>
      <c r="CT450" s="3"/>
      <c r="CU450" s="3"/>
      <c r="CV450" s="3"/>
      <c r="CW450" s="3"/>
      <c r="CX450" s="3"/>
      <c r="CY450" s="3"/>
      <c r="CZ450" s="3"/>
      <c r="DA450" s="3"/>
    </row>
    <row r="451" spans="1:105" x14ac:dyDescent="0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  <c r="BN451" s="3"/>
      <c r="BO451" s="3"/>
      <c r="BP451" s="3"/>
      <c r="BQ451" s="3"/>
      <c r="BR451" s="3"/>
      <c r="BS451" s="3"/>
      <c r="BT451" s="3"/>
      <c r="BU451" s="3"/>
      <c r="BV451" s="3"/>
      <c r="BW451" s="3"/>
      <c r="BX451" s="3"/>
      <c r="BY451" s="3"/>
      <c r="BZ451" s="3"/>
      <c r="CA451" s="3"/>
      <c r="CB451" s="3"/>
      <c r="CC451" s="3"/>
      <c r="CD451" s="3"/>
      <c r="CE451" s="3"/>
      <c r="CF451" s="3"/>
      <c r="CG451" s="3"/>
      <c r="CH451" s="3"/>
      <c r="CI451" s="3"/>
      <c r="CJ451" s="3"/>
      <c r="CK451" s="3"/>
      <c r="CL451" s="3"/>
      <c r="CM451" s="3"/>
      <c r="CN451" s="3"/>
      <c r="CO451" s="3"/>
      <c r="CP451" s="3"/>
      <c r="CQ451" s="3"/>
      <c r="CR451" s="3"/>
      <c r="CS451" s="3"/>
      <c r="CT451" s="3"/>
      <c r="CU451" s="3"/>
      <c r="CV451" s="3"/>
      <c r="CW451" s="3"/>
      <c r="CX451" s="3"/>
      <c r="CY451" s="3"/>
      <c r="CZ451" s="3"/>
      <c r="DA451" s="3"/>
    </row>
    <row r="452" spans="1:105" x14ac:dyDescent="0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  <c r="BN452" s="3"/>
      <c r="BO452" s="3"/>
      <c r="BP452" s="3"/>
      <c r="BQ452" s="3"/>
      <c r="BR452" s="3"/>
      <c r="BS452" s="3"/>
      <c r="BT452" s="3"/>
      <c r="BU452" s="3"/>
      <c r="BV452" s="3"/>
      <c r="BW452" s="3"/>
      <c r="BX452" s="3"/>
      <c r="BY452" s="3"/>
      <c r="BZ452" s="3"/>
      <c r="CA452" s="3"/>
      <c r="CB452" s="3"/>
      <c r="CC452" s="3"/>
      <c r="CD452" s="3"/>
      <c r="CE452" s="3"/>
      <c r="CF452" s="3"/>
      <c r="CG452" s="3"/>
      <c r="CH452" s="3"/>
      <c r="CI452" s="3"/>
      <c r="CJ452" s="3"/>
      <c r="CK452" s="3"/>
      <c r="CL452" s="3"/>
      <c r="CM452" s="3"/>
      <c r="CN452" s="3"/>
      <c r="CO452" s="3"/>
      <c r="CP452" s="3"/>
      <c r="CQ452" s="3"/>
      <c r="CR452" s="3"/>
      <c r="CS452" s="3"/>
      <c r="CT452" s="3"/>
      <c r="CU452" s="3"/>
      <c r="CV452" s="3"/>
      <c r="CW452" s="3"/>
      <c r="CX452" s="3"/>
      <c r="CY452" s="3"/>
      <c r="CZ452" s="3"/>
      <c r="DA452" s="3"/>
    </row>
    <row r="453" spans="1:105" x14ac:dyDescent="0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  <c r="BN453" s="3"/>
      <c r="BO453" s="3"/>
      <c r="BP453" s="3"/>
      <c r="BQ453" s="3"/>
      <c r="BR453" s="3"/>
      <c r="BS453" s="3"/>
      <c r="BT453" s="3"/>
      <c r="BU453" s="3"/>
      <c r="BV453" s="3"/>
      <c r="BW453" s="3"/>
      <c r="BX453" s="3"/>
      <c r="BY453" s="3"/>
      <c r="BZ453" s="3"/>
      <c r="CA453" s="3"/>
      <c r="CB453" s="3"/>
      <c r="CC453" s="3"/>
      <c r="CD453" s="3"/>
      <c r="CE453" s="3"/>
      <c r="CF453" s="3"/>
      <c r="CG453" s="3"/>
      <c r="CH453" s="3"/>
      <c r="CI453" s="3"/>
      <c r="CJ453" s="3"/>
      <c r="CK453" s="3"/>
      <c r="CL453" s="3"/>
      <c r="CM453" s="3"/>
      <c r="CN453" s="3"/>
      <c r="CO453" s="3"/>
      <c r="CP453" s="3"/>
      <c r="CQ453" s="3"/>
      <c r="CR453" s="3"/>
      <c r="CS453" s="3"/>
      <c r="CT453" s="3"/>
      <c r="CU453" s="3"/>
      <c r="CV453" s="3"/>
      <c r="CW453" s="3"/>
      <c r="CX453" s="3"/>
      <c r="CY453" s="3"/>
      <c r="CZ453" s="3"/>
      <c r="DA453" s="3"/>
    </row>
    <row r="454" spans="1:105" x14ac:dyDescent="0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  <c r="BN454" s="3"/>
      <c r="BO454" s="3"/>
      <c r="BP454" s="3"/>
      <c r="BQ454" s="3"/>
      <c r="BR454" s="3"/>
      <c r="BS454" s="3"/>
      <c r="BT454" s="3"/>
      <c r="BU454" s="3"/>
      <c r="BV454" s="3"/>
      <c r="BW454" s="3"/>
      <c r="BX454" s="3"/>
      <c r="BY454" s="3"/>
      <c r="BZ454" s="3"/>
      <c r="CA454" s="3"/>
      <c r="CB454" s="3"/>
      <c r="CC454" s="3"/>
      <c r="CD454" s="3"/>
      <c r="CE454" s="3"/>
      <c r="CF454" s="3"/>
      <c r="CG454" s="3"/>
      <c r="CH454" s="3"/>
      <c r="CI454" s="3"/>
      <c r="CJ454" s="3"/>
      <c r="CK454" s="3"/>
      <c r="CL454" s="3"/>
      <c r="CM454" s="3"/>
      <c r="CN454" s="3"/>
      <c r="CO454" s="3"/>
      <c r="CP454" s="3"/>
      <c r="CQ454" s="3"/>
      <c r="CR454" s="3"/>
      <c r="CS454" s="3"/>
      <c r="CT454" s="3"/>
      <c r="CU454" s="3"/>
      <c r="CV454" s="3"/>
      <c r="CW454" s="3"/>
      <c r="CX454" s="3"/>
      <c r="CY454" s="3"/>
      <c r="CZ454" s="3"/>
      <c r="DA454" s="3"/>
    </row>
    <row r="455" spans="1:105" x14ac:dyDescent="0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  <c r="BN455" s="3"/>
      <c r="BO455" s="3"/>
      <c r="BP455" s="3"/>
      <c r="BQ455" s="3"/>
      <c r="BR455" s="3"/>
      <c r="BS455" s="3"/>
      <c r="BT455" s="3"/>
      <c r="BU455" s="3"/>
      <c r="BV455" s="3"/>
      <c r="BW455" s="3"/>
      <c r="BX455" s="3"/>
      <c r="BY455" s="3"/>
      <c r="BZ455" s="3"/>
      <c r="CA455" s="3"/>
      <c r="CB455" s="3"/>
      <c r="CC455" s="3"/>
      <c r="CD455" s="3"/>
      <c r="CE455" s="3"/>
      <c r="CF455" s="3"/>
      <c r="CG455" s="3"/>
      <c r="CH455" s="3"/>
      <c r="CI455" s="3"/>
      <c r="CJ455" s="3"/>
      <c r="CK455" s="3"/>
      <c r="CL455" s="3"/>
      <c r="CM455" s="3"/>
      <c r="CN455" s="3"/>
      <c r="CO455" s="3"/>
      <c r="CP455" s="3"/>
      <c r="CQ455" s="3"/>
      <c r="CR455" s="3"/>
      <c r="CS455" s="3"/>
      <c r="CT455" s="3"/>
      <c r="CU455" s="3"/>
      <c r="CV455" s="3"/>
      <c r="CW455" s="3"/>
      <c r="CX455" s="3"/>
      <c r="CY455" s="3"/>
      <c r="CZ455" s="3"/>
      <c r="DA455" s="3"/>
    </row>
    <row r="456" spans="1:105" x14ac:dyDescent="0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  <c r="BN456" s="3"/>
      <c r="BO456" s="3"/>
      <c r="BP456" s="3"/>
      <c r="BQ456" s="3"/>
      <c r="BR456" s="3"/>
      <c r="BS456" s="3"/>
      <c r="BT456" s="3"/>
      <c r="BU456" s="3"/>
      <c r="BV456" s="3"/>
      <c r="BW456" s="3"/>
      <c r="BX456" s="3"/>
      <c r="BY456" s="3"/>
      <c r="BZ456" s="3"/>
      <c r="CA456" s="3"/>
      <c r="CB456" s="3"/>
      <c r="CC456" s="3"/>
      <c r="CD456" s="3"/>
      <c r="CE456" s="3"/>
      <c r="CF456" s="3"/>
      <c r="CG456" s="3"/>
      <c r="CH456" s="3"/>
      <c r="CI456" s="3"/>
      <c r="CJ456" s="3"/>
      <c r="CK456" s="3"/>
      <c r="CL456" s="3"/>
      <c r="CM456" s="3"/>
      <c r="CN456" s="3"/>
      <c r="CO456" s="3"/>
      <c r="CP456" s="3"/>
      <c r="CQ456" s="3"/>
      <c r="CR456" s="3"/>
      <c r="CS456" s="3"/>
      <c r="CT456" s="3"/>
      <c r="CU456" s="3"/>
      <c r="CV456" s="3"/>
      <c r="CW456" s="3"/>
      <c r="CX456" s="3"/>
      <c r="CY456" s="3"/>
      <c r="CZ456" s="3"/>
      <c r="DA456" s="3"/>
    </row>
    <row r="457" spans="1:105" x14ac:dyDescent="0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  <c r="BN457" s="3"/>
      <c r="BO457" s="3"/>
      <c r="BP457" s="3"/>
      <c r="BQ457" s="3"/>
      <c r="BR457" s="3"/>
      <c r="BS457" s="3"/>
      <c r="BT457" s="3"/>
      <c r="BU457" s="3"/>
      <c r="BV457" s="3"/>
      <c r="BW457" s="3"/>
      <c r="BX457" s="3"/>
      <c r="BY457" s="3"/>
      <c r="BZ457" s="3"/>
      <c r="CA457" s="3"/>
      <c r="CB457" s="3"/>
      <c r="CC457" s="3"/>
      <c r="CD457" s="3"/>
      <c r="CE457" s="3"/>
      <c r="CF457" s="3"/>
      <c r="CG457" s="3"/>
      <c r="CH457" s="3"/>
      <c r="CI457" s="3"/>
      <c r="CJ457" s="3"/>
      <c r="CK457" s="3"/>
      <c r="CL457" s="3"/>
      <c r="CM457" s="3"/>
      <c r="CN457" s="3"/>
      <c r="CO457" s="3"/>
      <c r="CP457" s="3"/>
      <c r="CQ457" s="3"/>
      <c r="CR457" s="3"/>
      <c r="CS457" s="3"/>
      <c r="CT457" s="3"/>
      <c r="CU457" s="3"/>
      <c r="CV457" s="3"/>
      <c r="CW457" s="3"/>
      <c r="CX457" s="3"/>
      <c r="CY457" s="3"/>
      <c r="CZ457" s="3"/>
      <c r="DA457" s="3"/>
    </row>
    <row r="458" spans="1:105" x14ac:dyDescent="0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  <c r="BN458" s="3"/>
      <c r="BO458" s="3"/>
      <c r="BP458" s="3"/>
      <c r="BQ458" s="3"/>
      <c r="BR458" s="3"/>
      <c r="BS458" s="3"/>
      <c r="BT458" s="3"/>
      <c r="BU458" s="3"/>
      <c r="BV458" s="3"/>
      <c r="BW458" s="3"/>
      <c r="BX458" s="3"/>
      <c r="BY458" s="3"/>
      <c r="BZ458" s="3"/>
      <c r="CA458" s="3"/>
      <c r="CB458" s="3"/>
      <c r="CC458" s="3"/>
      <c r="CD458" s="3"/>
      <c r="CE458" s="3"/>
      <c r="CF458" s="3"/>
      <c r="CG458" s="3"/>
      <c r="CH458" s="3"/>
      <c r="CI458" s="3"/>
      <c r="CJ458" s="3"/>
      <c r="CK458" s="3"/>
      <c r="CL458" s="3"/>
      <c r="CM458" s="3"/>
      <c r="CN458" s="3"/>
      <c r="CO458" s="3"/>
      <c r="CP458" s="3"/>
      <c r="CQ458" s="3"/>
      <c r="CR458" s="3"/>
      <c r="CS458" s="3"/>
      <c r="CT458" s="3"/>
      <c r="CU458" s="3"/>
      <c r="CV458" s="3"/>
      <c r="CW458" s="3"/>
      <c r="CX458" s="3"/>
      <c r="CY458" s="3"/>
      <c r="CZ458" s="3"/>
      <c r="DA458" s="3"/>
    </row>
    <row r="459" spans="1:105" x14ac:dyDescent="0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  <c r="BN459" s="3"/>
      <c r="BO459" s="3"/>
      <c r="BP459" s="3"/>
      <c r="BQ459" s="3"/>
      <c r="BR459" s="3"/>
      <c r="BS459" s="3"/>
      <c r="BT459" s="3"/>
      <c r="BU459" s="3"/>
      <c r="BV459" s="3"/>
      <c r="BW459" s="3"/>
      <c r="BX459" s="3"/>
      <c r="BY459" s="3"/>
      <c r="BZ459" s="3"/>
      <c r="CA459" s="3"/>
      <c r="CB459" s="3"/>
      <c r="CC459" s="3"/>
      <c r="CD459" s="3"/>
      <c r="CE459" s="3"/>
      <c r="CF459" s="3"/>
      <c r="CG459" s="3"/>
      <c r="CH459" s="3"/>
      <c r="CI459" s="3"/>
      <c r="CJ459" s="3"/>
      <c r="CK459" s="3"/>
      <c r="CL459" s="3"/>
      <c r="CM459" s="3"/>
      <c r="CN459" s="3"/>
      <c r="CO459" s="3"/>
      <c r="CP459" s="3"/>
      <c r="CQ459" s="3"/>
      <c r="CR459" s="3"/>
      <c r="CS459" s="3"/>
      <c r="CT459" s="3"/>
      <c r="CU459" s="3"/>
      <c r="CV459" s="3"/>
      <c r="CW459" s="3"/>
      <c r="CX459" s="3"/>
      <c r="CY459" s="3"/>
      <c r="CZ459" s="3"/>
      <c r="DA459" s="3"/>
    </row>
    <row r="460" spans="1:105" x14ac:dyDescent="0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  <c r="BN460" s="3"/>
      <c r="BO460" s="3"/>
      <c r="BP460" s="3"/>
      <c r="BQ460" s="3"/>
      <c r="BR460" s="3"/>
      <c r="BS460" s="3"/>
      <c r="BT460" s="3"/>
      <c r="BU460" s="3"/>
      <c r="BV460" s="3"/>
      <c r="BW460" s="3"/>
      <c r="BX460" s="3"/>
      <c r="BY460" s="3"/>
      <c r="BZ460" s="3"/>
      <c r="CA460" s="3"/>
      <c r="CB460" s="3"/>
      <c r="CC460" s="3"/>
      <c r="CD460" s="3"/>
      <c r="CE460" s="3"/>
      <c r="CF460" s="3"/>
      <c r="CG460" s="3"/>
      <c r="CH460" s="3"/>
      <c r="CI460" s="3"/>
      <c r="CJ460" s="3"/>
      <c r="CK460" s="3"/>
      <c r="CL460" s="3"/>
      <c r="CM460" s="3"/>
      <c r="CN460" s="3"/>
      <c r="CO460" s="3"/>
      <c r="CP460" s="3"/>
      <c r="CQ460" s="3"/>
      <c r="CR460" s="3"/>
      <c r="CS460" s="3"/>
      <c r="CT460" s="3"/>
      <c r="CU460" s="3"/>
      <c r="CV460" s="3"/>
      <c r="CW460" s="3"/>
      <c r="CX460" s="3"/>
      <c r="CY460" s="3"/>
      <c r="CZ460" s="3"/>
      <c r="DA460" s="3"/>
    </row>
    <row r="461" spans="1:105" x14ac:dyDescent="0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  <c r="BN461" s="3"/>
      <c r="BO461" s="3"/>
      <c r="BP461" s="3"/>
      <c r="BQ461" s="3"/>
      <c r="BR461" s="3"/>
      <c r="BS461" s="3"/>
      <c r="BT461" s="3"/>
      <c r="BU461" s="3"/>
      <c r="BV461" s="3"/>
      <c r="BW461" s="3"/>
      <c r="BX461" s="3"/>
      <c r="BY461" s="3"/>
      <c r="BZ461" s="3"/>
      <c r="CA461" s="3"/>
      <c r="CB461" s="3"/>
      <c r="CC461" s="3"/>
      <c r="CD461" s="3"/>
      <c r="CE461" s="3"/>
      <c r="CF461" s="3"/>
      <c r="CG461" s="3"/>
      <c r="CH461" s="3"/>
      <c r="CI461" s="3"/>
      <c r="CJ461" s="3"/>
      <c r="CK461" s="3"/>
      <c r="CL461" s="3"/>
      <c r="CM461" s="3"/>
      <c r="CN461" s="3"/>
      <c r="CO461" s="3"/>
      <c r="CP461" s="3"/>
      <c r="CQ461" s="3"/>
      <c r="CR461" s="3"/>
      <c r="CS461" s="3"/>
      <c r="CT461" s="3"/>
      <c r="CU461" s="3"/>
      <c r="CV461" s="3"/>
      <c r="CW461" s="3"/>
      <c r="CX461" s="3"/>
      <c r="CY461" s="3"/>
      <c r="CZ461" s="3"/>
      <c r="DA461" s="3"/>
    </row>
    <row r="462" spans="1:105" x14ac:dyDescent="0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  <c r="BN462" s="3"/>
      <c r="BO462" s="3"/>
      <c r="BP462" s="3"/>
      <c r="BQ462" s="3"/>
      <c r="BR462" s="3"/>
      <c r="BS462" s="3"/>
      <c r="BT462" s="3"/>
      <c r="BU462" s="3"/>
      <c r="BV462" s="3"/>
      <c r="BW462" s="3"/>
      <c r="BX462" s="3"/>
      <c r="BY462" s="3"/>
      <c r="BZ462" s="3"/>
      <c r="CA462" s="3"/>
      <c r="CB462" s="3"/>
      <c r="CC462" s="3"/>
      <c r="CD462" s="3"/>
      <c r="CE462" s="3"/>
      <c r="CF462" s="3"/>
      <c r="CG462" s="3"/>
      <c r="CH462" s="3"/>
      <c r="CI462" s="3"/>
      <c r="CJ462" s="3"/>
      <c r="CK462" s="3"/>
      <c r="CL462" s="3"/>
      <c r="CM462" s="3"/>
      <c r="CN462" s="3"/>
      <c r="CO462" s="3"/>
      <c r="CP462" s="3"/>
      <c r="CQ462" s="3"/>
      <c r="CR462" s="3"/>
      <c r="CS462" s="3"/>
      <c r="CT462" s="3"/>
      <c r="CU462" s="3"/>
      <c r="CV462" s="3"/>
      <c r="CW462" s="3"/>
      <c r="CX462" s="3"/>
      <c r="CY462" s="3"/>
      <c r="CZ462" s="3"/>
      <c r="DA462" s="3"/>
    </row>
    <row r="463" spans="1:105" x14ac:dyDescent="0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  <c r="BN463" s="3"/>
      <c r="BO463" s="3"/>
      <c r="BP463" s="3"/>
      <c r="BQ463" s="3"/>
      <c r="BR463" s="3"/>
      <c r="BS463" s="3"/>
      <c r="BT463" s="3"/>
      <c r="BU463" s="3"/>
      <c r="BV463" s="3"/>
      <c r="BW463" s="3"/>
      <c r="BX463" s="3"/>
      <c r="BY463" s="3"/>
      <c r="BZ463" s="3"/>
      <c r="CA463" s="3"/>
      <c r="CB463" s="3"/>
      <c r="CC463" s="3"/>
      <c r="CD463" s="3"/>
      <c r="CE463" s="3"/>
      <c r="CF463" s="3"/>
      <c r="CG463" s="3"/>
      <c r="CH463" s="3"/>
      <c r="CI463" s="3"/>
      <c r="CJ463" s="3"/>
      <c r="CK463" s="3"/>
      <c r="CL463" s="3"/>
      <c r="CM463" s="3"/>
      <c r="CN463" s="3"/>
      <c r="CO463" s="3"/>
      <c r="CP463" s="3"/>
      <c r="CQ463" s="3"/>
      <c r="CR463" s="3"/>
      <c r="CS463" s="3"/>
      <c r="CT463" s="3"/>
      <c r="CU463" s="3"/>
      <c r="CV463" s="3"/>
      <c r="CW463" s="3"/>
      <c r="CX463" s="3"/>
      <c r="CY463" s="3"/>
      <c r="CZ463" s="3"/>
      <c r="DA463" s="3"/>
    </row>
    <row r="464" spans="1:105" x14ac:dyDescent="0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  <c r="BN464" s="3"/>
      <c r="BO464" s="3"/>
      <c r="BP464" s="3"/>
      <c r="BQ464" s="3"/>
      <c r="BR464" s="3"/>
      <c r="BS464" s="3"/>
      <c r="BT464" s="3"/>
      <c r="BU464" s="3"/>
      <c r="BV464" s="3"/>
      <c r="BW464" s="3"/>
      <c r="BX464" s="3"/>
      <c r="BY464" s="3"/>
      <c r="BZ464" s="3"/>
      <c r="CA464" s="3"/>
      <c r="CB464" s="3"/>
      <c r="CC464" s="3"/>
      <c r="CD464" s="3"/>
      <c r="CE464" s="3"/>
      <c r="CF464" s="3"/>
      <c r="CG464" s="3"/>
      <c r="CH464" s="3"/>
      <c r="CI464" s="3"/>
      <c r="CJ464" s="3"/>
      <c r="CK464" s="3"/>
      <c r="CL464" s="3"/>
      <c r="CM464" s="3"/>
      <c r="CN464" s="3"/>
      <c r="CO464" s="3"/>
      <c r="CP464" s="3"/>
      <c r="CQ464" s="3"/>
      <c r="CR464" s="3"/>
      <c r="CS464" s="3"/>
      <c r="CT464" s="3"/>
      <c r="CU464" s="3"/>
      <c r="CV464" s="3"/>
      <c r="CW464" s="3"/>
      <c r="CX464" s="3"/>
      <c r="CY464" s="3"/>
      <c r="CZ464" s="3"/>
      <c r="DA464" s="3"/>
    </row>
    <row r="465" spans="1:105" x14ac:dyDescent="0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  <c r="BN465" s="3"/>
      <c r="BO465" s="3"/>
      <c r="BP465" s="3"/>
      <c r="BQ465" s="3"/>
      <c r="BR465" s="3"/>
      <c r="BS465" s="3"/>
      <c r="BT465" s="3"/>
      <c r="BU465" s="3"/>
      <c r="BV465" s="3"/>
      <c r="BW465" s="3"/>
      <c r="BX465" s="3"/>
      <c r="BY465" s="3"/>
      <c r="BZ465" s="3"/>
      <c r="CA465" s="3"/>
      <c r="CB465" s="3"/>
      <c r="CC465" s="3"/>
      <c r="CD465" s="3"/>
      <c r="CE465" s="3"/>
      <c r="CF465" s="3"/>
      <c r="CG465" s="3"/>
      <c r="CH465" s="3"/>
      <c r="CI465" s="3"/>
      <c r="CJ465" s="3"/>
      <c r="CK465" s="3"/>
      <c r="CL465" s="3"/>
      <c r="CM465" s="3"/>
      <c r="CN465" s="3"/>
      <c r="CO465" s="3"/>
      <c r="CP465" s="3"/>
      <c r="CQ465" s="3"/>
      <c r="CR465" s="3"/>
      <c r="CS465" s="3"/>
      <c r="CT465" s="3"/>
      <c r="CU465" s="3"/>
      <c r="CV465" s="3"/>
      <c r="CW465" s="3"/>
      <c r="CX465" s="3"/>
      <c r="CY465" s="3"/>
      <c r="CZ465" s="3"/>
      <c r="DA465" s="3"/>
    </row>
    <row r="466" spans="1:105" x14ac:dyDescent="0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  <c r="BN466" s="3"/>
      <c r="BO466" s="3"/>
      <c r="BP466" s="3"/>
      <c r="BQ466" s="3"/>
      <c r="BR466" s="3"/>
      <c r="BS466" s="3"/>
      <c r="BT466" s="3"/>
      <c r="BU466" s="3"/>
      <c r="BV466" s="3"/>
      <c r="BW466" s="3"/>
      <c r="BX466" s="3"/>
      <c r="BY466" s="3"/>
      <c r="BZ466" s="3"/>
      <c r="CA466" s="3"/>
      <c r="CB466" s="3"/>
      <c r="CC466" s="3"/>
      <c r="CD466" s="3"/>
      <c r="CE466" s="3"/>
      <c r="CF466" s="3"/>
      <c r="CG466" s="3"/>
      <c r="CH466" s="3"/>
      <c r="CI466" s="3"/>
      <c r="CJ466" s="3"/>
      <c r="CK466" s="3"/>
      <c r="CL466" s="3"/>
      <c r="CM466" s="3"/>
      <c r="CN466" s="3"/>
      <c r="CO466" s="3"/>
      <c r="CP466" s="3"/>
      <c r="CQ466" s="3"/>
      <c r="CR466" s="3"/>
      <c r="CS466" s="3"/>
      <c r="CT466" s="3"/>
      <c r="CU466" s="3"/>
      <c r="CV466" s="3"/>
      <c r="CW466" s="3"/>
      <c r="CX466" s="3"/>
      <c r="CY466" s="3"/>
      <c r="CZ466" s="3"/>
      <c r="DA466" s="3"/>
    </row>
    <row r="467" spans="1:105" x14ac:dyDescent="0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  <c r="BN467" s="3"/>
      <c r="BO467" s="3"/>
      <c r="BP467" s="3"/>
      <c r="BQ467" s="3"/>
      <c r="BR467" s="3"/>
      <c r="BS467" s="3"/>
      <c r="BT467" s="3"/>
      <c r="BU467" s="3"/>
      <c r="BV467" s="3"/>
      <c r="BW467" s="3"/>
      <c r="BX467" s="3"/>
      <c r="BY467" s="3"/>
      <c r="BZ467" s="3"/>
      <c r="CA467" s="3"/>
      <c r="CB467" s="3"/>
      <c r="CC467" s="3"/>
      <c r="CD467" s="3"/>
      <c r="CE467" s="3"/>
      <c r="CF467" s="3"/>
      <c r="CG467" s="3"/>
      <c r="CH467" s="3"/>
      <c r="CI467" s="3"/>
      <c r="CJ467" s="3"/>
      <c r="CK467" s="3"/>
      <c r="CL467" s="3"/>
      <c r="CM467" s="3"/>
      <c r="CN467" s="3"/>
      <c r="CO467" s="3"/>
      <c r="CP467" s="3"/>
      <c r="CQ467" s="3"/>
      <c r="CR467" s="3"/>
      <c r="CS467" s="3"/>
      <c r="CT467" s="3"/>
      <c r="CU467" s="3"/>
      <c r="CV467" s="3"/>
      <c r="CW467" s="3"/>
      <c r="CX467" s="3"/>
      <c r="CY467" s="3"/>
      <c r="CZ467" s="3"/>
      <c r="DA467" s="3"/>
    </row>
    <row r="468" spans="1:105" x14ac:dyDescent="0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  <c r="BN468" s="3"/>
      <c r="BO468" s="3"/>
      <c r="BP468" s="3"/>
      <c r="BQ468" s="3"/>
      <c r="BR468" s="3"/>
      <c r="BS468" s="3"/>
      <c r="BT468" s="3"/>
      <c r="BU468" s="3"/>
      <c r="BV468" s="3"/>
      <c r="BW468" s="3"/>
      <c r="BX468" s="3"/>
      <c r="BY468" s="3"/>
      <c r="BZ468" s="3"/>
      <c r="CA468" s="3"/>
      <c r="CB468" s="3"/>
      <c r="CC468" s="3"/>
      <c r="CD468" s="3"/>
      <c r="CE468" s="3"/>
      <c r="CF468" s="3"/>
      <c r="CG468" s="3"/>
      <c r="CH468" s="3"/>
      <c r="CI468" s="3"/>
      <c r="CJ468" s="3"/>
      <c r="CK468" s="3"/>
      <c r="CL468" s="3"/>
      <c r="CM468" s="3"/>
      <c r="CN468" s="3"/>
      <c r="CO468" s="3"/>
      <c r="CP468" s="3"/>
      <c r="CQ468" s="3"/>
      <c r="CR468" s="3"/>
      <c r="CS468" s="3"/>
      <c r="CT468" s="3"/>
      <c r="CU468" s="3"/>
      <c r="CV468" s="3"/>
      <c r="CW468" s="3"/>
      <c r="CX468" s="3"/>
      <c r="CY468" s="3"/>
      <c r="CZ468" s="3"/>
      <c r="DA468" s="3"/>
    </row>
    <row r="469" spans="1:105" x14ac:dyDescent="0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  <c r="BN469" s="3"/>
      <c r="BO469" s="3"/>
      <c r="BP469" s="3"/>
      <c r="BQ469" s="3"/>
      <c r="BR469" s="3"/>
      <c r="BS469" s="3"/>
      <c r="BT469" s="3"/>
      <c r="BU469" s="3"/>
      <c r="BV469" s="3"/>
      <c r="BW469" s="3"/>
      <c r="BX469" s="3"/>
      <c r="BY469" s="3"/>
      <c r="BZ469" s="3"/>
      <c r="CA469" s="3"/>
      <c r="CB469" s="3"/>
      <c r="CC469" s="3"/>
      <c r="CD469" s="3"/>
      <c r="CE469" s="3"/>
      <c r="CF469" s="3"/>
      <c r="CG469" s="3"/>
      <c r="CH469" s="3"/>
      <c r="CI469" s="3"/>
      <c r="CJ469" s="3"/>
      <c r="CK469" s="3"/>
      <c r="CL469" s="3"/>
      <c r="CM469" s="3"/>
      <c r="CN469" s="3"/>
      <c r="CO469" s="3"/>
      <c r="CP469" s="3"/>
      <c r="CQ469" s="3"/>
      <c r="CR469" s="3"/>
      <c r="CS469" s="3"/>
      <c r="CT469" s="3"/>
      <c r="CU469" s="3"/>
      <c r="CV469" s="3"/>
      <c r="CW469" s="3"/>
      <c r="CX469" s="3"/>
      <c r="CY469" s="3"/>
      <c r="CZ469" s="3"/>
      <c r="DA469" s="3"/>
    </row>
    <row r="470" spans="1:105" x14ac:dyDescent="0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  <c r="BN470" s="3"/>
      <c r="BO470" s="3"/>
      <c r="BP470" s="3"/>
      <c r="BQ470" s="3"/>
      <c r="BR470" s="3"/>
      <c r="BS470" s="3"/>
      <c r="BT470" s="3"/>
      <c r="BU470" s="3"/>
      <c r="BV470" s="3"/>
      <c r="BW470" s="3"/>
      <c r="BX470" s="3"/>
      <c r="BY470" s="3"/>
      <c r="BZ470" s="3"/>
      <c r="CA470" s="3"/>
      <c r="CB470" s="3"/>
      <c r="CC470" s="3"/>
      <c r="CD470" s="3"/>
      <c r="CE470" s="3"/>
      <c r="CF470" s="3"/>
      <c r="CG470" s="3"/>
      <c r="CH470" s="3"/>
      <c r="CI470" s="3"/>
      <c r="CJ470" s="3"/>
      <c r="CK470" s="3"/>
      <c r="CL470" s="3"/>
      <c r="CM470" s="3"/>
      <c r="CN470" s="3"/>
      <c r="CO470" s="3"/>
      <c r="CP470" s="3"/>
      <c r="CQ470" s="3"/>
      <c r="CR470" s="3"/>
      <c r="CS470" s="3"/>
      <c r="CT470" s="3"/>
      <c r="CU470" s="3"/>
      <c r="CV470" s="3"/>
      <c r="CW470" s="3"/>
      <c r="CX470" s="3"/>
      <c r="CY470" s="3"/>
      <c r="CZ470" s="3"/>
      <c r="DA470" s="3"/>
    </row>
    <row r="471" spans="1:105" x14ac:dyDescent="0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  <c r="BN471" s="3"/>
      <c r="BO471" s="3"/>
      <c r="BP471" s="3"/>
      <c r="BQ471" s="3"/>
      <c r="BR471" s="3"/>
      <c r="BS471" s="3"/>
      <c r="BT471" s="3"/>
      <c r="BU471" s="3"/>
      <c r="BV471" s="3"/>
      <c r="BW471" s="3"/>
      <c r="BX471" s="3"/>
      <c r="BY471" s="3"/>
      <c r="BZ471" s="3"/>
      <c r="CA471" s="3"/>
      <c r="CB471" s="3"/>
      <c r="CC471" s="3"/>
      <c r="CD471" s="3"/>
      <c r="CE471" s="3"/>
      <c r="CF471" s="3"/>
      <c r="CG471" s="3"/>
      <c r="CH471" s="3"/>
      <c r="CI471" s="3"/>
      <c r="CJ471" s="3"/>
      <c r="CK471" s="3"/>
      <c r="CL471" s="3"/>
      <c r="CM471" s="3"/>
      <c r="CN471" s="3"/>
      <c r="CO471" s="3"/>
      <c r="CP471" s="3"/>
      <c r="CQ471" s="3"/>
      <c r="CR471" s="3"/>
      <c r="CS471" s="3"/>
      <c r="CT471" s="3"/>
      <c r="CU471" s="3"/>
      <c r="CV471" s="3"/>
      <c r="CW471" s="3"/>
      <c r="CX471" s="3"/>
      <c r="CY471" s="3"/>
      <c r="CZ471" s="3"/>
      <c r="DA471" s="3"/>
    </row>
    <row r="472" spans="1:105" x14ac:dyDescent="0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  <c r="BN472" s="3"/>
      <c r="BO472" s="3"/>
      <c r="BP472" s="3"/>
      <c r="BQ472" s="3"/>
      <c r="BR472" s="3"/>
      <c r="BS472" s="3"/>
      <c r="BT472" s="3"/>
      <c r="BU472" s="3"/>
      <c r="BV472" s="3"/>
      <c r="BW472" s="3"/>
      <c r="BX472" s="3"/>
      <c r="BY472" s="3"/>
      <c r="BZ472" s="3"/>
      <c r="CA472" s="3"/>
      <c r="CB472" s="3"/>
      <c r="CC472" s="3"/>
      <c r="CD472" s="3"/>
      <c r="CE472" s="3"/>
      <c r="CF472" s="3"/>
      <c r="CG472" s="3"/>
      <c r="CH472" s="3"/>
      <c r="CI472" s="3"/>
      <c r="CJ472" s="3"/>
      <c r="CK472" s="3"/>
      <c r="CL472" s="3"/>
      <c r="CM472" s="3"/>
      <c r="CN472" s="3"/>
      <c r="CO472" s="3"/>
      <c r="CP472" s="3"/>
      <c r="CQ472" s="3"/>
      <c r="CR472" s="3"/>
      <c r="CS472" s="3"/>
      <c r="CT472" s="3"/>
      <c r="CU472" s="3"/>
      <c r="CV472" s="3"/>
      <c r="CW472" s="3"/>
      <c r="CX472" s="3"/>
      <c r="CY472" s="3"/>
      <c r="CZ472" s="3"/>
      <c r="DA472" s="3"/>
    </row>
    <row r="473" spans="1:105" x14ac:dyDescent="0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  <c r="BN473" s="3"/>
      <c r="BO473" s="3"/>
      <c r="BP473" s="3"/>
      <c r="BQ473" s="3"/>
      <c r="BR473" s="3"/>
      <c r="BS473" s="3"/>
      <c r="BT473" s="3"/>
      <c r="BU473" s="3"/>
      <c r="BV473" s="3"/>
      <c r="BW473" s="3"/>
      <c r="BX473" s="3"/>
      <c r="BY473" s="3"/>
      <c r="BZ473" s="3"/>
      <c r="CA473" s="3"/>
      <c r="CB473" s="3"/>
      <c r="CC473" s="3"/>
      <c r="CD473" s="3"/>
      <c r="CE473" s="3"/>
      <c r="CF473" s="3"/>
      <c r="CG473" s="3"/>
      <c r="CH473" s="3"/>
      <c r="CI473" s="3"/>
      <c r="CJ473" s="3"/>
      <c r="CK473" s="3"/>
      <c r="CL473" s="3"/>
      <c r="CM473" s="3"/>
      <c r="CN473" s="3"/>
      <c r="CO473" s="3"/>
      <c r="CP473" s="3"/>
      <c r="CQ473" s="3"/>
      <c r="CR473" s="3"/>
      <c r="CS473" s="3"/>
      <c r="CT473" s="3"/>
      <c r="CU473" s="3"/>
      <c r="CV473" s="3"/>
      <c r="CW473" s="3"/>
      <c r="CX473" s="3"/>
      <c r="CY473" s="3"/>
      <c r="CZ473" s="3"/>
      <c r="DA473" s="3"/>
    </row>
    <row r="474" spans="1:105" x14ac:dyDescent="0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  <c r="BN474" s="3"/>
      <c r="BO474" s="3"/>
      <c r="BP474" s="3"/>
      <c r="BQ474" s="3"/>
      <c r="BR474" s="3"/>
      <c r="BS474" s="3"/>
      <c r="BT474" s="3"/>
      <c r="BU474" s="3"/>
      <c r="BV474" s="3"/>
      <c r="BW474" s="3"/>
      <c r="BX474" s="3"/>
      <c r="BY474" s="3"/>
      <c r="BZ474" s="3"/>
      <c r="CA474" s="3"/>
      <c r="CB474" s="3"/>
      <c r="CC474" s="3"/>
      <c r="CD474" s="3"/>
      <c r="CE474" s="3"/>
      <c r="CF474" s="3"/>
      <c r="CG474" s="3"/>
      <c r="CH474" s="3"/>
      <c r="CI474" s="3"/>
      <c r="CJ474" s="3"/>
      <c r="CK474" s="3"/>
      <c r="CL474" s="3"/>
      <c r="CM474" s="3"/>
      <c r="CN474" s="3"/>
      <c r="CO474" s="3"/>
      <c r="CP474" s="3"/>
      <c r="CQ474" s="3"/>
      <c r="CR474" s="3"/>
      <c r="CS474" s="3"/>
      <c r="CT474" s="3"/>
      <c r="CU474" s="3"/>
      <c r="CV474" s="3"/>
      <c r="CW474" s="3"/>
      <c r="CX474" s="3"/>
      <c r="CY474" s="3"/>
      <c r="CZ474" s="3"/>
      <c r="DA474" s="3"/>
    </row>
    <row r="475" spans="1:105" x14ac:dyDescent="0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  <c r="BN475" s="3"/>
      <c r="BO475" s="3"/>
      <c r="BP475" s="3"/>
      <c r="BQ475" s="3"/>
      <c r="BR475" s="3"/>
      <c r="BS475" s="3"/>
      <c r="BT475" s="3"/>
      <c r="BU475" s="3"/>
      <c r="BV475" s="3"/>
      <c r="BW475" s="3"/>
      <c r="BX475" s="3"/>
      <c r="BY475" s="3"/>
      <c r="BZ475" s="3"/>
      <c r="CA475" s="3"/>
      <c r="CB475" s="3"/>
      <c r="CC475" s="3"/>
      <c r="CD475" s="3"/>
      <c r="CE475" s="3"/>
      <c r="CF475" s="3"/>
      <c r="CG475" s="3"/>
      <c r="CH475" s="3"/>
      <c r="CI475" s="3"/>
      <c r="CJ475" s="3"/>
      <c r="CK475" s="3"/>
      <c r="CL475" s="3"/>
      <c r="CM475" s="3"/>
      <c r="CN475" s="3"/>
      <c r="CO475" s="3"/>
      <c r="CP475" s="3"/>
      <c r="CQ475" s="3"/>
      <c r="CR475" s="3"/>
      <c r="CS475" s="3"/>
      <c r="CT475" s="3"/>
      <c r="CU475" s="3"/>
      <c r="CV475" s="3"/>
      <c r="CW475" s="3"/>
      <c r="CX475" s="3"/>
      <c r="CY475" s="3"/>
      <c r="CZ475" s="3"/>
      <c r="DA475" s="3"/>
    </row>
    <row r="476" spans="1:105" x14ac:dyDescent="0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  <c r="BN476" s="3"/>
      <c r="BO476" s="3"/>
      <c r="BP476" s="3"/>
      <c r="BQ476" s="3"/>
      <c r="BR476" s="3"/>
      <c r="BS476" s="3"/>
      <c r="BT476" s="3"/>
      <c r="BU476" s="3"/>
      <c r="BV476" s="3"/>
      <c r="BW476" s="3"/>
      <c r="BX476" s="3"/>
      <c r="BY476" s="3"/>
      <c r="BZ476" s="3"/>
      <c r="CA476" s="3"/>
      <c r="CB476" s="3"/>
      <c r="CC476" s="3"/>
      <c r="CD476" s="3"/>
      <c r="CE476" s="3"/>
      <c r="CF476" s="3"/>
      <c r="CG476" s="3"/>
      <c r="CH476" s="3"/>
      <c r="CI476" s="3"/>
      <c r="CJ476" s="3"/>
      <c r="CK476" s="3"/>
      <c r="CL476" s="3"/>
      <c r="CM476" s="3"/>
      <c r="CN476" s="3"/>
      <c r="CO476" s="3"/>
      <c r="CP476" s="3"/>
      <c r="CQ476" s="3"/>
      <c r="CR476" s="3"/>
      <c r="CS476" s="3"/>
      <c r="CT476" s="3"/>
      <c r="CU476" s="3"/>
      <c r="CV476" s="3"/>
      <c r="CW476" s="3"/>
      <c r="CX476" s="3"/>
      <c r="CY476" s="3"/>
      <c r="CZ476" s="3"/>
      <c r="DA476" s="3"/>
    </row>
    <row r="477" spans="1:105" x14ac:dyDescent="0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  <c r="BN477" s="3"/>
      <c r="BO477" s="3"/>
      <c r="BP477" s="3"/>
      <c r="BQ477" s="3"/>
      <c r="BR477" s="3"/>
      <c r="BS477" s="3"/>
      <c r="BT477" s="3"/>
      <c r="BU477" s="3"/>
      <c r="BV477" s="3"/>
      <c r="BW477" s="3"/>
      <c r="BX477" s="3"/>
      <c r="BY477" s="3"/>
      <c r="BZ477" s="3"/>
      <c r="CA477" s="3"/>
      <c r="CB477" s="3"/>
      <c r="CC477" s="3"/>
      <c r="CD477" s="3"/>
      <c r="CE477" s="3"/>
      <c r="CF477" s="3"/>
      <c r="CG477" s="3"/>
      <c r="CH477" s="3"/>
      <c r="CI477" s="3"/>
      <c r="CJ477" s="3"/>
      <c r="CK477" s="3"/>
      <c r="CL477" s="3"/>
      <c r="CM477" s="3"/>
      <c r="CN477" s="3"/>
      <c r="CO477" s="3"/>
      <c r="CP477" s="3"/>
      <c r="CQ477" s="3"/>
      <c r="CR477" s="3"/>
      <c r="CS477" s="3"/>
      <c r="CT477" s="3"/>
      <c r="CU477" s="3"/>
      <c r="CV477" s="3"/>
      <c r="CW477" s="3"/>
      <c r="CX477" s="3"/>
      <c r="CY477" s="3"/>
      <c r="CZ477" s="3"/>
      <c r="DA477" s="3"/>
    </row>
    <row r="478" spans="1:105" x14ac:dyDescent="0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  <c r="BN478" s="3"/>
      <c r="BO478" s="3"/>
      <c r="BP478" s="3"/>
      <c r="BQ478" s="3"/>
      <c r="BR478" s="3"/>
      <c r="BS478" s="3"/>
      <c r="BT478" s="3"/>
      <c r="BU478" s="3"/>
      <c r="BV478" s="3"/>
      <c r="BW478" s="3"/>
      <c r="BX478" s="3"/>
      <c r="BY478" s="3"/>
      <c r="BZ478" s="3"/>
      <c r="CA478" s="3"/>
      <c r="CB478" s="3"/>
      <c r="CC478" s="3"/>
      <c r="CD478" s="3"/>
      <c r="CE478" s="3"/>
      <c r="CF478" s="3"/>
      <c r="CG478" s="3"/>
      <c r="CH478" s="3"/>
      <c r="CI478" s="3"/>
      <c r="CJ478" s="3"/>
      <c r="CK478" s="3"/>
      <c r="CL478" s="3"/>
      <c r="CM478" s="3"/>
      <c r="CN478" s="3"/>
      <c r="CO478" s="3"/>
      <c r="CP478" s="3"/>
      <c r="CQ478" s="3"/>
      <c r="CR478" s="3"/>
      <c r="CS478" s="3"/>
      <c r="CT478" s="3"/>
      <c r="CU478" s="3"/>
      <c r="CV478" s="3"/>
      <c r="CW478" s="3"/>
      <c r="CX478" s="3"/>
      <c r="CY478" s="3"/>
      <c r="CZ478" s="3"/>
      <c r="DA478" s="3"/>
    </row>
    <row r="479" spans="1:105" x14ac:dyDescent="0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  <c r="BN479" s="3"/>
      <c r="BO479" s="3"/>
      <c r="BP479" s="3"/>
      <c r="BQ479" s="3"/>
      <c r="BR479" s="3"/>
      <c r="BS479" s="3"/>
      <c r="BT479" s="3"/>
      <c r="BU479" s="3"/>
      <c r="BV479" s="3"/>
      <c r="BW479" s="3"/>
      <c r="BX479" s="3"/>
      <c r="BY479" s="3"/>
      <c r="BZ479" s="3"/>
      <c r="CA479" s="3"/>
      <c r="CB479" s="3"/>
      <c r="CC479" s="3"/>
      <c r="CD479" s="3"/>
      <c r="CE479" s="3"/>
      <c r="CF479" s="3"/>
      <c r="CG479" s="3"/>
      <c r="CH479" s="3"/>
      <c r="CI479" s="3"/>
      <c r="CJ479" s="3"/>
      <c r="CK479" s="3"/>
      <c r="CL479" s="3"/>
      <c r="CM479" s="3"/>
      <c r="CN479" s="3"/>
      <c r="CO479" s="3"/>
      <c r="CP479" s="3"/>
      <c r="CQ479" s="3"/>
      <c r="CR479" s="3"/>
      <c r="CS479" s="3"/>
      <c r="CT479" s="3"/>
      <c r="CU479" s="3"/>
      <c r="CV479" s="3"/>
      <c r="CW479" s="3"/>
      <c r="CX479" s="3"/>
      <c r="CY479" s="3"/>
      <c r="CZ479" s="3"/>
      <c r="DA479" s="3"/>
    </row>
    <row r="480" spans="1:105" x14ac:dyDescent="0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  <c r="BN480" s="3"/>
      <c r="BO480" s="3"/>
      <c r="BP480" s="3"/>
      <c r="BQ480" s="3"/>
      <c r="BR480" s="3"/>
      <c r="BS480" s="3"/>
      <c r="BT480" s="3"/>
      <c r="BU480" s="3"/>
      <c r="BV480" s="3"/>
      <c r="BW480" s="3"/>
      <c r="BX480" s="3"/>
      <c r="BY480" s="3"/>
      <c r="BZ480" s="3"/>
      <c r="CA480" s="3"/>
      <c r="CB480" s="3"/>
      <c r="CC480" s="3"/>
      <c r="CD480" s="3"/>
      <c r="CE480" s="3"/>
      <c r="CF480" s="3"/>
      <c r="CG480" s="3"/>
      <c r="CH480" s="3"/>
      <c r="CI480" s="3"/>
      <c r="CJ480" s="3"/>
      <c r="CK480" s="3"/>
      <c r="CL480" s="3"/>
      <c r="CM480" s="3"/>
      <c r="CN480" s="3"/>
      <c r="CO480" s="3"/>
      <c r="CP480" s="3"/>
      <c r="CQ480" s="3"/>
      <c r="CR480" s="3"/>
      <c r="CS480" s="3"/>
      <c r="CT480" s="3"/>
      <c r="CU480" s="3"/>
      <c r="CV480" s="3"/>
      <c r="CW480" s="3"/>
      <c r="CX480" s="3"/>
      <c r="CY480" s="3"/>
      <c r="CZ480" s="3"/>
      <c r="DA480" s="3"/>
    </row>
    <row r="481" spans="1:105" x14ac:dyDescent="0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  <c r="BN481" s="3"/>
      <c r="BO481" s="3"/>
      <c r="BP481" s="3"/>
      <c r="BQ481" s="3"/>
      <c r="BR481" s="3"/>
      <c r="BS481" s="3"/>
      <c r="BT481" s="3"/>
      <c r="BU481" s="3"/>
      <c r="BV481" s="3"/>
      <c r="BW481" s="3"/>
      <c r="BX481" s="3"/>
      <c r="BY481" s="3"/>
      <c r="BZ481" s="3"/>
      <c r="CA481" s="3"/>
      <c r="CB481" s="3"/>
      <c r="CC481" s="3"/>
      <c r="CD481" s="3"/>
      <c r="CE481" s="3"/>
      <c r="CF481" s="3"/>
      <c r="CG481" s="3"/>
      <c r="CH481" s="3"/>
      <c r="CI481" s="3"/>
      <c r="CJ481" s="3"/>
      <c r="CK481" s="3"/>
      <c r="CL481" s="3"/>
      <c r="CM481" s="3"/>
      <c r="CN481" s="3"/>
      <c r="CO481" s="3"/>
      <c r="CP481" s="3"/>
      <c r="CQ481" s="3"/>
      <c r="CR481" s="3"/>
      <c r="CS481" s="3"/>
      <c r="CT481" s="3"/>
      <c r="CU481" s="3"/>
      <c r="CV481" s="3"/>
      <c r="CW481" s="3"/>
      <c r="CX481" s="3"/>
      <c r="CY481" s="3"/>
      <c r="CZ481" s="3"/>
      <c r="DA481" s="3"/>
    </row>
    <row r="482" spans="1:105" x14ac:dyDescent="0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  <c r="BN482" s="3"/>
      <c r="BO482" s="3"/>
      <c r="BP482" s="3"/>
      <c r="BQ482" s="3"/>
      <c r="BR482" s="3"/>
      <c r="BS482" s="3"/>
      <c r="BT482" s="3"/>
      <c r="BU482" s="3"/>
      <c r="BV482" s="3"/>
      <c r="BW482" s="3"/>
      <c r="BX482" s="3"/>
      <c r="BY482" s="3"/>
      <c r="BZ482" s="3"/>
      <c r="CA482" s="3"/>
      <c r="CB482" s="3"/>
      <c r="CC482" s="3"/>
      <c r="CD482" s="3"/>
      <c r="CE482" s="3"/>
      <c r="CF482" s="3"/>
      <c r="CG482" s="3"/>
      <c r="CH482" s="3"/>
      <c r="CI482" s="3"/>
      <c r="CJ482" s="3"/>
      <c r="CK482" s="3"/>
      <c r="CL482" s="3"/>
      <c r="CM482" s="3"/>
      <c r="CN482" s="3"/>
      <c r="CO482" s="3"/>
      <c r="CP482" s="3"/>
      <c r="CQ482" s="3"/>
      <c r="CR482" s="3"/>
      <c r="CS482" s="3"/>
      <c r="CT482" s="3"/>
      <c r="CU482" s="3"/>
      <c r="CV482" s="3"/>
      <c r="CW482" s="3"/>
      <c r="CX482" s="3"/>
      <c r="CY482" s="3"/>
      <c r="CZ482" s="3"/>
      <c r="DA482" s="3"/>
    </row>
    <row r="483" spans="1:105" x14ac:dyDescent="0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  <c r="BN483" s="3"/>
      <c r="BO483" s="3"/>
      <c r="BP483" s="3"/>
      <c r="BQ483" s="3"/>
      <c r="BR483" s="3"/>
      <c r="BS483" s="3"/>
      <c r="BT483" s="3"/>
      <c r="BU483" s="3"/>
      <c r="BV483" s="3"/>
      <c r="BW483" s="3"/>
      <c r="BX483" s="3"/>
      <c r="BY483" s="3"/>
      <c r="BZ483" s="3"/>
      <c r="CA483" s="3"/>
      <c r="CB483" s="3"/>
      <c r="CC483" s="3"/>
      <c r="CD483" s="3"/>
      <c r="CE483" s="3"/>
      <c r="CF483" s="3"/>
      <c r="CG483" s="3"/>
      <c r="CH483" s="3"/>
      <c r="CI483" s="3"/>
      <c r="CJ483" s="3"/>
      <c r="CK483" s="3"/>
      <c r="CL483" s="3"/>
      <c r="CM483" s="3"/>
      <c r="CN483" s="3"/>
      <c r="CO483" s="3"/>
      <c r="CP483" s="3"/>
      <c r="CQ483" s="3"/>
      <c r="CR483" s="3"/>
      <c r="CS483" s="3"/>
      <c r="CT483" s="3"/>
      <c r="CU483" s="3"/>
      <c r="CV483" s="3"/>
      <c r="CW483" s="3"/>
      <c r="CX483" s="3"/>
      <c r="CY483" s="3"/>
      <c r="CZ483" s="3"/>
      <c r="DA483" s="3"/>
    </row>
    <row r="484" spans="1:105" x14ac:dyDescent="0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  <c r="BN484" s="3"/>
      <c r="BO484" s="3"/>
      <c r="BP484" s="3"/>
      <c r="BQ484" s="3"/>
      <c r="BR484" s="3"/>
      <c r="BS484" s="3"/>
      <c r="BT484" s="3"/>
      <c r="BU484" s="3"/>
      <c r="BV484" s="3"/>
      <c r="BW484" s="3"/>
      <c r="BX484" s="3"/>
      <c r="BY484" s="3"/>
      <c r="BZ484" s="3"/>
      <c r="CA484" s="3"/>
      <c r="CB484" s="3"/>
      <c r="CC484" s="3"/>
      <c r="CD484" s="3"/>
      <c r="CE484" s="3"/>
      <c r="CF484" s="3"/>
      <c r="CG484" s="3"/>
      <c r="CH484" s="3"/>
      <c r="CI484" s="3"/>
      <c r="CJ484" s="3"/>
      <c r="CK484" s="3"/>
      <c r="CL484" s="3"/>
      <c r="CM484" s="3"/>
      <c r="CN484" s="3"/>
      <c r="CO484" s="3"/>
      <c r="CP484" s="3"/>
      <c r="CQ484" s="3"/>
      <c r="CR484" s="3"/>
      <c r="CS484" s="3"/>
      <c r="CT484" s="3"/>
      <c r="CU484" s="3"/>
      <c r="CV484" s="3"/>
      <c r="CW484" s="3"/>
      <c r="CX484" s="3"/>
      <c r="CY484" s="3"/>
      <c r="CZ484" s="3"/>
      <c r="DA484" s="3"/>
    </row>
    <row r="485" spans="1:105" x14ac:dyDescent="0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  <c r="BN485" s="3"/>
      <c r="BO485" s="3"/>
      <c r="BP485" s="3"/>
      <c r="BQ485" s="3"/>
      <c r="BR485" s="3"/>
      <c r="BS485" s="3"/>
      <c r="BT485" s="3"/>
      <c r="BU485" s="3"/>
      <c r="BV485" s="3"/>
      <c r="BW485" s="3"/>
      <c r="BX485" s="3"/>
      <c r="BY485" s="3"/>
      <c r="BZ485" s="3"/>
      <c r="CA485" s="3"/>
      <c r="CB485" s="3"/>
      <c r="CC485" s="3"/>
      <c r="CD485" s="3"/>
      <c r="CE485" s="3"/>
      <c r="CF485" s="3"/>
      <c r="CG485" s="3"/>
      <c r="CH485" s="3"/>
      <c r="CI485" s="3"/>
      <c r="CJ485" s="3"/>
      <c r="CK485" s="3"/>
      <c r="CL485" s="3"/>
      <c r="CM485" s="3"/>
      <c r="CN485" s="3"/>
      <c r="CO485" s="3"/>
      <c r="CP485" s="3"/>
      <c r="CQ485" s="3"/>
      <c r="CR485" s="3"/>
      <c r="CS485" s="3"/>
      <c r="CT485" s="3"/>
      <c r="CU485" s="3"/>
      <c r="CV485" s="3"/>
      <c r="CW485" s="3"/>
      <c r="CX485" s="3"/>
      <c r="CY485" s="3"/>
      <c r="CZ485" s="3"/>
      <c r="DA485" s="3"/>
    </row>
    <row r="486" spans="1:105" x14ac:dyDescent="0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  <c r="BN486" s="3"/>
      <c r="BO486" s="3"/>
      <c r="BP486" s="3"/>
      <c r="BQ486" s="3"/>
      <c r="BR486" s="3"/>
      <c r="BS486" s="3"/>
      <c r="BT486" s="3"/>
      <c r="BU486" s="3"/>
      <c r="BV486" s="3"/>
      <c r="BW486" s="3"/>
      <c r="BX486" s="3"/>
      <c r="BY486" s="3"/>
      <c r="BZ486" s="3"/>
      <c r="CA486" s="3"/>
      <c r="CB486" s="3"/>
      <c r="CC486" s="3"/>
      <c r="CD486" s="3"/>
      <c r="CE486" s="3"/>
      <c r="CF486" s="3"/>
      <c r="CG486" s="3"/>
      <c r="CH486" s="3"/>
      <c r="CI486" s="3"/>
      <c r="CJ486" s="3"/>
      <c r="CK486" s="3"/>
      <c r="CL486" s="3"/>
      <c r="CM486" s="3"/>
      <c r="CN486" s="3"/>
      <c r="CO486" s="3"/>
      <c r="CP486" s="3"/>
      <c r="CQ486" s="3"/>
      <c r="CR486" s="3"/>
      <c r="CS486" s="3"/>
      <c r="CT486" s="3"/>
      <c r="CU486" s="3"/>
      <c r="CV486" s="3"/>
      <c r="CW486" s="3"/>
      <c r="CX486" s="3"/>
      <c r="CY486" s="3"/>
      <c r="CZ486" s="3"/>
      <c r="DA486" s="3"/>
    </row>
    <row r="487" spans="1:105" x14ac:dyDescent="0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  <c r="BN487" s="3"/>
      <c r="BO487" s="3"/>
      <c r="BP487" s="3"/>
      <c r="BQ487" s="3"/>
      <c r="BR487" s="3"/>
      <c r="BS487" s="3"/>
      <c r="BT487" s="3"/>
      <c r="BU487" s="3"/>
      <c r="BV487" s="3"/>
      <c r="BW487" s="3"/>
      <c r="BX487" s="3"/>
      <c r="BY487" s="3"/>
      <c r="BZ487" s="3"/>
      <c r="CA487" s="3"/>
      <c r="CB487" s="3"/>
      <c r="CC487" s="3"/>
      <c r="CD487" s="3"/>
      <c r="CE487" s="3"/>
      <c r="CF487" s="3"/>
      <c r="CG487" s="3"/>
      <c r="CH487" s="3"/>
      <c r="CI487" s="3"/>
      <c r="CJ487" s="3"/>
      <c r="CK487" s="3"/>
      <c r="CL487" s="3"/>
      <c r="CM487" s="3"/>
      <c r="CN487" s="3"/>
      <c r="CO487" s="3"/>
      <c r="CP487" s="3"/>
      <c r="CQ487" s="3"/>
      <c r="CR487" s="3"/>
      <c r="CS487" s="3"/>
      <c r="CT487" s="3"/>
      <c r="CU487" s="3"/>
      <c r="CV487" s="3"/>
      <c r="CW487" s="3"/>
      <c r="CX487" s="3"/>
      <c r="CY487" s="3"/>
      <c r="CZ487" s="3"/>
      <c r="DA487" s="3"/>
    </row>
    <row r="488" spans="1:105" x14ac:dyDescent="0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  <c r="BN488" s="3"/>
      <c r="BO488" s="3"/>
      <c r="BP488" s="3"/>
      <c r="BQ488" s="3"/>
      <c r="BR488" s="3"/>
      <c r="BS488" s="3"/>
      <c r="BT488" s="3"/>
      <c r="BU488" s="3"/>
      <c r="BV488" s="3"/>
      <c r="BW488" s="3"/>
      <c r="BX488" s="3"/>
      <c r="BY488" s="3"/>
      <c r="BZ488" s="3"/>
      <c r="CA488" s="3"/>
      <c r="CB488" s="3"/>
      <c r="CC488" s="3"/>
      <c r="CD488" s="3"/>
      <c r="CE488" s="3"/>
      <c r="CF488" s="3"/>
      <c r="CG488" s="3"/>
      <c r="CH488" s="3"/>
      <c r="CI488" s="3"/>
      <c r="CJ488" s="3"/>
      <c r="CK488" s="3"/>
      <c r="CL488" s="3"/>
      <c r="CM488" s="3"/>
      <c r="CN488" s="3"/>
      <c r="CO488" s="3"/>
      <c r="CP488" s="3"/>
      <c r="CQ488" s="3"/>
      <c r="CR488" s="3"/>
      <c r="CS488" s="3"/>
      <c r="CT488" s="3"/>
      <c r="CU488" s="3"/>
      <c r="CV488" s="3"/>
      <c r="CW488" s="3"/>
      <c r="CX488" s="3"/>
      <c r="CY488" s="3"/>
      <c r="CZ488" s="3"/>
      <c r="DA488" s="3"/>
    </row>
    <row r="489" spans="1:105" x14ac:dyDescent="0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  <c r="BN489" s="3"/>
      <c r="BO489" s="3"/>
      <c r="BP489" s="3"/>
      <c r="BQ489" s="3"/>
      <c r="BR489" s="3"/>
      <c r="BS489" s="3"/>
      <c r="BT489" s="3"/>
      <c r="BU489" s="3"/>
      <c r="BV489" s="3"/>
      <c r="BW489" s="3"/>
      <c r="BX489" s="3"/>
      <c r="BY489" s="3"/>
      <c r="BZ489" s="3"/>
      <c r="CA489" s="3"/>
      <c r="CB489" s="3"/>
      <c r="CC489" s="3"/>
      <c r="CD489" s="3"/>
      <c r="CE489" s="3"/>
      <c r="CF489" s="3"/>
      <c r="CG489" s="3"/>
      <c r="CH489" s="3"/>
      <c r="CI489" s="3"/>
      <c r="CJ489" s="3"/>
      <c r="CK489" s="3"/>
      <c r="CL489" s="3"/>
      <c r="CM489" s="3"/>
      <c r="CN489" s="3"/>
      <c r="CO489" s="3"/>
      <c r="CP489" s="3"/>
      <c r="CQ489" s="3"/>
      <c r="CR489" s="3"/>
      <c r="CS489" s="3"/>
      <c r="CT489" s="3"/>
      <c r="CU489" s="3"/>
      <c r="CV489" s="3"/>
      <c r="CW489" s="3"/>
      <c r="CX489" s="3"/>
      <c r="CY489" s="3"/>
      <c r="CZ489" s="3"/>
      <c r="DA489" s="3"/>
    </row>
    <row r="490" spans="1:105" x14ac:dyDescent="0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  <c r="BN490" s="3"/>
      <c r="BO490" s="3"/>
      <c r="BP490" s="3"/>
      <c r="BQ490" s="3"/>
      <c r="BR490" s="3"/>
      <c r="BS490" s="3"/>
      <c r="BT490" s="3"/>
      <c r="BU490" s="3"/>
      <c r="BV490" s="3"/>
      <c r="BW490" s="3"/>
      <c r="BX490" s="3"/>
      <c r="BY490" s="3"/>
      <c r="BZ490" s="3"/>
      <c r="CA490" s="3"/>
      <c r="CB490" s="3"/>
      <c r="CC490" s="3"/>
      <c r="CD490" s="3"/>
      <c r="CE490" s="3"/>
      <c r="CF490" s="3"/>
      <c r="CG490" s="3"/>
      <c r="CH490" s="3"/>
      <c r="CI490" s="3"/>
      <c r="CJ490" s="3"/>
      <c r="CK490" s="3"/>
      <c r="CL490" s="3"/>
      <c r="CM490" s="3"/>
      <c r="CN490" s="3"/>
      <c r="CO490" s="3"/>
      <c r="CP490" s="3"/>
      <c r="CQ490" s="3"/>
      <c r="CR490" s="3"/>
      <c r="CS490" s="3"/>
      <c r="CT490" s="3"/>
      <c r="CU490" s="3"/>
      <c r="CV490" s="3"/>
      <c r="CW490" s="3"/>
      <c r="CX490" s="3"/>
      <c r="CY490" s="3"/>
      <c r="CZ490" s="3"/>
      <c r="DA490" s="3"/>
    </row>
    <row r="491" spans="1:105" x14ac:dyDescent="0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  <c r="BN491" s="3"/>
      <c r="BO491" s="3"/>
      <c r="BP491" s="3"/>
      <c r="BQ491" s="3"/>
      <c r="BR491" s="3"/>
      <c r="BS491" s="3"/>
      <c r="BT491" s="3"/>
      <c r="BU491" s="3"/>
      <c r="BV491" s="3"/>
      <c r="BW491" s="3"/>
      <c r="BX491" s="3"/>
      <c r="BY491" s="3"/>
      <c r="BZ491" s="3"/>
      <c r="CA491" s="3"/>
      <c r="CB491" s="3"/>
      <c r="CC491" s="3"/>
      <c r="CD491" s="3"/>
      <c r="CE491" s="3"/>
      <c r="CF491" s="3"/>
      <c r="CG491" s="3"/>
      <c r="CH491" s="3"/>
      <c r="CI491" s="3"/>
      <c r="CJ491" s="3"/>
      <c r="CK491" s="3"/>
      <c r="CL491" s="3"/>
      <c r="CM491" s="3"/>
      <c r="CN491" s="3"/>
      <c r="CO491" s="3"/>
      <c r="CP491" s="3"/>
      <c r="CQ491" s="3"/>
      <c r="CR491" s="3"/>
      <c r="CS491" s="3"/>
      <c r="CT491" s="3"/>
      <c r="CU491" s="3"/>
      <c r="CV491" s="3"/>
      <c r="CW491" s="3"/>
      <c r="CX491" s="3"/>
      <c r="CY491" s="3"/>
      <c r="CZ491" s="3"/>
      <c r="DA491" s="3"/>
    </row>
    <row r="492" spans="1:105" x14ac:dyDescent="0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  <c r="BN492" s="3"/>
      <c r="BO492" s="3"/>
      <c r="BP492" s="3"/>
      <c r="BQ492" s="3"/>
      <c r="BR492" s="3"/>
      <c r="BS492" s="3"/>
      <c r="BT492" s="3"/>
      <c r="BU492" s="3"/>
      <c r="BV492" s="3"/>
      <c r="BW492" s="3"/>
      <c r="BX492" s="3"/>
      <c r="BY492" s="3"/>
      <c r="BZ492" s="3"/>
      <c r="CA492" s="3"/>
      <c r="CB492" s="3"/>
      <c r="CC492" s="3"/>
      <c r="CD492" s="3"/>
      <c r="CE492" s="3"/>
      <c r="CF492" s="3"/>
      <c r="CG492" s="3"/>
      <c r="CH492" s="3"/>
      <c r="CI492" s="3"/>
      <c r="CJ492" s="3"/>
      <c r="CK492" s="3"/>
      <c r="CL492" s="3"/>
      <c r="CM492" s="3"/>
      <c r="CN492" s="3"/>
      <c r="CO492" s="3"/>
      <c r="CP492" s="3"/>
      <c r="CQ492" s="3"/>
      <c r="CR492" s="3"/>
      <c r="CS492" s="3"/>
      <c r="CT492" s="3"/>
      <c r="CU492" s="3"/>
      <c r="CV492" s="3"/>
      <c r="CW492" s="3"/>
      <c r="CX492" s="3"/>
      <c r="CY492" s="3"/>
      <c r="CZ492" s="3"/>
      <c r="DA492" s="3"/>
    </row>
    <row r="493" spans="1:105" x14ac:dyDescent="0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  <c r="BN493" s="3"/>
      <c r="BO493" s="3"/>
      <c r="BP493" s="3"/>
      <c r="BQ493" s="3"/>
      <c r="BR493" s="3"/>
      <c r="BS493" s="3"/>
      <c r="BT493" s="3"/>
      <c r="BU493" s="3"/>
      <c r="BV493" s="3"/>
      <c r="BW493" s="3"/>
      <c r="BX493" s="3"/>
      <c r="BY493" s="3"/>
      <c r="BZ493" s="3"/>
      <c r="CA493" s="3"/>
      <c r="CB493" s="3"/>
      <c r="CC493" s="3"/>
      <c r="CD493" s="3"/>
      <c r="CE493" s="3"/>
      <c r="CF493" s="3"/>
      <c r="CG493" s="3"/>
      <c r="CH493" s="3"/>
      <c r="CI493" s="3"/>
      <c r="CJ493" s="3"/>
      <c r="CK493" s="3"/>
      <c r="CL493" s="3"/>
      <c r="CM493" s="3"/>
      <c r="CN493" s="3"/>
      <c r="CO493" s="3"/>
      <c r="CP493" s="3"/>
      <c r="CQ493" s="3"/>
      <c r="CR493" s="3"/>
      <c r="CS493" s="3"/>
      <c r="CT493" s="3"/>
      <c r="CU493" s="3"/>
      <c r="CV493" s="3"/>
      <c r="CW493" s="3"/>
      <c r="CX493" s="3"/>
      <c r="CY493" s="3"/>
      <c r="CZ493" s="3"/>
      <c r="DA493" s="3"/>
    </row>
    <row r="494" spans="1:105" x14ac:dyDescent="0.2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  <c r="BN494" s="3"/>
      <c r="BO494" s="3"/>
      <c r="BP494" s="3"/>
      <c r="BQ494" s="3"/>
      <c r="BR494" s="3"/>
      <c r="BS494" s="3"/>
      <c r="BT494" s="3"/>
      <c r="BU494" s="3"/>
      <c r="BV494" s="3"/>
      <c r="BW494" s="3"/>
      <c r="BX494" s="3"/>
      <c r="BY494" s="3"/>
      <c r="BZ494" s="3"/>
      <c r="CA494" s="3"/>
      <c r="CB494" s="3"/>
      <c r="CC494" s="3"/>
      <c r="CD494" s="3"/>
      <c r="CE494" s="3"/>
      <c r="CF494" s="3"/>
      <c r="CG494" s="3"/>
      <c r="CH494" s="3"/>
      <c r="CI494" s="3"/>
      <c r="CJ494" s="3"/>
      <c r="CK494" s="3"/>
      <c r="CL494" s="3"/>
      <c r="CM494" s="3"/>
      <c r="CN494" s="3"/>
      <c r="CO494" s="3"/>
      <c r="CP494" s="3"/>
      <c r="CQ494" s="3"/>
      <c r="CR494" s="3"/>
      <c r="CS494" s="3"/>
      <c r="CT494" s="3"/>
      <c r="CU494" s="3"/>
      <c r="CV494" s="3"/>
      <c r="CW494" s="3"/>
      <c r="CX494" s="3"/>
      <c r="CY494" s="3"/>
      <c r="CZ494" s="3"/>
      <c r="DA494" s="3"/>
    </row>
    <row r="495" spans="1:105" x14ac:dyDescent="0.2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  <c r="BN495" s="3"/>
      <c r="BO495" s="3"/>
      <c r="BP495" s="3"/>
      <c r="BQ495" s="3"/>
      <c r="BR495" s="3"/>
      <c r="BS495" s="3"/>
      <c r="BT495" s="3"/>
      <c r="BU495" s="3"/>
      <c r="BV495" s="3"/>
      <c r="BW495" s="3"/>
      <c r="BX495" s="3"/>
      <c r="BY495" s="3"/>
      <c r="BZ495" s="3"/>
      <c r="CA495" s="3"/>
      <c r="CB495" s="3"/>
      <c r="CC495" s="3"/>
      <c r="CD495" s="3"/>
      <c r="CE495" s="3"/>
      <c r="CF495" s="3"/>
      <c r="CG495" s="3"/>
      <c r="CH495" s="3"/>
      <c r="CI495" s="3"/>
      <c r="CJ495" s="3"/>
      <c r="CK495" s="3"/>
      <c r="CL495" s="3"/>
      <c r="CM495" s="3"/>
      <c r="CN495" s="3"/>
      <c r="CO495" s="3"/>
      <c r="CP495" s="3"/>
      <c r="CQ495" s="3"/>
      <c r="CR495" s="3"/>
      <c r="CS495" s="3"/>
      <c r="CT495" s="3"/>
      <c r="CU495" s="3"/>
      <c r="CV495" s="3"/>
      <c r="CW495" s="3"/>
      <c r="CX495" s="3"/>
      <c r="CY495" s="3"/>
      <c r="CZ495" s="3"/>
      <c r="DA495" s="3"/>
    </row>
    <row r="496" spans="1:105" x14ac:dyDescent="0.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  <c r="BN496" s="3"/>
      <c r="BO496" s="3"/>
      <c r="BP496" s="3"/>
      <c r="BQ496" s="3"/>
      <c r="BR496" s="3"/>
      <c r="BS496" s="3"/>
      <c r="BT496" s="3"/>
      <c r="BU496" s="3"/>
      <c r="BV496" s="3"/>
      <c r="BW496" s="3"/>
      <c r="BX496" s="3"/>
      <c r="BY496" s="3"/>
      <c r="BZ496" s="3"/>
      <c r="CA496" s="3"/>
      <c r="CB496" s="3"/>
      <c r="CC496" s="3"/>
      <c r="CD496" s="3"/>
      <c r="CE496" s="3"/>
      <c r="CF496" s="3"/>
      <c r="CG496" s="3"/>
      <c r="CH496" s="3"/>
      <c r="CI496" s="3"/>
      <c r="CJ496" s="3"/>
      <c r="CK496" s="3"/>
      <c r="CL496" s="3"/>
      <c r="CM496" s="3"/>
      <c r="CN496" s="3"/>
      <c r="CO496" s="3"/>
      <c r="CP496" s="3"/>
      <c r="CQ496" s="3"/>
      <c r="CR496" s="3"/>
      <c r="CS496" s="3"/>
      <c r="CT496" s="3"/>
      <c r="CU496" s="3"/>
      <c r="CV496" s="3"/>
      <c r="CW496" s="3"/>
      <c r="CX496" s="3"/>
      <c r="CY496" s="3"/>
      <c r="CZ496" s="3"/>
      <c r="DA496" s="3"/>
    </row>
    <row r="497" spans="1:105" x14ac:dyDescent="0.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  <c r="BN497" s="3"/>
      <c r="BO497" s="3"/>
      <c r="BP497" s="3"/>
      <c r="BQ497" s="3"/>
      <c r="BR497" s="3"/>
      <c r="BS497" s="3"/>
      <c r="BT497" s="3"/>
      <c r="BU497" s="3"/>
      <c r="BV497" s="3"/>
      <c r="BW497" s="3"/>
      <c r="BX497" s="3"/>
      <c r="BY497" s="3"/>
      <c r="BZ497" s="3"/>
      <c r="CA497" s="3"/>
      <c r="CB497" s="3"/>
      <c r="CC497" s="3"/>
      <c r="CD497" s="3"/>
      <c r="CE497" s="3"/>
      <c r="CF497" s="3"/>
      <c r="CG497" s="3"/>
      <c r="CH497" s="3"/>
      <c r="CI497" s="3"/>
      <c r="CJ497" s="3"/>
      <c r="CK497" s="3"/>
      <c r="CL497" s="3"/>
      <c r="CM497" s="3"/>
      <c r="CN497" s="3"/>
      <c r="CO497" s="3"/>
      <c r="CP497" s="3"/>
      <c r="CQ497" s="3"/>
      <c r="CR497" s="3"/>
      <c r="CS497" s="3"/>
      <c r="CT497" s="3"/>
      <c r="CU497" s="3"/>
      <c r="CV497" s="3"/>
      <c r="CW497" s="3"/>
      <c r="CX497" s="3"/>
      <c r="CY497" s="3"/>
      <c r="CZ497" s="3"/>
      <c r="DA497" s="3"/>
    </row>
    <row r="498" spans="1:105" x14ac:dyDescent="0.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  <c r="BN498" s="3"/>
      <c r="BO498" s="3"/>
      <c r="BP498" s="3"/>
      <c r="BQ498" s="3"/>
      <c r="BR498" s="3"/>
      <c r="BS498" s="3"/>
      <c r="BT498" s="3"/>
      <c r="BU498" s="3"/>
      <c r="BV498" s="3"/>
      <c r="BW498" s="3"/>
      <c r="BX498" s="3"/>
      <c r="BY498" s="3"/>
      <c r="BZ498" s="3"/>
      <c r="CA498" s="3"/>
      <c r="CB498" s="3"/>
      <c r="CC498" s="3"/>
      <c r="CD498" s="3"/>
      <c r="CE498" s="3"/>
      <c r="CF498" s="3"/>
      <c r="CG498" s="3"/>
      <c r="CH498" s="3"/>
      <c r="CI498" s="3"/>
      <c r="CJ498" s="3"/>
      <c r="CK498" s="3"/>
      <c r="CL498" s="3"/>
      <c r="CM498" s="3"/>
      <c r="CN498" s="3"/>
      <c r="CO498" s="3"/>
      <c r="CP498" s="3"/>
      <c r="CQ498" s="3"/>
      <c r="CR498" s="3"/>
      <c r="CS498" s="3"/>
      <c r="CT498" s="3"/>
      <c r="CU498" s="3"/>
      <c r="CV498" s="3"/>
      <c r="CW498" s="3"/>
      <c r="CX498" s="3"/>
      <c r="CY498" s="3"/>
      <c r="CZ498" s="3"/>
      <c r="DA498" s="3"/>
    </row>
    <row r="499" spans="1:105" x14ac:dyDescent="0.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  <c r="BN499" s="3"/>
      <c r="BO499" s="3"/>
      <c r="BP499" s="3"/>
      <c r="BQ499" s="3"/>
      <c r="BR499" s="3"/>
      <c r="BS499" s="3"/>
      <c r="BT499" s="3"/>
      <c r="BU499" s="3"/>
      <c r="BV499" s="3"/>
      <c r="BW499" s="3"/>
      <c r="BX499" s="3"/>
      <c r="BY499" s="3"/>
      <c r="BZ499" s="3"/>
      <c r="CA499" s="3"/>
      <c r="CB499" s="3"/>
      <c r="CC499" s="3"/>
      <c r="CD499" s="3"/>
      <c r="CE499" s="3"/>
      <c r="CF499" s="3"/>
      <c r="CG499" s="3"/>
      <c r="CH499" s="3"/>
      <c r="CI499" s="3"/>
      <c r="CJ499" s="3"/>
      <c r="CK499" s="3"/>
      <c r="CL499" s="3"/>
      <c r="CM499" s="3"/>
      <c r="CN499" s="3"/>
      <c r="CO499" s="3"/>
      <c r="CP499" s="3"/>
      <c r="CQ499" s="3"/>
      <c r="CR499" s="3"/>
      <c r="CS499" s="3"/>
      <c r="CT499" s="3"/>
      <c r="CU499" s="3"/>
      <c r="CV499" s="3"/>
      <c r="CW499" s="3"/>
      <c r="CX499" s="3"/>
      <c r="CY499" s="3"/>
      <c r="CZ499" s="3"/>
      <c r="DA499" s="3"/>
    </row>
    <row r="500" spans="1:105" x14ac:dyDescent="0.2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  <c r="BN500" s="3"/>
      <c r="BO500" s="3"/>
      <c r="BP500" s="3"/>
      <c r="BQ500" s="3"/>
      <c r="BR500" s="3"/>
      <c r="BS500" s="3"/>
      <c r="BT500" s="3"/>
      <c r="BU500" s="3"/>
      <c r="BV500" s="3"/>
      <c r="BW500" s="3"/>
      <c r="BX500" s="3"/>
      <c r="BY500" s="3"/>
      <c r="BZ500" s="3"/>
      <c r="CA500" s="3"/>
      <c r="CB500" s="3"/>
      <c r="CC500" s="3"/>
      <c r="CD500" s="3"/>
      <c r="CE500" s="3"/>
      <c r="CF500" s="3"/>
      <c r="CG500" s="3"/>
      <c r="CH500" s="3"/>
      <c r="CI500" s="3"/>
      <c r="CJ500" s="3"/>
      <c r="CK500" s="3"/>
      <c r="CL500" s="3"/>
      <c r="CM500" s="3"/>
      <c r="CN500" s="3"/>
      <c r="CO500" s="3"/>
      <c r="CP500" s="3"/>
      <c r="CQ500" s="3"/>
      <c r="CR500" s="3"/>
      <c r="CS500" s="3"/>
      <c r="CT500" s="3"/>
      <c r="CU500" s="3"/>
      <c r="CV500" s="3"/>
      <c r="CW500" s="3"/>
      <c r="CX500" s="3"/>
      <c r="CY500" s="3"/>
      <c r="CZ500" s="3"/>
      <c r="DA500" s="3"/>
    </row>
    <row r="501" spans="1:105" x14ac:dyDescent="0.2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  <c r="BN501" s="3"/>
      <c r="BO501" s="3"/>
      <c r="BP501" s="3"/>
      <c r="BQ501" s="3"/>
      <c r="BR501" s="3"/>
      <c r="BS501" s="3"/>
      <c r="BT501" s="3"/>
      <c r="BU501" s="3"/>
      <c r="BV501" s="3"/>
      <c r="BW501" s="3"/>
      <c r="BX501" s="3"/>
      <c r="BY501" s="3"/>
      <c r="BZ501" s="3"/>
      <c r="CA501" s="3"/>
      <c r="CB501" s="3"/>
      <c r="CC501" s="3"/>
      <c r="CD501" s="3"/>
      <c r="CE501" s="3"/>
      <c r="CF501" s="3"/>
      <c r="CG501" s="3"/>
      <c r="CH501" s="3"/>
      <c r="CI501" s="3"/>
      <c r="CJ501" s="3"/>
      <c r="CK501" s="3"/>
      <c r="CL501" s="3"/>
      <c r="CM501" s="3"/>
      <c r="CN501" s="3"/>
      <c r="CO501" s="3"/>
      <c r="CP501" s="3"/>
      <c r="CQ501" s="3"/>
      <c r="CR501" s="3"/>
      <c r="CS501" s="3"/>
      <c r="CT501" s="3"/>
      <c r="CU501" s="3"/>
      <c r="CV501" s="3"/>
      <c r="CW501" s="3"/>
      <c r="CX501" s="3"/>
      <c r="CY501" s="3"/>
      <c r="CZ501" s="3"/>
      <c r="DA501" s="3"/>
    </row>
    <row r="502" spans="1:105" x14ac:dyDescent="0.2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  <c r="BD502" s="3"/>
      <c r="BE502" s="3"/>
      <c r="BF502" s="3"/>
      <c r="BG502" s="3"/>
      <c r="BH502" s="3"/>
      <c r="BI502" s="3"/>
      <c r="BJ502" s="3"/>
      <c r="BK502" s="3"/>
      <c r="BL502" s="3"/>
      <c r="BM502" s="3"/>
      <c r="BN502" s="3"/>
      <c r="BO502" s="3"/>
      <c r="BP502" s="3"/>
      <c r="BQ502" s="3"/>
      <c r="BR502" s="3"/>
      <c r="BS502" s="3"/>
      <c r="BT502" s="3"/>
      <c r="BU502" s="3"/>
      <c r="BV502" s="3"/>
      <c r="BW502" s="3"/>
      <c r="BX502" s="3"/>
      <c r="BY502" s="3"/>
      <c r="BZ502" s="3"/>
      <c r="CA502" s="3"/>
      <c r="CB502" s="3"/>
      <c r="CC502" s="3"/>
      <c r="CD502" s="3"/>
      <c r="CE502" s="3"/>
      <c r="CF502" s="3"/>
      <c r="CG502" s="3"/>
      <c r="CH502" s="3"/>
      <c r="CI502" s="3"/>
      <c r="CJ502" s="3"/>
      <c r="CK502" s="3"/>
      <c r="CL502" s="3"/>
      <c r="CM502" s="3"/>
      <c r="CN502" s="3"/>
      <c r="CO502" s="3"/>
      <c r="CP502" s="3"/>
      <c r="CQ502" s="3"/>
      <c r="CR502" s="3"/>
      <c r="CS502" s="3"/>
      <c r="CT502" s="3"/>
      <c r="CU502" s="3"/>
      <c r="CV502" s="3"/>
      <c r="CW502" s="3"/>
      <c r="CX502" s="3"/>
      <c r="CY502" s="3"/>
      <c r="CZ502" s="3"/>
      <c r="DA502" s="3"/>
    </row>
    <row r="503" spans="1:105" x14ac:dyDescent="0.2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  <c r="BD503" s="3"/>
      <c r="BE503" s="3"/>
      <c r="BF503" s="3"/>
      <c r="BG503" s="3"/>
      <c r="BH503" s="3"/>
      <c r="BI503" s="3"/>
      <c r="BJ503" s="3"/>
      <c r="BK503" s="3"/>
      <c r="BL503" s="3"/>
      <c r="BM503" s="3"/>
      <c r="BN503" s="3"/>
      <c r="BO503" s="3"/>
      <c r="BP503" s="3"/>
      <c r="BQ503" s="3"/>
      <c r="BR503" s="3"/>
      <c r="BS503" s="3"/>
      <c r="BT503" s="3"/>
      <c r="BU503" s="3"/>
      <c r="BV503" s="3"/>
      <c r="BW503" s="3"/>
      <c r="BX503" s="3"/>
      <c r="BY503" s="3"/>
      <c r="BZ503" s="3"/>
      <c r="CA503" s="3"/>
      <c r="CB503" s="3"/>
      <c r="CC503" s="3"/>
      <c r="CD503" s="3"/>
      <c r="CE503" s="3"/>
      <c r="CF503" s="3"/>
      <c r="CG503" s="3"/>
      <c r="CH503" s="3"/>
      <c r="CI503" s="3"/>
      <c r="CJ503" s="3"/>
      <c r="CK503" s="3"/>
      <c r="CL503" s="3"/>
      <c r="CM503" s="3"/>
      <c r="CN503" s="3"/>
      <c r="CO503" s="3"/>
      <c r="CP503" s="3"/>
      <c r="CQ503" s="3"/>
      <c r="CR503" s="3"/>
      <c r="CS503" s="3"/>
      <c r="CT503" s="3"/>
      <c r="CU503" s="3"/>
      <c r="CV503" s="3"/>
      <c r="CW503" s="3"/>
      <c r="CX503" s="3"/>
      <c r="CY503" s="3"/>
      <c r="CZ503" s="3"/>
      <c r="DA503" s="3"/>
    </row>
    <row r="504" spans="1:105" x14ac:dyDescent="0.2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/>
      <c r="BM504" s="3"/>
      <c r="BN504" s="3"/>
      <c r="BO504" s="3"/>
      <c r="BP504" s="3"/>
      <c r="BQ504" s="3"/>
      <c r="BR504" s="3"/>
      <c r="BS504" s="3"/>
      <c r="BT504" s="3"/>
      <c r="BU504" s="3"/>
      <c r="BV504" s="3"/>
      <c r="BW504" s="3"/>
      <c r="BX504" s="3"/>
      <c r="BY504" s="3"/>
      <c r="BZ504" s="3"/>
      <c r="CA504" s="3"/>
      <c r="CB504" s="3"/>
      <c r="CC504" s="3"/>
      <c r="CD504" s="3"/>
      <c r="CE504" s="3"/>
      <c r="CF504" s="3"/>
      <c r="CG504" s="3"/>
      <c r="CH504" s="3"/>
      <c r="CI504" s="3"/>
      <c r="CJ504" s="3"/>
      <c r="CK504" s="3"/>
      <c r="CL504" s="3"/>
      <c r="CM504" s="3"/>
      <c r="CN504" s="3"/>
      <c r="CO504" s="3"/>
      <c r="CP504" s="3"/>
      <c r="CQ504" s="3"/>
      <c r="CR504" s="3"/>
      <c r="CS504" s="3"/>
      <c r="CT504" s="3"/>
      <c r="CU504" s="3"/>
      <c r="CV504" s="3"/>
      <c r="CW504" s="3"/>
      <c r="CX504" s="3"/>
      <c r="CY504" s="3"/>
      <c r="CZ504" s="3"/>
      <c r="DA504" s="3"/>
    </row>
    <row r="505" spans="1:105" x14ac:dyDescent="0.2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  <c r="BN505" s="3"/>
      <c r="BO505" s="3"/>
      <c r="BP505" s="3"/>
      <c r="BQ505" s="3"/>
      <c r="BR505" s="3"/>
      <c r="BS505" s="3"/>
      <c r="BT505" s="3"/>
      <c r="BU505" s="3"/>
      <c r="BV505" s="3"/>
      <c r="BW505" s="3"/>
      <c r="BX505" s="3"/>
      <c r="BY505" s="3"/>
      <c r="BZ505" s="3"/>
      <c r="CA505" s="3"/>
      <c r="CB505" s="3"/>
      <c r="CC505" s="3"/>
      <c r="CD505" s="3"/>
      <c r="CE505" s="3"/>
      <c r="CF505" s="3"/>
      <c r="CG505" s="3"/>
      <c r="CH505" s="3"/>
      <c r="CI505" s="3"/>
      <c r="CJ505" s="3"/>
      <c r="CK505" s="3"/>
      <c r="CL505" s="3"/>
      <c r="CM505" s="3"/>
      <c r="CN505" s="3"/>
      <c r="CO505" s="3"/>
      <c r="CP505" s="3"/>
      <c r="CQ505" s="3"/>
      <c r="CR505" s="3"/>
      <c r="CS505" s="3"/>
      <c r="CT505" s="3"/>
      <c r="CU505" s="3"/>
      <c r="CV505" s="3"/>
      <c r="CW505" s="3"/>
      <c r="CX505" s="3"/>
      <c r="CY505" s="3"/>
      <c r="CZ505" s="3"/>
      <c r="DA505" s="3"/>
    </row>
  </sheetData>
  <hyperlinks>
    <hyperlink ref="B66" r:id="rId1" xr:uid="{B92A16EB-5C40-45ED-91B6-B1A11194C095}"/>
    <hyperlink ref="B4" r:id="rId2" xr:uid="{90E473E6-6E94-4A5B-8F74-F6BA2D3E2EE9}"/>
    <hyperlink ref="B15" r:id="rId3" xr:uid="{02790BA5-88C3-47F9-9C61-2DBB0C328648}"/>
    <hyperlink ref="B13" r:id="rId4" xr:uid="{EFB40CE4-B2D6-477C-8D92-AB90C6FA778F}"/>
    <hyperlink ref="B11" r:id="rId5" xr:uid="{3B446513-750A-47A1-B844-69287AB80B63}"/>
    <hyperlink ref="B6" r:id="rId6" xr:uid="{1C45EC13-2B5E-4F69-A6DF-9D52756B296F}"/>
    <hyperlink ref="B7" r:id="rId7" xr:uid="{812836D7-B730-4AFB-B5F1-B949CD7C2197}"/>
    <hyperlink ref="B54" r:id="rId8" xr:uid="{53D9F8CB-F8EB-460E-A27A-EAF33066A976}"/>
    <hyperlink ref="B5" r:id="rId9" xr:uid="{83AA7587-B0AF-47C7-9847-4532DEF231C4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E71446-867A-48FD-BFD5-4BAC6DAC2D69}">
  <dimension ref="A1:AG718"/>
  <sheetViews>
    <sheetView tabSelected="1" zoomScale="200" zoomScaleNormal="200" workbookViewId="0">
      <pane ySplit="3" topLeftCell="A4" activePane="bottomLeft" state="frozen"/>
      <selection pane="bottomLeft" activeCell="E16" sqref="E16"/>
    </sheetView>
  </sheetViews>
  <sheetFormatPr defaultRowHeight="13.5" x14ac:dyDescent="0.25"/>
  <cols>
    <col min="1" max="1" width="3.85546875" style="4" customWidth="1"/>
    <col min="2" max="2" width="25.7109375" style="4" bestFit="1" customWidth="1"/>
    <col min="3" max="3" width="14.28515625" style="4" bestFit="1" customWidth="1"/>
    <col min="4" max="4" width="7.7109375" style="4" bestFit="1" customWidth="1"/>
    <col min="5" max="5" width="9.28515625" style="4" bestFit="1" customWidth="1"/>
    <col min="6" max="6" width="10.140625" style="4" bestFit="1" customWidth="1"/>
    <col min="7" max="8" width="9.42578125" style="4" bestFit="1" customWidth="1"/>
    <col min="9" max="9" width="9.140625" style="22"/>
    <col min="10" max="16384" width="9.140625" style="4"/>
  </cols>
  <sheetData>
    <row r="1" spans="1:33" x14ac:dyDescent="0.25">
      <c r="A1" s="1" t="s">
        <v>225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</row>
    <row r="2" spans="1:33" x14ac:dyDescent="0.25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</row>
    <row r="3" spans="1:33" x14ac:dyDescent="0.25">
      <c r="A3" s="14" t="s">
        <v>224</v>
      </c>
      <c r="B3" s="15" t="s">
        <v>223</v>
      </c>
      <c r="C3" s="15" t="s">
        <v>222</v>
      </c>
      <c r="D3" s="15" t="s">
        <v>221</v>
      </c>
      <c r="E3" s="16" t="s">
        <v>415</v>
      </c>
      <c r="F3" s="16" t="s">
        <v>230</v>
      </c>
      <c r="G3" s="16" t="s">
        <v>231</v>
      </c>
      <c r="H3" s="16" t="s">
        <v>232</v>
      </c>
      <c r="I3" s="15" t="s">
        <v>416</v>
      </c>
      <c r="J3" s="15" t="s">
        <v>417</v>
      </c>
      <c r="K3" s="15"/>
      <c r="L3" s="15"/>
      <c r="M3" s="15"/>
      <c r="N3" s="15"/>
      <c r="O3" s="15"/>
      <c r="P3" s="15"/>
      <c r="Q3" s="15"/>
      <c r="R3" s="15"/>
      <c r="S3" s="15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</row>
    <row r="4" spans="1:33" x14ac:dyDescent="0.25">
      <c r="A4" s="8">
        <v>1</v>
      </c>
      <c r="B4" s="1" t="s">
        <v>220</v>
      </c>
      <c r="C4" s="3" t="s">
        <v>219</v>
      </c>
      <c r="D4" s="3" t="s">
        <v>179</v>
      </c>
      <c r="E4" s="17">
        <f>+[9]Main!$H$2</f>
        <v>1975</v>
      </c>
      <c r="F4" s="18">
        <f>+[9]Main!$H$4*FX!C7</f>
        <v>1587625.4750000001</v>
      </c>
      <c r="G4" s="18">
        <f>+([9]Main!$H$6-[9]Main!$H$5)*FX!C7</f>
        <v>-64338.64</v>
      </c>
      <c r="H4" s="18">
        <f t="shared" ref="H4:H10" si="0">+F4+G4</f>
        <v>1523286.8350000002</v>
      </c>
      <c r="I4" s="11" t="s">
        <v>236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</row>
    <row r="5" spans="1:33" x14ac:dyDescent="0.25">
      <c r="A5" s="8">
        <f t="shared" ref="A5:A36" si="1">+A4+1</f>
        <v>2</v>
      </c>
      <c r="B5" s="1" t="s">
        <v>218</v>
      </c>
      <c r="C5" s="3" t="s">
        <v>217</v>
      </c>
      <c r="D5" s="3" t="s">
        <v>2</v>
      </c>
      <c r="E5" s="17">
        <f>+[1]Main!$K$2</f>
        <v>419.17</v>
      </c>
      <c r="F5" s="10">
        <f>+[1]Main!$K$4</f>
        <v>1351823.25</v>
      </c>
      <c r="G5" s="10">
        <f>+[1]Main!$K$6-[1]Main!$K$5</f>
        <v>-33945</v>
      </c>
      <c r="H5" s="10">
        <f t="shared" si="0"/>
        <v>1317878.25</v>
      </c>
      <c r="I5" s="11" t="s">
        <v>236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</row>
    <row r="6" spans="1:33" x14ac:dyDescent="0.25">
      <c r="A6" s="8">
        <f t="shared" si="1"/>
        <v>3</v>
      </c>
      <c r="B6" s="1" t="s">
        <v>216</v>
      </c>
      <c r="C6" s="3" t="s">
        <v>215</v>
      </c>
      <c r="D6" s="3" t="s">
        <v>61</v>
      </c>
      <c r="E6" s="17">
        <f>+[10]Main!$J$2</f>
        <v>71500</v>
      </c>
      <c r="F6" s="10">
        <f>+[10]Main!$J$4*FX!C8</f>
        <v>294131.1097725</v>
      </c>
      <c r="G6" s="10">
        <f>+([10]Main!$J$6-[10]Main!$J$5)*FX!C8</f>
        <v>-61521.653899999998</v>
      </c>
      <c r="H6" s="10">
        <f t="shared" si="0"/>
        <v>232609.4558725</v>
      </c>
      <c r="I6" s="11" t="s">
        <v>236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</row>
    <row r="7" spans="1:33" x14ac:dyDescent="0.25">
      <c r="A7" s="8">
        <f t="shared" si="1"/>
        <v>4</v>
      </c>
      <c r="B7" s="1" t="s">
        <v>214</v>
      </c>
      <c r="C7" s="3" t="s">
        <v>213</v>
      </c>
      <c r="D7" s="3" t="s">
        <v>10</v>
      </c>
      <c r="E7" s="17">
        <f>+[2]Main!$J$2</f>
        <v>2420</v>
      </c>
      <c r="F7" s="10">
        <f>+[2]Main!$J$4*FX!C6</f>
        <v>260582.97971111999</v>
      </c>
      <c r="G7" s="10">
        <f>+([2]Main!$J$6-[2]Main!$J$5)*FX!C8</f>
        <v>22288.672699999999</v>
      </c>
      <c r="H7" s="10">
        <f t="shared" si="0"/>
        <v>282871.65241112001</v>
      </c>
      <c r="I7" s="11" t="s">
        <v>236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</row>
    <row r="8" spans="1:33" x14ac:dyDescent="0.25">
      <c r="A8" s="8">
        <f t="shared" si="1"/>
        <v>5</v>
      </c>
      <c r="B8" s="1" t="s">
        <v>212</v>
      </c>
      <c r="C8" s="3" t="s">
        <v>211</v>
      </c>
      <c r="D8" s="3" t="s">
        <v>2</v>
      </c>
      <c r="E8" s="17">
        <f>+[11]Main!$J$2</f>
        <v>298.69</v>
      </c>
      <c r="F8" s="10">
        <f>+[11]Main!$J$4</f>
        <v>142753.51624856002</v>
      </c>
      <c r="G8" s="10">
        <f>+[11]Main!$J$6-[11]Main!$J$5</f>
        <v>31520</v>
      </c>
      <c r="H8" s="10">
        <f t="shared" si="0"/>
        <v>174273.51624856002</v>
      </c>
      <c r="I8" s="11" t="s">
        <v>236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</row>
    <row r="9" spans="1:33" x14ac:dyDescent="0.25">
      <c r="A9" s="8">
        <f t="shared" si="1"/>
        <v>6</v>
      </c>
      <c r="B9" s="1" t="s">
        <v>210</v>
      </c>
      <c r="C9" s="3" t="s">
        <v>2213</v>
      </c>
      <c r="D9" s="3" t="s">
        <v>5</v>
      </c>
      <c r="E9" s="17">
        <f>+[12]Main!$I$2</f>
        <v>56.2</v>
      </c>
      <c r="F9" s="10">
        <f>+[12]Main!$I$5*FX!C4</f>
        <v>187067.70580176005</v>
      </c>
      <c r="G9" s="10">
        <f>+([12]Main!$I$7-[12]Main!$I$6)*FX!C4</f>
        <v>-11416.8614</v>
      </c>
      <c r="H9" s="10">
        <f t="shared" si="0"/>
        <v>175650.84440176006</v>
      </c>
      <c r="I9" s="11" t="s">
        <v>2200</v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</row>
    <row r="10" spans="1:33" x14ac:dyDescent="0.25">
      <c r="A10" s="8">
        <f t="shared" si="1"/>
        <v>7</v>
      </c>
      <c r="B10" s="1" t="s">
        <v>209</v>
      </c>
      <c r="C10" s="3" t="s">
        <v>208</v>
      </c>
      <c r="D10" s="3" t="s">
        <v>5</v>
      </c>
      <c r="E10" s="17">
        <f>+[3]Main!$I$2</f>
        <v>372</v>
      </c>
      <c r="F10" s="10">
        <f>+[3]Main!$I$4*FX!C4</f>
        <v>151555.88501088004</v>
      </c>
      <c r="G10" s="10">
        <f>+([3]Main!$I$6-[3]Main!$I$5)*FX!C4</f>
        <v>0</v>
      </c>
      <c r="H10" s="10">
        <f t="shared" si="0"/>
        <v>151555.88501088004</v>
      </c>
      <c r="I10" s="11" t="s">
        <v>236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</row>
    <row r="11" spans="1:33" x14ac:dyDescent="0.25">
      <c r="A11" s="8">
        <f t="shared" si="1"/>
        <v>8</v>
      </c>
      <c r="B11" s="3" t="s">
        <v>207</v>
      </c>
      <c r="C11" s="3" t="s">
        <v>206</v>
      </c>
      <c r="D11" s="3" t="s">
        <v>119</v>
      </c>
      <c r="E11" s="17"/>
      <c r="F11" s="10"/>
      <c r="G11" s="10"/>
      <c r="H11" s="10"/>
      <c r="I11" s="11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</row>
    <row r="12" spans="1:33" x14ac:dyDescent="0.25">
      <c r="A12" s="8">
        <f t="shared" si="1"/>
        <v>9</v>
      </c>
      <c r="B12" s="1" t="s">
        <v>205</v>
      </c>
      <c r="C12" s="3" t="s">
        <v>204</v>
      </c>
      <c r="D12" s="3" t="s">
        <v>2</v>
      </c>
      <c r="E12" s="17">
        <f>+[13]Main!$H$2</f>
        <v>485.5</v>
      </c>
      <c r="F12" s="10">
        <f>+[13]Main!$H$4</f>
        <v>131849.79941100001</v>
      </c>
      <c r="G12" s="10">
        <f>+[13]Main!$H$6-[13]Main!$H$5</f>
        <v>56715</v>
      </c>
      <c r="H12" s="10">
        <f>+F12+G12</f>
        <v>188564.79941100001</v>
      </c>
      <c r="I12" s="11" t="s">
        <v>236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</row>
    <row r="13" spans="1:33" x14ac:dyDescent="0.25">
      <c r="A13" s="8">
        <f t="shared" si="1"/>
        <v>10</v>
      </c>
      <c r="B13" s="1" t="s">
        <v>203</v>
      </c>
      <c r="C13" s="3" t="s">
        <v>202</v>
      </c>
      <c r="D13" s="3" t="s">
        <v>2</v>
      </c>
      <c r="E13" s="17">
        <f>+[14]Main!$I$2</f>
        <v>215.01</v>
      </c>
      <c r="F13" s="10">
        <f>+[14]Main!$I$4</f>
        <v>162118.71696474002</v>
      </c>
      <c r="G13" s="10">
        <f>+[14]Main!$I$6-[14]Main!$I$5</f>
        <v>29944</v>
      </c>
      <c r="H13" s="10">
        <f>+F13+G13</f>
        <v>192062.71696474002</v>
      </c>
      <c r="I13" s="11" t="s">
        <v>2200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5">
      <c r="A14" s="8">
        <f t="shared" si="1"/>
        <v>11</v>
      </c>
      <c r="B14" s="1" t="s">
        <v>201</v>
      </c>
      <c r="C14" s="3" t="s">
        <v>200</v>
      </c>
      <c r="D14" s="3" t="s">
        <v>2</v>
      </c>
      <c r="E14" s="17">
        <f>+[15]Main!$K$2</f>
        <v>652.46</v>
      </c>
      <c r="F14" s="10">
        <f>+[15]Main!$K$4</f>
        <v>155519.06263738</v>
      </c>
      <c r="G14" s="10">
        <f>+[15]Main!$K$6-[15]Main!$K$5</f>
        <v>16592.142</v>
      </c>
      <c r="H14" s="10">
        <f>+F14+G14</f>
        <v>172111.20463738</v>
      </c>
      <c r="I14" s="11" t="s">
        <v>343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5">
      <c r="A15" s="8">
        <f t="shared" si="1"/>
        <v>12</v>
      </c>
      <c r="B15" s="1" t="s">
        <v>199</v>
      </c>
      <c r="C15" s="3" t="s">
        <v>198</v>
      </c>
      <c r="D15" s="3" t="s">
        <v>2</v>
      </c>
      <c r="E15" s="17">
        <f>+[16]Main!$J$2</f>
        <v>176.33</v>
      </c>
      <c r="F15" s="10">
        <f>+[16]Main!$J$4</f>
        <v>105088.53324739002</v>
      </c>
      <c r="G15" s="10">
        <f>+[16]Main!$J$6-[16]Main!$J$5</f>
        <v>4296.9570000000003</v>
      </c>
      <c r="H15" s="10">
        <f>+F15+G15</f>
        <v>109385.49024739001</v>
      </c>
      <c r="I15" s="11" t="s">
        <v>2200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5">
      <c r="A16" s="8">
        <f t="shared" si="1"/>
        <v>13</v>
      </c>
      <c r="B16" s="1" t="s">
        <v>197</v>
      </c>
      <c r="C16" s="3" t="s">
        <v>196</v>
      </c>
      <c r="D16" s="3" t="s">
        <v>2</v>
      </c>
      <c r="E16" s="17">
        <f>+[17]Main!$K$2</f>
        <v>20</v>
      </c>
      <c r="F16" s="10">
        <f>+[17]Main!$K$4</f>
        <v>85340</v>
      </c>
      <c r="G16" s="10">
        <f>+[17]Main!$K$6-[17]Main!$K$5</f>
        <v>17932</v>
      </c>
      <c r="H16" s="10">
        <f>+F16+G16</f>
        <v>103272</v>
      </c>
      <c r="I16" s="11" t="s">
        <v>343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5">
      <c r="A17" s="8">
        <f t="shared" si="1"/>
        <v>14</v>
      </c>
      <c r="B17" s="3" t="s">
        <v>195</v>
      </c>
      <c r="C17" s="3" t="s">
        <v>194</v>
      </c>
      <c r="D17" s="3" t="s">
        <v>193</v>
      </c>
      <c r="E17" s="17"/>
      <c r="F17" s="10"/>
      <c r="G17" s="10"/>
      <c r="H17" s="10"/>
      <c r="I17" s="11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5">
      <c r="A18" s="8">
        <f t="shared" si="1"/>
        <v>15</v>
      </c>
      <c r="B18" s="3" t="s">
        <v>192</v>
      </c>
      <c r="C18" s="3" t="s">
        <v>2</v>
      </c>
      <c r="D18" s="3" t="s">
        <v>191</v>
      </c>
      <c r="E18" s="17"/>
      <c r="F18" s="10"/>
      <c r="G18" s="10"/>
      <c r="H18" s="10"/>
      <c r="I18" s="11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5">
      <c r="A19" s="8">
        <f t="shared" si="1"/>
        <v>16</v>
      </c>
      <c r="B19" s="3" t="s">
        <v>190</v>
      </c>
      <c r="C19" s="3" t="s">
        <v>189</v>
      </c>
      <c r="D19" s="3" t="s">
        <v>5</v>
      </c>
      <c r="E19" s="17"/>
      <c r="F19" s="10"/>
      <c r="G19" s="10"/>
      <c r="H19" s="10"/>
      <c r="I19" s="11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5">
      <c r="A20" s="8">
        <f t="shared" si="1"/>
        <v>17</v>
      </c>
      <c r="B20" s="1" t="s">
        <v>188</v>
      </c>
      <c r="C20" s="3" t="s">
        <v>187</v>
      </c>
      <c r="D20" s="3" t="s">
        <v>186</v>
      </c>
      <c r="E20" s="17"/>
      <c r="F20" s="10"/>
      <c r="G20" s="10"/>
      <c r="H20" s="10"/>
      <c r="I20" s="11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5">
      <c r="A21" s="8">
        <f t="shared" si="1"/>
        <v>18</v>
      </c>
      <c r="B21" s="3" t="s">
        <v>185</v>
      </c>
      <c r="C21" s="3" t="s">
        <v>184</v>
      </c>
      <c r="D21" s="3" t="s">
        <v>78</v>
      </c>
      <c r="E21" s="17"/>
      <c r="F21" s="10"/>
      <c r="G21" s="10"/>
      <c r="H21" s="10"/>
      <c r="I21" s="11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5">
      <c r="A22" s="8">
        <f t="shared" si="1"/>
        <v>19</v>
      </c>
      <c r="B22" s="3" t="s">
        <v>183</v>
      </c>
      <c r="C22" s="3" t="s">
        <v>182</v>
      </c>
      <c r="D22" s="3" t="s">
        <v>2</v>
      </c>
      <c r="E22" s="17"/>
      <c r="F22" s="10"/>
      <c r="G22" s="10"/>
      <c r="H22" s="10"/>
      <c r="I22" s="11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5">
      <c r="A23" s="8">
        <f t="shared" si="1"/>
        <v>20</v>
      </c>
      <c r="B23" s="1" t="s">
        <v>181</v>
      </c>
      <c r="C23" s="3" t="s">
        <v>180</v>
      </c>
      <c r="D23" s="3" t="s">
        <v>179</v>
      </c>
      <c r="E23" s="17"/>
      <c r="F23" s="10"/>
      <c r="G23" s="10"/>
      <c r="H23" s="10"/>
      <c r="I23" s="11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5">
      <c r="A24" s="8">
        <f t="shared" si="1"/>
        <v>21</v>
      </c>
      <c r="B24" s="3" t="s">
        <v>178</v>
      </c>
      <c r="C24" s="3" t="s">
        <v>177</v>
      </c>
      <c r="D24" s="3" t="s">
        <v>2</v>
      </c>
      <c r="E24" s="17"/>
      <c r="F24" s="10"/>
      <c r="G24" s="10"/>
      <c r="H24" s="10"/>
      <c r="I24" s="11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5">
      <c r="A25" s="8">
        <f t="shared" si="1"/>
        <v>22</v>
      </c>
      <c r="B25" s="3" t="s">
        <v>176</v>
      </c>
      <c r="C25" s="3" t="s">
        <v>175</v>
      </c>
      <c r="D25" s="3" t="s">
        <v>78</v>
      </c>
      <c r="E25" s="17"/>
      <c r="F25" s="10"/>
      <c r="G25" s="10"/>
      <c r="H25" s="10"/>
      <c r="I25" s="11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</row>
    <row r="26" spans="1:33" x14ac:dyDescent="0.25">
      <c r="A26" s="8">
        <f t="shared" si="1"/>
        <v>23</v>
      </c>
      <c r="B26" s="3" t="s">
        <v>174</v>
      </c>
      <c r="C26" s="3" t="s">
        <v>173</v>
      </c>
      <c r="D26" s="3" t="s">
        <v>31</v>
      </c>
      <c r="E26" s="17"/>
      <c r="F26" s="10"/>
      <c r="G26" s="10"/>
      <c r="H26" s="10"/>
      <c r="I26" s="11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</row>
    <row r="27" spans="1:33" x14ac:dyDescent="0.25">
      <c r="A27" s="8">
        <f t="shared" si="1"/>
        <v>24</v>
      </c>
      <c r="B27" s="3" t="s">
        <v>172</v>
      </c>
      <c r="C27" s="3" t="s">
        <v>171</v>
      </c>
      <c r="D27" s="3" t="s">
        <v>5</v>
      </c>
      <c r="E27" s="17"/>
      <c r="F27" s="10"/>
      <c r="G27" s="10"/>
      <c r="H27" s="10"/>
      <c r="I27" s="11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</row>
    <row r="28" spans="1:33" x14ac:dyDescent="0.25">
      <c r="A28" s="8">
        <f t="shared" si="1"/>
        <v>25</v>
      </c>
      <c r="B28" s="3" t="s">
        <v>170</v>
      </c>
      <c r="C28" s="3" t="s">
        <v>169</v>
      </c>
      <c r="D28" s="3" t="s">
        <v>2</v>
      </c>
      <c r="E28" s="17"/>
      <c r="F28" s="10"/>
      <c r="G28" s="10"/>
      <c r="H28" s="10"/>
      <c r="I28" s="11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</row>
    <row r="29" spans="1:33" x14ac:dyDescent="0.25">
      <c r="A29" s="8">
        <f t="shared" si="1"/>
        <v>26</v>
      </c>
      <c r="B29" s="3" t="s">
        <v>168</v>
      </c>
      <c r="C29" s="3" t="s">
        <v>167</v>
      </c>
      <c r="D29" s="3" t="s">
        <v>166</v>
      </c>
      <c r="E29" s="17"/>
      <c r="F29" s="10"/>
      <c r="G29" s="10"/>
      <c r="H29" s="10"/>
      <c r="I29" s="11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</row>
    <row r="30" spans="1:33" x14ac:dyDescent="0.25">
      <c r="A30" s="8">
        <f t="shared" si="1"/>
        <v>27</v>
      </c>
      <c r="B30" s="3" t="s">
        <v>165</v>
      </c>
      <c r="C30" s="3" t="s">
        <v>164</v>
      </c>
      <c r="D30" s="3" t="s">
        <v>2</v>
      </c>
      <c r="E30" s="17"/>
      <c r="F30" s="10"/>
      <c r="G30" s="10"/>
      <c r="H30" s="10"/>
      <c r="I30" s="11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</row>
    <row r="31" spans="1:33" x14ac:dyDescent="0.25">
      <c r="A31" s="8">
        <f t="shared" si="1"/>
        <v>28</v>
      </c>
      <c r="B31" s="1" t="s">
        <v>163</v>
      </c>
      <c r="C31" s="3" t="s">
        <v>162</v>
      </c>
      <c r="D31" s="3" t="s">
        <v>31</v>
      </c>
      <c r="E31" s="17"/>
      <c r="F31" s="10"/>
      <c r="G31" s="10"/>
      <c r="H31" s="10"/>
      <c r="I31" s="11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</row>
    <row r="32" spans="1:33" x14ac:dyDescent="0.25">
      <c r="A32" s="8">
        <f t="shared" si="1"/>
        <v>29</v>
      </c>
      <c r="B32" s="3" t="s">
        <v>161</v>
      </c>
      <c r="C32" s="3" t="s">
        <v>160</v>
      </c>
      <c r="D32" s="3" t="s">
        <v>61</v>
      </c>
      <c r="E32" s="17"/>
      <c r="F32" s="10"/>
      <c r="G32" s="10"/>
      <c r="H32" s="10"/>
      <c r="I32" s="11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</row>
    <row r="33" spans="1:33" x14ac:dyDescent="0.25">
      <c r="A33" s="8">
        <f t="shared" si="1"/>
        <v>30</v>
      </c>
      <c r="B33" s="3" t="s">
        <v>159</v>
      </c>
      <c r="C33" s="3" t="s">
        <v>158</v>
      </c>
      <c r="D33" s="3" t="s">
        <v>31</v>
      </c>
      <c r="E33" s="17"/>
      <c r="F33" s="10"/>
      <c r="G33" s="10"/>
      <c r="H33" s="10"/>
      <c r="I33" s="11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</row>
    <row r="34" spans="1:33" x14ac:dyDescent="0.25">
      <c r="A34" s="8">
        <f t="shared" si="1"/>
        <v>31</v>
      </c>
      <c r="B34" s="3" t="s">
        <v>157</v>
      </c>
      <c r="C34" s="3" t="s">
        <v>156</v>
      </c>
      <c r="D34" s="3" t="s">
        <v>2</v>
      </c>
      <c r="E34" s="17"/>
      <c r="F34" s="10"/>
      <c r="G34" s="10"/>
      <c r="H34" s="10"/>
      <c r="I34" s="11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</row>
    <row r="35" spans="1:33" x14ac:dyDescent="0.25">
      <c r="A35" s="8">
        <f t="shared" si="1"/>
        <v>32</v>
      </c>
      <c r="B35" s="1" t="s">
        <v>155</v>
      </c>
      <c r="C35" s="3" t="s">
        <v>154</v>
      </c>
      <c r="D35" s="3" t="s">
        <v>2</v>
      </c>
      <c r="E35" s="17"/>
      <c r="F35" s="10"/>
      <c r="G35" s="10"/>
      <c r="H35" s="10"/>
      <c r="I35" s="11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</row>
    <row r="36" spans="1:33" x14ac:dyDescent="0.25">
      <c r="A36" s="8">
        <f t="shared" si="1"/>
        <v>33</v>
      </c>
      <c r="B36" s="3" t="s">
        <v>153</v>
      </c>
      <c r="C36" s="3" t="s">
        <v>152</v>
      </c>
      <c r="D36" s="3" t="s">
        <v>31</v>
      </c>
      <c r="E36" s="17"/>
      <c r="F36" s="10"/>
      <c r="G36" s="10"/>
      <c r="H36" s="10"/>
      <c r="I36" s="11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</row>
    <row r="37" spans="1:33" x14ac:dyDescent="0.25">
      <c r="A37" s="8">
        <f t="shared" ref="A37:A68" si="2">+A36+1</f>
        <v>34</v>
      </c>
      <c r="B37" s="3" t="s">
        <v>151</v>
      </c>
      <c r="C37" s="3" t="s">
        <v>150</v>
      </c>
      <c r="D37" s="3" t="s">
        <v>2</v>
      </c>
      <c r="E37" s="17"/>
      <c r="F37" s="10"/>
      <c r="G37" s="10"/>
      <c r="H37" s="10"/>
      <c r="I37" s="11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</row>
    <row r="38" spans="1:33" x14ac:dyDescent="0.25">
      <c r="A38" s="8">
        <f t="shared" si="2"/>
        <v>35</v>
      </c>
      <c r="B38" s="3" t="s">
        <v>149</v>
      </c>
      <c r="C38" s="3" t="s">
        <v>148</v>
      </c>
      <c r="D38" s="3" t="s">
        <v>47</v>
      </c>
      <c r="E38" s="17"/>
      <c r="F38" s="10"/>
      <c r="G38" s="10"/>
      <c r="H38" s="10"/>
      <c r="I38" s="11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</row>
    <row r="39" spans="1:33" x14ac:dyDescent="0.25">
      <c r="A39" s="8">
        <f t="shared" si="2"/>
        <v>36</v>
      </c>
      <c r="B39" s="3" t="s">
        <v>147</v>
      </c>
      <c r="C39" s="3" t="s">
        <v>146</v>
      </c>
      <c r="D39" s="3" t="s">
        <v>2</v>
      </c>
      <c r="E39" s="17"/>
      <c r="F39" s="10"/>
      <c r="G39" s="10"/>
      <c r="H39" s="10"/>
      <c r="I39" s="11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</row>
    <row r="40" spans="1:33" x14ac:dyDescent="0.25">
      <c r="A40" s="8">
        <f t="shared" si="2"/>
        <v>37</v>
      </c>
      <c r="B40" s="3" t="s">
        <v>145</v>
      </c>
      <c r="C40" s="3" t="s">
        <v>144</v>
      </c>
      <c r="D40" s="3" t="s">
        <v>2</v>
      </c>
      <c r="E40" s="17"/>
      <c r="F40" s="10"/>
      <c r="G40" s="10"/>
      <c r="H40" s="10"/>
      <c r="I40" s="11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</row>
    <row r="41" spans="1:33" x14ac:dyDescent="0.25">
      <c r="A41" s="8">
        <f t="shared" si="2"/>
        <v>38</v>
      </c>
      <c r="B41" s="1" t="s">
        <v>143</v>
      </c>
      <c r="C41" s="3" t="s">
        <v>142</v>
      </c>
      <c r="D41" s="3" t="s">
        <v>10</v>
      </c>
      <c r="E41" s="17"/>
      <c r="F41" s="10"/>
      <c r="G41" s="10"/>
      <c r="H41" s="10"/>
      <c r="I41" s="11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</row>
    <row r="42" spans="1:33" x14ac:dyDescent="0.25">
      <c r="A42" s="8">
        <f t="shared" si="2"/>
        <v>39</v>
      </c>
      <c r="B42" s="1" t="s">
        <v>141</v>
      </c>
      <c r="C42" s="3" t="s">
        <v>140</v>
      </c>
      <c r="D42" s="3" t="s">
        <v>2</v>
      </c>
      <c r="E42" s="17"/>
      <c r="F42" s="10"/>
      <c r="G42" s="10"/>
      <c r="H42" s="10"/>
      <c r="I42" s="11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</row>
    <row r="43" spans="1:33" x14ac:dyDescent="0.25">
      <c r="A43" s="8">
        <f t="shared" si="2"/>
        <v>40</v>
      </c>
      <c r="B43" s="3" t="s">
        <v>139</v>
      </c>
      <c r="C43" s="3" t="s">
        <v>138</v>
      </c>
      <c r="D43" s="3" t="s">
        <v>5</v>
      </c>
      <c r="E43" s="17"/>
      <c r="F43" s="10"/>
      <c r="G43" s="10"/>
      <c r="H43" s="10"/>
      <c r="I43" s="11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</row>
    <row r="44" spans="1:33" x14ac:dyDescent="0.25">
      <c r="A44" s="8">
        <f t="shared" si="2"/>
        <v>41</v>
      </c>
      <c r="B44" s="3" t="s">
        <v>137</v>
      </c>
      <c r="C44" s="3" t="s">
        <v>136</v>
      </c>
      <c r="D44" s="3" t="s">
        <v>10</v>
      </c>
      <c r="E44" s="17"/>
      <c r="F44" s="10"/>
      <c r="G44" s="10"/>
      <c r="H44" s="10"/>
      <c r="I44" s="11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</row>
    <row r="45" spans="1:33" x14ac:dyDescent="0.25">
      <c r="A45" s="8">
        <f t="shared" si="2"/>
        <v>42</v>
      </c>
      <c r="B45" s="3" t="s">
        <v>135</v>
      </c>
      <c r="C45" s="3" t="s">
        <v>134</v>
      </c>
      <c r="D45" s="3" t="s">
        <v>10</v>
      </c>
      <c r="E45" s="17"/>
      <c r="F45" s="10"/>
      <c r="G45" s="10"/>
      <c r="H45" s="10"/>
      <c r="I45" s="11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</row>
    <row r="46" spans="1:33" x14ac:dyDescent="0.25">
      <c r="A46" s="8">
        <f t="shared" si="2"/>
        <v>43</v>
      </c>
      <c r="B46" s="3" t="s">
        <v>133</v>
      </c>
      <c r="C46" s="3" t="s">
        <v>132</v>
      </c>
      <c r="D46" s="3" t="s">
        <v>2</v>
      </c>
      <c r="E46" s="17"/>
      <c r="F46" s="10"/>
      <c r="G46" s="10"/>
      <c r="H46" s="10"/>
      <c r="I46" s="11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</row>
    <row r="47" spans="1:33" x14ac:dyDescent="0.25">
      <c r="A47" s="8">
        <f t="shared" si="2"/>
        <v>44</v>
      </c>
      <c r="B47" s="3" t="s">
        <v>131</v>
      </c>
      <c r="C47" s="3" t="s">
        <v>130</v>
      </c>
      <c r="D47" s="3" t="s">
        <v>10</v>
      </c>
      <c r="E47" s="17"/>
      <c r="F47" s="10"/>
      <c r="G47" s="10"/>
      <c r="H47" s="10"/>
      <c r="I47" s="11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</row>
    <row r="48" spans="1:33" x14ac:dyDescent="0.25">
      <c r="A48" s="8">
        <f t="shared" si="2"/>
        <v>45</v>
      </c>
      <c r="B48" s="3" t="s">
        <v>129</v>
      </c>
      <c r="C48" s="3" t="s">
        <v>128</v>
      </c>
      <c r="D48" s="3" t="s">
        <v>5</v>
      </c>
      <c r="E48" s="17"/>
      <c r="F48" s="10"/>
      <c r="G48" s="10"/>
      <c r="H48" s="10"/>
      <c r="I48" s="11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</row>
    <row r="49" spans="1:33" x14ac:dyDescent="0.25">
      <c r="A49" s="8">
        <f t="shared" si="2"/>
        <v>46</v>
      </c>
      <c r="B49" s="3" t="s">
        <v>127</v>
      </c>
      <c r="C49" s="3" t="s">
        <v>126</v>
      </c>
      <c r="D49" s="3" t="s">
        <v>61</v>
      </c>
      <c r="E49" s="17"/>
      <c r="F49" s="10"/>
      <c r="G49" s="10"/>
      <c r="H49" s="10"/>
      <c r="I49" s="11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</row>
    <row r="50" spans="1:33" x14ac:dyDescent="0.25">
      <c r="A50" s="8">
        <f t="shared" si="2"/>
        <v>47</v>
      </c>
      <c r="B50" s="3" t="s">
        <v>125</v>
      </c>
      <c r="C50" s="3" t="s">
        <v>124</v>
      </c>
      <c r="D50" s="3" t="s">
        <v>56</v>
      </c>
      <c r="E50" s="17"/>
      <c r="F50" s="10"/>
      <c r="G50" s="10"/>
      <c r="H50" s="10"/>
      <c r="I50" s="11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</row>
    <row r="51" spans="1:33" x14ac:dyDescent="0.25">
      <c r="A51" s="8">
        <f t="shared" si="2"/>
        <v>48</v>
      </c>
      <c r="B51" s="3" t="s">
        <v>123</v>
      </c>
      <c r="C51" s="3" t="s">
        <v>122</v>
      </c>
      <c r="D51" s="3" t="s">
        <v>2</v>
      </c>
      <c r="E51" s="17"/>
      <c r="F51" s="10"/>
      <c r="G51" s="10"/>
      <c r="H51" s="10"/>
      <c r="I51" s="11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</row>
    <row r="52" spans="1:33" x14ac:dyDescent="0.25">
      <c r="A52" s="8">
        <f t="shared" si="2"/>
        <v>49</v>
      </c>
      <c r="B52" s="3" t="s">
        <v>121</v>
      </c>
      <c r="C52" s="3" t="s">
        <v>120</v>
      </c>
      <c r="D52" s="3" t="s">
        <v>119</v>
      </c>
      <c r="E52" s="17"/>
      <c r="F52" s="10"/>
      <c r="G52" s="10"/>
      <c r="H52" s="10"/>
      <c r="I52" s="11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</row>
    <row r="53" spans="1:33" x14ac:dyDescent="0.25">
      <c r="A53" s="8">
        <f t="shared" si="2"/>
        <v>50</v>
      </c>
      <c r="B53" s="3" t="s">
        <v>118</v>
      </c>
      <c r="C53" s="3" t="s">
        <v>117</v>
      </c>
      <c r="D53" s="3" t="s">
        <v>10</v>
      </c>
      <c r="E53" s="17"/>
      <c r="F53" s="10"/>
      <c r="G53" s="10"/>
      <c r="H53" s="10"/>
      <c r="I53" s="11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</row>
    <row r="54" spans="1:33" x14ac:dyDescent="0.25">
      <c r="A54" s="8">
        <f t="shared" si="2"/>
        <v>51</v>
      </c>
      <c r="B54" s="3" t="s">
        <v>116</v>
      </c>
      <c r="C54" s="3" t="s">
        <v>115</v>
      </c>
      <c r="D54" s="3" t="s">
        <v>31</v>
      </c>
      <c r="E54" s="17"/>
      <c r="F54" s="10"/>
      <c r="G54" s="10"/>
      <c r="H54" s="10"/>
      <c r="I54" s="11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</row>
    <row r="55" spans="1:33" x14ac:dyDescent="0.25">
      <c r="A55" s="8">
        <f t="shared" si="2"/>
        <v>52</v>
      </c>
      <c r="B55" s="3" t="s">
        <v>114</v>
      </c>
      <c r="C55" s="3" t="s">
        <v>113</v>
      </c>
      <c r="D55" s="3" t="s">
        <v>2</v>
      </c>
      <c r="E55" s="17"/>
      <c r="F55" s="10"/>
      <c r="G55" s="10"/>
      <c r="H55" s="10"/>
      <c r="I55" s="11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</row>
    <row r="56" spans="1:33" x14ac:dyDescent="0.25">
      <c r="A56" s="8">
        <f t="shared" si="2"/>
        <v>53</v>
      </c>
      <c r="B56" s="3" t="s">
        <v>112</v>
      </c>
      <c r="C56" s="3" t="s">
        <v>111</v>
      </c>
      <c r="D56" s="3" t="s">
        <v>5</v>
      </c>
      <c r="E56" s="17"/>
      <c r="F56" s="10"/>
      <c r="G56" s="10"/>
      <c r="H56" s="10"/>
      <c r="I56" s="11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</row>
    <row r="57" spans="1:33" x14ac:dyDescent="0.25">
      <c r="A57" s="8">
        <f t="shared" si="2"/>
        <v>54</v>
      </c>
      <c r="B57" s="3" t="s">
        <v>110</v>
      </c>
      <c r="C57" s="3" t="s">
        <v>109</v>
      </c>
      <c r="D57" s="3" t="s">
        <v>36</v>
      </c>
      <c r="E57" s="17"/>
      <c r="F57" s="10"/>
      <c r="G57" s="10"/>
      <c r="H57" s="10"/>
      <c r="I57" s="11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</row>
    <row r="58" spans="1:33" x14ac:dyDescent="0.25">
      <c r="A58" s="8">
        <f t="shared" si="2"/>
        <v>55</v>
      </c>
      <c r="B58" s="3" t="s">
        <v>108</v>
      </c>
      <c r="C58" s="3" t="s">
        <v>107</v>
      </c>
      <c r="D58" s="3" t="s">
        <v>10</v>
      </c>
      <c r="E58" s="17"/>
      <c r="F58" s="10"/>
      <c r="G58" s="10"/>
      <c r="H58" s="10"/>
      <c r="I58" s="11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</row>
    <row r="59" spans="1:33" x14ac:dyDescent="0.25">
      <c r="A59" s="8">
        <f t="shared" si="2"/>
        <v>56</v>
      </c>
      <c r="B59" s="3" t="s">
        <v>106</v>
      </c>
      <c r="C59" s="3" t="s">
        <v>105</v>
      </c>
      <c r="D59" s="3" t="s">
        <v>104</v>
      </c>
      <c r="E59" s="17"/>
      <c r="F59" s="10"/>
      <c r="G59" s="10"/>
      <c r="H59" s="10"/>
      <c r="I59" s="11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</row>
    <row r="60" spans="1:33" x14ac:dyDescent="0.25">
      <c r="A60" s="8">
        <f t="shared" si="2"/>
        <v>57</v>
      </c>
      <c r="B60" s="3" t="s">
        <v>103</v>
      </c>
      <c r="C60" s="3" t="s">
        <v>102</v>
      </c>
      <c r="D60" s="3" t="s">
        <v>5</v>
      </c>
      <c r="E60" s="17"/>
      <c r="F60" s="10"/>
      <c r="G60" s="10"/>
      <c r="H60" s="10"/>
      <c r="I60" s="11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</row>
    <row r="61" spans="1:33" x14ac:dyDescent="0.25">
      <c r="A61" s="8">
        <f t="shared" si="2"/>
        <v>58</v>
      </c>
      <c r="B61" s="3" t="s">
        <v>101</v>
      </c>
      <c r="C61" s="3" t="s">
        <v>100</v>
      </c>
      <c r="D61" s="3" t="s">
        <v>78</v>
      </c>
      <c r="E61" s="17"/>
      <c r="F61" s="10"/>
      <c r="G61" s="10"/>
      <c r="H61" s="10"/>
      <c r="I61" s="11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</row>
    <row r="62" spans="1:33" x14ac:dyDescent="0.25">
      <c r="A62" s="8">
        <f t="shared" si="2"/>
        <v>59</v>
      </c>
      <c r="B62" s="3" t="s">
        <v>99</v>
      </c>
      <c r="C62" s="3" t="s">
        <v>98</v>
      </c>
      <c r="D62" s="3" t="s">
        <v>36</v>
      </c>
      <c r="E62" s="17"/>
      <c r="F62" s="10"/>
      <c r="G62" s="10"/>
      <c r="H62" s="10"/>
      <c r="I62" s="11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</row>
    <row r="63" spans="1:33" x14ac:dyDescent="0.25">
      <c r="A63" s="8">
        <f t="shared" si="2"/>
        <v>60</v>
      </c>
      <c r="B63" s="3" t="s">
        <v>97</v>
      </c>
      <c r="C63" s="3" t="s">
        <v>96</v>
      </c>
      <c r="D63" s="3" t="s">
        <v>10</v>
      </c>
      <c r="E63" s="17"/>
      <c r="F63" s="10"/>
      <c r="G63" s="10"/>
      <c r="H63" s="10"/>
      <c r="I63" s="11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</row>
    <row r="64" spans="1:33" x14ac:dyDescent="0.25">
      <c r="A64" s="8">
        <f t="shared" si="2"/>
        <v>61</v>
      </c>
      <c r="B64" s="3" t="s">
        <v>95</v>
      </c>
      <c r="C64" s="3" t="s">
        <v>94</v>
      </c>
      <c r="D64" s="3" t="s">
        <v>5</v>
      </c>
      <c r="E64" s="17"/>
      <c r="F64" s="10"/>
      <c r="G64" s="10"/>
      <c r="H64" s="10"/>
      <c r="I64" s="11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</row>
    <row r="65" spans="1:33" x14ac:dyDescent="0.25">
      <c r="A65" s="8">
        <f t="shared" si="2"/>
        <v>62</v>
      </c>
      <c r="B65" s="3" t="s">
        <v>93</v>
      </c>
      <c r="C65" s="3" t="s">
        <v>92</v>
      </c>
      <c r="D65" s="3" t="s">
        <v>61</v>
      </c>
      <c r="E65" s="17"/>
      <c r="F65" s="10"/>
      <c r="G65" s="10"/>
      <c r="H65" s="10"/>
      <c r="I65" s="11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</row>
    <row r="66" spans="1:33" x14ac:dyDescent="0.25">
      <c r="A66" s="8">
        <f t="shared" si="2"/>
        <v>63</v>
      </c>
      <c r="B66" s="3" t="s">
        <v>91</v>
      </c>
      <c r="C66" s="3" t="s">
        <v>90</v>
      </c>
      <c r="D66" s="3" t="s">
        <v>89</v>
      </c>
      <c r="E66" s="17"/>
      <c r="F66" s="10"/>
      <c r="G66" s="10"/>
      <c r="H66" s="10"/>
      <c r="I66" s="11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</row>
    <row r="67" spans="1:33" x14ac:dyDescent="0.25">
      <c r="A67" s="8">
        <f t="shared" si="2"/>
        <v>64</v>
      </c>
      <c r="B67" s="3" t="s">
        <v>88</v>
      </c>
      <c r="C67" s="3" t="s">
        <v>87</v>
      </c>
      <c r="D67" s="3" t="s">
        <v>2</v>
      </c>
      <c r="E67" s="17"/>
      <c r="F67" s="10"/>
      <c r="G67" s="10"/>
      <c r="H67" s="10"/>
      <c r="I67" s="11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</row>
    <row r="68" spans="1:33" x14ac:dyDescent="0.25">
      <c r="A68" s="8">
        <f t="shared" si="2"/>
        <v>65</v>
      </c>
      <c r="B68" s="3" t="s">
        <v>86</v>
      </c>
      <c r="C68" s="3" t="s">
        <v>85</v>
      </c>
      <c r="D68" s="3" t="s">
        <v>2</v>
      </c>
      <c r="E68" s="17"/>
      <c r="F68" s="10"/>
      <c r="G68" s="10"/>
      <c r="H68" s="10"/>
      <c r="I68" s="11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</row>
    <row r="69" spans="1:33" x14ac:dyDescent="0.25">
      <c r="A69" s="8">
        <f t="shared" ref="A69:A100" si="3">+A68+1</f>
        <v>66</v>
      </c>
      <c r="B69" s="3" t="s">
        <v>84</v>
      </c>
      <c r="C69" s="3" t="s">
        <v>83</v>
      </c>
      <c r="D69" s="3" t="s">
        <v>10</v>
      </c>
      <c r="E69" s="17"/>
      <c r="F69" s="10"/>
      <c r="G69" s="10"/>
      <c r="H69" s="10"/>
      <c r="I69" s="11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</row>
    <row r="70" spans="1:33" x14ac:dyDescent="0.25">
      <c r="A70" s="8">
        <f t="shared" si="3"/>
        <v>67</v>
      </c>
      <c r="B70" s="3" t="s">
        <v>82</v>
      </c>
      <c r="C70" s="3" t="s">
        <v>81</v>
      </c>
      <c r="D70" s="3" t="s">
        <v>10</v>
      </c>
      <c r="E70" s="17"/>
      <c r="F70" s="10"/>
      <c r="G70" s="10"/>
      <c r="H70" s="10"/>
      <c r="I70" s="11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</row>
    <row r="71" spans="1:33" x14ac:dyDescent="0.25">
      <c r="A71" s="8">
        <f t="shared" si="3"/>
        <v>68</v>
      </c>
      <c r="B71" s="3" t="s">
        <v>80</v>
      </c>
      <c r="C71" s="3" t="s">
        <v>79</v>
      </c>
      <c r="D71" s="3" t="s">
        <v>78</v>
      </c>
      <c r="E71" s="17"/>
      <c r="F71" s="10"/>
      <c r="G71" s="10"/>
      <c r="H71" s="10"/>
      <c r="I71" s="11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</row>
    <row r="72" spans="1:33" x14ac:dyDescent="0.25">
      <c r="A72" s="8">
        <f t="shared" si="3"/>
        <v>69</v>
      </c>
      <c r="B72" s="3" t="s">
        <v>77</v>
      </c>
      <c r="C72" s="3" t="s">
        <v>76</v>
      </c>
      <c r="D72" s="3" t="s">
        <v>5</v>
      </c>
      <c r="E72" s="17"/>
      <c r="F72" s="10"/>
      <c r="G72" s="10"/>
      <c r="H72" s="10"/>
      <c r="I72" s="11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</row>
    <row r="73" spans="1:33" x14ac:dyDescent="0.25">
      <c r="A73" s="8">
        <f t="shared" si="3"/>
        <v>70</v>
      </c>
      <c r="B73" s="3" t="s">
        <v>75</v>
      </c>
      <c r="C73" s="3" t="s">
        <v>74</v>
      </c>
      <c r="D73" s="3" t="s">
        <v>73</v>
      </c>
      <c r="E73" s="17"/>
      <c r="F73" s="10"/>
      <c r="G73" s="10"/>
      <c r="H73" s="10"/>
      <c r="I73" s="11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</row>
    <row r="74" spans="1:33" x14ac:dyDescent="0.25">
      <c r="A74" s="8">
        <f t="shared" si="3"/>
        <v>71</v>
      </c>
      <c r="B74" s="3" t="s">
        <v>72</v>
      </c>
      <c r="C74" s="3" t="s">
        <v>71</v>
      </c>
      <c r="D74" s="3" t="s">
        <v>5</v>
      </c>
      <c r="E74" s="17"/>
      <c r="F74" s="10"/>
      <c r="G74" s="10"/>
      <c r="H74" s="10"/>
      <c r="I74" s="11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</row>
    <row r="75" spans="1:33" x14ac:dyDescent="0.25">
      <c r="A75" s="8">
        <f t="shared" si="3"/>
        <v>72</v>
      </c>
      <c r="B75" s="3" t="s">
        <v>70</v>
      </c>
      <c r="C75" s="3" t="s">
        <v>69</v>
      </c>
      <c r="D75" s="3" t="s">
        <v>68</v>
      </c>
      <c r="E75" s="17"/>
      <c r="F75" s="10"/>
      <c r="G75" s="10"/>
      <c r="H75" s="10"/>
      <c r="I75" s="11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</row>
    <row r="76" spans="1:33" x14ac:dyDescent="0.25">
      <c r="A76" s="8">
        <f t="shared" si="3"/>
        <v>73</v>
      </c>
      <c r="B76" s="3" t="s">
        <v>67</v>
      </c>
      <c r="C76" s="3" t="s">
        <v>66</v>
      </c>
      <c r="D76" s="3" t="s">
        <v>2</v>
      </c>
      <c r="E76" s="17"/>
      <c r="F76" s="10"/>
      <c r="G76" s="10"/>
      <c r="H76" s="10"/>
      <c r="I76" s="11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</row>
    <row r="77" spans="1:33" x14ac:dyDescent="0.25">
      <c r="A77" s="8">
        <f t="shared" si="3"/>
        <v>74</v>
      </c>
      <c r="B77" s="3" t="s">
        <v>65</v>
      </c>
      <c r="C77" s="3" t="s">
        <v>64</v>
      </c>
      <c r="D77" s="3" t="s">
        <v>5</v>
      </c>
      <c r="E77" s="17"/>
      <c r="F77" s="10"/>
      <c r="G77" s="10"/>
      <c r="H77" s="10"/>
      <c r="I77" s="11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</row>
    <row r="78" spans="1:33" x14ac:dyDescent="0.25">
      <c r="A78" s="8">
        <f t="shared" si="3"/>
        <v>75</v>
      </c>
      <c r="B78" s="3" t="s">
        <v>63</v>
      </c>
      <c r="C78" s="3" t="s">
        <v>62</v>
      </c>
      <c r="D78" s="3" t="s">
        <v>61</v>
      </c>
      <c r="E78" s="17"/>
      <c r="F78" s="10"/>
      <c r="G78" s="10"/>
      <c r="H78" s="10"/>
      <c r="I78" s="11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</row>
    <row r="79" spans="1:33" x14ac:dyDescent="0.25">
      <c r="A79" s="8">
        <f t="shared" si="3"/>
        <v>76</v>
      </c>
      <c r="B79" s="3" t="s">
        <v>60</v>
      </c>
      <c r="C79" s="3" t="s">
        <v>59</v>
      </c>
      <c r="D79" s="3" t="s">
        <v>5</v>
      </c>
      <c r="E79" s="17"/>
      <c r="F79" s="10"/>
      <c r="G79" s="10"/>
      <c r="H79" s="10"/>
      <c r="I79" s="11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</row>
    <row r="80" spans="1:33" x14ac:dyDescent="0.25">
      <c r="A80" s="8">
        <f t="shared" si="3"/>
        <v>77</v>
      </c>
      <c r="B80" s="3" t="s">
        <v>58</v>
      </c>
      <c r="C80" s="3" t="s">
        <v>57</v>
      </c>
      <c r="D80" s="3" t="s">
        <v>56</v>
      </c>
      <c r="E80" s="17"/>
      <c r="F80" s="10"/>
      <c r="G80" s="10"/>
      <c r="H80" s="10"/>
      <c r="I80" s="11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</row>
    <row r="81" spans="1:33" x14ac:dyDescent="0.25">
      <c r="A81" s="8">
        <f t="shared" si="3"/>
        <v>78</v>
      </c>
      <c r="B81" s="3" t="s">
        <v>55</v>
      </c>
      <c r="C81" s="3" t="s">
        <v>54</v>
      </c>
      <c r="D81" s="3" t="s">
        <v>5</v>
      </c>
      <c r="E81" s="17"/>
      <c r="F81" s="10"/>
      <c r="G81" s="10"/>
      <c r="H81" s="10"/>
      <c r="I81" s="11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</row>
    <row r="82" spans="1:33" x14ac:dyDescent="0.25">
      <c r="A82" s="8">
        <f t="shared" si="3"/>
        <v>79</v>
      </c>
      <c r="B82" s="3" t="s">
        <v>53</v>
      </c>
      <c r="C82" s="3" t="s">
        <v>52</v>
      </c>
      <c r="D82" s="3" t="s">
        <v>10</v>
      </c>
      <c r="E82" s="17"/>
      <c r="F82" s="10"/>
      <c r="G82" s="10"/>
      <c r="H82" s="10"/>
      <c r="I82" s="11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</row>
    <row r="83" spans="1:33" x14ac:dyDescent="0.25">
      <c r="A83" s="8">
        <f t="shared" si="3"/>
        <v>80</v>
      </c>
      <c r="B83" s="3" t="s">
        <v>51</v>
      </c>
      <c r="C83" s="3" t="s">
        <v>50</v>
      </c>
      <c r="D83" s="3" t="s">
        <v>2</v>
      </c>
      <c r="E83" s="17"/>
      <c r="F83" s="10"/>
      <c r="G83" s="10"/>
      <c r="H83" s="10"/>
      <c r="I83" s="11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</row>
    <row r="84" spans="1:33" x14ac:dyDescent="0.25">
      <c r="A84" s="8">
        <f t="shared" si="3"/>
        <v>81</v>
      </c>
      <c r="B84" s="3" t="s">
        <v>49</v>
      </c>
      <c r="C84" s="3" t="s">
        <v>48</v>
      </c>
      <c r="D84" s="3" t="s">
        <v>47</v>
      </c>
      <c r="E84" s="17"/>
      <c r="F84" s="10"/>
      <c r="G84" s="10"/>
      <c r="H84" s="10"/>
      <c r="I84" s="11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</row>
    <row r="85" spans="1:33" x14ac:dyDescent="0.25">
      <c r="A85" s="8">
        <f t="shared" si="3"/>
        <v>82</v>
      </c>
      <c r="B85" s="3" t="s">
        <v>46</v>
      </c>
      <c r="C85" s="3" t="s">
        <v>45</v>
      </c>
      <c r="D85" s="3" t="s">
        <v>10</v>
      </c>
      <c r="E85" s="17"/>
      <c r="F85" s="10"/>
      <c r="G85" s="10"/>
      <c r="H85" s="10"/>
      <c r="I85" s="11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</row>
    <row r="86" spans="1:33" x14ac:dyDescent="0.25">
      <c r="A86" s="8">
        <f t="shared" si="3"/>
        <v>83</v>
      </c>
      <c r="B86" s="3" t="s">
        <v>44</v>
      </c>
      <c r="C86" s="3" t="s">
        <v>43</v>
      </c>
      <c r="D86" s="3" t="s">
        <v>5</v>
      </c>
      <c r="E86" s="17"/>
      <c r="F86" s="10"/>
      <c r="G86" s="10"/>
      <c r="H86" s="10"/>
      <c r="I86" s="11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</row>
    <row r="87" spans="1:33" x14ac:dyDescent="0.25">
      <c r="A87" s="8">
        <f t="shared" si="3"/>
        <v>84</v>
      </c>
      <c r="B87" s="3" t="s">
        <v>42</v>
      </c>
      <c r="C87" s="3" t="s">
        <v>41</v>
      </c>
      <c r="D87" s="3" t="s">
        <v>2</v>
      </c>
      <c r="E87" s="17"/>
      <c r="F87" s="10"/>
      <c r="G87" s="10"/>
      <c r="H87" s="10"/>
      <c r="I87" s="11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</row>
    <row r="88" spans="1:33" x14ac:dyDescent="0.25">
      <c r="A88" s="8">
        <f t="shared" si="3"/>
        <v>85</v>
      </c>
      <c r="B88" s="1" t="s">
        <v>40</v>
      </c>
      <c r="C88" s="3" t="s">
        <v>39</v>
      </c>
      <c r="D88" s="3" t="s">
        <v>2</v>
      </c>
      <c r="E88" s="17">
        <f>+[18]Main!$J$2</f>
        <v>134.80000000000001</v>
      </c>
      <c r="F88" s="10">
        <f>+[18]Main!$J$4</f>
        <v>14470.152910400002</v>
      </c>
      <c r="G88" s="10">
        <f>+[18]Main!$J$6-[18]Main!$J$5</f>
        <v>1291</v>
      </c>
      <c r="H88" s="10">
        <f>+F88+G88</f>
        <v>15761.152910400002</v>
      </c>
      <c r="I88" s="11" t="s">
        <v>2201</v>
      </c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</row>
    <row r="89" spans="1:33" x14ac:dyDescent="0.25">
      <c r="A89" s="8">
        <f t="shared" si="3"/>
        <v>86</v>
      </c>
      <c r="B89" s="3" t="s">
        <v>38</v>
      </c>
      <c r="C89" s="3" t="s">
        <v>37</v>
      </c>
      <c r="D89" s="3" t="s">
        <v>36</v>
      </c>
      <c r="E89" s="17"/>
      <c r="F89" s="10"/>
      <c r="G89" s="10"/>
      <c r="H89" s="10"/>
      <c r="I89" s="11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</row>
    <row r="90" spans="1:33" x14ac:dyDescent="0.25">
      <c r="A90" s="8">
        <f t="shared" si="3"/>
        <v>87</v>
      </c>
      <c r="B90" s="3" t="s">
        <v>35</v>
      </c>
      <c r="C90" s="3" t="s">
        <v>34</v>
      </c>
      <c r="D90" s="3" t="s">
        <v>2</v>
      </c>
      <c r="E90" s="17"/>
      <c r="F90" s="10"/>
      <c r="G90" s="10"/>
      <c r="H90" s="10"/>
      <c r="I90" s="11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</row>
    <row r="91" spans="1:33" x14ac:dyDescent="0.25">
      <c r="A91" s="8">
        <f t="shared" si="3"/>
        <v>88</v>
      </c>
      <c r="B91" s="3" t="s">
        <v>33</v>
      </c>
      <c r="C91" s="3" t="s">
        <v>32</v>
      </c>
      <c r="D91" s="3" t="s">
        <v>31</v>
      </c>
      <c r="E91" s="17"/>
      <c r="F91" s="10"/>
      <c r="G91" s="10"/>
      <c r="H91" s="10"/>
      <c r="I91" s="11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</row>
    <row r="92" spans="1:33" x14ac:dyDescent="0.25">
      <c r="A92" s="8">
        <f t="shared" si="3"/>
        <v>89</v>
      </c>
      <c r="B92" s="3" t="s">
        <v>30</v>
      </c>
      <c r="C92" s="3" t="s">
        <v>29</v>
      </c>
      <c r="D92" s="3" t="s">
        <v>28</v>
      </c>
      <c r="E92" s="17"/>
      <c r="F92" s="10"/>
      <c r="G92" s="10"/>
      <c r="H92" s="10"/>
      <c r="I92" s="11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</row>
    <row r="93" spans="1:33" x14ac:dyDescent="0.25">
      <c r="A93" s="8">
        <f t="shared" si="3"/>
        <v>90</v>
      </c>
      <c r="B93" s="3" t="s">
        <v>27</v>
      </c>
      <c r="C93" s="3" t="s">
        <v>26</v>
      </c>
      <c r="D93" s="3" t="s">
        <v>2</v>
      </c>
      <c r="E93" s="17"/>
      <c r="F93" s="10"/>
      <c r="G93" s="10"/>
      <c r="H93" s="10"/>
      <c r="I93" s="11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</row>
    <row r="94" spans="1:33" x14ac:dyDescent="0.25">
      <c r="A94" s="8">
        <f t="shared" si="3"/>
        <v>91</v>
      </c>
      <c r="B94" s="3" t="s">
        <v>25</v>
      </c>
      <c r="C94" s="3" t="s">
        <v>24</v>
      </c>
      <c r="D94" s="3" t="s">
        <v>10</v>
      </c>
      <c r="E94" s="17"/>
      <c r="F94" s="10"/>
      <c r="G94" s="10"/>
      <c r="H94" s="10"/>
      <c r="I94" s="11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</row>
    <row r="95" spans="1:33" x14ac:dyDescent="0.25">
      <c r="A95" s="8">
        <f t="shared" si="3"/>
        <v>92</v>
      </c>
      <c r="B95" s="3" t="s">
        <v>23</v>
      </c>
      <c r="C95" s="3" t="s">
        <v>22</v>
      </c>
      <c r="D95" s="3" t="s">
        <v>10</v>
      </c>
      <c r="E95" s="17"/>
      <c r="F95" s="10"/>
      <c r="G95" s="10"/>
      <c r="H95" s="10"/>
      <c r="I95" s="11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</row>
    <row r="96" spans="1:33" x14ac:dyDescent="0.25">
      <c r="A96" s="8">
        <f t="shared" si="3"/>
        <v>93</v>
      </c>
      <c r="B96" s="3" t="s">
        <v>21</v>
      </c>
      <c r="C96" s="3" t="s">
        <v>20</v>
      </c>
      <c r="D96" s="3" t="s">
        <v>2</v>
      </c>
      <c r="E96" s="17"/>
      <c r="F96" s="10"/>
      <c r="G96" s="10"/>
      <c r="H96" s="10"/>
      <c r="I96" s="11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</row>
    <row r="97" spans="1:33" x14ac:dyDescent="0.25">
      <c r="A97" s="8">
        <f t="shared" si="3"/>
        <v>94</v>
      </c>
      <c r="B97" s="3" t="s">
        <v>19</v>
      </c>
      <c r="C97" s="3" t="s">
        <v>18</v>
      </c>
      <c r="D97" s="3" t="s">
        <v>2</v>
      </c>
      <c r="E97" s="17"/>
      <c r="F97" s="10"/>
      <c r="G97" s="10"/>
      <c r="H97" s="10"/>
      <c r="I97" s="11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</row>
    <row r="98" spans="1:33" x14ac:dyDescent="0.25">
      <c r="A98" s="8">
        <f t="shared" si="3"/>
        <v>95</v>
      </c>
      <c r="B98" s="3" t="s">
        <v>17</v>
      </c>
      <c r="C98" s="3" t="s">
        <v>16</v>
      </c>
      <c r="D98" s="3" t="s">
        <v>10</v>
      </c>
      <c r="E98" s="17"/>
      <c r="F98" s="10"/>
      <c r="G98" s="10"/>
      <c r="H98" s="10"/>
      <c r="I98" s="11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</row>
    <row r="99" spans="1:33" x14ac:dyDescent="0.25">
      <c r="A99" s="8">
        <f t="shared" si="3"/>
        <v>96</v>
      </c>
      <c r="B99" s="3" t="s">
        <v>15</v>
      </c>
      <c r="C99" s="3" t="s">
        <v>14</v>
      </c>
      <c r="D99" s="3" t="s">
        <v>13</v>
      </c>
      <c r="E99" s="17"/>
      <c r="F99" s="10"/>
      <c r="G99" s="10"/>
      <c r="H99" s="10"/>
      <c r="I99" s="11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</row>
    <row r="100" spans="1:33" x14ac:dyDescent="0.25">
      <c r="A100" s="8">
        <f t="shared" si="3"/>
        <v>97</v>
      </c>
      <c r="B100" s="3" t="s">
        <v>12</v>
      </c>
      <c r="C100" s="3" t="s">
        <v>11</v>
      </c>
      <c r="D100" s="3" t="s">
        <v>10</v>
      </c>
      <c r="E100" s="17"/>
      <c r="F100" s="10"/>
      <c r="G100" s="10"/>
      <c r="H100" s="10"/>
      <c r="I100" s="11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</row>
    <row r="101" spans="1:33" x14ac:dyDescent="0.25">
      <c r="A101" s="8">
        <f t="shared" ref="A101:A164" si="4">+A100+1</f>
        <v>98</v>
      </c>
      <c r="B101" s="3" t="s">
        <v>9</v>
      </c>
      <c r="C101" s="3" t="s">
        <v>8</v>
      </c>
      <c r="D101" s="3" t="s">
        <v>2</v>
      </c>
      <c r="E101" s="17"/>
      <c r="F101" s="10"/>
      <c r="G101" s="10"/>
      <c r="H101" s="10"/>
      <c r="I101" s="11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</row>
    <row r="102" spans="1:33" x14ac:dyDescent="0.25">
      <c r="A102" s="8">
        <f t="shared" si="4"/>
        <v>99</v>
      </c>
      <c r="B102" s="3" t="s">
        <v>7</v>
      </c>
      <c r="C102" s="3" t="s">
        <v>6</v>
      </c>
      <c r="D102" s="3" t="s">
        <v>5</v>
      </c>
      <c r="E102" s="17"/>
      <c r="F102" s="10"/>
      <c r="G102" s="10"/>
      <c r="H102" s="10"/>
      <c r="I102" s="11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</row>
    <row r="103" spans="1:33" x14ac:dyDescent="0.25">
      <c r="A103" s="8">
        <f t="shared" si="4"/>
        <v>100</v>
      </c>
      <c r="B103" s="3" t="s">
        <v>4</v>
      </c>
      <c r="C103" s="3" t="s">
        <v>3</v>
      </c>
      <c r="D103" s="3" t="s">
        <v>2</v>
      </c>
      <c r="E103" s="17"/>
      <c r="F103" s="10"/>
      <c r="G103" s="10"/>
      <c r="H103" s="10"/>
      <c r="I103" s="11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</row>
    <row r="104" spans="1:33" x14ac:dyDescent="0.25">
      <c r="A104" s="8">
        <f t="shared" si="4"/>
        <v>101</v>
      </c>
      <c r="B104" s="3" t="s">
        <v>998</v>
      </c>
      <c r="C104" s="3" t="s">
        <v>999</v>
      </c>
      <c r="D104" s="3" t="s">
        <v>31</v>
      </c>
      <c r="E104" s="17"/>
      <c r="F104" s="10"/>
      <c r="G104" s="10"/>
      <c r="H104" s="10"/>
      <c r="I104" s="11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</row>
    <row r="105" spans="1:33" x14ac:dyDescent="0.25">
      <c r="A105" s="8">
        <f t="shared" si="4"/>
        <v>102</v>
      </c>
      <c r="B105" s="3" t="s">
        <v>1000</v>
      </c>
      <c r="C105" s="3" t="s">
        <v>1001</v>
      </c>
      <c r="D105" s="3" t="s">
        <v>2</v>
      </c>
      <c r="E105" s="17"/>
      <c r="F105" s="10"/>
      <c r="G105" s="10"/>
      <c r="H105" s="10"/>
      <c r="I105" s="11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</row>
    <row r="106" spans="1:33" x14ac:dyDescent="0.25">
      <c r="A106" s="8">
        <f t="shared" si="4"/>
        <v>103</v>
      </c>
      <c r="B106" s="3" t="s">
        <v>1002</v>
      </c>
      <c r="C106" s="3" t="s">
        <v>1003</v>
      </c>
      <c r="D106" s="3" t="s">
        <v>47</v>
      </c>
      <c r="E106" s="17"/>
      <c r="F106" s="10"/>
      <c r="G106" s="10"/>
      <c r="H106" s="10"/>
      <c r="I106" s="11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</row>
    <row r="107" spans="1:33" x14ac:dyDescent="0.25">
      <c r="A107" s="8">
        <f t="shared" si="4"/>
        <v>104</v>
      </c>
      <c r="B107" s="3" t="s">
        <v>1004</v>
      </c>
      <c r="C107" s="3" t="s">
        <v>1005</v>
      </c>
      <c r="D107" s="3" t="s">
        <v>56</v>
      </c>
      <c r="E107" s="17"/>
      <c r="F107" s="10"/>
      <c r="G107" s="10"/>
      <c r="H107" s="10"/>
      <c r="I107" s="11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</row>
    <row r="108" spans="1:33" x14ac:dyDescent="0.25">
      <c r="A108" s="8">
        <f t="shared" si="4"/>
        <v>105</v>
      </c>
      <c r="B108" s="3" t="s">
        <v>1006</v>
      </c>
      <c r="C108" s="3" t="s">
        <v>1006</v>
      </c>
      <c r="D108" s="3" t="s">
        <v>2</v>
      </c>
      <c r="E108" s="17"/>
      <c r="F108" s="10"/>
      <c r="G108" s="10"/>
      <c r="H108" s="10"/>
      <c r="I108" s="11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</row>
    <row r="109" spans="1:33" x14ac:dyDescent="0.25">
      <c r="A109" s="8">
        <f t="shared" si="4"/>
        <v>106</v>
      </c>
      <c r="B109" s="3" t="s">
        <v>1007</v>
      </c>
      <c r="C109" s="3" t="s">
        <v>1008</v>
      </c>
      <c r="D109" s="3" t="s">
        <v>2</v>
      </c>
      <c r="E109" s="17"/>
      <c r="F109" s="10"/>
      <c r="G109" s="10"/>
      <c r="H109" s="10"/>
      <c r="I109" s="11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</row>
    <row r="110" spans="1:33" x14ac:dyDescent="0.25">
      <c r="A110" s="8">
        <f t="shared" si="4"/>
        <v>107</v>
      </c>
      <c r="B110" s="3" t="s">
        <v>1009</v>
      </c>
      <c r="C110" s="3" t="s">
        <v>1010</v>
      </c>
      <c r="D110" s="3" t="s">
        <v>28</v>
      </c>
      <c r="E110" s="17"/>
      <c r="F110" s="10"/>
      <c r="G110" s="10"/>
      <c r="H110" s="10"/>
      <c r="I110" s="11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</row>
    <row r="111" spans="1:33" x14ac:dyDescent="0.25">
      <c r="A111" s="8">
        <f t="shared" si="4"/>
        <v>108</v>
      </c>
      <c r="B111" s="3" t="s">
        <v>283</v>
      </c>
      <c r="C111" s="3" t="s">
        <v>284</v>
      </c>
      <c r="D111" s="3" t="s">
        <v>5</v>
      </c>
      <c r="E111" s="17"/>
      <c r="F111" s="10"/>
      <c r="G111" s="10"/>
      <c r="H111" s="10"/>
      <c r="I111" s="11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</row>
    <row r="112" spans="1:33" x14ac:dyDescent="0.25">
      <c r="A112" s="8">
        <f t="shared" si="4"/>
        <v>109</v>
      </c>
      <c r="B112" s="3" t="s">
        <v>1011</v>
      </c>
      <c r="C112" s="3" t="s">
        <v>1012</v>
      </c>
      <c r="D112" s="3" t="s">
        <v>2</v>
      </c>
      <c r="E112" s="17"/>
      <c r="F112" s="10"/>
      <c r="G112" s="10"/>
      <c r="H112" s="10"/>
      <c r="I112" s="11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</row>
    <row r="113" spans="1:33" x14ac:dyDescent="0.25">
      <c r="A113" s="8">
        <f t="shared" si="4"/>
        <v>110</v>
      </c>
      <c r="B113" s="3" t="s">
        <v>1013</v>
      </c>
      <c r="C113" s="3" t="s">
        <v>1014</v>
      </c>
      <c r="D113" s="3" t="s">
        <v>166</v>
      </c>
      <c r="E113" s="17"/>
      <c r="F113" s="10"/>
      <c r="G113" s="10"/>
      <c r="H113" s="10"/>
      <c r="I113" s="11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</row>
    <row r="114" spans="1:33" x14ac:dyDescent="0.25">
      <c r="A114" s="8">
        <f t="shared" si="4"/>
        <v>111</v>
      </c>
      <c r="B114" s="3" t="s">
        <v>1015</v>
      </c>
      <c r="C114" s="3" t="s">
        <v>1016</v>
      </c>
      <c r="D114" s="3" t="s">
        <v>78</v>
      </c>
      <c r="E114" s="17"/>
      <c r="F114" s="10"/>
      <c r="G114" s="10"/>
      <c r="H114" s="10"/>
      <c r="I114" s="11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</row>
    <row r="115" spans="1:33" x14ac:dyDescent="0.25">
      <c r="A115" s="8">
        <f t="shared" si="4"/>
        <v>112</v>
      </c>
      <c r="B115" s="3" t="s">
        <v>1017</v>
      </c>
      <c r="C115" s="3" t="s">
        <v>1018</v>
      </c>
      <c r="D115" s="3" t="s">
        <v>2</v>
      </c>
      <c r="E115" s="17"/>
      <c r="F115" s="10"/>
      <c r="G115" s="10"/>
      <c r="H115" s="10"/>
      <c r="I115" s="11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</row>
    <row r="116" spans="1:33" x14ac:dyDescent="0.25">
      <c r="A116" s="8">
        <f t="shared" si="4"/>
        <v>113</v>
      </c>
      <c r="B116" s="3" t="s">
        <v>264</v>
      </c>
      <c r="C116" s="3" t="s">
        <v>265</v>
      </c>
      <c r="D116" s="3" t="s">
        <v>266</v>
      </c>
      <c r="E116" s="17"/>
      <c r="F116" s="10"/>
      <c r="G116" s="10"/>
      <c r="H116" s="10"/>
      <c r="I116" s="11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</row>
    <row r="117" spans="1:33" x14ac:dyDescent="0.25">
      <c r="A117" s="8">
        <f t="shared" si="4"/>
        <v>114</v>
      </c>
      <c r="B117" s="3" t="s">
        <v>1019</v>
      </c>
      <c r="C117" s="3" t="s">
        <v>1020</v>
      </c>
      <c r="D117" s="3" t="s">
        <v>47</v>
      </c>
      <c r="E117" s="17"/>
      <c r="F117" s="10"/>
      <c r="G117" s="10"/>
      <c r="H117" s="10"/>
      <c r="I117" s="11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</row>
    <row r="118" spans="1:33" x14ac:dyDescent="0.25">
      <c r="A118" s="8">
        <f t="shared" si="4"/>
        <v>115</v>
      </c>
      <c r="B118" s="3" t="s">
        <v>1021</v>
      </c>
      <c r="C118" s="3" t="s">
        <v>1022</v>
      </c>
      <c r="D118" s="3" t="s">
        <v>975</v>
      </c>
      <c r="E118" s="17"/>
      <c r="F118" s="10"/>
      <c r="G118" s="10"/>
      <c r="H118" s="10"/>
      <c r="I118" s="11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</row>
    <row r="119" spans="1:33" x14ac:dyDescent="0.25">
      <c r="A119" s="8">
        <f t="shared" si="4"/>
        <v>116</v>
      </c>
      <c r="B119" s="3" t="s">
        <v>1023</v>
      </c>
      <c r="C119" s="3" t="s">
        <v>1024</v>
      </c>
      <c r="D119" s="3" t="s">
        <v>179</v>
      </c>
      <c r="E119" s="17"/>
      <c r="F119" s="10"/>
      <c r="G119" s="10"/>
      <c r="H119" s="10"/>
      <c r="I119" s="11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</row>
    <row r="120" spans="1:33" x14ac:dyDescent="0.25">
      <c r="A120" s="8">
        <f t="shared" si="4"/>
        <v>117</v>
      </c>
      <c r="B120" s="3" t="s">
        <v>1025</v>
      </c>
      <c r="C120" s="3" t="s">
        <v>1026</v>
      </c>
      <c r="D120" s="3" t="s">
        <v>47</v>
      </c>
      <c r="E120" s="17"/>
      <c r="F120" s="10"/>
      <c r="G120" s="10"/>
      <c r="H120" s="10"/>
      <c r="I120" s="11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</row>
    <row r="121" spans="1:33" x14ac:dyDescent="0.25">
      <c r="A121" s="8">
        <f t="shared" si="4"/>
        <v>118</v>
      </c>
      <c r="B121" s="3" t="s">
        <v>1027</v>
      </c>
      <c r="C121" s="3" t="s">
        <v>1028</v>
      </c>
      <c r="D121" s="3" t="s">
        <v>5</v>
      </c>
      <c r="E121" s="17"/>
      <c r="F121" s="10"/>
      <c r="G121" s="10"/>
      <c r="H121" s="10"/>
      <c r="I121" s="11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</row>
    <row r="122" spans="1:33" x14ac:dyDescent="0.25">
      <c r="A122" s="8">
        <f t="shared" si="4"/>
        <v>119</v>
      </c>
      <c r="B122" s="3" t="s">
        <v>1029</v>
      </c>
      <c r="C122" s="3" t="s">
        <v>1030</v>
      </c>
      <c r="D122" s="3" t="s">
        <v>204</v>
      </c>
      <c r="E122" s="17"/>
      <c r="F122" s="10"/>
      <c r="G122" s="10"/>
      <c r="H122" s="10"/>
      <c r="I122" s="11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</row>
    <row r="123" spans="1:33" x14ac:dyDescent="0.25">
      <c r="A123" s="8">
        <f t="shared" si="4"/>
        <v>120</v>
      </c>
      <c r="B123" s="3" t="s">
        <v>1031</v>
      </c>
      <c r="C123" s="3" t="s">
        <v>1032</v>
      </c>
      <c r="D123" s="3" t="s">
        <v>10</v>
      </c>
      <c r="E123" s="17"/>
      <c r="F123" s="10"/>
      <c r="G123" s="10"/>
      <c r="H123" s="10"/>
      <c r="I123" s="11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</row>
    <row r="124" spans="1:33" x14ac:dyDescent="0.25">
      <c r="A124" s="8">
        <f t="shared" si="4"/>
        <v>121</v>
      </c>
      <c r="B124" s="3" t="s">
        <v>1033</v>
      </c>
      <c r="C124" s="3" t="s">
        <v>1034</v>
      </c>
      <c r="D124" s="3" t="s">
        <v>179</v>
      </c>
      <c r="E124" s="17"/>
      <c r="F124" s="10"/>
      <c r="G124" s="10"/>
      <c r="H124" s="10"/>
      <c r="I124" s="11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</row>
    <row r="125" spans="1:33" x14ac:dyDescent="0.25">
      <c r="A125" s="8">
        <f t="shared" si="4"/>
        <v>122</v>
      </c>
      <c r="B125" s="3" t="s">
        <v>1035</v>
      </c>
      <c r="C125" s="3" t="s">
        <v>1036</v>
      </c>
      <c r="D125" s="3" t="s">
        <v>2</v>
      </c>
      <c r="E125" s="17"/>
      <c r="F125" s="10"/>
      <c r="G125" s="10"/>
      <c r="H125" s="10"/>
      <c r="I125" s="11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</row>
    <row r="126" spans="1:33" x14ac:dyDescent="0.25">
      <c r="A126" s="8">
        <f t="shared" si="4"/>
        <v>123</v>
      </c>
      <c r="B126" s="3" t="s">
        <v>262</v>
      </c>
      <c r="C126" s="3" t="s">
        <v>263</v>
      </c>
      <c r="D126" s="3" t="s">
        <v>10</v>
      </c>
      <c r="E126" s="17"/>
      <c r="F126" s="10"/>
      <c r="G126" s="10"/>
      <c r="H126" s="10"/>
      <c r="I126" s="11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</row>
    <row r="127" spans="1:33" x14ac:dyDescent="0.25">
      <c r="A127" s="8">
        <f t="shared" si="4"/>
        <v>124</v>
      </c>
      <c r="B127" s="3" t="s">
        <v>1037</v>
      </c>
      <c r="C127" s="3" t="s">
        <v>1038</v>
      </c>
      <c r="D127" s="3" t="s">
        <v>991</v>
      </c>
      <c r="E127" s="17"/>
      <c r="F127" s="10"/>
      <c r="G127" s="10"/>
      <c r="H127" s="10"/>
      <c r="I127" s="11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</row>
    <row r="128" spans="1:33" x14ac:dyDescent="0.25">
      <c r="A128" s="8">
        <f t="shared" si="4"/>
        <v>125</v>
      </c>
      <c r="B128" s="3" t="s">
        <v>1039</v>
      </c>
      <c r="C128" s="3" t="s">
        <v>1040</v>
      </c>
      <c r="D128" s="3" t="s">
        <v>56</v>
      </c>
      <c r="E128" s="17"/>
      <c r="F128" s="10"/>
      <c r="G128" s="10"/>
      <c r="H128" s="10"/>
      <c r="I128" s="11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</row>
    <row r="129" spans="1:33" x14ac:dyDescent="0.25">
      <c r="A129" s="8">
        <f t="shared" si="4"/>
        <v>126</v>
      </c>
      <c r="B129" s="3" t="s">
        <v>297</v>
      </c>
      <c r="C129" s="3" t="s">
        <v>298</v>
      </c>
      <c r="D129" s="3" t="s">
        <v>5</v>
      </c>
      <c r="E129" s="17"/>
      <c r="F129" s="10"/>
      <c r="G129" s="10"/>
      <c r="H129" s="10"/>
      <c r="I129" s="11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</row>
    <row r="130" spans="1:33" x14ac:dyDescent="0.25">
      <c r="A130" s="8">
        <f t="shared" si="4"/>
        <v>127</v>
      </c>
      <c r="B130" s="3" t="s">
        <v>1041</v>
      </c>
      <c r="C130" s="3" t="s">
        <v>1042</v>
      </c>
      <c r="D130" s="3" t="s">
        <v>28</v>
      </c>
      <c r="E130" s="17"/>
      <c r="F130" s="10"/>
      <c r="G130" s="10"/>
      <c r="H130" s="10"/>
      <c r="I130" s="11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</row>
    <row r="131" spans="1:33" x14ac:dyDescent="0.25">
      <c r="A131" s="8">
        <f t="shared" si="4"/>
        <v>128</v>
      </c>
      <c r="B131" s="3" t="s">
        <v>1043</v>
      </c>
      <c r="C131" s="3" t="s">
        <v>1044</v>
      </c>
      <c r="D131" s="3" t="s">
        <v>2</v>
      </c>
      <c r="E131" s="17"/>
      <c r="F131" s="10"/>
      <c r="G131" s="10"/>
      <c r="H131" s="10"/>
      <c r="I131" s="11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</row>
    <row r="132" spans="1:33" x14ac:dyDescent="0.25">
      <c r="A132" s="8">
        <f t="shared" si="4"/>
        <v>129</v>
      </c>
      <c r="B132" s="3" t="s">
        <v>1045</v>
      </c>
      <c r="C132" s="3" t="s">
        <v>1046</v>
      </c>
      <c r="D132" s="3" t="s">
        <v>10</v>
      </c>
      <c r="E132" s="17"/>
      <c r="F132" s="10"/>
      <c r="G132" s="10"/>
      <c r="H132" s="10"/>
      <c r="I132" s="11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</row>
    <row r="133" spans="1:33" x14ac:dyDescent="0.25">
      <c r="A133" s="8">
        <f t="shared" si="4"/>
        <v>130</v>
      </c>
      <c r="B133" s="3" t="s">
        <v>1047</v>
      </c>
      <c r="C133" s="3" t="s">
        <v>1048</v>
      </c>
      <c r="D133" s="3" t="s">
        <v>73</v>
      </c>
      <c r="E133" s="17"/>
      <c r="F133" s="10"/>
      <c r="G133" s="10"/>
      <c r="H133" s="10"/>
      <c r="I133" s="11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</row>
    <row r="134" spans="1:33" x14ac:dyDescent="0.25">
      <c r="A134" s="8">
        <f t="shared" si="4"/>
        <v>131</v>
      </c>
      <c r="B134" s="3" t="s">
        <v>1049</v>
      </c>
      <c r="C134" s="3" t="s">
        <v>1050</v>
      </c>
      <c r="D134" s="3" t="s">
        <v>10</v>
      </c>
      <c r="E134" s="17"/>
      <c r="F134" s="10"/>
      <c r="G134" s="10"/>
      <c r="H134" s="10"/>
      <c r="I134" s="11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</row>
    <row r="135" spans="1:33" x14ac:dyDescent="0.25">
      <c r="A135" s="8">
        <f t="shared" si="4"/>
        <v>132</v>
      </c>
      <c r="B135" s="3" t="s">
        <v>1051</v>
      </c>
      <c r="C135" s="3" t="s">
        <v>1052</v>
      </c>
      <c r="D135" s="3" t="s">
        <v>47</v>
      </c>
      <c r="E135" s="17"/>
      <c r="F135" s="10"/>
      <c r="G135" s="10"/>
      <c r="H135" s="10"/>
      <c r="I135" s="11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</row>
    <row r="136" spans="1:33" x14ac:dyDescent="0.25">
      <c r="A136" s="8">
        <f t="shared" si="4"/>
        <v>133</v>
      </c>
      <c r="B136" s="3" t="s">
        <v>1053</v>
      </c>
      <c r="C136" s="3" t="s">
        <v>1054</v>
      </c>
      <c r="D136" s="3" t="s">
        <v>179</v>
      </c>
      <c r="E136" s="17"/>
      <c r="F136" s="10"/>
      <c r="G136" s="10"/>
      <c r="H136" s="10"/>
      <c r="I136" s="11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</row>
    <row r="137" spans="1:33" x14ac:dyDescent="0.25">
      <c r="A137" s="8">
        <f t="shared" si="4"/>
        <v>134</v>
      </c>
      <c r="B137" s="3" t="s">
        <v>1055</v>
      </c>
      <c r="C137" s="3" t="s">
        <v>1056</v>
      </c>
      <c r="D137" s="3" t="s">
        <v>61</v>
      </c>
      <c r="E137" s="17"/>
      <c r="F137" s="10"/>
      <c r="G137" s="10"/>
      <c r="H137" s="10"/>
      <c r="I137" s="11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</row>
    <row r="138" spans="1:33" x14ac:dyDescent="0.25">
      <c r="A138" s="8">
        <f t="shared" si="4"/>
        <v>135</v>
      </c>
      <c r="B138" s="3" t="s">
        <v>1057</v>
      </c>
      <c r="C138" s="3" t="s">
        <v>1057</v>
      </c>
      <c r="D138" s="3" t="s">
        <v>2</v>
      </c>
      <c r="E138" s="17"/>
      <c r="F138" s="10"/>
      <c r="G138" s="10"/>
      <c r="H138" s="10"/>
      <c r="I138" s="11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</row>
    <row r="139" spans="1:33" x14ac:dyDescent="0.25">
      <c r="A139" s="8">
        <f t="shared" si="4"/>
        <v>136</v>
      </c>
      <c r="B139" s="3" t="s">
        <v>267</v>
      </c>
      <c r="C139" s="3" t="s">
        <v>268</v>
      </c>
      <c r="D139" s="3" t="s">
        <v>984</v>
      </c>
      <c r="E139" s="17"/>
      <c r="F139" s="10"/>
      <c r="G139" s="10"/>
      <c r="H139" s="10"/>
      <c r="I139" s="11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</row>
    <row r="140" spans="1:33" x14ac:dyDescent="0.25">
      <c r="A140" s="8">
        <f t="shared" si="4"/>
        <v>137</v>
      </c>
      <c r="B140" s="3" t="s">
        <v>1058</v>
      </c>
      <c r="C140" s="3" t="s">
        <v>1059</v>
      </c>
      <c r="D140" s="3" t="s">
        <v>10</v>
      </c>
      <c r="E140" s="17"/>
      <c r="F140" s="10"/>
      <c r="G140" s="10"/>
      <c r="H140" s="10"/>
      <c r="I140" s="11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</row>
    <row r="141" spans="1:33" x14ac:dyDescent="0.25">
      <c r="A141" s="8">
        <f t="shared" si="4"/>
        <v>138</v>
      </c>
      <c r="B141" s="3" t="s">
        <v>1060</v>
      </c>
      <c r="C141" s="3" t="s">
        <v>1061</v>
      </c>
      <c r="D141" s="3" t="s">
        <v>193</v>
      </c>
      <c r="E141" s="17"/>
      <c r="F141" s="10"/>
      <c r="G141" s="10"/>
      <c r="H141" s="10"/>
      <c r="I141" s="11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</row>
    <row r="142" spans="1:33" x14ac:dyDescent="0.25">
      <c r="A142" s="8">
        <f t="shared" si="4"/>
        <v>139</v>
      </c>
      <c r="B142" s="3" t="s">
        <v>1062</v>
      </c>
      <c r="C142" s="3" t="s">
        <v>1063</v>
      </c>
      <c r="D142" s="3" t="s">
        <v>2</v>
      </c>
      <c r="E142" s="17"/>
      <c r="F142" s="10"/>
      <c r="G142" s="10"/>
      <c r="H142" s="10"/>
      <c r="I142" s="11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</row>
    <row r="143" spans="1:33" x14ac:dyDescent="0.25">
      <c r="A143" s="8">
        <f t="shared" si="4"/>
        <v>140</v>
      </c>
      <c r="B143" s="3" t="s">
        <v>1064</v>
      </c>
      <c r="C143" s="3" t="s">
        <v>1065</v>
      </c>
      <c r="D143" s="3" t="s">
        <v>2</v>
      </c>
      <c r="E143" s="17"/>
      <c r="F143" s="10"/>
      <c r="G143" s="10"/>
      <c r="H143" s="10"/>
      <c r="I143" s="11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</row>
    <row r="144" spans="1:33" x14ac:dyDescent="0.25">
      <c r="A144" s="8">
        <f t="shared" si="4"/>
        <v>141</v>
      </c>
      <c r="B144" s="3" t="s">
        <v>1066</v>
      </c>
      <c r="C144" s="3" t="s">
        <v>1067</v>
      </c>
      <c r="D144" s="3" t="s">
        <v>10</v>
      </c>
      <c r="E144" s="17"/>
      <c r="F144" s="10"/>
      <c r="G144" s="10"/>
      <c r="H144" s="10"/>
      <c r="I144" s="11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</row>
    <row r="145" spans="1:33" x14ac:dyDescent="0.25">
      <c r="A145" s="8">
        <f t="shared" si="4"/>
        <v>142</v>
      </c>
      <c r="B145" s="3" t="s">
        <v>1068</v>
      </c>
      <c r="C145" s="3" t="s">
        <v>1069</v>
      </c>
      <c r="D145" s="3" t="s">
        <v>2</v>
      </c>
      <c r="E145" s="17"/>
      <c r="F145" s="10"/>
      <c r="G145" s="10"/>
      <c r="H145" s="10"/>
      <c r="I145" s="11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</row>
    <row r="146" spans="1:33" x14ac:dyDescent="0.25">
      <c r="A146" s="8">
        <f t="shared" si="4"/>
        <v>143</v>
      </c>
      <c r="B146" s="3" t="s">
        <v>1070</v>
      </c>
      <c r="C146" s="3" t="s">
        <v>1071</v>
      </c>
      <c r="D146" s="3" t="s">
        <v>179</v>
      </c>
      <c r="E146" s="17"/>
      <c r="F146" s="10"/>
      <c r="G146" s="10"/>
      <c r="H146" s="10"/>
      <c r="I146" s="11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</row>
    <row r="147" spans="1:33" x14ac:dyDescent="0.25">
      <c r="A147" s="8">
        <f t="shared" si="4"/>
        <v>144</v>
      </c>
      <c r="B147" s="3" t="s">
        <v>1072</v>
      </c>
      <c r="C147" s="3" t="s">
        <v>1073</v>
      </c>
      <c r="D147" s="3" t="s">
        <v>31</v>
      </c>
      <c r="E147" s="17"/>
      <c r="F147" s="10"/>
      <c r="G147" s="10"/>
      <c r="H147" s="10"/>
      <c r="I147" s="11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</row>
    <row r="148" spans="1:33" x14ac:dyDescent="0.25">
      <c r="A148" s="8">
        <f t="shared" si="4"/>
        <v>145</v>
      </c>
      <c r="B148" s="3" t="s">
        <v>1074</v>
      </c>
      <c r="C148" s="3" t="s">
        <v>1074</v>
      </c>
      <c r="D148" s="3" t="s">
        <v>2</v>
      </c>
      <c r="E148" s="17"/>
      <c r="F148" s="10"/>
      <c r="G148" s="10"/>
      <c r="H148" s="10"/>
      <c r="I148" s="11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</row>
    <row r="149" spans="1:33" x14ac:dyDescent="0.25">
      <c r="A149" s="8">
        <f t="shared" si="4"/>
        <v>146</v>
      </c>
      <c r="B149" s="3" t="s">
        <v>1075</v>
      </c>
      <c r="C149" s="3" t="s">
        <v>1076</v>
      </c>
      <c r="D149" s="3" t="s">
        <v>10</v>
      </c>
      <c r="E149" s="17"/>
      <c r="F149" s="10"/>
      <c r="G149" s="10"/>
      <c r="H149" s="10"/>
      <c r="I149" s="11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</row>
    <row r="150" spans="1:33" x14ac:dyDescent="0.25">
      <c r="A150" s="8">
        <f t="shared" si="4"/>
        <v>147</v>
      </c>
      <c r="B150" s="3" t="s">
        <v>1077</v>
      </c>
      <c r="C150" s="3" t="s">
        <v>1078</v>
      </c>
      <c r="D150" s="3" t="s">
        <v>193</v>
      </c>
      <c r="E150" s="17"/>
      <c r="F150" s="10"/>
      <c r="G150" s="10"/>
      <c r="H150" s="10"/>
      <c r="I150" s="11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</row>
    <row r="151" spans="1:33" x14ac:dyDescent="0.25">
      <c r="A151" s="8">
        <f t="shared" si="4"/>
        <v>148</v>
      </c>
      <c r="B151" s="3" t="s">
        <v>1079</v>
      </c>
      <c r="C151" s="3" t="s">
        <v>1080</v>
      </c>
      <c r="D151" s="3" t="s">
        <v>975</v>
      </c>
      <c r="E151" s="17"/>
      <c r="F151" s="10"/>
      <c r="G151" s="10"/>
      <c r="H151" s="10"/>
      <c r="I151" s="11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</row>
    <row r="152" spans="1:33" x14ac:dyDescent="0.25">
      <c r="A152" s="8">
        <f t="shared" si="4"/>
        <v>149</v>
      </c>
      <c r="B152" s="3" t="s">
        <v>1081</v>
      </c>
      <c r="C152" s="3" t="s">
        <v>1082</v>
      </c>
      <c r="D152" s="3" t="s">
        <v>179</v>
      </c>
      <c r="E152" s="17"/>
      <c r="F152" s="10"/>
      <c r="G152" s="10"/>
      <c r="H152" s="10"/>
      <c r="I152" s="11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</row>
    <row r="153" spans="1:33" x14ac:dyDescent="0.25">
      <c r="A153" s="8">
        <f t="shared" si="4"/>
        <v>150</v>
      </c>
      <c r="B153" s="3" t="s">
        <v>1083</v>
      </c>
      <c r="C153" s="3" t="s">
        <v>1084</v>
      </c>
      <c r="D153" s="3" t="s">
        <v>984</v>
      </c>
      <c r="E153" s="17"/>
      <c r="F153" s="10"/>
      <c r="G153" s="10"/>
      <c r="H153" s="10"/>
      <c r="I153" s="11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</row>
    <row r="154" spans="1:33" x14ac:dyDescent="0.25">
      <c r="A154" s="8">
        <f t="shared" si="4"/>
        <v>151</v>
      </c>
      <c r="B154" s="3" t="s">
        <v>1085</v>
      </c>
      <c r="C154" s="3" t="s">
        <v>1086</v>
      </c>
      <c r="D154" s="3" t="s">
        <v>2</v>
      </c>
      <c r="E154" s="17"/>
      <c r="F154" s="10"/>
      <c r="G154" s="10"/>
      <c r="H154" s="10"/>
      <c r="I154" s="11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</row>
    <row r="155" spans="1:33" x14ac:dyDescent="0.25">
      <c r="A155" s="8">
        <f t="shared" si="4"/>
        <v>152</v>
      </c>
      <c r="B155" s="3" t="s">
        <v>1087</v>
      </c>
      <c r="C155" s="3" t="s">
        <v>1088</v>
      </c>
      <c r="D155" s="3" t="s">
        <v>2</v>
      </c>
      <c r="E155" s="17"/>
      <c r="F155" s="10"/>
      <c r="G155" s="10"/>
      <c r="H155" s="10"/>
      <c r="I155" s="11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</row>
    <row r="156" spans="1:33" x14ac:dyDescent="0.25">
      <c r="A156" s="8">
        <f t="shared" si="4"/>
        <v>153</v>
      </c>
      <c r="B156" s="3" t="s">
        <v>1089</v>
      </c>
      <c r="C156" s="3" t="s">
        <v>1090</v>
      </c>
      <c r="D156" s="3" t="s">
        <v>47</v>
      </c>
      <c r="E156" s="17"/>
      <c r="F156" s="10"/>
      <c r="G156" s="10"/>
      <c r="H156" s="10"/>
      <c r="I156" s="11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</row>
    <row r="157" spans="1:33" x14ac:dyDescent="0.25">
      <c r="A157" s="8">
        <f t="shared" si="4"/>
        <v>154</v>
      </c>
      <c r="B157" s="3" t="s">
        <v>1091</v>
      </c>
      <c r="C157" s="3" t="s">
        <v>1092</v>
      </c>
      <c r="D157" s="3" t="s">
        <v>2</v>
      </c>
      <c r="E157" s="17"/>
      <c r="F157" s="10"/>
      <c r="G157" s="10"/>
      <c r="H157" s="10"/>
      <c r="I157" s="11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</row>
    <row r="158" spans="1:33" x14ac:dyDescent="0.25">
      <c r="A158" s="8">
        <f t="shared" si="4"/>
        <v>155</v>
      </c>
      <c r="B158" s="3" t="s">
        <v>1093</v>
      </c>
      <c r="C158" s="3" t="s">
        <v>1094</v>
      </c>
      <c r="D158" s="3" t="s">
        <v>186</v>
      </c>
      <c r="E158" s="17"/>
      <c r="F158" s="10"/>
      <c r="G158" s="10"/>
      <c r="H158" s="10"/>
      <c r="I158" s="11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</row>
    <row r="159" spans="1:33" x14ac:dyDescent="0.25">
      <c r="A159" s="8">
        <f t="shared" si="4"/>
        <v>156</v>
      </c>
      <c r="B159" s="3" t="s">
        <v>1095</v>
      </c>
      <c r="C159" s="3" t="s">
        <v>1096</v>
      </c>
      <c r="D159" s="3" t="s">
        <v>47</v>
      </c>
      <c r="E159" s="17"/>
      <c r="F159" s="10"/>
      <c r="G159" s="10"/>
      <c r="H159" s="10"/>
      <c r="I159" s="11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</row>
    <row r="160" spans="1:33" x14ac:dyDescent="0.25">
      <c r="A160" s="8">
        <f t="shared" si="4"/>
        <v>157</v>
      </c>
      <c r="B160" s="3" t="s">
        <v>1097</v>
      </c>
      <c r="C160" s="3" t="s">
        <v>1098</v>
      </c>
      <c r="D160" s="3" t="s">
        <v>10</v>
      </c>
      <c r="E160" s="17"/>
      <c r="F160" s="10"/>
      <c r="G160" s="10"/>
      <c r="H160" s="10"/>
      <c r="I160" s="11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</row>
    <row r="161" spans="1:33" x14ac:dyDescent="0.25">
      <c r="A161" s="8">
        <f t="shared" si="4"/>
        <v>158</v>
      </c>
      <c r="B161" s="3" t="s">
        <v>1099</v>
      </c>
      <c r="C161" s="3" t="s">
        <v>1100</v>
      </c>
      <c r="D161" s="3" t="s">
        <v>975</v>
      </c>
      <c r="E161" s="17"/>
      <c r="F161" s="10"/>
      <c r="G161" s="10"/>
      <c r="H161" s="10"/>
      <c r="I161" s="11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</row>
    <row r="162" spans="1:33" x14ac:dyDescent="0.25">
      <c r="A162" s="8">
        <f t="shared" si="4"/>
        <v>159</v>
      </c>
      <c r="B162" s="3" t="s">
        <v>1101</v>
      </c>
      <c r="C162" s="3" t="s">
        <v>1102</v>
      </c>
      <c r="D162" s="3" t="s">
        <v>2</v>
      </c>
      <c r="E162" s="17"/>
      <c r="F162" s="10"/>
      <c r="G162" s="10"/>
      <c r="H162" s="10"/>
      <c r="I162" s="11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</row>
    <row r="163" spans="1:33" x14ac:dyDescent="0.25">
      <c r="A163" s="8">
        <f t="shared" si="4"/>
        <v>160</v>
      </c>
      <c r="B163" s="3" t="s">
        <v>1103</v>
      </c>
      <c r="C163" s="3" t="s">
        <v>1104</v>
      </c>
      <c r="D163" s="3" t="s">
        <v>56</v>
      </c>
      <c r="E163" s="17"/>
      <c r="F163" s="10"/>
      <c r="G163" s="10"/>
      <c r="H163" s="10"/>
      <c r="I163" s="11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</row>
    <row r="164" spans="1:33" x14ac:dyDescent="0.25">
      <c r="A164" s="8">
        <f t="shared" si="4"/>
        <v>161</v>
      </c>
      <c r="B164" s="3" t="s">
        <v>1105</v>
      </c>
      <c r="C164" s="3" t="s">
        <v>1106</v>
      </c>
      <c r="D164" s="3" t="s">
        <v>193</v>
      </c>
      <c r="E164" s="17"/>
      <c r="F164" s="10"/>
      <c r="G164" s="10"/>
      <c r="H164" s="10"/>
      <c r="I164" s="11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</row>
    <row r="165" spans="1:33" x14ac:dyDescent="0.25">
      <c r="A165" s="8">
        <f t="shared" ref="A165:A228" si="5">+A164+1</f>
        <v>162</v>
      </c>
      <c r="B165" s="3" t="s">
        <v>1107</v>
      </c>
      <c r="C165" s="3" t="s">
        <v>1108</v>
      </c>
      <c r="D165" s="3" t="s">
        <v>47</v>
      </c>
      <c r="E165" s="17"/>
      <c r="F165" s="10"/>
      <c r="G165" s="10"/>
      <c r="H165" s="10"/>
      <c r="I165" s="11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</row>
    <row r="166" spans="1:33" x14ac:dyDescent="0.25">
      <c r="A166" s="8">
        <f t="shared" si="5"/>
        <v>163</v>
      </c>
      <c r="B166" s="3" t="s">
        <v>1109</v>
      </c>
      <c r="C166" s="3" t="s">
        <v>1110</v>
      </c>
      <c r="D166" s="3" t="s">
        <v>2</v>
      </c>
      <c r="E166" s="17"/>
      <c r="F166" s="10"/>
      <c r="G166" s="10"/>
      <c r="H166" s="10"/>
      <c r="I166" s="11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</row>
    <row r="167" spans="1:33" x14ac:dyDescent="0.25">
      <c r="A167" s="8">
        <f t="shared" si="5"/>
        <v>164</v>
      </c>
      <c r="B167" s="3" t="s">
        <v>1111</v>
      </c>
      <c r="C167" s="3" t="s">
        <v>1112</v>
      </c>
      <c r="D167" s="3" t="s">
        <v>179</v>
      </c>
      <c r="E167" s="17"/>
      <c r="F167" s="10"/>
      <c r="G167" s="10"/>
      <c r="H167" s="10"/>
      <c r="I167" s="11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</row>
    <row r="168" spans="1:33" x14ac:dyDescent="0.25">
      <c r="A168" s="8">
        <f t="shared" si="5"/>
        <v>165</v>
      </c>
      <c r="B168" s="3" t="s">
        <v>1113</v>
      </c>
      <c r="C168" s="3" t="s">
        <v>1114</v>
      </c>
      <c r="D168" s="3" t="s">
        <v>2</v>
      </c>
      <c r="E168" s="17"/>
      <c r="F168" s="10"/>
      <c r="G168" s="10"/>
      <c r="H168" s="10"/>
      <c r="I168" s="11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</row>
    <row r="169" spans="1:33" x14ac:dyDescent="0.25">
      <c r="A169" s="8">
        <f t="shared" si="5"/>
        <v>166</v>
      </c>
      <c r="B169" s="3" t="s">
        <v>1115</v>
      </c>
      <c r="C169" s="3" t="s">
        <v>1116</v>
      </c>
      <c r="D169" s="3" t="s">
        <v>2</v>
      </c>
      <c r="E169" s="17"/>
      <c r="F169" s="10"/>
      <c r="G169" s="10"/>
      <c r="H169" s="10"/>
      <c r="I169" s="11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</row>
    <row r="170" spans="1:33" x14ac:dyDescent="0.25">
      <c r="A170" s="8">
        <f t="shared" si="5"/>
        <v>167</v>
      </c>
      <c r="B170" s="3" t="s">
        <v>1117</v>
      </c>
      <c r="C170" s="3" t="s">
        <v>1118</v>
      </c>
      <c r="D170" s="3" t="s">
        <v>56</v>
      </c>
      <c r="E170" s="17"/>
      <c r="F170" s="10"/>
      <c r="G170" s="10"/>
      <c r="H170" s="10"/>
      <c r="I170" s="11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</row>
    <row r="171" spans="1:33" x14ac:dyDescent="0.25">
      <c r="A171" s="8">
        <f t="shared" si="5"/>
        <v>168</v>
      </c>
      <c r="B171" s="3" t="s">
        <v>289</v>
      </c>
      <c r="C171" s="3" t="s">
        <v>290</v>
      </c>
      <c r="D171" s="3" t="s">
        <v>5</v>
      </c>
      <c r="E171" s="17"/>
      <c r="F171" s="10"/>
      <c r="G171" s="10"/>
      <c r="H171" s="10"/>
      <c r="I171" s="11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</row>
    <row r="172" spans="1:33" x14ac:dyDescent="0.25">
      <c r="A172" s="8">
        <f t="shared" si="5"/>
        <v>169</v>
      </c>
      <c r="B172" s="3" t="s">
        <v>1119</v>
      </c>
      <c r="C172" s="3" t="s">
        <v>1120</v>
      </c>
      <c r="D172" s="3" t="s">
        <v>179</v>
      </c>
      <c r="E172" s="17"/>
      <c r="F172" s="10"/>
      <c r="G172" s="10"/>
      <c r="H172" s="10"/>
      <c r="I172" s="11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</row>
    <row r="173" spans="1:33" x14ac:dyDescent="0.25">
      <c r="A173" s="8">
        <f t="shared" si="5"/>
        <v>170</v>
      </c>
      <c r="B173" s="3" t="s">
        <v>1121</v>
      </c>
      <c r="C173" s="3" t="s">
        <v>1122</v>
      </c>
      <c r="D173" s="3" t="s">
        <v>78</v>
      </c>
      <c r="E173" s="17"/>
      <c r="F173" s="10"/>
      <c r="G173" s="10"/>
      <c r="H173" s="10"/>
      <c r="I173" s="11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</row>
    <row r="174" spans="1:33" x14ac:dyDescent="0.25">
      <c r="A174" s="8">
        <f t="shared" si="5"/>
        <v>171</v>
      </c>
      <c r="B174" s="3" t="s">
        <v>1123</v>
      </c>
      <c r="C174" s="3" t="s">
        <v>1124</v>
      </c>
      <c r="D174" s="3" t="s">
        <v>31</v>
      </c>
      <c r="E174" s="17"/>
      <c r="F174" s="10"/>
      <c r="G174" s="10"/>
      <c r="H174" s="10"/>
      <c r="I174" s="11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</row>
    <row r="175" spans="1:33" x14ac:dyDescent="0.25">
      <c r="A175" s="8">
        <f t="shared" si="5"/>
        <v>172</v>
      </c>
      <c r="B175" s="3" t="s">
        <v>285</v>
      </c>
      <c r="C175" s="3" t="s">
        <v>286</v>
      </c>
      <c r="D175" s="3" t="s">
        <v>5</v>
      </c>
      <c r="E175" s="17"/>
      <c r="F175" s="10"/>
      <c r="G175" s="10"/>
      <c r="H175" s="10"/>
      <c r="I175" s="11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</row>
    <row r="176" spans="1:33" x14ac:dyDescent="0.25">
      <c r="A176" s="8">
        <f t="shared" si="5"/>
        <v>173</v>
      </c>
      <c r="B176" s="3" t="s">
        <v>1125</v>
      </c>
      <c r="C176" s="3" t="s">
        <v>1126</v>
      </c>
      <c r="D176" s="3" t="s">
        <v>2</v>
      </c>
      <c r="E176" s="17"/>
      <c r="F176" s="10"/>
      <c r="G176" s="10"/>
      <c r="H176" s="10"/>
      <c r="I176" s="11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</row>
    <row r="177" spans="1:33" x14ac:dyDescent="0.25">
      <c r="A177" s="8">
        <f t="shared" si="5"/>
        <v>174</v>
      </c>
      <c r="B177" s="3" t="s">
        <v>1127</v>
      </c>
      <c r="C177" s="3" t="s">
        <v>1128</v>
      </c>
      <c r="D177" s="3" t="s">
        <v>68</v>
      </c>
      <c r="E177" s="17"/>
      <c r="F177" s="10"/>
      <c r="G177" s="10"/>
      <c r="H177" s="10"/>
      <c r="I177" s="11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</row>
    <row r="178" spans="1:33" x14ac:dyDescent="0.25">
      <c r="A178" s="8">
        <f t="shared" si="5"/>
        <v>175</v>
      </c>
      <c r="B178" s="3" t="s">
        <v>1129</v>
      </c>
      <c r="C178" s="3" t="s">
        <v>1130</v>
      </c>
      <c r="D178" s="3" t="s">
        <v>2</v>
      </c>
      <c r="E178" s="17"/>
      <c r="F178" s="10"/>
      <c r="G178" s="10"/>
      <c r="H178" s="10"/>
      <c r="I178" s="11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</row>
    <row r="179" spans="1:33" x14ac:dyDescent="0.25">
      <c r="A179" s="8">
        <f t="shared" si="5"/>
        <v>176</v>
      </c>
      <c r="B179" s="3" t="s">
        <v>1131</v>
      </c>
      <c r="C179" s="3" t="s">
        <v>1132</v>
      </c>
      <c r="D179" s="3" t="s">
        <v>2</v>
      </c>
      <c r="E179" s="17"/>
      <c r="F179" s="10"/>
      <c r="G179" s="10"/>
      <c r="H179" s="10"/>
      <c r="I179" s="11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</row>
    <row r="180" spans="1:33" x14ac:dyDescent="0.25">
      <c r="A180" s="8">
        <f t="shared" si="5"/>
        <v>177</v>
      </c>
      <c r="B180" s="3" t="s">
        <v>1133</v>
      </c>
      <c r="C180" s="3" t="s">
        <v>1134</v>
      </c>
      <c r="D180" s="3" t="s">
        <v>993</v>
      </c>
      <c r="E180" s="17"/>
      <c r="F180" s="10"/>
      <c r="G180" s="10"/>
      <c r="H180" s="10"/>
      <c r="I180" s="11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</row>
    <row r="181" spans="1:33" x14ac:dyDescent="0.25">
      <c r="A181" s="8">
        <f t="shared" si="5"/>
        <v>178</v>
      </c>
      <c r="B181" s="3" t="s">
        <v>1135</v>
      </c>
      <c r="C181" s="3" t="s">
        <v>1136</v>
      </c>
      <c r="D181" s="3" t="s">
        <v>2</v>
      </c>
      <c r="E181" s="17"/>
      <c r="F181" s="10"/>
      <c r="G181" s="10"/>
      <c r="H181" s="10"/>
      <c r="I181" s="11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</row>
    <row r="182" spans="1:33" x14ac:dyDescent="0.25">
      <c r="A182" s="8">
        <f t="shared" si="5"/>
        <v>179</v>
      </c>
      <c r="B182" s="3" t="s">
        <v>1137</v>
      </c>
      <c r="C182" s="3" t="s">
        <v>1138</v>
      </c>
      <c r="D182" s="3" t="s">
        <v>56</v>
      </c>
      <c r="E182" s="17"/>
      <c r="F182" s="10"/>
      <c r="G182" s="10"/>
      <c r="H182" s="10"/>
      <c r="I182" s="11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</row>
    <row r="183" spans="1:33" x14ac:dyDescent="0.25">
      <c r="A183" s="8">
        <f t="shared" si="5"/>
        <v>180</v>
      </c>
      <c r="B183" s="3" t="s">
        <v>1139</v>
      </c>
      <c r="C183" s="3" t="s">
        <v>1140</v>
      </c>
      <c r="D183" s="3" t="s">
        <v>28</v>
      </c>
      <c r="E183" s="17"/>
      <c r="F183" s="10"/>
      <c r="G183" s="10"/>
      <c r="H183" s="10"/>
      <c r="I183" s="11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</row>
    <row r="184" spans="1:33" x14ac:dyDescent="0.25">
      <c r="A184" s="8">
        <f t="shared" si="5"/>
        <v>181</v>
      </c>
      <c r="B184" s="3" t="s">
        <v>1141</v>
      </c>
      <c r="C184" s="3" t="s">
        <v>1142</v>
      </c>
      <c r="D184" s="3" t="s">
        <v>179</v>
      </c>
      <c r="E184" s="17"/>
      <c r="F184" s="10"/>
      <c r="G184" s="10"/>
      <c r="H184" s="10"/>
      <c r="I184" s="11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</row>
    <row r="185" spans="1:33" x14ac:dyDescent="0.25">
      <c r="A185" s="8">
        <f t="shared" si="5"/>
        <v>182</v>
      </c>
      <c r="B185" s="3" t="s">
        <v>1143</v>
      </c>
      <c r="C185" s="3" t="s">
        <v>1144</v>
      </c>
      <c r="D185" s="3" t="s">
        <v>28</v>
      </c>
      <c r="E185" s="17"/>
      <c r="F185" s="10"/>
      <c r="G185" s="10"/>
      <c r="H185" s="10"/>
      <c r="I185" s="11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</row>
    <row r="186" spans="1:33" x14ac:dyDescent="0.25">
      <c r="A186" s="8">
        <f t="shared" si="5"/>
        <v>183</v>
      </c>
      <c r="B186" s="3" t="s">
        <v>1145</v>
      </c>
      <c r="C186" s="3" t="s">
        <v>1146</v>
      </c>
      <c r="D186" s="3" t="s">
        <v>2</v>
      </c>
      <c r="E186" s="17"/>
      <c r="F186" s="10"/>
      <c r="G186" s="10"/>
      <c r="H186" s="10"/>
      <c r="I186" s="11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</row>
    <row r="187" spans="1:33" x14ac:dyDescent="0.25">
      <c r="A187" s="8">
        <f t="shared" si="5"/>
        <v>184</v>
      </c>
      <c r="B187" s="3" t="s">
        <v>1147</v>
      </c>
      <c r="C187" s="3" t="s">
        <v>1148</v>
      </c>
      <c r="D187" s="3" t="s">
        <v>2</v>
      </c>
      <c r="E187" s="17"/>
      <c r="F187" s="10"/>
      <c r="G187" s="10"/>
      <c r="H187" s="10"/>
      <c r="I187" s="11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</row>
    <row r="188" spans="1:33" x14ac:dyDescent="0.25">
      <c r="A188" s="8">
        <f t="shared" si="5"/>
        <v>185</v>
      </c>
      <c r="B188" s="3" t="s">
        <v>1149</v>
      </c>
      <c r="C188" s="3" t="s">
        <v>1150</v>
      </c>
      <c r="D188" s="3" t="s">
        <v>13</v>
      </c>
      <c r="E188" s="17"/>
      <c r="F188" s="10"/>
      <c r="G188" s="10"/>
      <c r="H188" s="10"/>
      <c r="I188" s="11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</row>
    <row r="189" spans="1:33" x14ac:dyDescent="0.25">
      <c r="A189" s="8">
        <f t="shared" si="5"/>
        <v>186</v>
      </c>
      <c r="B189" s="3" t="s">
        <v>1151</v>
      </c>
      <c r="C189" s="3" t="s">
        <v>1152</v>
      </c>
      <c r="D189" s="3" t="s">
        <v>56</v>
      </c>
      <c r="E189" s="17"/>
      <c r="F189" s="10"/>
      <c r="G189" s="10"/>
      <c r="H189" s="10"/>
      <c r="I189" s="11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</row>
    <row r="190" spans="1:33" x14ac:dyDescent="0.25">
      <c r="A190" s="8">
        <f t="shared" si="5"/>
        <v>187</v>
      </c>
      <c r="B190" s="3" t="s">
        <v>1153</v>
      </c>
      <c r="C190" s="3" t="s">
        <v>1154</v>
      </c>
      <c r="D190" s="3" t="s">
        <v>2</v>
      </c>
      <c r="E190" s="17"/>
      <c r="F190" s="10"/>
      <c r="G190" s="10"/>
      <c r="H190" s="10"/>
      <c r="I190" s="11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</row>
    <row r="191" spans="1:33" x14ac:dyDescent="0.25">
      <c r="A191" s="8">
        <f t="shared" si="5"/>
        <v>188</v>
      </c>
      <c r="B191" s="3" t="s">
        <v>1155</v>
      </c>
      <c r="C191" s="3" t="s">
        <v>1156</v>
      </c>
      <c r="D191" s="3" t="s">
        <v>2</v>
      </c>
      <c r="E191" s="17"/>
      <c r="F191" s="10"/>
      <c r="G191" s="10"/>
      <c r="H191" s="10"/>
      <c r="I191" s="11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</row>
    <row r="192" spans="1:33" x14ac:dyDescent="0.25">
      <c r="A192" s="8">
        <f t="shared" si="5"/>
        <v>189</v>
      </c>
      <c r="B192" s="3" t="s">
        <v>1157</v>
      </c>
      <c r="C192" s="3" t="s">
        <v>1158</v>
      </c>
      <c r="D192" s="3" t="s">
        <v>10</v>
      </c>
      <c r="E192" s="17"/>
      <c r="F192" s="10"/>
      <c r="G192" s="10"/>
      <c r="H192" s="10"/>
      <c r="I192" s="11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</row>
    <row r="193" spans="1:33" x14ac:dyDescent="0.25">
      <c r="A193" s="8">
        <f t="shared" si="5"/>
        <v>190</v>
      </c>
      <c r="B193" s="3" t="s">
        <v>1159</v>
      </c>
      <c r="C193" s="3" t="s">
        <v>1160</v>
      </c>
      <c r="D193" s="3" t="s">
        <v>5</v>
      </c>
      <c r="E193" s="17"/>
      <c r="F193" s="10"/>
      <c r="G193" s="10"/>
      <c r="H193" s="10"/>
      <c r="I193" s="11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</row>
    <row r="194" spans="1:33" x14ac:dyDescent="0.25">
      <c r="A194" s="8">
        <f t="shared" si="5"/>
        <v>191</v>
      </c>
      <c r="B194" s="3" t="s">
        <v>1161</v>
      </c>
      <c r="C194" s="3" t="s">
        <v>1162</v>
      </c>
      <c r="D194" s="3" t="s">
        <v>10</v>
      </c>
      <c r="E194" s="17"/>
      <c r="F194" s="10"/>
      <c r="G194" s="10"/>
      <c r="H194" s="10"/>
      <c r="I194" s="11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</row>
    <row r="195" spans="1:33" x14ac:dyDescent="0.25">
      <c r="A195" s="8">
        <f t="shared" si="5"/>
        <v>192</v>
      </c>
      <c r="B195" s="3" t="s">
        <v>1163</v>
      </c>
      <c r="C195" s="3" t="s">
        <v>1164</v>
      </c>
      <c r="D195" s="3" t="s">
        <v>31</v>
      </c>
      <c r="E195" s="17"/>
      <c r="F195" s="10"/>
      <c r="G195" s="10"/>
      <c r="H195" s="10"/>
      <c r="I195" s="11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</row>
    <row r="196" spans="1:33" x14ac:dyDescent="0.25">
      <c r="A196" s="8">
        <f t="shared" si="5"/>
        <v>193</v>
      </c>
      <c r="B196" s="3" t="s">
        <v>1165</v>
      </c>
      <c r="C196" s="3" t="s">
        <v>1166</v>
      </c>
      <c r="D196" s="3" t="s">
        <v>31</v>
      </c>
      <c r="E196" s="17"/>
      <c r="F196" s="10"/>
      <c r="G196" s="10"/>
      <c r="H196" s="10"/>
      <c r="I196" s="11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</row>
    <row r="197" spans="1:33" x14ac:dyDescent="0.25">
      <c r="A197" s="8">
        <f t="shared" si="5"/>
        <v>194</v>
      </c>
      <c r="B197" s="3" t="s">
        <v>1167</v>
      </c>
      <c r="C197" s="3" t="s">
        <v>1168</v>
      </c>
      <c r="D197" s="3" t="s">
        <v>2</v>
      </c>
      <c r="E197" s="17"/>
      <c r="F197" s="10"/>
      <c r="G197" s="10"/>
      <c r="H197" s="10"/>
      <c r="I197" s="11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</row>
    <row r="198" spans="1:33" x14ac:dyDescent="0.25">
      <c r="A198" s="8">
        <f t="shared" si="5"/>
        <v>195</v>
      </c>
      <c r="B198" s="3" t="s">
        <v>1169</v>
      </c>
      <c r="C198" s="3" t="s">
        <v>1170</v>
      </c>
      <c r="D198" s="3" t="s">
        <v>47</v>
      </c>
      <c r="E198" s="17"/>
      <c r="F198" s="10"/>
      <c r="G198" s="10"/>
      <c r="H198" s="10"/>
      <c r="I198" s="11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</row>
    <row r="199" spans="1:33" x14ac:dyDescent="0.25">
      <c r="A199" s="8">
        <f t="shared" si="5"/>
        <v>196</v>
      </c>
      <c r="B199" s="3" t="s">
        <v>1171</v>
      </c>
      <c r="C199" s="3" t="s">
        <v>1172</v>
      </c>
      <c r="D199" s="3" t="s">
        <v>2</v>
      </c>
      <c r="E199" s="17"/>
      <c r="F199" s="10"/>
      <c r="G199" s="10"/>
      <c r="H199" s="10"/>
      <c r="I199" s="11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</row>
    <row r="200" spans="1:33" x14ac:dyDescent="0.25">
      <c r="A200" s="8">
        <f t="shared" si="5"/>
        <v>197</v>
      </c>
      <c r="B200" s="3" t="s">
        <v>1173</v>
      </c>
      <c r="C200" s="3" t="s">
        <v>1174</v>
      </c>
      <c r="D200" s="3" t="s">
        <v>10</v>
      </c>
      <c r="E200" s="17"/>
      <c r="F200" s="10"/>
      <c r="G200" s="10"/>
      <c r="H200" s="10"/>
      <c r="I200" s="11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</row>
    <row r="201" spans="1:33" x14ac:dyDescent="0.25">
      <c r="A201" s="8">
        <f t="shared" si="5"/>
        <v>198</v>
      </c>
      <c r="B201" s="3" t="s">
        <v>1175</v>
      </c>
      <c r="C201" s="3" t="s">
        <v>1176</v>
      </c>
      <c r="D201" s="3" t="s">
        <v>31</v>
      </c>
      <c r="E201" s="17"/>
      <c r="F201" s="10"/>
      <c r="G201" s="10"/>
      <c r="H201" s="10"/>
      <c r="I201" s="11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</row>
    <row r="202" spans="1:33" x14ac:dyDescent="0.25">
      <c r="A202" s="8">
        <f t="shared" si="5"/>
        <v>199</v>
      </c>
      <c r="B202" s="3" t="s">
        <v>1177</v>
      </c>
      <c r="C202" s="3" t="s">
        <v>1178</v>
      </c>
      <c r="D202" s="3" t="s">
        <v>2</v>
      </c>
      <c r="E202" s="17"/>
      <c r="F202" s="10"/>
      <c r="G202" s="10"/>
      <c r="H202" s="10"/>
      <c r="I202" s="11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</row>
    <row r="203" spans="1:33" x14ac:dyDescent="0.25">
      <c r="A203" s="8">
        <f t="shared" si="5"/>
        <v>200</v>
      </c>
      <c r="B203" s="3" t="s">
        <v>1179</v>
      </c>
      <c r="C203" s="3" t="s">
        <v>1180</v>
      </c>
      <c r="D203" s="3" t="s">
        <v>993</v>
      </c>
      <c r="E203" s="17"/>
      <c r="F203" s="10"/>
      <c r="G203" s="10"/>
      <c r="H203" s="10"/>
      <c r="I203" s="11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</row>
    <row r="204" spans="1:33" x14ac:dyDescent="0.25">
      <c r="A204" s="8">
        <f t="shared" si="5"/>
        <v>201</v>
      </c>
      <c r="B204" s="3" t="s">
        <v>1181</v>
      </c>
      <c r="C204" s="3" t="s">
        <v>1182</v>
      </c>
      <c r="D204" s="3" t="s">
        <v>2</v>
      </c>
      <c r="E204" s="17"/>
      <c r="F204" s="10"/>
      <c r="G204" s="10"/>
      <c r="H204" s="10"/>
      <c r="I204" s="11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</row>
    <row r="205" spans="1:33" x14ac:dyDescent="0.25">
      <c r="A205" s="8">
        <f t="shared" si="5"/>
        <v>202</v>
      </c>
      <c r="B205" s="3" t="s">
        <v>1183</v>
      </c>
      <c r="C205" s="3" t="s">
        <v>1184</v>
      </c>
      <c r="D205" s="3" t="s">
        <v>2</v>
      </c>
      <c r="E205" s="17"/>
      <c r="F205" s="10"/>
      <c r="G205" s="10"/>
      <c r="H205" s="10"/>
      <c r="I205" s="11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</row>
    <row r="206" spans="1:33" x14ac:dyDescent="0.25">
      <c r="A206" s="8">
        <f t="shared" si="5"/>
        <v>203</v>
      </c>
      <c r="B206" s="3" t="s">
        <v>1185</v>
      </c>
      <c r="C206" s="3" t="s">
        <v>1186</v>
      </c>
      <c r="D206" s="3" t="s">
        <v>186</v>
      </c>
      <c r="E206" s="17"/>
      <c r="F206" s="10"/>
      <c r="G206" s="10"/>
      <c r="H206" s="10"/>
      <c r="I206" s="11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</row>
    <row r="207" spans="1:33" x14ac:dyDescent="0.25">
      <c r="A207" s="8">
        <f t="shared" si="5"/>
        <v>204</v>
      </c>
      <c r="B207" s="3" t="s">
        <v>1187</v>
      </c>
      <c r="C207" s="3" t="s">
        <v>1188</v>
      </c>
      <c r="D207" s="3" t="s">
        <v>73</v>
      </c>
      <c r="E207" s="17"/>
      <c r="F207" s="10"/>
      <c r="G207" s="10"/>
      <c r="H207" s="10"/>
      <c r="I207" s="11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</row>
    <row r="208" spans="1:33" x14ac:dyDescent="0.25">
      <c r="A208" s="8">
        <f t="shared" si="5"/>
        <v>205</v>
      </c>
      <c r="B208" s="3" t="s">
        <v>1189</v>
      </c>
      <c r="C208" s="3" t="s">
        <v>1190</v>
      </c>
      <c r="D208" s="3" t="s">
        <v>166</v>
      </c>
      <c r="E208" s="17"/>
      <c r="F208" s="10"/>
      <c r="G208" s="10"/>
      <c r="H208" s="10"/>
      <c r="I208" s="11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</row>
    <row r="209" spans="1:33" x14ac:dyDescent="0.25">
      <c r="A209" s="8">
        <f t="shared" si="5"/>
        <v>206</v>
      </c>
      <c r="B209" s="3" t="s">
        <v>1191</v>
      </c>
      <c r="C209" s="3" t="s">
        <v>1192</v>
      </c>
      <c r="D209" s="3" t="s">
        <v>2</v>
      </c>
      <c r="E209" s="17"/>
      <c r="F209" s="10"/>
      <c r="G209" s="10"/>
      <c r="H209" s="10"/>
      <c r="I209" s="11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</row>
    <row r="210" spans="1:33" x14ac:dyDescent="0.25">
      <c r="A210" s="8">
        <f t="shared" si="5"/>
        <v>207</v>
      </c>
      <c r="B210" s="3" t="s">
        <v>1193</v>
      </c>
      <c r="C210" s="3" t="s">
        <v>1194</v>
      </c>
      <c r="D210" s="3" t="s">
        <v>5</v>
      </c>
      <c r="E210" s="17"/>
      <c r="F210" s="10"/>
      <c r="G210" s="10"/>
      <c r="H210" s="10"/>
      <c r="I210" s="11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</row>
    <row r="211" spans="1:33" x14ac:dyDescent="0.25">
      <c r="A211" s="8">
        <f t="shared" si="5"/>
        <v>208</v>
      </c>
      <c r="B211" s="3" t="s">
        <v>1195</v>
      </c>
      <c r="C211" s="3" t="s">
        <v>1196</v>
      </c>
      <c r="D211" s="3" t="s">
        <v>2</v>
      </c>
      <c r="E211" s="17"/>
      <c r="F211" s="10"/>
      <c r="G211" s="10"/>
      <c r="H211" s="10"/>
      <c r="I211" s="11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</row>
    <row r="212" spans="1:33" x14ac:dyDescent="0.25">
      <c r="A212" s="8">
        <f t="shared" si="5"/>
        <v>209</v>
      </c>
      <c r="B212" s="3" t="s">
        <v>1197</v>
      </c>
      <c r="C212" s="3" t="s">
        <v>1198</v>
      </c>
      <c r="D212" s="3" t="s">
        <v>2</v>
      </c>
      <c r="E212" s="17"/>
      <c r="F212" s="10"/>
      <c r="G212" s="10"/>
      <c r="H212" s="10"/>
      <c r="I212" s="11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</row>
    <row r="213" spans="1:33" x14ac:dyDescent="0.25">
      <c r="A213" s="8">
        <f t="shared" si="5"/>
        <v>210</v>
      </c>
      <c r="B213" s="3" t="s">
        <v>1199</v>
      </c>
      <c r="C213" s="3" t="s">
        <v>1200</v>
      </c>
      <c r="D213" s="3" t="s">
        <v>186</v>
      </c>
      <c r="E213" s="17"/>
      <c r="F213" s="10"/>
      <c r="G213" s="10"/>
      <c r="H213" s="10"/>
      <c r="I213" s="11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</row>
    <row r="214" spans="1:33" x14ac:dyDescent="0.25">
      <c r="A214" s="8">
        <f t="shared" si="5"/>
        <v>211</v>
      </c>
      <c r="B214" s="3" t="s">
        <v>1201</v>
      </c>
      <c r="C214" s="3" t="s">
        <v>1202</v>
      </c>
      <c r="D214" s="3" t="s">
        <v>73</v>
      </c>
      <c r="E214" s="17"/>
      <c r="F214" s="10"/>
      <c r="G214" s="10"/>
      <c r="H214" s="10"/>
      <c r="I214" s="11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</row>
    <row r="215" spans="1:33" x14ac:dyDescent="0.25">
      <c r="A215" s="8">
        <f t="shared" si="5"/>
        <v>212</v>
      </c>
      <c r="B215" s="3" t="s">
        <v>1203</v>
      </c>
      <c r="C215" s="3" t="s">
        <v>1204</v>
      </c>
      <c r="D215" s="3" t="s">
        <v>2</v>
      </c>
      <c r="E215" s="17"/>
      <c r="F215" s="10"/>
      <c r="G215" s="10"/>
      <c r="H215" s="10"/>
      <c r="I215" s="11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</row>
    <row r="216" spans="1:33" x14ac:dyDescent="0.25">
      <c r="A216" s="8">
        <f t="shared" si="5"/>
        <v>213</v>
      </c>
      <c r="B216" s="3" t="s">
        <v>1205</v>
      </c>
      <c r="C216" s="3" t="s">
        <v>1206</v>
      </c>
      <c r="D216" s="3" t="s">
        <v>47</v>
      </c>
      <c r="E216" s="17"/>
      <c r="F216" s="10"/>
      <c r="G216" s="10"/>
      <c r="H216" s="10"/>
      <c r="I216" s="11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</row>
    <row r="217" spans="1:33" x14ac:dyDescent="0.25">
      <c r="A217" s="8">
        <f t="shared" si="5"/>
        <v>214</v>
      </c>
      <c r="B217" s="3" t="s">
        <v>1207</v>
      </c>
      <c r="C217" s="3" t="s">
        <v>1208</v>
      </c>
      <c r="D217" s="3" t="s">
        <v>31</v>
      </c>
      <c r="E217" s="17"/>
      <c r="F217" s="10"/>
      <c r="G217" s="10"/>
      <c r="H217" s="10"/>
      <c r="I217" s="11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</row>
    <row r="218" spans="1:33" x14ac:dyDescent="0.25">
      <c r="A218" s="8">
        <f t="shared" si="5"/>
        <v>215</v>
      </c>
      <c r="B218" s="3" t="s">
        <v>1209</v>
      </c>
      <c r="C218" s="3" t="s">
        <v>1210</v>
      </c>
      <c r="D218" s="3" t="s">
        <v>186</v>
      </c>
      <c r="E218" s="17"/>
      <c r="F218" s="10"/>
      <c r="G218" s="10"/>
      <c r="H218" s="10"/>
      <c r="I218" s="11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</row>
    <row r="219" spans="1:33" x14ac:dyDescent="0.25">
      <c r="A219" s="8">
        <f t="shared" si="5"/>
        <v>216</v>
      </c>
      <c r="B219" s="3" t="s">
        <v>1211</v>
      </c>
      <c r="C219" s="3" t="s">
        <v>1212</v>
      </c>
      <c r="D219" s="3" t="s">
        <v>10</v>
      </c>
      <c r="E219" s="17"/>
      <c r="F219" s="10"/>
      <c r="G219" s="10"/>
      <c r="H219" s="10"/>
      <c r="I219" s="11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</row>
    <row r="220" spans="1:33" x14ac:dyDescent="0.25">
      <c r="A220" s="8">
        <f t="shared" si="5"/>
        <v>217</v>
      </c>
      <c r="B220" s="3" t="s">
        <v>1213</v>
      </c>
      <c r="C220" s="3" t="s">
        <v>1214</v>
      </c>
      <c r="D220" s="3" t="s">
        <v>61</v>
      </c>
      <c r="E220" s="17"/>
      <c r="F220" s="10"/>
      <c r="G220" s="10"/>
      <c r="H220" s="10"/>
      <c r="I220" s="11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</row>
    <row r="221" spans="1:33" x14ac:dyDescent="0.25">
      <c r="A221" s="8">
        <f t="shared" si="5"/>
        <v>218</v>
      </c>
      <c r="B221" s="3" t="s">
        <v>1215</v>
      </c>
      <c r="C221" s="3" t="s">
        <v>1216</v>
      </c>
      <c r="D221" s="3" t="s">
        <v>78</v>
      </c>
      <c r="E221" s="17"/>
      <c r="F221" s="10"/>
      <c r="G221" s="10"/>
      <c r="H221" s="10"/>
      <c r="I221" s="11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</row>
    <row r="222" spans="1:33" x14ac:dyDescent="0.25">
      <c r="A222" s="8">
        <f t="shared" si="5"/>
        <v>219</v>
      </c>
      <c r="B222" s="3" t="s">
        <v>1217</v>
      </c>
      <c r="C222" s="3" t="s">
        <v>1218</v>
      </c>
      <c r="D222" s="3" t="s">
        <v>10</v>
      </c>
      <c r="E222" s="17"/>
      <c r="F222" s="10"/>
      <c r="G222" s="10"/>
      <c r="H222" s="10"/>
      <c r="I222" s="11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</row>
    <row r="223" spans="1:33" x14ac:dyDescent="0.25">
      <c r="A223" s="8">
        <f t="shared" si="5"/>
        <v>220</v>
      </c>
      <c r="B223" s="3" t="s">
        <v>1219</v>
      </c>
      <c r="C223" s="3" t="s">
        <v>1220</v>
      </c>
      <c r="D223" s="3" t="s">
        <v>47</v>
      </c>
      <c r="E223" s="17"/>
      <c r="F223" s="10"/>
      <c r="G223" s="10"/>
      <c r="H223" s="10"/>
      <c r="I223" s="11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</row>
    <row r="224" spans="1:33" x14ac:dyDescent="0.25">
      <c r="A224" s="8">
        <f t="shared" si="5"/>
        <v>221</v>
      </c>
      <c r="B224" s="3" t="s">
        <v>281</v>
      </c>
      <c r="C224" s="3" t="s">
        <v>282</v>
      </c>
      <c r="D224" s="3" t="s">
        <v>10</v>
      </c>
      <c r="E224" s="17"/>
      <c r="F224" s="10"/>
      <c r="G224" s="10"/>
      <c r="H224" s="10"/>
      <c r="I224" s="11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</row>
    <row r="225" spans="1:33" x14ac:dyDescent="0.25">
      <c r="A225" s="8">
        <f t="shared" si="5"/>
        <v>222</v>
      </c>
      <c r="B225" s="3" t="s">
        <v>1221</v>
      </c>
      <c r="C225" s="3" t="s">
        <v>1222</v>
      </c>
      <c r="D225" s="3" t="s">
        <v>1223</v>
      </c>
      <c r="E225" s="17"/>
      <c r="F225" s="10"/>
      <c r="G225" s="10"/>
      <c r="H225" s="10"/>
      <c r="I225" s="11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</row>
    <row r="226" spans="1:33" x14ac:dyDescent="0.25">
      <c r="A226" s="8">
        <f t="shared" si="5"/>
        <v>223</v>
      </c>
      <c r="B226" s="3" t="s">
        <v>1224</v>
      </c>
      <c r="C226" s="3" t="s">
        <v>1225</v>
      </c>
      <c r="D226" s="3" t="s">
        <v>10</v>
      </c>
      <c r="E226" s="17"/>
      <c r="F226" s="10"/>
      <c r="G226" s="10"/>
      <c r="H226" s="10"/>
      <c r="I226" s="11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</row>
    <row r="227" spans="1:33" x14ac:dyDescent="0.25">
      <c r="A227" s="8">
        <f t="shared" si="5"/>
        <v>224</v>
      </c>
      <c r="B227" s="3" t="s">
        <v>291</v>
      </c>
      <c r="C227" s="3" t="s">
        <v>292</v>
      </c>
      <c r="D227" s="3" t="s">
        <v>10</v>
      </c>
      <c r="E227" s="17"/>
      <c r="F227" s="10"/>
      <c r="G227" s="10"/>
      <c r="H227" s="10"/>
      <c r="I227" s="11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</row>
    <row r="228" spans="1:33" x14ac:dyDescent="0.25">
      <c r="A228" s="8">
        <f t="shared" si="5"/>
        <v>225</v>
      </c>
      <c r="B228" s="3" t="s">
        <v>1226</v>
      </c>
      <c r="C228" s="3" t="s">
        <v>1227</v>
      </c>
      <c r="D228" s="3" t="s">
        <v>186</v>
      </c>
      <c r="E228" s="17"/>
      <c r="F228" s="10"/>
      <c r="G228" s="10"/>
      <c r="H228" s="10"/>
      <c r="I228" s="11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</row>
    <row r="229" spans="1:33" x14ac:dyDescent="0.25">
      <c r="A229" s="8">
        <f t="shared" ref="A229:A292" si="6">+A228+1</f>
        <v>226</v>
      </c>
      <c r="B229" s="3" t="s">
        <v>1228</v>
      </c>
      <c r="C229" s="3" t="s">
        <v>1229</v>
      </c>
      <c r="D229" s="3" t="s">
        <v>10</v>
      </c>
      <c r="E229" s="17"/>
      <c r="F229" s="10"/>
      <c r="G229" s="10"/>
      <c r="H229" s="10"/>
      <c r="I229" s="11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</row>
    <row r="230" spans="1:33" x14ac:dyDescent="0.25">
      <c r="A230" s="8">
        <f t="shared" si="6"/>
        <v>227</v>
      </c>
      <c r="B230" s="3" t="s">
        <v>1230</v>
      </c>
      <c r="C230" s="3" t="s">
        <v>1231</v>
      </c>
      <c r="D230" s="3" t="s">
        <v>179</v>
      </c>
      <c r="E230" s="17"/>
      <c r="F230" s="10"/>
      <c r="G230" s="10"/>
      <c r="H230" s="10"/>
      <c r="I230" s="11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</row>
    <row r="231" spans="1:33" x14ac:dyDescent="0.25">
      <c r="A231" s="8">
        <f t="shared" si="6"/>
        <v>228</v>
      </c>
      <c r="B231" s="3" t="s">
        <v>1232</v>
      </c>
      <c r="C231" s="3" t="s">
        <v>1233</v>
      </c>
      <c r="D231" s="3" t="s">
        <v>2</v>
      </c>
      <c r="E231" s="17"/>
      <c r="F231" s="10"/>
      <c r="G231" s="10"/>
      <c r="H231" s="10"/>
      <c r="I231" s="11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</row>
    <row r="232" spans="1:33" x14ac:dyDescent="0.25">
      <c r="A232" s="8">
        <f t="shared" si="6"/>
        <v>229</v>
      </c>
      <c r="B232" s="3" t="s">
        <v>1234</v>
      </c>
      <c r="C232" s="3" t="s">
        <v>1235</v>
      </c>
      <c r="D232" s="3" t="s">
        <v>2</v>
      </c>
      <c r="E232" s="17"/>
      <c r="F232" s="10"/>
      <c r="G232" s="10"/>
      <c r="H232" s="10"/>
      <c r="I232" s="11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</row>
    <row r="233" spans="1:33" x14ac:dyDescent="0.25">
      <c r="A233" s="8">
        <f t="shared" si="6"/>
        <v>230</v>
      </c>
      <c r="B233" s="3" t="s">
        <v>1236</v>
      </c>
      <c r="C233" s="3" t="s">
        <v>1237</v>
      </c>
      <c r="D233" s="3" t="s">
        <v>193</v>
      </c>
      <c r="E233" s="17"/>
      <c r="F233" s="10"/>
      <c r="G233" s="10"/>
      <c r="H233" s="10"/>
      <c r="I233" s="11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</row>
    <row r="234" spans="1:33" x14ac:dyDescent="0.25">
      <c r="A234" s="8">
        <f t="shared" si="6"/>
        <v>231</v>
      </c>
      <c r="B234" s="3" t="s">
        <v>1238</v>
      </c>
      <c r="C234" s="3" t="s">
        <v>1239</v>
      </c>
      <c r="D234" s="3" t="s">
        <v>2</v>
      </c>
      <c r="E234" s="17"/>
      <c r="F234" s="10"/>
      <c r="G234" s="10"/>
      <c r="H234" s="10"/>
      <c r="I234" s="11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</row>
    <row r="235" spans="1:33" x14ac:dyDescent="0.25">
      <c r="A235" s="8">
        <f t="shared" si="6"/>
        <v>232</v>
      </c>
      <c r="B235" s="3" t="s">
        <v>1240</v>
      </c>
      <c r="C235" s="3" t="s">
        <v>1241</v>
      </c>
      <c r="D235" s="3" t="s">
        <v>10</v>
      </c>
      <c r="E235" s="17"/>
      <c r="F235" s="10"/>
      <c r="G235" s="10"/>
      <c r="H235" s="10"/>
      <c r="I235" s="11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</row>
    <row r="236" spans="1:33" x14ac:dyDescent="0.25">
      <c r="A236" s="8">
        <f t="shared" si="6"/>
        <v>233</v>
      </c>
      <c r="B236" s="3" t="s">
        <v>1242</v>
      </c>
      <c r="C236" s="3" t="s">
        <v>1243</v>
      </c>
      <c r="D236" s="3" t="s">
        <v>10</v>
      </c>
      <c r="E236" s="17"/>
      <c r="F236" s="10"/>
      <c r="G236" s="10"/>
      <c r="H236" s="10"/>
      <c r="I236" s="11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</row>
    <row r="237" spans="1:33" x14ac:dyDescent="0.25">
      <c r="A237" s="8">
        <f t="shared" si="6"/>
        <v>234</v>
      </c>
      <c r="B237" s="3" t="s">
        <v>1244</v>
      </c>
      <c r="C237" s="3" t="s">
        <v>1245</v>
      </c>
      <c r="D237" s="3" t="s">
        <v>2</v>
      </c>
      <c r="E237" s="17"/>
      <c r="F237" s="10"/>
      <c r="G237" s="10"/>
      <c r="H237" s="10"/>
      <c r="I237" s="11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</row>
    <row r="238" spans="1:33" x14ac:dyDescent="0.25">
      <c r="A238" s="8">
        <f t="shared" si="6"/>
        <v>235</v>
      </c>
      <c r="B238" s="3" t="s">
        <v>1246</v>
      </c>
      <c r="C238" s="3" t="s">
        <v>1247</v>
      </c>
      <c r="D238" s="3" t="s">
        <v>10</v>
      </c>
      <c r="E238" s="17"/>
      <c r="F238" s="10"/>
      <c r="G238" s="10"/>
      <c r="H238" s="10"/>
      <c r="I238" s="11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</row>
    <row r="239" spans="1:33" x14ac:dyDescent="0.25">
      <c r="A239" s="8">
        <f t="shared" si="6"/>
        <v>236</v>
      </c>
      <c r="B239" s="3" t="s">
        <v>1248</v>
      </c>
      <c r="C239" s="3" t="s">
        <v>1249</v>
      </c>
      <c r="D239" s="3" t="s">
        <v>61</v>
      </c>
      <c r="E239" s="17"/>
      <c r="F239" s="10"/>
      <c r="G239" s="10"/>
      <c r="H239" s="10"/>
      <c r="I239" s="11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</row>
    <row r="240" spans="1:33" x14ac:dyDescent="0.25">
      <c r="A240" s="8">
        <f t="shared" si="6"/>
        <v>237</v>
      </c>
      <c r="B240" s="3" t="s">
        <v>1250</v>
      </c>
      <c r="C240" s="3" t="s">
        <v>1251</v>
      </c>
      <c r="D240" s="3" t="s">
        <v>2</v>
      </c>
      <c r="E240" s="17"/>
      <c r="F240" s="10"/>
      <c r="G240" s="10"/>
      <c r="H240" s="10"/>
      <c r="I240" s="11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</row>
    <row r="241" spans="1:33" x14ac:dyDescent="0.25">
      <c r="A241" s="8">
        <f t="shared" si="6"/>
        <v>238</v>
      </c>
      <c r="B241" s="3" t="s">
        <v>1252</v>
      </c>
      <c r="C241" s="3" t="s">
        <v>1253</v>
      </c>
      <c r="D241" s="3" t="s">
        <v>266</v>
      </c>
      <c r="E241" s="17"/>
      <c r="F241" s="10"/>
      <c r="G241" s="10"/>
      <c r="H241" s="10"/>
      <c r="I241" s="11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</row>
    <row r="242" spans="1:33" x14ac:dyDescent="0.25">
      <c r="A242" s="8">
        <f t="shared" si="6"/>
        <v>239</v>
      </c>
      <c r="B242" s="3" t="s">
        <v>1254</v>
      </c>
      <c r="C242" s="3" t="s">
        <v>1255</v>
      </c>
      <c r="D242" s="3" t="s">
        <v>47</v>
      </c>
      <c r="E242" s="17"/>
      <c r="F242" s="10"/>
      <c r="G242" s="10"/>
      <c r="H242" s="10"/>
      <c r="I242" s="11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</row>
    <row r="243" spans="1:33" x14ac:dyDescent="0.25">
      <c r="A243" s="8">
        <f t="shared" si="6"/>
        <v>240</v>
      </c>
      <c r="B243" s="3" t="s">
        <v>1256</v>
      </c>
      <c r="C243" s="3" t="s">
        <v>1257</v>
      </c>
      <c r="D243" s="3" t="s">
        <v>179</v>
      </c>
      <c r="E243" s="17"/>
      <c r="F243" s="10"/>
      <c r="G243" s="10"/>
      <c r="H243" s="10"/>
      <c r="I243" s="11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</row>
    <row r="244" spans="1:33" x14ac:dyDescent="0.25">
      <c r="A244" s="8">
        <f t="shared" si="6"/>
        <v>241</v>
      </c>
      <c r="B244" s="3" t="s">
        <v>1258</v>
      </c>
      <c r="C244" s="3" t="s">
        <v>1259</v>
      </c>
      <c r="D244" s="3" t="s">
        <v>10</v>
      </c>
      <c r="E244" s="17"/>
      <c r="F244" s="10"/>
      <c r="G244" s="10"/>
      <c r="H244" s="10"/>
      <c r="I244" s="11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</row>
    <row r="245" spans="1:33" x14ac:dyDescent="0.25">
      <c r="A245" s="8">
        <f t="shared" si="6"/>
        <v>242</v>
      </c>
      <c r="B245" s="3" t="s">
        <v>1260</v>
      </c>
      <c r="C245" s="3" t="s">
        <v>1261</v>
      </c>
      <c r="D245" s="3" t="s">
        <v>47</v>
      </c>
      <c r="E245" s="17"/>
      <c r="F245" s="10"/>
      <c r="G245" s="10"/>
      <c r="H245" s="10"/>
      <c r="I245" s="11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</row>
    <row r="246" spans="1:33" x14ac:dyDescent="0.25">
      <c r="A246" s="8">
        <f t="shared" si="6"/>
        <v>243</v>
      </c>
      <c r="B246" s="3" t="s">
        <v>1262</v>
      </c>
      <c r="C246" s="3" t="s">
        <v>1263</v>
      </c>
      <c r="D246" s="3" t="s">
        <v>10</v>
      </c>
      <c r="E246" s="17"/>
      <c r="F246" s="10"/>
      <c r="G246" s="10"/>
      <c r="H246" s="10"/>
      <c r="I246" s="11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</row>
    <row r="247" spans="1:33" x14ac:dyDescent="0.25">
      <c r="A247" s="8">
        <f t="shared" si="6"/>
        <v>244</v>
      </c>
      <c r="B247" s="3" t="s">
        <v>1264</v>
      </c>
      <c r="C247" s="3" t="s">
        <v>1265</v>
      </c>
      <c r="D247" s="3" t="s">
        <v>10</v>
      </c>
      <c r="E247" s="17"/>
      <c r="F247" s="10"/>
      <c r="G247" s="10"/>
      <c r="H247" s="10"/>
      <c r="I247" s="11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</row>
    <row r="248" spans="1:33" x14ac:dyDescent="0.25">
      <c r="A248" s="8">
        <f t="shared" si="6"/>
        <v>245</v>
      </c>
      <c r="B248" s="3" t="s">
        <v>1266</v>
      </c>
      <c r="C248" s="3" t="s">
        <v>1267</v>
      </c>
      <c r="D248" s="3" t="s">
        <v>2</v>
      </c>
      <c r="E248" s="17"/>
      <c r="F248" s="10"/>
      <c r="G248" s="10"/>
      <c r="H248" s="10"/>
      <c r="I248" s="11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</row>
    <row r="249" spans="1:33" x14ac:dyDescent="0.25">
      <c r="A249" s="8">
        <f t="shared" si="6"/>
        <v>246</v>
      </c>
      <c r="B249" s="3" t="s">
        <v>1268</v>
      </c>
      <c r="C249" s="3" t="s">
        <v>1269</v>
      </c>
      <c r="D249" s="3" t="s">
        <v>10</v>
      </c>
      <c r="E249" s="17"/>
      <c r="F249" s="10"/>
      <c r="G249" s="10"/>
      <c r="H249" s="10"/>
      <c r="I249" s="11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</row>
    <row r="250" spans="1:33" x14ac:dyDescent="0.25">
      <c r="A250" s="8">
        <f t="shared" si="6"/>
        <v>247</v>
      </c>
      <c r="B250" s="3" t="s">
        <v>1270</v>
      </c>
      <c r="C250" s="3" t="s">
        <v>1271</v>
      </c>
      <c r="D250" s="3" t="s">
        <v>166</v>
      </c>
      <c r="E250" s="17"/>
      <c r="F250" s="10"/>
      <c r="G250" s="10"/>
      <c r="H250" s="10"/>
      <c r="I250" s="11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</row>
    <row r="251" spans="1:33" x14ac:dyDescent="0.25">
      <c r="A251" s="8">
        <f t="shared" si="6"/>
        <v>248</v>
      </c>
      <c r="B251" s="3" t="s">
        <v>1272</v>
      </c>
      <c r="C251" s="3" t="s">
        <v>1273</v>
      </c>
      <c r="D251" s="3" t="s">
        <v>10</v>
      </c>
      <c r="E251" s="17"/>
      <c r="F251" s="10"/>
      <c r="G251" s="10"/>
      <c r="H251" s="10"/>
      <c r="I251" s="11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</row>
    <row r="252" spans="1:33" x14ac:dyDescent="0.25">
      <c r="A252" s="8">
        <f t="shared" si="6"/>
        <v>249</v>
      </c>
      <c r="B252" s="3" t="s">
        <v>1274</v>
      </c>
      <c r="C252" s="3" t="s">
        <v>1275</v>
      </c>
      <c r="D252" s="3" t="s">
        <v>989</v>
      </c>
      <c r="E252" s="17"/>
      <c r="F252" s="10"/>
      <c r="G252" s="10"/>
      <c r="H252" s="10"/>
      <c r="I252" s="11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</row>
    <row r="253" spans="1:33" x14ac:dyDescent="0.25">
      <c r="A253" s="8">
        <f t="shared" si="6"/>
        <v>250</v>
      </c>
      <c r="B253" s="3" t="s">
        <v>1276</v>
      </c>
      <c r="C253" s="3" t="s">
        <v>1277</v>
      </c>
      <c r="D253" s="3" t="s">
        <v>186</v>
      </c>
      <c r="E253" s="17"/>
      <c r="F253" s="10"/>
      <c r="G253" s="10"/>
      <c r="H253" s="10"/>
      <c r="I253" s="11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</row>
    <row r="254" spans="1:33" x14ac:dyDescent="0.25">
      <c r="A254" s="8">
        <f t="shared" si="6"/>
        <v>251</v>
      </c>
      <c r="B254" s="3" t="s">
        <v>1278</v>
      </c>
      <c r="C254" s="3" t="s">
        <v>1279</v>
      </c>
      <c r="D254" s="3" t="s">
        <v>975</v>
      </c>
      <c r="E254" s="17"/>
      <c r="F254" s="10"/>
      <c r="G254" s="10"/>
      <c r="H254" s="10"/>
      <c r="I254" s="11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</row>
    <row r="255" spans="1:33" x14ac:dyDescent="0.25">
      <c r="A255" s="8">
        <f t="shared" si="6"/>
        <v>252</v>
      </c>
      <c r="B255" s="3" t="s">
        <v>1280</v>
      </c>
      <c r="C255" s="3" t="s">
        <v>1281</v>
      </c>
      <c r="D255" s="3" t="s">
        <v>10</v>
      </c>
      <c r="E255" s="17"/>
      <c r="F255" s="10"/>
      <c r="G255" s="10"/>
      <c r="H255" s="10"/>
      <c r="I255" s="11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</row>
    <row r="256" spans="1:33" x14ac:dyDescent="0.25">
      <c r="A256" s="8">
        <f t="shared" si="6"/>
        <v>253</v>
      </c>
      <c r="B256" s="3" t="s">
        <v>1282</v>
      </c>
      <c r="C256" s="3" t="s">
        <v>1283</v>
      </c>
      <c r="D256" s="3" t="s">
        <v>2</v>
      </c>
      <c r="E256" s="17"/>
      <c r="F256" s="10"/>
      <c r="G256" s="10"/>
      <c r="H256" s="10"/>
      <c r="I256" s="11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</row>
    <row r="257" spans="1:33" x14ac:dyDescent="0.25">
      <c r="A257" s="8">
        <f t="shared" si="6"/>
        <v>254</v>
      </c>
      <c r="B257" s="3" t="s">
        <v>1284</v>
      </c>
      <c r="C257" s="3" t="s">
        <v>1285</v>
      </c>
      <c r="D257" s="3" t="s">
        <v>47</v>
      </c>
      <c r="E257" s="17"/>
      <c r="F257" s="10"/>
      <c r="G257" s="10"/>
      <c r="H257" s="10"/>
      <c r="I257" s="11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</row>
    <row r="258" spans="1:33" x14ac:dyDescent="0.25">
      <c r="A258" s="8">
        <f t="shared" si="6"/>
        <v>255</v>
      </c>
      <c r="B258" s="3" t="s">
        <v>1286</v>
      </c>
      <c r="C258" s="3" t="s">
        <v>1287</v>
      </c>
      <c r="D258" s="3" t="s">
        <v>119</v>
      </c>
      <c r="E258" s="17"/>
      <c r="F258" s="10"/>
      <c r="G258" s="10"/>
      <c r="H258" s="10"/>
      <c r="I258" s="11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</row>
    <row r="259" spans="1:33" x14ac:dyDescent="0.25">
      <c r="A259" s="8">
        <f t="shared" si="6"/>
        <v>256</v>
      </c>
      <c r="B259" s="3" t="s">
        <v>1288</v>
      </c>
      <c r="C259" s="3" t="s">
        <v>1289</v>
      </c>
      <c r="D259" s="3" t="s">
        <v>47</v>
      </c>
      <c r="E259" s="17"/>
      <c r="F259" s="10"/>
      <c r="G259" s="10"/>
      <c r="H259" s="10"/>
      <c r="I259" s="11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</row>
    <row r="260" spans="1:33" x14ac:dyDescent="0.25">
      <c r="A260" s="8">
        <f t="shared" si="6"/>
        <v>257</v>
      </c>
      <c r="B260" s="3" t="s">
        <v>1290</v>
      </c>
      <c r="C260" s="3" t="s">
        <v>1291</v>
      </c>
      <c r="D260" s="3" t="s">
        <v>56</v>
      </c>
      <c r="E260" s="17"/>
      <c r="F260" s="10"/>
      <c r="G260" s="10"/>
      <c r="H260" s="10"/>
      <c r="I260" s="11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</row>
    <row r="261" spans="1:33" x14ac:dyDescent="0.25">
      <c r="A261" s="8">
        <f t="shared" si="6"/>
        <v>258</v>
      </c>
      <c r="B261" s="3" t="s">
        <v>1292</v>
      </c>
      <c r="C261" s="3" t="s">
        <v>1293</v>
      </c>
      <c r="D261" s="3" t="s">
        <v>10</v>
      </c>
      <c r="E261" s="17"/>
      <c r="F261" s="10"/>
      <c r="G261" s="10"/>
      <c r="H261" s="10"/>
      <c r="I261" s="11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</row>
    <row r="262" spans="1:33" x14ac:dyDescent="0.25">
      <c r="A262" s="8">
        <f t="shared" si="6"/>
        <v>259</v>
      </c>
      <c r="B262" s="3" t="s">
        <v>1294</v>
      </c>
      <c r="C262" s="3" t="s">
        <v>1295</v>
      </c>
      <c r="D262" s="3" t="s">
        <v>13</v>
      </c>
      <c r="E262" s="17"/>
      <c r="F262" s="10"/>
      <c r="G262" s="10"/>
      <c r="H262" s="10"/>
      <c r="I262" s="11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</row>
    <row r="263" spans="1:33" x14ac:dyDescent="0.25">
      <c r="A263" s="8">
        <f t="shared" si="6"/>
        <v>260</v>
      </c>
      <c r="B263" s="3" t="s">
        <v>1296</v>
      </c>
      <c r="C263" s="3" t="s">
        <v>1297</v>
      </c>
      <c r="D263" s="3" t="s">
        <v>2</v>
      </c>
      <c r="E263" s="17"/>
      <c r="F263" s="10"/>
      <c r="G263" s="10"/>
      <c r="H263" s="10"/>
      <c r="I263" s="11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</row>
    <row r="264" spans="1:33" x14ac:dyDescent="0.25">
      <c r="A264" s="8">
        <f t="shared" si="6"/>
        <v>261</v>
      </c>
      <c r="B264" s="3" t="s">
        <v>1298</v>
      </c>
      <c r="C264" s="3" t="s">
        <v>1299</v>
      </c>
      <c r="D264" s="3" t="s">
        <v>10</v>
      </c>
      <c r="E264" s="17"/>
      <c r="F264" s="10"/>
      <c r="G264" s="10"/>
      <c r="H264" s="10"/>
      <c r="I264" s="11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</row>
    <row r="265" spans="1:33" x14ac:dyDescent="0.25">
      <c r="A265" s="8">
        <f t="shared" si="6"/>
        <v>262</v>
      </c>
      <c r="B265" s="3" t="s">
        <v>1300</v>
      </c>
      <c r="C265" s="3" t="s">
        <v>1301</v>
      </c>
      <c r="D265" s="3" t="s">
        <v>56</v>
      </c>
      <c r="E265" s="17"/>
      <c r="F265" s="10"/>
      <c r="G265" s="10"/>
      <c r="H265" s="10"/>
      <c r="I265" s="11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</row>
    <row r="266" spans="1:33" x14ac:dyDescent="0.25">
      <c r="A266" s="8">
        <f t="shared" si="6"/>
        <v>263</v>
      </c>
      <c r="B266" s="3" t="s">
        <v>1302</v>
      </c>
      <c r="C266" s="3" t="s">
        <v>1303</v>
      </c>
      <c r="D266" s="3" t="s">
        <v>10</v>
      </c>
      <c r="E266" s="17"/>
      <c r="F266" s="10"/>
      <c r="G266" s="10"/>
      <c r="H266" s="10"/>
      <c r="I266" s="11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</row>
    <row r="267" spans="1:33" x14ac:dyDescent="0.25">
      <c r="A267" s="8">
        <f t="shared" si="6"/>
        <v>264</v>
      </c>
      <c r="B267" s="3" t="s">
        <v>1304</v>
      </c>
      <c r="C267" s="3" t="s">
        <v>1305</v>
      </c>
      <c r="D267" s="3" t="s">
        <v>2</v>
      </c>
      <c r="E267" s="17"/>
      <c r="F267" s="10"/>
      <c r="G267" s="10"/>
      <c r="H267" s="10"/>
      <c r="I267" s="11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</row>
    <row r="268" spans="1:33" x14ac:dyDescent="0.25">
      <c r="A268" s="8">
        <f t="shared" si="6"/>
        <v>265</v>
      </c>
      <c r="B268" s="3" t="s">
        <v>1306</v>
      </c>
      <c r="C268" s="3" t="s">
        <v>1307</v>
      </c>
      <c r="D268" s="3" t="s">
        <v>2</v>
      </c>
      <c r="E268" s="17"/>
      <c r="F268" s="10"/>
      <c r="G268" s="10"/>
      <c r="H268" s="10"/>
      <c r="I268" s="11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</row>
    <row r="269" spans="1:33" x14ac:dyDescent="0.25">
      <c r="A269" s="8">
        <f t="shared" si="6"/>
        <v>266</v>
      </c>
      <c r="B269" s="3" t="s">
        <v>1308</v>
      </c>
      <c r="C269" s="3" t="s">
        <v>1309</v>
      </c>
      <c r="D269" s="3" t="s">
        <v>5</v>
      </c>
      <c r="E269" s="17"/>
      <c r="F269" s="10"/>
      <c r="G269" s="10"/>
      <c r="H269" s="10"/>
      <c r="I269" s="11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</row>
    <row r="270" spans="1:33" x14ac:dyDescent="0.25">
      <c r="A270" s="8">
        <f t="shared" si="6"/>
        <v>267</v>
      </c>
      <c r="B270" s="3" t="s">
        <v>1310</v>
      </c>
      <c r="C270" s="3" t="s">
        <v>1311</v>
      </c>
      <c r="D270" s="3" t="s">
        <v>10</v>
      </c>
      <c r="E270" s="17"/>
      <c r="F270" s="10"/>
      <c r="G270" s="10"/>
      <c r="H270" s="10"/>
      <c r="I270" s="11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</row>
    <row r="271" spans="1:33" x14ac:dyDescent="0.25">
      <c r="A271" s="8">
        <f t="shared" si="6"/>
        <v>268</v>
      </c>
      <c r="B271" s="3" t="s">
        <v>1312</v>
      </c>
      <c r="C271" s="3" t="s">
        <v>1313</v>
      </c>
      <c r="D271" s="3" t="s">
        <v>31</v>
      </c>
      <c r="E271" s="17"/>
      <c r="F271" s="10"/>
      <c r="G271" s="10"/>
      <c r="H271" s="10"/>
      <c r="I271" s="11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</row>
    <row r="272" spans="1:33" x14ac:dyDescent="0.25">
      <c r="A272" s="8">
        <f t="shared" si="6"/>
        <v>269</v>
      </c>
      <c r="B272" s="3" t="s">
        <v>1314</v>
      </c>
      <c r="C272" s="3" t="s">
        <v>1315</v>
      </c>
      <c r="D272" s="3" t="s">
        <v>31</v>
      </c>
      <c r="E272" s="17"/>
      <c r="F272" s="10"/>
      <c r="G272" s="10"/>
      <c r="H272" s="10"/>
      <c r="I272" s="11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</row>
    <row r="273" spans="1:33" x14ac:dyDescent="0.25">
      <c r="A273" s="8">
        <f t="shared" si="6"/>
        <v>270</v>
      </c>
      <c r="B273" s="3" t="s">
        <v>1316</v>
      </c>
      <c r="C273" s="3" t="s">
        <v>1317</v>
      </c>
      <c r="D273" s="3" t="s">
        <v>10</v>
      </c>
      <c r="E273" s="17"/>
      <c r="F273" s="10"/>
      <c r="G273" s="10"/>
      <c r="H273" s="10"/>
      <c r="I273" s="11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</row>
    <row r="274" spans="1:33" x14ac:dyDescent="0.25">
      <c r="A274" s="8">
        <f t="shared" si="6"/>
        <v>271</v>
      </c>
      <c r="B274" s="3" t="s">
        <v>1318</v>
      </c>
      <c r="C274" s="3" t="s">
        <v>1319</v>
      </c>
      <c r="D274" s="3" t="s">
        <v>2</v>
      </c>
      <c r="E274" s="17"/>
      <c r="F274" s="10"/>
      <c r="G274" s="10"/>
      <c r="H274" s="10"/>
      <c r="I274" s="11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</row>
    <row r="275" spans="1:33" x14ac:dyDescent="0.25">
      <c r="A275" s="8">
        <f t="shared" si="6"/>
        <v>272</v>
      </c>
      <c r="B275" s="3" t="s">
        <v>1320</v>
      </c>
      <c r="C275" s="3" t="s">
        <v>1321</v>
      </c>
      <c r="D275" s="3" t="s">
        <v>10</v>
      </c>
      <c r="E275" s="17"/>
      <c r="F275" s="10"/>
      <c r="G275" s="10"/>
      <c r="H275" s="10"/>
      <c r="I275" s="11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</row>
    <row r="276" spans="1:33" x14ac:dyDescent="0.25">
      <c r="A276" s="8">
        <f t="shared" si="6"/>
        <v>273</v>
      </c>
      <c r="B276" s="3" t="s">
        <v>1322</v>
      </c>
      <c r="C276" s="3" t="s">
        <v>1323</v>
      </c>
      <c r="D276" s="3" t="s">
        <v>47</v>
      </c>
      <c r="E276" s="17"/>
      <c r="F276" s="10"/>
      <c r="G276" s="10"/>
      <c r="H276" s="10"/>
      <c r="I276" s="11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</row>
    <row r="277" spans="1:33" x14ac:dyDescent="0.25">
      <c r="A277" s="8">
        <f t="shared" si="6"/>
        <v>274</v>
      </c>
      <c r="B277" s="3" t="s">
        <v>1324</v>
      </c>
      <c r="C277" s="3" t="s">
        <v>1325</v>
      </c>
      <c r="D277" s="3" t="s">
        <v>10</v>
      </c>
      <c r="E277" s="17"/>
      <c r="F277" s="10"/>
      <c r="G277" s="10"/>
      <c r="H277" s="10"/>
      <c r="I277" s="11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</row>
    <row r="278" spans="1:33" x14ac:dyDescent="0.25">
      <c r="A278" s="8">
        <f t="shared" si="6"/>
        <v>275</v>
      </c>
      <c r="B278" s="3" t="s">
        <v>1326</v>
      </c>
      <c r="C278" s="3" t="s">
        <v>1327</v>
      </c>
      <c r="D278" s="3" t="s">
        <v>56</v>
      </c>
      <c r="E278" s="17"/>
      <c r="F278" s="10"/>
      <c r="G278" s="10"/>
      <c r="H278" s="10"/>
      <c r="I278" s="11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</row>
    <row r="279" spans="1:33" x14ac:dyDescent="0.25">
      <c r="A279" s="8">
        <f t="shared" si="6"/>
        <v>276</v>
      </c>
      <c r="B279" s="3" t="s">
        <v>1328</v>
      </c>
      <c r="C279" s="3" t="s">
        <v>1329</v>
      </c>
      <c r="D279" s="3" t="s">
        <v>10</v>
      </c>
      <c r="E279" s="17"/>
      <c r="F279" s="10"/>
      <c r="G279" s="10"/>
      <c r="H279" s="10"/>
      <c r="I279" s="11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</row>
    <row r="280" spans="1:33" x14ac:dyDescent="0.25">
      <c r="A280" s="8">
        <f t="shared" si="6"/>
        <v>277</v>
      </c>
      <c r="B280" s="3" t="s">
        <v>1330</v>
      </c>
      <c r="C280" s="3" t="s">
        <v>1331</v>
      </c>
      <c r="D280" s="3" t="s">
        <v>266</v>
      </c>
      <c r="E280" s="17"/>
      <c r="F280" s="10"/>
      <c r="G280" s="10"/>
      <c r="H280" s="10"/>
      <c r="I280" s="11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</row>
    <row r="281" spans="1:33" x14ac:dyDescent="0.25">
      <c r="A281" s="8">
        <f t="shared" si="6"/>
        <v>278</v>
      </c>
      <c r="B281" s="3" t="s">
        <v>1332</v>
      </c>
      <c r="C281" s="3" t="s">
        <v>288</v>
      </c>
      <c r="D281" s="3" t="s">
        <v>266</v>
      </c>
      <c r="E281" s="17"/>
      <c r="F281" s="10"/>
      <c r="G281" s="10"/>
      <c r="H281" s="10"/>
      <c r="I281" s="11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</row>
    <row r="282" spans="1:33" x14ac:dyDescent="0.25">
      <c r="A282" s="8">
        <f t="shared" si="6"/>
        <v>279</v>
      </c>
      <c r="B282" s="3" t="s">
        <v>1333</v>
      </c>
      <c r="C282" s="3" t="s">
        <v>1334</v>
      </c>
      <c r="D282" s="3" t="s">
        <v>10</v>
      </c>
      <c r="E282" s="17"/>
      <c r="F282" s="10"/>
      <c r="G282" s="10"/>
      <c r="H282" s="10"/>
      <c r="I282" s="11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</row>
    <row r="283" spans="1:33" x14ac:dyDescent="0.25">
      <c r="A283" s="8">
        <f t="shared" si="6"/>
        <v>280</v>
      </c>
      <c r="B283" s="3" t="s">
        <v>1335</v>
      </c>
      <c r="C283" s="3" t="s">
        <v>1336</v>
      </c>
      <c r="D283" s="3" t="s">
        <v>166</v>
      </c>
      <c r="E283" s="17"/>
      <c r="F283" s="10"/>
      <c r="G283" s="10"/>
      <c r="H283" s="10"/>
      <c r="I283" s="11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</row>
    <row r="284" spans="1:33" x14ac:dyDescent="0.25">
      <c r="A284" s="8">
        <f t="shared" si="6"/>
        <v>281</v>
      </c>
      <c r="B284" s="3" t="s">
        <v>1337</v>
      </c>
      <c r="C284" s="3" t="s">
        <v>1338</v>
      </c>
      <c r="D284" s="3" t="s">
        <v>975</v>
      </c>
      <c r="E284" s="17"/>
      <c r="F284" s="10"/>
      <c r="G284" s="10"/>
      <c r="H284" s="10"/>
      <c r="I284" s="11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</row>
    <row r="285" spans="1:33" x14ac:dyDescent="0.25">
      <c r="A285" s="8">
        <f t="shared" si="6"/>
        <v>282</v>
      </c>
      <c r="B285" s="3" t="s">
        <v>1339</v>
      </c>
      <c r="C285" s="3" t="s">
        <v>1340</v>
      </c>
      <c r="D285" s="3" t="s">
        <v>2</v>
      </c>
      <c r="E285" s="17"/>
      <c r="F285" s="10"/>
      <c r="G285" s="10"/>
      <c r="H285" s="10"/>
      <c r="I285" s="11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</row>
    <row r="286" spans="1:33" x14ac:dyDescent="0.25">
      <c r="A286" s="8">
        <f t="shared" si="6"/>
        <v>283</v>
      </c>
      <c r="B286" s="3" t="s">
        <v>1341</v>
      </c>
      <c r="C286" s="3" t="s">
        <v>1342</v>
      </c>
      <c r="D286" s="3" t="s">
        <v>10</v>
      </c>
      <c r="E286" s="17"/>
      <c r="F286" s="10"/>
      <c r="G286" s="10"/>
      <c r="H286" s="10"/>
      <c r="I286" s="11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</row>
    <row r="287" spans="1:33" x14ac:dyDescent="0.25">
      <c r="A287" s="8">
        <f t="shared" si="6"/>
        <v>284</v>
      </c>
      <c r="B287" s="3" t="s">
        <v>1343</v>
      </c>
      <c r="C287" s="3" t="s">
        <v>1344</v>
      </c>
      <c r="D287" s="3" t="s">
        <v>186</v>
      </c>
      <c r="E287" s="17"/>
      <c r="F287" s="10"/>
      <c r="G287" s="10"/>
      <c r="H287" s="10"/>
      <c r="I287" s="11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</row>
    <row r="288" spans="1:33" x14ac:dyDescent="0.25">
      <c r="A288" s="8">
        <f t="shared" si="6"/>
        <v>285</v>
      </c>
      <c r="B288" s="3" t="s">
        <v>1345</v>
      </c>
      <c r="C288" s="3" t="s">
        <v>1346</v>
      </c>
      <c r="D288" s="3" t="s">
        <v>179</v>
      </c>
      <c r="E288" s="17"/>
      <c r="F288" s="10"/>
      <c r="G288" s="10"/>
      <c r="H288" s="10"/>
      <c r="I288" s="11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</row>
    <row r="289" spans="1:33" x14ac:dyDescent="0.25">
      <c r="A289" s="8">
        <f t="shared" si="6"/>
        <v>286</v>
      </c>
      <c r="B289" s="3" t="s">
        <v>1347</v>
      </c>
      <c r="C289" s="3" t="s">
        <v>1348</v>
      </c>
      <c r="D289" s="3" t="s">
        <v>2</v>
      </c>
      <c r="E289" s="17"/>
      <c r="F289" s="10"/>
      <c r="G289" s="10"/>
      <c r="H289" s="10"/>
      <c r="I289" s="11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</row>
    <row r="290" spans="1:33" x14ac:dyDescent="0.25">
      <c r="A290" s="8">
        <f t="shared" si="6"/>
        <v>287</v>
      </c>
      <c r="B290" s="3" t="s">
        <v>1349</v>
      </c>
      <c r="C290" s="3" t="s">
        <v>1350</v>
      </c>
      <c r="D290" s="3" t="s">
        <v>2</v>
      </c>
      <c r="E290" s="17"/>
      <c r="F290" s="10"/>
      <c r="G290" s="10"/>
      <c r="H290" s="10"/>
      <c r="I290" s="11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</row>
    <row r="291" spans="1:33" x14ac:dyDescent="0.25">
      <c r="A291" s="8">
        <f t="shared" si="6"/>
        <v>288</v>
      </c>
      <c r="B291" s="3" t="s">
        <v>1351</v>
      </c>
      <c r="C291" s="3" t="s">
        <v>1352</v>
      </c>
      <c r="D291" s="3" t="s">
        <v>47</v>
      </c>
      <c r="E291" s="17"/>
      <c r="F291" s="10"/>
      <c r="G291" s="10"/>
      <c r="H291" s="10"/>
      <c r="I291" s="11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</row>
    <row r="292" spans="1:33" x14ac:dyDescent="0.25">
      <c r="A292" s="8">
        <f t="shared" si="6"/>
        <v>289</v>
      </c>
      <c r="B292" s="3" t="s">
        <v>1353</v>
      </c>
      <c r="C292" s="3" t="s">
        <v>1354</v>
      </c>
      <c r="D292" s="3" t="s">
        <v>10</v>
      </c>
      <c r="E292" s="17"/>
      <c r="F292" s="10"/>
      <c r="G292" s="10"/>
      <c r="H292" s="10"/>
      <c r="I292" s="11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</row>
    <row r="293" spans="1:33" x14ac:dyDescent="0.25">
      <c r="A293" s="8">
        <f t="shared" ref="A293:A356" si="7">+A292+1</f>
        <v>290</v>
      </c>
      <c r="B293" s="3" t="s">
        <v>1355</v>
      </c>
      <c r="C293" s="3" t="s">
        <v>1356</v>
      </c>
      <c r="D293" s="3" t="s">
        <v>10</v>
      </c>
      <c r="E293" s="17"/>
      <c r="F293" s="10"/>
      <c r="G293" s="10"/>
      <c r="H293" s="10"/>
      <c r="I293" s="11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</row>
    <row r="294" spans="1:33" x14ac:dyDescent="0.25">
      <c r="A294" s="8">
        <f t="shared" si="7"/>
        <v>291</v>
      </c>
      <c r="B294" s="3" t="s">
        <v>1357</v>
      </c>
      <c r="C294" s="3" t="s">
        <v>1358</v>
      </c>
      <c r="D294" s="3" t="s">
        <v>10</v>
      </c>
      <c r="E294" s="17"/>
      <c r="F294" s="10"/>
      <c r="G294" s="10"/>
      <c r="H294" s="10"/>
      <c r="I294" s="11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</row>
    <row r="295" spans="1:33" x14ac:dyDescent="0.25">
      <c r="A295" s="8">
        <f t="shared" si="7"/>
        <v>292</v>
      </c>
      <c r="B295" s="3" t="s">
        <v>1359</v>
      </c>
      <c r="C295" s="3" t="s">
        <v>1360</v>
      </c>
      <c r="D295" s="3" t="s">
        <v>10</v>
      </c>
      <c r="E295" s="17"/>
      <c r="F295" s="10"/>
      <c r="G295" s="10"/>
      <c r="H295" s="10"/>
      <c r="I295" s="11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</row>
    <row r="296" spans="1:33" x14ac:dyDescent="0.25">
      <c r="A296" s="8">
        <f t="shared" si="7"/>
        <v>293</v>
      </c>
      <c r="B296" s="3" t="s">
        <v>1361</v>
      </c>
      <c r="C296" s="3" t="s">
        <v>1362</v>
      </c>
      <c r="D296" s="3" t="s">
        <v>2</v>
      </c>
      <c r="E296" s="17"/>
      <c r="F296" s="10"/>
      <c r="G296" s="10"/>
      <c r="H296" s="10"/>
      <c r="I296" s="11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</row>
    <row r="297" spans="1:33" x14ac:dyDescent="0.25">
      <c r="A297" s="8">
        <f t="shared" si="7"/>
        <v>294</v>
      </c>
      <c r="B297" s="3" t="s">
        <v>1363</v>
      </c>
      <c r="C297" s="3" t="s">
        <v>1364</v>
      </c>
      <c r="D297" s="3" t="s">
        <v>10</v>
      </c>
      <c r="E297" s="17"/>
      <c r="F297" s="10"/>
      <c r="G297" s="10"/>
      <c r="H297" s="10"/>
      <c r="I297" s="11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</row>
    <row r="298" spans="1:33" x14ac:dyDescent="0.25">
      <c r="A298" s="8">
        <f t="shared" si="7"/>
        <v>295</v>
      </c>
      <c r="B298" s="3" t="s">
        <v>1365</v>
      </c>
      <c r="C298" s="3" t="s">
        <v>1366</v>
      </c>
      <c r="D298" s="3" t="s">
        <v>987</v>
      </c>
      <c r="E298" s="17"/>
      <c r="F298" s="10"/>
      <c r="G298" s="10"/>
      <c r="H298" s="10"/>
      <c r="I298" s="11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</row>
    <row r="299" spans="1:33" x14ac:dyDescent="0.25">
      <c r="A299" s="8">
        <f t="shared" si="7"/>
        <v>296</v>
      </c>
      <c r="B299" s="3" t="s">
        <v>1367</v>
      </c>
      <c r="C299" s="3" t="s">
        <v>1368</v>
      </c>
      <c r="D299" s="3" t="s">
        <v>2</v>
      </c>
      <c r="E299" s="17"/>
      <c r="F299" s="10"/>
      <c r="G299" s="10"/>
      <c r="H299" s="10"/>
      <c r="I299" s="11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</row>
    <row r="300" spans="1:33" x14ac:dyDescent="0.25">
      <c r="A300" s="8">
        <f t="shared" si="7"/>
        <v>297</v>
      </c>
      <c r="B300" s="3" t="s">
        <v>1369</v>
      </c>
      <c r="C300" s="3" t="s">
        <v>1370</v>
      </c>
      <c r="D300" s="3" t="s">
        <v>179</v>
      </c>
      <c r="E300" s="17"/>
      <c r="F300" s="10"/>
      <c r="G300" s="10"/>
      <c r="H300" s="10"/>
      <c r="I300" s="11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</row>
    <row r="301" spans="1:33" x14ac:dyDescent="0.25">
      <c r="A301" s="8">
        <f t="shared" si="7"/>
        <v>298</v>
      </c>
      <c r="B301" s="3" t="s">
        <v>1371</v>
      </c>
      <c r="C301" s="3" t="s">
        <v>1372</v>
      </c>
      <c r="D301" s="3" t="s">
        <v>47</v>
      </c>
      <c r="E301" s="17"/>
      <c r="F301" s="10"/>
      <c r="G301" s="10"/>
      <c r="H301" s="10"/>
      <c r="I301" s="11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</row>
    <row r="302" spans="1:33" x14ac:dyDescent="0.25">
      <c r="A302" s="8">
        <f t="shared" si="7"/>
        <v>299</v>
      </c>
      <c r="B302" s="3" t="s">
        <v>1373</v>
      </c>
      <c r="C302" s="3" t="s">
        <v>1374</v>
      </c>
      <c r="D302" s="3" t="s">
        <v>10</v>
      </c>
      <c r="E302" s="17"/>
      <c r="F302" s="10"/>
      <c r="G302" s="10"/>
      <c r="H302" s="10"/>
      <c r="I302" s="11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</row>
    <row r="303" spans="1:33" x14ac:dyDescent="0.25">
      <c r="A303" s="8">
        <f t="shared" si="7"/>
        <v>300</v>
      </c>
      <c r="B303" s="3" t="s">
        <v>1375</v>
      </c>
      <c r="C303" s="3" t="s">
        <v>1376</v>
      </c>
      <c r="D303" s="3" t="s">
        <v>10</v>
      </c>
      <c r="E303" s="17"/>
      <c r="F303" s="10"/>
      <c r="G303" s="10"/>
      <c r="H303" s="10"/>
      <c r="I303" s="11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</row>
    <row r="304" spans="1:33" x14ac:dyDescent="0.25">
      <c r="A304" s="8">
        <f t="shared" si="7"/>
        <v>301</v>
      </c>
      <c r="B304" s="3" t="s">
        <v>1377</v>
      </c>
      <c r="C304" s="3" t="s">
        <v>1378</v>
      </c>
      <c r="D304" s="3" t="s">
        <v>10</v>
      </c>
      <c r="E304" s="17"/>
      <c r="F304" s="10"/>
      <c r="G304" s="10"/>
      <c r="H304" s="10"/>
      <c r="I304" s="11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</row>
    <row r="305" spans="1:33" x14ac:dyDescent="0.25">
      <c r="A305" s="8">
        <f t="shared" si="7"/>
        <v>302</v>
      </c>
      <c r="B305" s="3" t="s">
        <v>1379</v>
      </c>
      <c r="C305" s="3" t="s">
        <v>1380</v>
      </c>
      <c r="D305" s="3" t="s">
        <v>31</v>
      </c>
      <c r="E305" s="17"/>
      <c r="F305" s="10"/>
      <c r="G305" s="10"/>
      <c r="H305" s="10"/>
      <c r="I305" s="11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</row>
    <row r="306" spans="1:33" x14ac:dyDescent="0.25">
      <c r="A306" s="8">
        <f t="shared" si="7"/>
        <v>303</v>
      </c>
      <c r="B306" s="3" t="s">
        <v>1381</v>
      </c>
      <c r="C306" s="3" t="s">
        <v>1382</v>
      </c>
      <c r="D306" s="3" t="s">
        <v>56</v>
      </c>
      <c r="E306" s="17"/>
      <c r="F306" s="10"/>
      <c r="G306" s="10"/>
      <c r="H306" s="10"/>
      <c r="I306" s="11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</row>
    <row r="307" spans="1:33" x14ac:dyDescent="0.25">
      <c r="A307" s="8">
        <f t="shared" si="7"/>
        <v>304</v>
      </c>
      <c r="B307" s="3" t="s">
        <v>1383</v>
      </c>
      <c r="C307" s="3" t="s">
        <v>1384</v>
      </c>
      <c r="D307" s="3" t="s">
        <v>2</v>
      </c>
      <c r="E307" s="17"/>
      <c r="F307" s="10"/>
      <c r="G307" s="10"/>
      <c r="H307" s="10"/>
      <c r="I307" s="11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</row>
    <row r="308" spans="1:33" x14ac:dyDescent="0.25">
      <c r="A308" s="8">
        <f t="shared" si="7"/>
        <v>305</v>
      </c>
      <c r="B308" s="3" t="s">
        <v>1385</v>
      </c>
      <c r="C308" s="3" t="s">
        <v>1386</v>
      </c>
      <c r="D308" s="3" t="s">
        <v>2</v>
      </c>
      <c r="E308" s="17"/>
      <c r="F308" s="10"/>
      <c r="G308" s="10"/>
      <c r="H308" s="10"/>
      <c r="I308" s="11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</row>
    <row r="309" spans="1:33" x14ac:dyDescent="0.25">
      <c r="A309" s="8">
        <f t="shared" si="7"/>
        <v>306</v>
      </c>
      <c r="B309" s="3" t="s">
        <v>1387</v>
      </c>
      <c r="C309" s="3" t="s">
        <v>1388</v>
      </c>
      <c r="D309" s="3" t="s">
        <v>10</v>
      </c>
      <c r="E309" s="17"/>
      <c r="F309" s="10"/>
      <c r="G309" s="10"/>
      <c r="H309" s="10"/>
      <c r="I309" s="11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</row>
    <row r="310" spans="1:33" x14ac:dyDescent="0.25">
      <c r="A310" s="8">
        <f t="shared" si="7"/>
        <v>307</v>
      </c>
      <c r="B310" s="3" t="s">
        <v>1389</v>
      </c>
      <c r="C310" s="3" t="s">
        <v>1390</v>
      </c>
      <c r="D310" s="3" t="s">
        <v>56</v>
      </c>
      <c r="E310" s="17"/>
      <c r="F310" s="10"/>
      <c r="G310" s="10"/>
      <c r="H310" s="10"/>
      <c r="I310" s="11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</row>
    <row r="311" spans="1:33" x14ac:dyDescent="0.25">
      <c r="A311" s="8">
        <f t="shared" si="7"/>
        <v>308</v>
      </c>
      <c r="B311" s="3" t="s">
        <v>1391</v>
      </c>
      <c r="C311" s="3" t="s">
        <v>1392</v>
      </c>
      <c r="D311" s="3" t="s">
        <v>2</v>
      </c>
      <c r="E311" s="17"/>
      <c r="F311" s="10"/>
      <c r="G311" s="10"/>
      <c r="H311" s="10"/>
      <c r="I311" s="11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</row>
    <row r="312" spans="1:33" x14ac:dyDescent="0.25">
      <c r="A312" s="8">
        <f t="shared" si="7"/>
        <v>309</v>
      </c>
      <c r="B312" s="3" t="s">
        <v>1393</v>
      </c>
      <c r="C312" s="3" t="s">
        <v>1394</v>
      </c>
      <c r="D312" s="3" t="s">
        <v>2</v>
      </c>
      <c r="E312" s="17"/>
      <c r="F312" s="10"/>
      <c r="G312" s="10"/>
      <c r="H312" s="10"/>
      <c r="I312" s="11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</row>
    <row r="313" spans="1:33" x14ac:dyDescent="0.25">
      <c r="A313" s="8">
        <f t="shared" si="7"/>
        <v>310</v>
      </c>
      <c r="B313" s="3" t="s">
        <v>1395</v>
      </c>
      <c r="C313" s="3" t="s">
        <v>1396</v>
      </c>
      <c r="D313" s="3" t="s">
        <v>977</v>
      </c>
      <c r="E313" s="17"/>
      <c r="F313" s="10"/>
      <c r="G313" s="10"/>
      <c r="H313" s="10"/>
      <c r="I313" s="11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</row>
    <row r="314" spans="1:33" x14ac:dyDescent="0.25">
      <c r="A314" s="8">
        <f t="shared" si="7"/>
        <v>311</v>
      </c>
      <c r="B314" s="3" t="s">
        <v>1397</v>
      </c>
      <c r="C314" s="3" t="s">
        <v>1398</v>
      </c>
      <c r="D314" s="3" t="s">
        <v>2</v>
      </c>
      <c r="E314" s="17"/>
      <c r="F314" s="10"/>
      <c r="G314" s="10"/>
      <c r="H314" s="10"/>
      <c r="I314" s="11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</row>
    <row r="315" spans="1:33" x14ac:dyDescent="0.25">
      <c r="A315" s="8">
        <f t="shared" si="7"/>
        <v>312</v>
      </c>
      <c r="B315" s="3" t="s">
        <v>1399</v>
      </c>
      <c r="C315" s="3" t="s">
        <v>1400</v>
      </c>
      <c r="D315" s="3" t="s">
        <v>31</v>
      </c>
      <c r="E315" s="17"/>
      <c r="F315" s="10"/>
      <c r="G315" s="10"/>
      <c r="H315" s="10"/>
      <c r="I315" s="11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</row>
    <row r="316" spans="1:33" x14ac:dyDescent="0.25">
      <c r="A316" s="8">
        <f t="shared" si="7"/>
        <v>313</v>
      </c>
      <c r="B316" s="3" t="s">
        <v>1401</v>
      </c>
      <c r="C316" s="3" t="s">
        <v>1402</v>
      </c>
      <c r="D316" s="3" t="s">
        <v>10</v>
      </c>
      <c r="E316" s="17"/>
      <c r="F316" s="10"/>
      <c r="G316" s="10"/>
      <c r="H316" s="10"/>
      <c r="I316" s="11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</row>
    <row r="317" spans="1:33" x14ac:dyDescent="0.25">
      <c r="A317" s="8">
        <f t="shared" si="7"/>
        <v>314</v>
      </c>
      <c r="B317" s="3" t="s">
        <v>1403</v>
      </c>
      <c r="C317" s="3" t="s">
        <v>1404</v>
      </c>
      <c r="D317" s="3" t="s">
        <v>47</v>
      </c>
      <c r="E317" s="17"/>
      <c r="F317" s="10"/>
      <c r="G317" s="10"/>
      <c r="H317" s="10"/>
      <c r="I317" s="11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</row>
    <row r="318" spans="1:33" x14ac:dyDescent="0.25">
      <c r="A318" s="8">
        <f t="shared" si="7"/>
        <v>315</v>
      </c>
      <c r="B318" s="3" t="s">
        <v>1405</v>
      </c>
      <c r="C318" s="3" t="s">
        <v>1406</v>
      </c>
      <c r="D318" s="3" t="s">
        <v>47</v>
      </c>
      <c r="E318" s="17"/>
      <c r="F318" s="10"/>
      <c r="G318" s="10"/>
      <c r="H318" s="10"/>
      <c r="I318" s="11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</row>
    <row r="319" spans="1:33" x14ac:dyDescent="0.25">
      <c r="A319" s="8">
        <f t="shared" si="7"/>
        <v>316</v>
      </c>
      <c r="B319" s="3" t="s">
        <v>1407</v>
      </c>
      <c r="C319" s="3" t="s">
        <v>1408</v>
      </c>
      <c r="D319" s="3" t="s">
        <v>193</v>
      </c>
      <c r="E319" s="17"/>
      <c r="F319" s="10"/>
      <c r="G319" s="10"/>
      <c r="H319" s="10"/>
      <c r="I319" s="11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</row>
    <row r="320" spans="1:33" x14ac:dyDescent="0.25">
      <c r="A320" s="8">
        <f t="shared" si="7"/>
        <v>317</v>
      </c>
      <c r="B320" s="3" t="s">
        <v>1409</v>
      </c>
      <c r="C320" s="3" t="s">
        <v>1410</v>
      </c>
      <c r="D320" s="3" t="s">
        <v>2</v>
      </c>
      <c r="E320" s="17"/>
      <c r="F320" s="10"/>
      <c r="G320" s="10"/>
      <c r="H320" s="10"/>
      <c r="I320" s="11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</row>
    <row r="321" spans="1:33" x14ac:dyDescent="0.25">
      <c r="A321" s="8">
        <f t="shared" si="7"/>
        <v>318</v>
      </c>
      <c r="B321" s="3" t="s">
        <v>1411</v>
      </c>
      <c r="C321" s="3" t="s">
        <v>1412</v>
      </c>
      <c r="D321" s="3" t="s">
        <v>119</v>
      </c>
      <c r="E321" s="17"/>
      <c r="F321" s="10"/>
      <c r="G321" s="10"/>
      <c r="H321" s="10"/>
      <c r="I321" s="11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</row>
    <row r="322" spans="1:33" x14ac:dyDescent="0.25">
      <c r="A322" s="8">
        <f t="shared" si="7"/>
        <v>319</v>
      </c>
      <c r="B322" s="3" t="s">
        <v>1413</v>
      </c>
      <c r="C322" s="3" t="s">
        <v>1414</v>
      </c>
      <c r="D322" s="3" t="s">
        <v>31</v>
      </c>
      <c r="E322" s="17"/>
      <c r="F322" s="10"/>
      <c r="G322" s="10"/>
      <c r="H322" s="10"/>
      <c r="I322" s="11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</row>
    <row r="323" spans="1:33" x14ac:dyDescent="0.25">
      <c r="A323" s="8">
        <f t="shared" si="7"/>
        <v>320</v>
      </c>
      <c r="B323" s="3" t="s">
        <v>1415</v>
      </c>
      <c r="C323" s="3" t="s">
        <v>1416</v>
      </c>
      <c r="D323" s="3" t="s">
        <v>10</v>
      </c>
      <c r="E323" s="17"/>
      <c r="F323" s="10"/>
      <c r="G323" s="10"/>
      <c r="H323" s="10"/>
      <c r="I323" s="11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</row>
    <row r="324" spans="1:33" x14ac:dyDescent="0.25">
      <c r="A324" s="8">
        <f t="shared" si="7"/>
        <v>321</v>
      </c>
      <c r="B324" s="3" t="s">
        <v>1417</v>
      </c>
      <c r="C324" s="3" t="s">
        <v>1418</v>
      </c>
      <c r="D324" s="3" t="s">
        <v>2</v>
      </c>
      <c r="E324" s="17"/>
      <c r="F324" s="10"/>
      <c r="G324" s="10"/>
      <c r="H324" s="10"/>
      <c r="I324" s="11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</row>
    <row r="325" spans="1:33" x14ac:dyDescent="0.25">
      <c r="A325" s="8">
        <f t="shared" si="7"/>
        <v>322</v>
      </c>
      <c r="B325" s="3" t="s">
        <v>1419</v>
      </c>
      <c r="C325" s="3" t="s">
        <v>1420</v>
      </c>
      <c r="D325" s="3" t="s">
        <v>47</v>
      </c>
      <c r="E325" s="17"/>
      <c r="F325" s="10"/>
      <c r="G325" s="10"/>
      <c r="H325" s="10"/>
      <c r="I325" s="11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</row>
    <row r="326" spans="1:33" x14ac:dyDescent="0.25">
      <c r="A326" s="8">
        <f t="shared" si="7"/>
        <v>323</v>
      </c>
      <c r="B326" s="3" t="s">
        <v>1421</v>
      </c>
      <c r="C326" s="3" t="s">
        <v>1422</v>
      </c>
      <c r="D326" s="3" t="s">
        <v>1223</v>
      </c>
      <c r="E326" s="17"/>
      <c r="F326" s="10"/>
      <c r="G326" s="10"/>
      <c r="H326" s="10"/>
      <c r="I326" s="11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</row>
    <row r="327" spans="1:33" x14ac:dyDescent="0.25">
      <c r="A327" s="8">
        <f t="shared" si="7"/>
        <v>324</v>
      </c>
      <c r="B327" s="3" t="s">
        <v>1423</v>
      </c>
      <c r="C327" s="3" t="s">
        <v>1424</v>
      </c>
      <c r="D327" s="3" t="s">
        <v>2</v>
      </c>
      <c r="E327" s="17"/>
      <c r="F327" s="10"/>
      <c r="G327" s="10"/>
      <c r="H327" s="10"/>
      <c r="I327" s="11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</row>
    <row r="328" spans="1:33" x14ac:dyDescent="0.25">
      <c r="A328" s="8">
        <f t="shared" si="7"/>
        <v>325</v>
      </c>
      <c r="B328" s="3" t="s">
        <v>1425</v>
      </c>
      <c r="C328" s="3" t="s">
        <v>1426</v>
      </c>
      <c r="D328" s="3" t="s">
        <v>186</v>
      </c>
      <c r="E328" s="17"/>
      <c r="F328" s="10"/>
      <c r="G328" s="10"/>
      <c r="H328" s="10"/>
      <c r="I328" s="11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</row>
    <row r="329" spans="1:33" x14ac:dyDescent="0.25">
      <c r="A329" s="8">
        <f t="shared" si="7"/>
        <v>326</v>
      </c>
      <c r="B329" s="3" t="s">
        <v>1427</v>
      </c>
      <c r="C329" s="3" t="s">
        <v>1428</v>
      </c>
      <c r="D329" s="3" t="s">
        <v>10</v>
      </c>
      <c r="E329" s="17"/>
      <c r="F329" s="10"/>
      <c r="G329" s="10"/>
      <c r="H329" s="10"/>
      <c r="I329" s="11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</row>
    <row r="330" spans="1:33" x14ac:dyDescent="0.25">
      <c r="A330" s="8">
        <f t="shared" si="7"/>
        <v>327</v>
      </c>
      <c r="B330" s="3" t="s">
        <v>1429</v>
      </c>
      <c r="C330" s="3" t="s">
        <v>1430</v>
      </c>
      <c r="D330" s="3" t="s">
        <v>2</v>
      </c>
      <c r="E330" s="17"/>
      <c r="F330" s="10"/>
      <c r="G330" s="10"/>
      <c r="H330" s="10"/>
      <c r="I330" s="11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</row>
    <row r="331" spans="1:33" x14ac:dyDescent="0.25">
      <c r="A331" s="8">
        <f t="shared" si="7"/>
        <v>328</v>
      </c>
      <c r="B331" s="3" t="s">
        <v>1431</v>
      </c>
      <c r="C331" s="3" t="s">
        <v>1432</v>
      </c>
      <c r="D331" s="3" t="s">
        <v>78</v>
      </c>
      <c r="E331" s="17"/>
      <c r="F331" s="10"/>
      <c r="G331" s="10"/>
      <c r="H331" s="10"/>
      <c r="I331" s="11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</row>
    <row r="332" spans="1:33" x14ac:dyDescent="0.25">
      <c r="A332" s="8">
        <f t="shared" si="7"/>
        <v>329</v>
      </c>
      <c r="B332" s="3" t="s">
        <v>1433</v>
      </c>
      <c r="C332" s="3" t="s">
        <v>1434</v>
      </c>
      <c r="D332" s="3" t="s">
        <v>10</v>
      </c>
      <c r="E332" s="17"/>
      <c r="F332" s="10"/>
      <c r="G332" s="10"/>
      <c r="H332" s="10"/>
      <c r="I332" s="11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</row>
    <row r="333" spans="1:33" x14ac:dyDescent="0.25">
      <c r="A333" s="8">
        <f t="shared" si="7"/>
        <v>330</v>
      </c>
      <c r="B333" s="3" t="s">
        <v>1435</v>
      </c>
      <c r="C333" s="3" t="s">
        <v>1436</v>
      </c>
      <c r="D333" s="3" t="s">
        <v>56</v>
      </c>
      <c r="E333" s="17"/>
      <c r="F333" s="10"/>
      <c r="G333" s="10"/>
      <c r="H333" s="10"/>
      <c r="I333" s="11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</row>
    <row r="334" spans="1:33" x14ac:dyDescent="0.25">
      <c r="A334" s="8">
        <f t="shared" si="7"/>
        <v>331</v>
      </c>
      <c r="B334" s="3" t="s">
        <v>1437</v>
      </c>
      <c r="C334" s="3" t="s">
        <v>1438</v>
      </c>
      <c r="D334" s="3" t="s">
        <v>977</v>
      </c>
      <c r="E334" s="17"/>
      <c r="F334" s="10"/>
      <c r="G334" s="10"/>
      <c r="H334" s="10"/>
      <c r="I334" s="11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</row>
    <row r="335" spans="1:33" x14ac:dyDescent="0.25">
      <c r="A335" s="8">
        <f t="shared" si="7"/>
        <v>332</v>
      </c>
      <c r="B335" s="3" t="s">
        <v>1439</v>
      </c>
      <c r="C335" s="3" t="s">
        <v>1440</v>
      </c>
      <c r="D335" s="3" t="s">
        <v>10</v>
      </c>
      <c r="E335" s="17"/>
      <c r="F335" s="10"/>
      <c r="G335" s="10"/>
      <c r="H335" s="10"/>
      <c r="I335" s="11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</row>
    <row r="336" spans="1:33" x14ac:dyDescent="0.25">
      <c r="A336" s="8">
        <f t="shared" si="7"/>
        <v>333</v>
      </c>
      <c r="B336" s="3" t="s">
        <v>1441</v>
      </c>
      <c r="C336" s="3" t="s">
        <v>1442</v>
      </c>
      <c r="D336" s="3" t="s">
        <v>166</v>
      </c>
      <c r="E336" s="17"/>
      <c r="F336" s="10"/>
      <c r="G336" s="10"/>
      <c r="H336" s="10"/>
      <c r="I336" s="11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</row>
    <row r="337" spans="1:33" x14ac:dyDescent="0.25">
      <c r="A337" s="8">
        <f t="shared" si="7"/>
        <v>334</v>
      </c>
      <c r="B337" s="3" t="s">
        <v>1443</v>
      </c>
      <c r="C337" s="3" t="s">
        <v>1444</v>
      </c>
      <c r="D337" s="3" t="s">
        <v>166</v>
      </c>
      <c r="E337" s="17"/>
      <c r="F337" s="10"/>
      <c r="G337" s="10"/>
      <c r="H337" s="10"/>
      <c r="I337" s="11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</row>
    <row r="338" spans="1:33" x14ac:dyDescent="0.25">
      <c r="A338" s="8">
        <f t="shared" si="7"/>
        <v>335</v>
      </c>
      <c r="B338" s="3" t="s">
        <v>1445</v>
      </c>
      <c r="C338" s="3" t="s">
        <v>1446</v>
      </c>
      <c r="D338" s="3" t="s">
        <v>78</v>
      </c>
      <c r="E338" s="17"/>
      <c r="F338" s="10"/>
      <c r="G338" s="10"/>
      <c r="H338" s="10"/>
      <c r="I338" s="11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</row>
    <row r="339" spans="1:33" x14ac:dyDescent="0.25">
      <c r="A339" s="8">
        <f t="shared" si="7"/>
        <v>336</v>
      </c>
      <c r="B339" s="3" t="s">
        <v>1447</v>
      </c>
      <c r="C339" s="3" t="s">
        <v>1448</v>
      </c>
      <c r="D339" s="3" t="s">
        <v>2</v>
      </c>
      <c r="E339" s="17"/>
      <c r="F339" s="10"/>
      <c r="G339" s="10"/>
      <c r="H339" s="10"/>
      <c r="I339" s="11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</row>
    <row r="340" spans="1:33" x14ac:dyDescent="0.25">
      <c r="A340" s="8">
        <f t="shared" si="7"/>
        <v>337</v>
      </c>
      <c r="B340" s="3" t="s">
        <v>1449</v>
      </c>
      <c r="C340" s="3" t="s">
        <v>1450</v>
      </c>
      <c r="D340" s="3" t="s">
        <v>193</v>
      </c>
      <c r="E340" s="17"/>
      <c r="F340" s="10"/>
      <c r="G340" s="10"/>
      <c r="H340" s="10"/>
      <c r="I340" s="11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</row>
    <row r="341" spans="1:33" x14ac:dyDescent="0.25">
      <c r="A341" s="8">
        <f t="shared" si="7"/>
        <v>338</v>
      </c>
      <c r="B341" s="3" t="s">
        <v>1451</v>
      </c>
      <c r="C341" s="3" t="s">
        <v>1452</v>
      </c>
      <c r="D341" s="3" t="s">
        <v>975</v>
      </c>
      <c r="E341" s="17"/>
      <c r="F341" s="10"/>
      <c r="G341" s="10"/>
      <c r="H341" s="10"/>
      <c r="I341" s="11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</row>
    <row r="342" spans="1:33" x14ac:dyDescent="0.25">
      <c r="A342" s="8">
        <f t="shared" si="7"/>
        <v>339</v>
      </c>
      <c r="B342" s="3" t="s">
        <v>308</v>
      </c>
      <c r="C342" s="3" t="s">
        <v>309</v>
      </c>
      <c r="D342" s="3" t="s">
        <v>47</v>
      </c>
      <c r="E342" s="17"/>
      <c r="F342" s="10"/>
      <c r="G342" s="10"/>
      <c r="H342" s="10"/>
      <c r="I342" s="11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</row>
    <row r="343" spans="1:33" x14ac:dyDescent="0.25">
      <c r="A343" s="8">
        <f t="shared" si="7"/>
        <v>340</v>
      </c>
      <c r="B343" s="3" t="s">
        <v>1453</v>
      </c>
      <c r="C343" s="3" t="s">
        <v>1454</v>
      </c>
      <c r="D343" s="3" t="s">
        <v>47</v>
      </c>
      <c r="E343" s="17"/>
      <c r="F343" s="10"/>
      <c r="G343" s="10"/>
      <c r="H343" s="10"/>
      <c r="I343" s="11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</row>
    <row r="344" spans="1:33" x14ac:dyDescent="0.25">
      <c r="A344" s="8">
        <f t="shared" si="7"/>
        <v>341</v>
      </c>
      <c r="B344" s="3" t="s">
        <v>1455</v>
      </c>
      <c r="C344" s="3" t="s">
        <v>1456</v>
      </c>
      <c r="D344" s="3" t="s">
        <v>2</v>
      </c>
      <c r="E344" s="17"/>
      <c r="F344" s="10"/>
      <c r="G344" s="10"/>
      <c r="H344" s="10"/>
      <c r="I344" s="11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</row>
    <row r="345" spans="1:33" x14ac:dyDescent="0.25">
      <c r="A345" s="8">
        <f t="shared" si="7"/>
        <v>342</v>
      </c>
      <c r="B345" s="3" t="s">
        <v>1457</v>
      </c>
      <c r="C345" s="3" t="s">
        <v>1458</v>
      </c>
      <c r="D345" s="3" t="s">
        <v>2</v>
      </c>
      <c r="E345" s="17"/>
      <c r="F345" s="10"/>
      <c r="G345" s="10"/>
      <c r="H345" s="10"/>
      <c r="I345" s="11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</row>
    <row r="346" spans="1:33" x14ac:dyDescent="0.25">
      <c r="A346" s="8">
        <f t="shared" si="7"/>
        <v>343</v>
      </c>
      <c r="B346" s="3" t="s">
        <v>1459</v>
      </c>
      <c r="C346" s="3" t="s">
        <v>1460</v>
      </c>
      <c r="D346" s="3" t="s">
        <v>10</v>
      </c>
      <c r="E346" s="17"/>
      <c r="F346" s="10"/>
      <c r="G346" s="10"/>
      <c r="H346" s="10"/>
      <c r="I346" s="11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</row>
    <row r="347" spans="1:33" x14ac:dyDescent="0.25">
      <c r="A347" s="8">
        <f t="shared" si="7"/>
        <v>344</v>
      </c>
      <c r="B347" s="3" t="s">
        <v>1461</v>
      </c>
      <c r="C347" s="3" t="s">
        <v>1462</v>
      </c>
      <c r="D347" s="3" t="s">
        <v>2</v>
      </c>
      <c r="E347" s="17"/>
      <c r="F347" s="10"/>
      <c r="G347" s="10"/>
      <c r="H347" s="10"/>
      <c r="I347" s="11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</row>
    <row r="348" spans="1:33" x14ac:dyDescent="0.25">
      <c r="A348" s="8">
        <f t="shared" si="7"/>
        <v>345</v>
      </c>
      <c r="B348" s="3" t="s">
        <v>1463</v>
      </c>
      <c r="C348" s="3" t="s">
        <v>1464</v>
      </c>
      <c r="D348" s="3" t="s">
        <v>56</v>
      </c>
      <c r="E348" s="17"/>
      <c r="F348" s="10"/>
      <c r="G348" s="10"/>
      <c r="H348" s="10"/>
      <c r="I348" s="11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</row>
    <row r="349" spans="1:33" x14ac:dyDescent="0.25">
      <c r="A349" s="8">
        <f t="shared" si="7"/>
        <v>346</v>
      </c>
      <c r="B349" s="3" t="s">
        <v>1465</v>
      </c>
      <c r="C349" s="3" t="s">
        <v>1466</v>
      </c>
      <c r="D349" s="3" t="s">
        <v>31</v>
      </c>
      <c r="E349" s="17"/>
      <c r="F349" s="10"/>
      <c r="G349" s="10"/>
      <c r="H349" s="10"/>
      <c r="I349" s="11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</row>
    <row r="350" spans="1:33" x14ac:dyDescent="0.25">
      <c r="A350" s="8">
        <f t="shared" si="7"/>
        <v>347</v>
      </c>
      <c r="B350" s="3" t="s">
        <v>1467</v>
      </c>
      <c r="C350" s="3" t="s">
        <v>1468</v>
      </c>
      <c r="D350" s="3" t="s">
        <v>179</v>
      </c>
      <c r="E350" s="17"/>
      <c r="F350" s="10"/>
      <c r="G350" s="10"/>
      <c r="H350" s="10"/>
      <c r="I350" s="11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</row>
    <row r="351" spans="1:33" x14ac:dyDescent="0.25">
      <c r="A351" s="8">
        <f t="shared" si="7"/>
        <v>348</v>
      </c>
      <c r="B351" s="3" t="s">
        <v>1469</v>
      </c>
      <c r="C351" s="3" t="s">
        <v>302</v>
      </c>
      <c r="D351" s="3" t="s">
        <v>179</v>
      </c>
      <c r="E351" s="17"/>
      <c r="F351" s="10"/>
      <c r="G351" s="10"/>
      <c r="H351" s="10"/>
      <c r="I351" s="11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</row>
    <row r="352" spans="1:33" x14ac:dyDescent="0.25">
      <c r="A352" s="8">
        <f t="shared" si="7"/>
        <v>349</v>
      </c>
      <c r="B352" s="3" t="s">
        <v>1470</v>
      </c>
      <c r="C352" s="3" t="s">
        <v>1471</v>
      </c>
      <c r="D352" s="3" t="s">
        <v>166</v>
      </c>
      <c r="E352" s="17"/>
      <c r="F352" s="10"/>
      <c r="G352" s="10"/>
      <c r="H352" s="10"/>
      <c r="I352" s="11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</row>
    <row r="353" spans="1:33" x14ac:dyDescent="0.25">
      <c r="A353" s="8">
        <f t="shared" si="7"/>
        <v>350</v>
      </c>
      <c r="B353" s="3" t="s">
        <v>1472</v>
      </c>
      <c r="C353" s="3" t="s">
        <v>1473</v>
      </c>
      <c r="D353" s="3" t="s">
        <v>980</v>
      </c>
      <c r="E353" s="17"/>
      <c r="F353" s="10"/>
      <c r="G353" s="10"/>
      <c r="H353" s="10"/>
      <c r="I353" s="11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</row>
    <row r="354" spans="1:33" x14ac:dyDescent="0.25">
      <c r="A354" s="8">
        <f t="shared" si="7"/>
        <v>351</v>
      </c>
      <c r="B354" s="3" t="s">
        <v>1474</v>
      </c>
      <c r="C354" s="3" t="s">
        <v>1475</v>
      </c>
      <c r="D354" s="3" t="s">
        <v>2</v>
      </c>
      <c r="E354" s="17"/>
      <c r="F354" s="10"/>
      <c r="G354" s="10"/>
      <c r="H354" s="10"/>
      <c r="I354" s="11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</row>
    <row r="355" spans="1:33" x14ac:dyDescent="0.25">
      <c r="A355" s="8">
        <f t="shared" si="7"/>
        <v>352</v>
      </c>
      <c r="B355" s="3" t="s">
        <v>1476</v>
      </c>
      <c r="C355" s="3" t="s">
        <v>1477</v>
      </c>
      <c r="D355" s="3" t="s">
        <v>989</v>
      </c>
      <c r="E355" s="17"/>
      <c r="F355" s="10"/>
      <c r="G355" s="10"/>
      <c r="H355" s="10"/>
      <c r="I355" s="11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</row>
    <row r="356" spans="1:33" x14ac:dyDescent="0.25">
      <c r="A356" s="8">
        <f t="shared" si="7"/>
        <v>353</v>
      </c>
      <c r="B356" s="3" t="s">
        <v>1478</v>
      </c>
      <c r="C356" s="3" t="s">
        <v>1479</v>
      </c>
      <c r="D356" s="3" t="s">
        <v>987</v>
      </c>
      <c r="E356" s="17"/>
      <c r="F356" s="10"/>
      <c r="G356" s="10"/>
      <c r="H356" s="10"/>
      <c r="I356" s="11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</row>
    <row r="357" spans="1:33" x14ac:dyDescent="0.25">
      <c r="A357" s="8">
        <f t="shared" ref="A357:A420" si="8">+A356+1</f>
        <v>354</v>
      </c>
      <c r="B357" s="3" t="s">
        <v>1480</v>
      </c>
      <c r="C357" s="3" t="s">
        <v>1481</v>
      </c>
      <c r="D357" s="3" t="s">
        <v>10</v>
      </c>
      <c r="E357" s="17"/>
      <c r="F357" s="10"/>
      <c r="G357" s="10"/>
      <c r="H357" s="10"/>
      <c r="I357" s="11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</row>
    <row r="358" spans="1:33" x14ac:dyDescent="0.25">
      <c r="A358" s="8">
        <f t="shared" si="8"/>
        <v>355</v>
      </c>
      <c r="B358" s="3" t="s">
        <v>1482</v>
      </c>
      <c r="C358" s="3" t="s">
        <v>1483</v>
      </c>
      <c r="D358" s="3" t="s">
        <v>2</v>
      </c>
      <c r="E358" s="17"/>
      <c r="F358" s="10"/>
      <c r="G358" s="10"/>
      <c r="H358" s="10"/>
      <c r="I358" s="11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</row>
    <row r="359" spans="1:33" x14ac:dyDescent="0.25">
      <c r="A359" s="8">
        <f t="shared" si="8"/>
        <v>356</v>
      </c>
      <c r="B359" s="3" t="s">
        <v>1484</v>
      </c>
      <c r="C359" s="3" t="s">
        <v>1485</v>
      </c>
      <c r="D359" s="3" t="s">
        <v>10</v>
      </c>
      <c r="E359" s="17"/>
      <c r="F359" s="10"/>
      <c r="G359" s="10"/>
      <c r="H359" s="10"/>
      <c r="I359" s="11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</row>
    <row r="360" spans="1:33" x14ac:dyDescent="0.25">
      <c r="A360" s="8">
        <f t="shared" si="8"/>
        <v>357</v>
      </c>
      <c r="B360" s="3" t="s">
        <v>1486</v>
      </c>
      <c r="C360" s="3" t="s">
        <v>1487</v>
      </c>
      <c r="D360" s="3" t="s">
        <v>47</v>
      </c>
      <c r="E360" s="17"/>
      <c r="F360" s="10"/>
      <c r="G360" s="10"/>
      <c r="H360" s="10"/>
      <c r="I360" s="11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</row>
    <row r="361" spans="1:33" x14ac:dyDescent="0.25">
      <c r="A361" s="8">
        <f t="shared" si="8"/>
        <v>358</v>
      </c>
      <c r="B361" s="3" t="s">
        <v>1488</v>
      </c>
      <c r="C361" s="3" t="s">
        <v>1489</v>
      </c>
      <c r="D361" s="3" t="s">
        <v>10</v>
      </c>
      <c r="E361" s="17"/>
      <c r="F361" s="10"/>
      <c r="G361" s="10"/>
      <c r="H361" s="10"/>
      <c r="I361" s="11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</row>
    <row r="362" spans="1:33" x14ac:dyDescent="0.25">
      <c r="A362" s="8">
        <f t="shared" si="8"/>
        <v>359</v>
      </c>
      <c r="B362" s="3" t="s">
        <v>1490</v>
      </c>
      <c r="C362" s="3" t="s">
        <v>1491</v>
      </c>
      <c r="D362" s="3" t="s">
        <v>1492</v>
      </c>
      <c r="E362" s="17"/>
      <c r="F362" s="10"/>
      <c r="G362" s="10"/>
      <c r="H362" s="10"/>
      <c r="I362" s="11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</row>
    <row r="363" spans="1:33" x14ac:dyDescent="0.25">
      <c r="A363" s="8">
        <f t="shared" si="8"/>
        <v>360</v>
      </c>
      <c r="B363" s="3" t="s">
        <v>1493</v>
      </c>
      <c r="C363" s="3" t="s">
        <v>1494</v>
      </c>
      <c r="D363" s="3" t="s">
        <v>186</v>
      </c>
      <c r="E363" s="17"/>
      <c r="F363" s="10"/>
      <c r="G363" s="10"/>
      <c r="H363" s="10"/>
      <c r="I363" s="11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</row>
    <row r="364" spans="1:33" x14ac:dyDescent="0.25">
      <c r="A364" s="8">
        <f t="shared" si="8"/>
        <v>361</v>
      </c>
      <c r="B364" s="3" t="s">
        <v>1495</v>
      </c>
      <c r="C364" s="3" t="s">
        <v>1496</v>
      </c>
      <c r="D364" s="3" t="s">
        <v>193</v>
      </c>
      <c r="E364" s="17"/>
      <c r="F364" s="10"/>
      <c r="G364" s="10"/>
      <c r="H364" s="10"/>
      <c r="I364" s="11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</row>
    <row r="365" spans="1:33" x14ac:dyDescent="0.25">
      <c r="A365" s="8">
        <f t="shared" si="8"/>
        <v>362</v>
      </c>
      <c r="B365" s="3" t="s">
        <v>1497</v>
      </c>
      <c r="C365" s="3" t="s">
        <v>1498</v>
      </c>
      <c r="D365" s="3" t="s">
        <v>2</v>
      </c>
      <c r="E365" s="17"/>
      <c r="F365" s="10"/>
      <c r="G365" s="10"/>
      <c r="H365" s="10"/>
      <c r="I365" s="11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</row>
    <row r="366" spans="1:33" x14ac:dyDescent="0.25">
      <c r="A366" s="8">
        <f t="shared" si="8"/>
        <v>363</v>
      </c>
      <c r="B366" s="3" t="s">
        <v>1499</v>
      </c>
      <c r="C366" s="3" t="s">
        <v>1500</v>
      </c>
      <c r="D366" s="3" t="s">
        <v>10</v>
      </c>
      <c r="E366" s="17"/>
      <c r="F366" s="10"/>
      <c r="G366" s="10"/>
      <c r="H366" s="10"/>
      <c r="I366" s="11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</row>
    <row r="367" spans="1:33" x14ac:dyDescent="0.25">
      <c r="A367" s="8">
        <f t="shared" si="8"/>
        <v>364</v>
      </c>
      <c r="B367" s="3" t="s">
        <v>1501</v>
      </c>
      <c r="C367" s="3" t="s">
        <v>1502</v>
      </c>
      <c r="D367" s="3" t="s">
        <v>991</v>
      </c>
      <c r="E367" s="17"/>
      <c r="F367" s="10"/>
      <c r="G367" s="10"/>
      <c r="H367" s="10"/>
      <c r="I367" s="11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</row>
    <row r="368" spans="1:33" x14ac:dyDescent="0.25">
      <c r="A368" s="8">
        <f t="shared" si="8"/>
        <v>365</v>
      </c>
      <c r="B368" s="3" t="s">
        <v>1503</v>
      </c>
      <c r="C368" s="3" t="s">
        <v>1504</v>
      </c>
      <c r="D368" s="3" t="s">
        <v>2</v>
      </c>
      <c r="E368" s="17"/>
      <c r="F368" s="10"/>
      <c r="G368" s="10"/>
      <c r="H368" s="10"/>
      <c r="I368" s="11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</row>
    <row r="369" spans="1:33" x14ac:dyDescent="0.25">
      <c r="A369" s="8">
        <f t="shared" si="8"/>
        <v>366</v>
      </c>
      <c r="B369" s="3" t="s">
        <v>1505</v>
      </c>
      <c r="C369" s="3" t="s">
        <v>1506</v>
      </c>
      <c r="D369" s="3" t="s">
        <v>10</v>
      </c>
      <c r="E369" s="17"/>
      <c r="F369" s="10"/>
      <c r="G369" s="10"/>
      <c r="H369" s="10"/>
      <c r="I369" s="11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</row>
    <row r="370" spans="1:33" x14ac:dyDescent="0.25">
      <c r="A370" s="8">
        <f t="shared" si="8"/>
        <v>367</v>
      </c>
      <c r="B370" s="3" t="s">
        <v>1507</v>
      </c>
      <c r="C370" s="3" t="s">
        <v>1508</v>
      </c>
      <c r="D370" s="3" t="s">
        <v>10</v>
      </c>
      <c r="E370" s="17"/>
      <c r="F370" s="10"/>
      <c r="G370" s="10"/>
      <c r="H370" s="10"/>
      <c r="I370" s="11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</row>
    <row r="371" spans="1:33" x14ac:dyDescent="0.25">
      <c r="A371" s="8">
        <f t="shared" si="8"/>
        <v>368</v>
      </c>
      <c r="B371" s="3" t="s">
        <v>1509</v>
      </c>
      <c r="C371" s="3" t="s">
        <v>1510</v>
      </c>
      <c r="D371" s="3" t="s">
        <v>401</v>
      </c>
      <c r="E371" s="17"/>
      <c r="F371" s="10"/>
      <c r="G371" s="10"/>
      <c r="H371" s="10"/>
      <c r="I371" s="11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</row>
    <row r="372" spans="1:33" x14ac:dyDescent="0.25">
      <c r="A372" s="8">
        <f t="shared" si="8"/>
        <v>369</v>
      </c>
      <c r="B372" s="3" t="s">
        <v>1511</v>
      </c>
      <c r="C372" s="3" t="s">
        <v>1512</v>
      </c>
      <c r="D372" s="3" t="s">
        <v>10</v>
      </c>
      <c r="E372" s="17"/>
      <c r="F372" s="10"/>
      <c r="G372" s="10"/>
      <c r="H372" s="10"/>
      <c r="I372" s="11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</row>
    <row r="373" spans="1:33" x14ac:dyDescent="0.25">
      <c r="A373" s="8">
        <f t="shared" si="8"/>
        <v>370</v>
      </c>
      <c r="B373" s="3" t="s">
        <v>1513</v>
      </c>
      <c r="C373" s="3" t="s">
        <v>1514</v>
      </c>
      <c r="D373" s="3" t="s">
        <v>10</v>
      </c>
      <c r="E373" s="17"/>
      <c r="F373" s="10"/>
      <c r="G373" s="10"/>
      <c r="H373" s="10"/>
      <c r="I373" s="11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</row>
    <row r="374" spans="1:33" x14ac:dyDescent="0.25">
      <c r="A374" s="8">
        <f t="shared" si="8"/>
        <v>371</v>
      </c>
      <c r="B374" s="3" t="s">
        <v>1515</v>
      </c>
      <c r="C374" s="3" t="s">
        <v>1516</v>
      </c>
      <c r="D374" s="3" t="s">
        <v>179</v>
      </c>
      <c r="E374" s="17"/>
      <c r="F374" s="10"/>
      <c r="G374" s="10"/>
      <c r="H374" s="10"/>
      <c r="I374" s="11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</row>
    <row r="375" spans="1:33" x14ac:dyDescent="0.25">
      <c r="A375" s="8">
        <f t="shared" si="8"/>
        <v>372</v>
      </c>
      <c r="B375" s="3" t="s">
        <v>1517</v>
      </c>
      <c r="C375" s="3" t="s">
        <v>1518</v>
      </c>
      <c r="D375" s="3" t="s">
        <v>2</v>
      </c>
      <c r="E375" s="17"/>
      <c r="F375" s="10"/>
      <c r="G375" s="10"/>
      <c r="H375" s="10"/>
      <c r="I375" s="11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</row>
    <row r="376" spans="1:33" x14ac:dyDescent="0.25">
      <c r="A376" s="8">
        <f t="shared" si="8"/>
        <v>373</v>
      </c>
      <c r="B376" s="3" t="s">
        <v>1519</v>
      </c>
      <c r="C376" s="3" t="s">
        <v>1520</v>
      </c>
      <c r="D376" s="3" t="s">
        <v>401</v>
      </c>
      <c r="E376" s="17"/>
      <c r="F376" s="10"/>
      <c r="G376" s="10"/>
      <c r="H376" s="10"/>
      <c r="I376" s="11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</row>
    <row r="377" spans="1:33" x14ac:dyDescent="0.25">
      <c r="A377" s="8">
        <f t="shared" si="8"/>
        <v>374</v>
      </c>
      <c r="B377" s="3" t="s">
        <v>1521</v>
      </c>
      <c r="C377" s="3" t="s">
        <v>1522</v>
      </c>
      <c r="D377" s="3" t="s">
        <v>10</v>
      </c>
      <c r="E377" s="17"/>
      <c r="F377" s="10"/>
      <c r="G377" s="10"/>
      <c r="H377" s="10"/>
      <c r="I377" s="11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</row>
    <row r="378" spans="1:33" x14ac:dyDescent="0.25">
      <c r="A378" s="8">
        <f t="shared" si="8"/>
        <v>375</v>
      </c>
      <c r="B378" s="3" t="s">
        <v>1523</v>
      </c>
      <c r="C378" s="3" t="s">
        <v>1524</v>
      </c>
      <c r="D378" s="3" t="s">
        <v>10</v>
      </c>
      <c r="E378" s="17"/>
      <c r="F378" s="10"/>
      <c r="G378" s="10"/>
      <c r="H378" s="10"/>
      <c r="I378" s="11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</row>
    <row r="379" spans="1:33" x14ac:dyDescent="0.25">
      <c r="A379" s="8">
        <f t="shared" si="8"/>
        <v>376</v>
      </c>
      <c r="B379" s="3" t="s">
        <v>1525</v>
      </c>
      <c r="C379" s="3" t="s">
        <v>1526</v>
      </c>
      <c r="D379" s="3" t="s">
        <v>47</v>
      </c>
      <c r="E379" s="17"/>
      <c r="F379" s="10"/>
      <c r="G379" s="10"/>
      <c r="H379" s="10"/>
      <c r="I379" s="11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</row>
    <row r="380" spans="1:33" x14ac:dyDescent="0.25">
      <c r="A380" s="8">
        <f t="shared" si="8"/>
        <v>377</v>
      </c>
      <c r="B380" s="3" t="s">
        <v>1527</v>
      </c>
      <c r="C380" s="3" t="s">
        <v>1528</v>
      </c>
      <c r="D380" s="3" t="s">
        <v>10</v>
      </c>
      <c r="E380" s="17"/>
      <c r="F380" s="10"/>
      <c r="G380" s="10"/>
      <c r="H380" s="10"/>
      <c r="I380" s="11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</row>
    <row r="381" spans="1:33" x14ac:dyDescent="0.25">
      <c r="A381" s="8">
        <f t="shared" si="8"/>
        <v>378</v>
      </c>
      <c r="B381" s="3" t="s">
        <v>1529</v>
      </c>
      <c r="C381" s="3" t="s">
        <v>1530</v>
      </c>
      <c r="D381" s="3" t="s">
        <v>975</v>
      </c>
      <c r="E381" s="17"/>
      <c r="F381" s="10"/>
      <c r="G381" s="10"/>
      <c r="H381" s="10"/>
      <c r="I381" s="11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</row>
    <row r="382" spans="1:33" x14ac:dyDescent="0.25">
      <c r="A382" s="8">
        <f t="shared" si="8"/>
        <v>379</v>
      </c>
      <c r="B382" s="3" t="s">
        <v>1531</v>
      </c>
      <c r="C382" s="3" t="s">
        <v>1532</v>
      </c>
      <c r="D382" s="3" t="s">
        <v>10</v>
      </c>
      <c r="E382" s="17"/>
      <c r="F382" s="10"/>
      <c r="G382" s="10"/>
      <c r="H382" s="10"/>
      <c r="I382" s="11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</row>
    <row r="383" spans="1:33" x14ac:dyDescent="0.25">
      <c r="A383" s="8">
        <f t="shared" si="8"/>
        <v>380</v>
      </c>
      <c r="B383" s="3" t="s">
        <v>1533</v>
      </c>
      <c r="C383" s="3" t="s">
        <v>1534</v>
      </c>
      <c r="D383" s="3" t="s">
        <v>10</v>
      </c>
      <c r="E383" s="17"/>
      <c r="F383" s="10"/>
      <c r="G383" s="10"/>
      <c r="H383" s="10"/>
      <c r="I383" s="11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</row>
    <row r="384" spans="1:33" x14ac:dyDescent="0.25">
      <c r="A384" s="8">
        <f t="shared" si="8"/>
        <v>381</v>
      </c>
      <c r="B384" s="3" t="s">
        <v>1535</v>
      </c>
      <c r="C384" s="3" t="s">
        <v>1536</v>
      </c>
      <c r="D384" s="3" t="s">
        <v>78</v>
      </c>
      <c r="E384" s="17"/>
      <c r="F384" s="10"/>
      <c r="G384" s="10"/>
      <c r="H384" s="10"/>
      <c r="I384" s="11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</row>
    <row r="385" spans="1:33" x14ac:dyDescent="0.25">
      <c r="A385" s="8">
        <f t="shared" si="8"/>
        <v>382</v>
      </c>
      <c r="B385" s="3" t="s">
        <v>1537</v>
      </c>
      <c r="C385" s="3" t="s">
        <v>1538</v>
      </c>
      <c r="D385" s="3" t="s">
        <v>10</v>
      </c>
      <c r="E385" s="17"/>
      <c r="F385" s="10"/>
      <c r="G385" s="10"/>
      <c r="H385" s="10"/>
      <c r="I385" s="11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</row>
    <row r="386" spans="1:33" x14ac:dyDescent="0.25">
      <c r="A386" s="8">
        <f t="shared" si="8"/>
        <v>383</v>
      </c>
      <c r="B386" s="3" t="s">
        <v>1539</v>
      </c>
      <c r="C386" s="3" t="s">
        <v>1540</v>
      </c>
      <c r="D386" s="3" t="s">
        <v>31</v>
      </c>
      <c r="E386" s="17"/>
      <c r="F386" s="10"/>
      <c r="G386" s="10"/>
      <c r="H386" s="10"/>
      <c r="I386" s="11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</row>
    <row r="387" spans="1:33" x14ac:dyDescent="0.25">
      <c r="A387" s="8">
        <f t="shared" si="8"/>
        <v>384</v>
      </c>
      <c r="B387" s="3" t="s">
        <v>1541</v>
      </c>
      <c r="C387" s="3" t="s">
        <v>1542</v>
      </c>
      <c r="D387" s="3" t="s">
        <v>31</v>
      </c>
      <c r="E387" s="17"/>
      <c r="F387" s="10"/>
      <c r="G387" s="10"/>
      <c r="H387" s="10"/>
      <c r="I387" s="11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</row>
    <row r="388" spans="1:33" x14ac:dyDescent="0.25">
      <c r="A388" s="8">
        <f t="shared" si="8"/>
        <v>385</v>
      </c>
      <c r="B388" s="3" t="s">
        <v>1543</v>
      </c>
      <c r="C388" s="3" t="s">
        <v>1544</v>
      </c>
      <c r="D388" s="3" t="s">
        <v>5</v>
      </c>
      <c r="E388" s="17"/>
      <c r="F388" s="10"/>
      <c r="G388" s="10"/>
      <c r="H388" s="10"/>
      <c r="I388" s="11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</row>
    <row r="389" spans="1:33" x14ac:dyDescent="0.25">
      <c r="A389" s="8">
        <f t="shared" si="8"/>
        <v>386</v>
      </c>
      <c r="B389" s="3" t="s">
        <v>1545</v>
      </c>
      <c r="C389" s="3" t="s">
        <v>1546</v>
      </c>
      <c r="D389" s="3" t="s">
        <v>10</v>
      </c>
      <c r="E389" s="17"/>
      <c r="F389" s="10"/>
      <c r="G389" s="10"/>
      <c r="H389" s="10"/>
      <c r="I389" s="11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</row>
    <row r="390" spans="1:33" x14ac:dyDescent="0.25">
      <c r="A390" s="8">
        <f t="shared" si="8"/>
        <v>387</v>
      </c>
      <c r="B390" s="3" t="s">
        <v>1547</v>
      </c>
      <c r="C390" s="3" t="s">
        <v>1548</v>
      </c>
      <c r="D390" s="3" t="s">
        <v>47</v>
      </c>
      <c r="E390" s="17"/>
      <c r="F390" s="10"/>
      <c r="G390" s="10"/>
      <c r="H390" s="10"/>
      <c r="I390" s="11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</row>
    <row r="391" spans="1:33" x14ac:dyDescent="0.25">
      <c r="A391" s="8">
        <f t="shared" si="8"/>
        <v>388</v>
      </c>
      <c r="B391" s="3" t="s">
        <v>1549</v>
      </c>
      <c r="C391" s="3" t="s">
        <v>1550</v>
      </c>
      <c r="D391" s="3" t="s">
        <v>2</v>
      </c>
      <c r="E391" s="17"/>
      <c r="F391" s="10"/>
      <c r="G391" s="10"/>
      <c r="H391" s="10"/>
      <c r="I391" s="11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</row>
    <row r="392" spans="1:33" x14ac:dyDescent="0.25">
      <c r="A392" s="8">
        <f t="shared" si="8"/>
        <v>389</v>
      </c>
      <c r="B392" s="3" t="s">
        <v>1551</v>
      </c>
      <c r="C392" s="3" t="s">
        <v>1552</v>
      </c>
      <c r="D392" s="3" t="s">
        <v>47</v>
      </c>
      <c r="E392" s="17"/>
      <c r="F392" s="10"/>
      <c r="G392" s="10"/>
      <c r="H392" s="10"/>
      <c r="I392" s="11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</row>
    <row r="393" spans="1:33" x14ac:dyDescent="0.25">
      <c r="A393" s="8">
        <f t="shared" si="8"/>
        <v>390</v>
      </c>
      <c r="B393" s="3" t="s">
        <v>1553</v>
      </c>
      <c r="C393" s="3" t="s">
        <v>1554</v>
      </c>
      <c r="D393" s="3" t="s">
        <v>5</v>
      </c>
      <c r="E393" s="17"/>
      <c r="F393" s="10"/>
      <c r="G393" s="10"/>
      <c r="H393" s="10"/>
      <c r="I393" s="11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</row>
    <row r="394" spans="1:33" x14ac:dyDescent="0.25">
      <c r="A394" s="8">
        <f t="shared" si="8"/>
        <v>391</v>
      </c>
      <c r="B394" s="3" t="s">
        <v>1555</v>
      </c>
      <c r="C394" s="3" t="s">
        <v>1556</v>
      </c>
      <c r="D394" s="3" t="s">
        <v>2</v>
      </c>
      <c r="E394" s="17"/>
      <c r="F394" s="10"/>
      <c r="G394" s="10"/>
      <c r="H394" s="10"/>
      <c r="I394" s="11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</row>
    <row r="395" spans="1:33" x14ac:dyDescent="0.25">
      <c r="A395" s="8">
        <f t="shared" si="8"/>
        <v>392</v>
      </c>
      <c r="B395" s="3" t="s">
        <v>1557</v>
      </c>
      <c r="C395" s="3" t="s">
        <v>1558</v>
      </c>
      <c r="D395" s="3" t="s">
        <v>186</v>
      </c>
      <c r="E395" s="17"/>
      <c r="F395" s="10"/>
      <c r="G395" s="10"/>
      <c r="H395" s="10"/>
      <c r="I395" s="11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</row>
    <row r="396" spans="1:33" x14ac:dyDescent="0.25">
      <c r="A396" s="8">
        <f t="shared" si="8"/>
        <v>393</v>
      </c>
      <c r="B396" s="3" t="s">
        <v>1559</v>
      </c>
      <c r="C396" s="3" t="s">
        <v>1560</v>
      </c>
      <c r="D396" s="3" t="s">
        <v>2</v>
      </c>
      <c r="E396" s="17"/>
      <c r="F396" s="10"/>
      <c r="G396" s="10"/>
      <c r="H396" s="10"/>
      <c r="I396" s="11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</row>
    <row r="397" spans="1:33" x14ac:dyDescent="0.25">
      <c r="A397" s="8">
        <f t="shared" si="8"/>
        <v>394</v>
      </c>
      <c r="B397" s="3" t="s">
        <v>1561</v>
      </c>
      <c r="C397" s="3" t="s">
        <v>1562</v>
      </c>
      <c r="D397" s="3" t="s">
        <v>2</v>
      </c>
      <c r="E397" s="17"/>
      <c r="F397" s="10"/>
      <c r="G397" s="10"/>
      <c r="H397" s="10"/>
      <c r="I397" s="11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</row>
    <row r="398" spans="1:33" x14ac:dyDescent="0.25">
      <c r="A398" s="8">
        <f t="shared" si="8"/>
        <v>395</v>
      </c>
      <c r="B398" s="3" t="s">
        <v>1563</v>
      </c>
      <c r="C398" s="3" t="s">
        <v>1564</v>
      </c>
      <c r="D398" s="3" t="s">
        <v>10</v>
      </c>
      <c r="E398" s="17"/>
      <c r="F398" s="10"/>
      <c r="G398" s="10"/>
      <c r="H398" s="10"/>
      <c r="I398" s="11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</row>
    <row r="399" spans="1:33" x14ac:dyDescent="0.25">
      <c r="A399" s="8">
        <f t="shared" si="8"/>
        <v>396</v>
      </c>
      <c r="B399" s="3" t="s">
        <v>1565</v>
      </c>
      <c r="C399" s="3" t="s">
        <v>1566</v>
      </c>
      <c r="D399" s="3" t="s">
        <v>186</v>
      </c>
      <c r="E399" s="17"/>
      <c r="F399" s="10"/>
      <c r="G399" s="10"/>
      <c r="H399" s="10"/>
      <c r="I399" s="11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</row>
    <row r="400" spans="1:33" x14ac:dyDescent="0.25">
      <c r="A400" s="8">
        <f t="shared" si="8"/>
        <v>397</v>
      </c>
      <c r="B400" s="3" t="s">
        <v>1567</v>
      </c>
      <c r="C400" s="3" t="s">
        <v>1568</v>
      </c>
      <c r="D400" s="3" t="s">
        <v>61</v>
      </c>
      <c r="E400" s="17"/>
      <c r="F400" s="10"/>
      <c r="G400" s="10"/>
      <c r="H400" s="10"/>
      <c r="I400" s="11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</row>
    <row r="401" spans="1:33" x14ac:dyDescent="0.25">
      <c r="A401" s="8">
        <f t="shared" si="8"/>
        <v>398</v>
      </c>
      <c r="B401" s="3" t="s">
        <v>1569</v>
      </c>
      <c r="C401" s="3" t="s">
        <v>1570</v>
      </c>
      <c r="D401" s="3" t="s">
        <v>56</v>
      </c>
      <c r="E401" s="17"/>
      <c r="F401" s="10"/>
      <c r="G401" s="10"/>
      <c r="H401" s="10"/>
      <c r="I401" s="11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</row>
    <row r="402" spans="1:33" x14ac:dyDescent="0.25">
      <c r="A402" s="8">
        <f t="shared" si="8"/>
        <v>399</v>
      </c>
      <c r="B402" s="3" t="s">
        <v>1571</v>
      </c>
      <c r="C402" s="3" t="s">
        <v>1572</v>
      </c>
      <c r="D402" s="3" t="s">
        <v>186</v>
      </c>
      <c r="E402" s="17"/>
      <c r="F402" s="10"/>
      <c r="G402" s="10"/>
      <c r="H402" s="10"/>
      <c r="I402" s="11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</row>
    <row r="403" spans="1:33" x14ac:dyDescent="0.25">
      <c r="A403" s="8">
        <f t="shared" si="8"/>
        <v>400</v>
      </c>
      <c r="B403" s="3" t="s">
        <v>1573</v>
      </c>
      <c r="C403" s="3" t="s">
        <v>1574</v>
      </c>
      <c r="D403" s="3" t="s">
        <v>2</v>
      </c>
      <c r="E403" s="17"/>
      <c r="F403" s="10"/>
      <c r="G403" s="10"/>
      <c r="H403" s="10"/>
      <c r="I403" s="11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</row>
    <row r="404" spans="1:33" x14ac:dyDescent="0.25">
      <c r="A404" s="8">
        <f t="shared" si="8"/>
        <v>401</v>
      </c>
      <c r="B404" s="3" t="s">
        <v>1575</v>
      </c>
      <c r="C404" s="3" t="s">
        <v>1576</v>
      </c>
      <c r="D404" s="3" t="s">
        <v>2</v>
      </c>
      <c r="E404" s="17"/>
      <c r="F404" s="10"/>
      <c r="G404" s="10"/>
      <c r="H404" s="10"/>
      <c r="I404" s="11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</row>
    <row r="405" spans="1:33" x14ac:dyDescent="0.25">
      <c r="A405" s="8">
        <f t="shared" si="8"/>
        <v>402</v>
      </c>
      <c r="B405" s="3" t="s">
        <v>1577</v>
      </c>
      <c r="C405" s="3" t="s">
        <v>1578</v>
      </c>
      <c r="D405" s="3" t="s">
        <v>2</v>
      </c>
      <c r="E405" s="17"/>
      <c r="F405" s="10"/>
      <c r="G405" s="10"/>
      <c r="H405" s="10"/>
      <c r="I405" s="11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</row>
    <row r="406" spans="1:33" x14ac:dyDescent="0.25">
      <c r="A406" s="8">
        <f t="shared" si="8"/>
        <v>403</v>
      </c>
      <c r="B406" s="3" t="s">
        <v>1579</v>
      </c>
      <c r="C406" s="3" t="s">
        <v>1580</v>
      </c>
      <c r="D406" s="3" t="s">
        <v>2</v>
      </c>
      <c r="E406" s="17"/>
      <c r="F406" s="10"/>
      <c r="G406" s="10"/>
      <c r="H406" s="10"/>
      <c r="I406" s="11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</row>
    <row r="407" spans="1:33" x14ac:dyDescent="0.25">
      <c r="A407" s="8">
        <f t="shared" si="8"/>
        <v>404</v>
      </c>
      <c r="B407" s="3" t="s">
        <v>1581</v>
      </c>
      <c r="C407" s="3" t="s">
        <v>1582</v>
      </c>
      <c r="D407" s="3" t="s">
        <v>10</v>
      </c>
      <c r="E407" s="17"/>
      <c r="F407" s="10"/>
      <c r="G407" s="10"/>
      <c r="H407" s="10"/>
      <c r="I407" s="11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</row>
    <row r="408" spans="1:33" x14ac:dyDescent="0.25">
      <c r="A408" s="8">
        <f t="shared" si="8"/>
        <v>405</v>
      </c>
      <c r="B408" s="3" t="s">
        <v>1583</v>
      </c>
      <c r="C408" s="3" t="s">
        <v>1584</v>
      </c>
      <c r="D408" s="3" t="s">
        <v>989</v>
      </c>
      <c r="E408" s="17"/>
      <c r="F408" s="10"/>
      <c r="G408" s="10"/>
      <c r="H408" s="10"/>
      <c r="I408" s="11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</row>
    <row r="409" spans="1:33" x14ac:dyDescent="0.25">
      <c r="A409" s="8">
        <f t="shared" si="8"/>
        <v>406</v>
      </c>
      <c r="B409" s="3" t="s">
        <v>1585</v>
      </c>
      <c r="C409" s="3" t="s">
        <v>1586</v>
      </c>
      <c r="D409" s="3" t="s">
        <v>186</v>
      </c>
      <c r="E409" s="17"/>
      <c r="F409" s="10"/>
      <c r="G409" s="10"/>
      <c r="H409" s="10"/>
      <c r="I409" s="11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</row>
    <row r="410" spans="1:33" x14ac:dyDescent="0.25">
      <c r="A410" s="8">
        <f t="shared" si="8"/>
        <v>407</v>
      </c>
      <c r="B410" s="3" t="s">
        <v>1587</v>
      </c>
      <c r="C410" s="3" t="s">
        <v>1588</v>
      </c>
      <c r="D410" s="3" t="s">
        <v>10</v>
      </c>
      <c r="E410" s="17"/>
      <c r="F410" s="10"/>
      <c r="G410" s="10"/>
      <c r="H410" s="10"/>
      <c r="I410" s="11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</row>
    <row r="411" spans="1:33" x14ac:dyDescent="0.25">
      <c r="A411" s="8">
        <f t="shared" si="8"/>
        <v>408</v>
      </c>
      <c r="B411" s="3" t="s">
        <v>1589</v>
      </c>
      <c r="C411" s="3" t="s">
        <v>1590</v>
      </c>
      <c r="D411" s="3" t="s">
        <v>47</v>
      </c>
      <c r="E411" s="17"/>
      <c r="F411" s="10"/>
      <c r="G411" s="10"/>
      <c r="H411" s="10"/>
      <c r="I411" s="11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</row>
    <row r="412" spans="1:33" x14ac:dyDescent="0.25">
      <c r="A412" s="8">
        <f t="shared" si="8"/>
        <v>409</v>
      </c>
      <c r="B412" s="3" t="s">
        <v>1591</v>
      </c>
      <c r="C412" s="3" t="s">
        <v>1592</v>
      </c>
      <c r="D412" s="3" t="s">
        <v>975</v>
      </c>
      <c r="E412" s="17"/>
      <c r="F412" s="10"/>
      <c r="G412" s="10"/>
      <c r="H412" s="10"/>
      <c r="I412" s="11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</row>
    <row r="413" spans="1:33" x14ac:dyDescent="0.25">
      <c r="A413" s="8">
        <f t="shared" si="8"/>
        <v>410</v>
      </c>
      <c r="B413" s="3" t="s">
        <v>1593</v>
      </c>
      <c r="C413" s="3" t="s">
        <v>294</v>
      </c>
      <c r="D413" s="3" t="s">
        <v>5</v>
      </c>
      <c r="E413" s="17"/>
      <c r="F413" s="10"/>
      <c r="G413" s="10"/>
      <c r="H413" s="10"/>
      <c r="I413" s="11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</row>
    <row r="414" spans="1:33" x14ac:dyDescent="0.25">
      <c r="A414" s="8">
        <f t="shared" si="8"/>
        <v>411</v>
      </c>
      <c r="B414" s="3" t="s">
        <v>1594</v>
      </c>
      <c r="C414" s="3" t="s">
        <v>1595</v>
      </c>
      <c r="D414" s="3" t="s">
        <v>31</v>
      </c>
      <c r="E414" s="17"/>
      <c r="F414" s="10"/>
      <c r="G414" s="10"/>
      <c r="H414" s="10"/>
      <c r="I414" s="11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</row>
    <row r="415" spans="1:33" x14ac:dyDescent="0.25">
      <c r="A415" s="8">
        <f t="shared" si="8"/>
        <v>412</v>
      </c>
      <c r="B415" s="3" t="s">
        <v>1596</v>
      </c>
      <c r="C415" s="3" t="s">
        <v>1597</v>
      </c>
      <c r="D415" s="3" t="s">
        <v>10</v>
      </c>
      <c r="E415" s="17"/>
      <c r="F415" s="10"/>
      <c r="G415" s="10"/>
      <c r="H415" s="10"/>
      <c r="I415" s="11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</row>
    <row r="416" spans="1:33" x14ac:dyDescent="0.25">
      <c r="A416" s="8">
        <f t="shared" si="8"/>
        <v>413</v>
      </c>
      <c r="B416" s="3" t="s">
        <v>1598</v>
      </c>
      <c r="C416" s="3" t="s">
        <v>1599</v>
      </c>
      <c r="D416" s="3" t="s">
        <v>47</v>
      </c>
      <c r="E416" s="17"/>
      <c r="F416" s="10"/>
      <c r="G416" s="10"/>
      <c r="H416" s="10"/>
      <c r="I416" s="11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</row>
    <row r="417" spans="1:33" x14ac:dyDescent="0.25">
      <c r="A417" s="8">
        <f t="shared" si="8"/>
        <v>414</v>
      </c>
      <c r="B417" s="3" t="s">
        <v>1600</v>
      </c>
      <c r="C417" s="3" t="s">
        <v>1601</v>
      </c>
      <c r="D417" s="3" t="s">
        <v>10</v>
      </c>
      <c r="E417" s="17"/>
      <c r="F417" s="10"/>
      <c r="G417" s="10"/>
      <c r="H417" s="10"/>
      <c r="I417" s="11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</row>
    <row r="418" spans="1:33" x14ac:dyDescent="0.25">
      <c r="A418" s="8">
        <f t="shared" si="8"/>
        <v>415</v>
      </c>
      <c r="B418" s="3" t="s">
        <v>1602</v>
      </c>
      <c r="C418" s="3" t="s">
        <v>1603</v>
      </c>
      <c r="D418" s="3" t="s">
        <v>412</v>
      </c>
      <c r="E418" s="17"/>
      <c r="F418" s="10"/>
      <c r="G418" s="10"/>
      <c r="H418" s="10"/>
      <c r="I418" s="11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</row>
    <row r="419" spans="1:33" x14ac:dyDescent="0.25">
      <c r="A419" s="8">
        <f t="shared" si="8"/>
        <v>416</v>
      </c>
      <c r="B419" s="3" t="s">
        <v>1604</v>
      </c>
      <c r="C419" s="3" t="s">
        <v>1605</v>
      </c>
      <c r="D419" s="3" t="s">
        <v>56</v>
      </c>
      <c r="E419" s="17"/>
      <c r="F419" s="10"/>
      <c r="G419" s="10"/>
      <c r="H419" s="10"/>
      <c r="I419" s="11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</row>
    <row r="420" spans="1:33" x14ac:dyDescent="0.25">
      <c r="A420" s="8">
        <f t="shared" si="8"/>
        <v>417</v>
      </c>
      <c r="B420" s="3" t="s">
        <v>1606</v>
      </c>
      <c r="C420" s="3" t="s">
        <v>1607</v>
      </c>
      <c r="D420" s="3" t="s">
        <v>56</v>
      </c>
      <c r="E420" s="17"/>
      <c r="F420" s="10"/>
      <c r="G420" s="10"/>
      <c r="H420" s="10"/>
      <c r="I420" s="11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</row>
    <row r="421" spans="1:33" x14ac:dyDescent="0.25">
      <c r="A421" s="8">
        <f t="shared" ref="A421:A484" si="9">+A420+1</f>
        <v>418</v>
      </c>
      <c r="B421" s="3" t="s">
        <v>1608</v>
      </c>
      <c r="C421" s="3" t="s">
        <v>1609</v>
      </c>
      <c r="D421" s="3" t="s">
        <v>984</v>
      </c>
      <c r="E421" s="17"/>
      <c r="F421" s="10"/>
      <c r="G421" s="10"/>
      <c r="H421" s="10"/>
      <c r="I421" s="11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</row>
    <row r="422" spans="1:33" x14ac:dyDescent="0.25">
      <c r="A422" s="8">
        <f t="shared" si="9"/>
        <v>419</v>
      </c>
      <c r="B422" s="3" t="s">
        <v>1610</v>
      </c>
      <c r="C422" s="3" t="s">
        <v>1611</v>
      </c>
      <c r="D422" s="3" t="s">
        <v>2</v>
      </c>
      <c r="E422" s="17"/>
      <c r="F422" s="10"/>
      <c r="G422" s="10"/>
      <c r="H422" s="10"/>
      <c r="I422" s="11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</row>
    <row r="423" spans="1:33" x14ac:dyDescent="0.25">
      <c r="A423" s="8">
        <f t="shared" si="9"/>
        <v>420</v>
      </c>
      <c r="B423" s="3" t="s">
        <v>1612</v>
      </c>
      <c r="C423" s="3" t="s">
        <v>1613</v>
      </c>
      <c r="D423" s="3" t="s">
        <v>10</v>
      </c>
      <c r="E423" s="17"/>
      <c r="F423" s="10"/>
      <c r="G423" s="10"/>
      <c r="H423" s="10"/>
      <c r="I423" s="11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</row>
    <row r="424" spans="1:33" x14ac:dyDescent="0.25">
      <c r="A424" s="8">
        <f t="shared" si="9"/>
        <v>421</v>
      </c>
      <c r="B424" s="3" t="s">
        <v>1614</v>
      </c>
      <c r="C424" s="3" t="s">
        <v>1615</v>
      </c>
      <c r="D424" s="3" t="s">
        <v>28</v>
      </c>
      <c r="E424" s="17"/>
      <c r="F424" s="10"/>
      <c r="G424" s="10"/>
      <c r="H424" s="10"/>
      <c r="I424" s="11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</row>
    <row r="425" spans="1:33" x14ac:dyDescent="0.25">
      <c r="A425" s="8">
        <f t="shared" si="9"/>
        <v>422</v>
      </c>
      <c r="B425" s="3" t="s">
        <v>1616</v>
      </c>
      <c r="C425" s="3" t="s">
        <v>1617</v>
      </c>
      <c r="D425" s="3" t="s">
        <v>975</v>
      </c>
      <c r="E425" s="17"/>
      <c r="F425" s="10"/>
      <c r="G425" s="10"/>
      <c r="H425" s="10"/>
      <c r="I425" s="11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</row>
    <row r="426" spans="1:33" x14ac:dyDescent="0.25">
      <c r="A426" s="8">
        <f t="shared" si="9"/>
        <v>423</v>
      </c>
      <c r="B426" s="3" t="s">
        <v>1618</v>
      </c>
      <c r="C426" s="3" t="s">
        <v>1619</v>
      </c>
      <c r="D426" s="3" t="s">
        <v>166</v>
      </c>
      <c r="E426" s="17"/>
      <c r="F426" s="10"/>
      <c r="G426" s="10"/>
      <c r="H426" s="10"/>
      <c r="I426" s="11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</row>
    <row r="427" spans="1:33" x14ac:dyDescent="0.25">
      <c r="A427" s="8">
        <f t="shared" si="9"/>
        <v>424</v>
      </c>
      <c r="B427" s="3" t="s">
        <v>1620</v>
      </c>
      <c r="C427" s="3" t="s">
        <v>1621</v>
      </c>
      <c r="D427" s="3" t="s">
        <v>980</v>
      </c>
      <c r="E427" s="17"/>
      <c r="F427" s="10"/>
      <c r="G427" s="10"/>
      <c r="H427" s="10"/>
      <c r="I427" s="11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</row>
    <row r="428" spans="1:33" x14ac:dyDescent="0.25">
      <c r="A428" s="8">
        <f t="shared" si="9"/>
        <v>425</v>
      </c>
      <c r="B428" s="3" t="s">
        <v>1622</v>
      </c>
      <c r="C428" s="3" t="s">
        <v>1623</v>
      </c>
      <c r="D428" s="3" t="s">
        <v>980</v>
      </c>
      <c r="E428" s="17"/>
      <c r="F428" s="10"/>
      <c r="G428" s="10"/>
      <c r="H428" s="10"/>
      <c r="I428" s="11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</row>
    <row r="429" spans="1:33" x14ac:dyDescent="0.25">
      <c r="A429" s="8">
        <f t="shared" si="9"/>
        <v>426</v>
      </c>
      <c r="B429" s="3" t="s">
        <v>1624</v>
      </c>
      <c r="C429" s="3" t="s">
        <v>1625</v>
      </c>
      <c r="D429" s="3" t="s">
        <v>186</v>
      </c>
      <c r="E429" s="17"/>
      <c r="F429" s="10"/>
      <c r="G429" s="10"/>
      <c r="H429" s="10"/>
      <c r="I429" s="11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</row>
    <row r="430" spans="1:33" x14ac:dyDescent="0.25">
      <c r="A430" s="8">
        <f t="shared" si="9"/>
        <v>427</v>
      </c>
      <c r="B430" s="3" t="s">
        <v>1626</v>
      </c>
      <c r="C430" s="3" t="s">
        <v>1627</v>
      </c>
      <c r="D430" s="3" t="s">
        <v>401</v>
      </c>
      <c r="E430" s="17"/>
      <c r="F430" s="10"/>
      <c r="G430" s="10"/>
      <c r="H430" s="10"/>
      <c r="I430" s="11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</row>
    <row r="431" spans="1:33" x14ac:dyDescent="0.25">
      <c r="A431" s="8">
        <f t="shared" si="9"/>
        <v>428</v>
      </c>
      <c r="B431" s="3" t="s">
        <v>1628</v>
      </c>
      <c r="C431" s="3" t="s">
        <v>1629</v>
      </c>
      <c r="D431" s="3" t="s">
        <v>5</v>
      </c>
      <c r="E431" s="17"/>
      <c r="F431" s="10"/>
      <c r="G431" s="10"/>
      <c r="H431" s="10"/>
      <c r="I431" s="11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</row>
    <row r="432" spans="1:33" x14ac:dyDescent="0.25">
      <c r="A432" s="8">
        <f t="shared" si="9"/>
        <v>429</v>
      </c>
      <c r="B432" s="3" t="s">
        <v>1630</v>
      </c>
      <c r="C432" s="3" t="s">
        <v>1631</v>
      </c>
      <c r="D432" s="3" t="s">
        <v>2</v>
      </c>
      <c r="E432" s="17"/>
      <c r="F432" s="10"/>
      <c r="G432" s="10"/>
      <c r="H432" s="10"/>
      <c r="I432" s="11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</row>
    <row r="433" spans="1:33" x14ac:dyDescent="0.25">
      <c r="A433" s="8">
        <f t="shared" si="9"/>
        <v>430</v>
      </c>
      <c r="B433" s="3" t="s">
        <v>1632</v>
      </c>
      <c r="C433" s="3" t="s">
        <v>1633</v>
      </c>
      <c r="D433" s="3" t="s">
        <v>166</v>
      </c>
      <c r="E433" s="17"/>
      <c r="F433" s="10"/>
      <c r="G433" s="10"/>
      <c r="H433" s="10"/>
      <c r="I433" s="11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</row>
    <row r="434" spans="1:33" x14ac:dyDescent="0.25">
      <c r="A434" s="8">
        <f t="shared" si="9"/>
        <v>431</v>
      </c>
      <c r="B434" s="3" t="s">
        <v>1634</v>
      </c>
      <c r="C434" s="3" t="s">
        <v>1635</v>
      </c>
      <c r="D434" s="3" t="s">
        <v>10</v>
      </c>
      <c r="E434" s="17"/>
      <c r="F434" s="10"/>
      <c r="G434" s="10"/>
      <c r="H434" s="10"/>
      <c r="I434" s="11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</row>
    <row r="435" spans="1:33" x14ac:dyDescent="0.25">
      <c r="A435" s="8">
        <f t="shared" si="9"/>
        <v>432</v>
      </c>
      <c r="B435" s="3" t="s">
        <v>1636</v>
      </c>
      <c r="C435" s="3" t="s">
        <v>1637</v>
      </c>
      <c r="D435" s="3" t="s">
        <v>193</v>
      </c>
      <c r="E435" s="17"/>
      <c r="F435" s="10"/>
      <c r="G435" s="10"/>
      <c r="H435" s="10"/>
      <c r="I435" s="11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</row>
    <row r="436" spans="1:33" x14ac:dyDescent="0.25">
      <c r="A436" s="19">
        <f t="shared" si="9"/>
        <v>433</v>
      </c>
      <c r="B436" s="4" t="s">
        <v>1638</v>
      </c>
      <c r="C436" s="4" t="s">
        <v>1639</v>
      </c>
      <c r="D436" s="4" t="s">
        <v>10</v>
      </c>
      <c r="E436" s="20"/>
      <c r="F436" s="21"/>
      <c r="G436" s="21"/>
      <c r="H436" s="21"/>
    </row>
    <row r="437" spans="1:33" x14ac:dyDescent="0.25">
      <c r="A437" s="19">
        <f t="shared" si="9"/>
        <v>434</v>
      </c>
      <c r="B437" s="4" t="s">
        <v>1640</v>
      </c>
      <c r="C437" s="4" t="s">
        <v>1641</v>
      </c>
      <c r="D437" s="4" t="s">
        <v>975</v>
      </c>
      <c r="E437" s="20"/>
      <c r="F437" s="21"/>
      <c r="G437" s="21"/>
      <c r="H437" s="21"/>
    </row>
    <row r="438" spans="1:33" x14ac:dyDescent="0.25">
      <c r="A438" s="19">
        <f t="shared" si="9"/>
        <v>435</v>
      </c>
      <c r="B438" s="4" t="s">
        <v>1642</v>
      </c>
      <c r="C438" s="4" t="s">
        <v>1643</v>
      </c>
      <c r="D438" s="4" t="s">
        <v>980</v>
      </c>
      <c r="E438" s="20"/>
      <c r="F438" s="21"/>
      <c r="G438" s="21"/>
      <c r="H438" s="21"/>
    </row>
    <row r="439" spans="1:33" x14ac:dyDescent="0.25">
      <c r="A439" s="19">
        <f t="shared" si="9"/>
        <v>436</v>
      </c>
      <c r="B439" s="4" t="s">
        <v>1644</v>
      </c>
      <c r="C439" s="4" t="s">
        <v>1645</v>
      </c>
      <c r="D439" s="4" t="s">
        <v>47</v>
      </c>
      <c r="E439" s="20"/>
      <c r="F439" s="21"/>
      <c r="G439" s="21"/>
      <c r="H439" s="21"/>
    </row>
    <row r="440" spans="1:33" x14ac:dyDescent="0.25">
      <c r="A440" s="19">
        <f t="shared" si="9"/>
        <v>437</v>
      </c>
      <c r="B440" s="4" t="s">
        <v>1646</v>
      </c>
      <c r="C440" s="4" t="s">
        <v>1647</v>
      </c>
      <c r="D440" s="4" t="s">
        <v>980</v>
      </c>
      <c r="E440" s="20"/>
      <c r="F440" s="21"/>
      <c r="G440" s="21"/>
      <c r="H440" s="21"/>
    </row>
    <row r="441" spans="1:33" x14ac:dyDescent="0.25">
      <c r="A441" s="19">
        <f t="shared" si="9"/>
        <v>438</v>
      </c>
      <c r="B441" s="4" t="s">
        <v>1648</v>
      </c>
      <c r="C441" s="4" t="s">
        <v>1649</v>
      </c>
      <c r="D441" s="4" t="s">
        <v>56</v>
      </c>
      <c r="E441" s="20"/>
      <c r="F441" s="21"/>
      <c r="G441" s="21"/>
      <c r="H441" s="21"/>
    </row>
    <row r="442" spans="1:33" x14ac:dyDescent="0.25">
      <c r="A442" s="19">
        <f t="shared" si="9"/>
        <v>439</v>
      </c>
      <c r="B442" s="4" t="s">
        <v>1650</v>
      </c>
      <c r="C442" s="4" t="s">
        <v>1651</v>
      </c>
      <c r="D442" s="4" t="s">
        <v>56</v>
      </c>
      <c r="E442" s="20"/>
      <c r="F442" s="21"/>
      <c r="G442" s="21"/>
      <c r="H442" s="21"/>
    </row>
    <row r="443" spans="1:33" x14ac:dyDescent="0.25">
      <c r="A443" s="19">
        <f t="shared" si="9"/>
        <v>440</v>
      </c>
      <c r="B443" s="4" t="s">
        <v>1652</v>
      </c>
      <c r="C443" s="4" t="s">
        <v>1653</v>
      </c>
      <c r="D443" s="4" t="s">
        <v>10</v>
      </c>
      <c r="E443" s="20"/>
      <c r="F443" s="21"/>
      <c r="G443" s="21"/>
      <c r="H443" s="21"/>
    </row>
    <row r="444" spans="1:33" x14ac:dyDescent="0.25">
      <c r="A444" s="19">
        <f t="shared" si="9"/>
        <v>441</v>
      </c>
      <c r="B444" s="4" t="s">
        <v>1654</v>
      </c>
      <c r="C444" s="4" t="s">
        <v>1655</v>
      </c>
      <c r="D444" s="4" t="s">
        <v>977</v>
      </c>
      <c r="E444" s="20"/>
      <c r="F444" s="21"/>
      <c r="G444" s="21"/>
      <c r="H444" s="21"/>
    </row>
    <row r="445" spans="1:33" x14ac:dyDescent="0.25">
      <c r="A445" s="19">
        <f t="shared" si="9"/>
        <v>442</v>
      </c>
      <c r="B445" s="4" t="s">
        <v>1656</v>
      </c>
      <c r="C445" s="4" t="s">
        <v>1657</v>
      </c>
      <c r="D445" s="4" t="s">
        <v>28</v>
      </c>
      <c r="E445" s="20"/>
      <c r="F445" s="21"/>
      <c r="G445" s="21"/>
      <c r="H445" s="21"/>
    </row>
    <row r="446" spans="1:33" x14ac:dyDescent="0.25">
      <c r="A446" s="19">
        <f t="shared" si="9"/>
        <v>443</v>
      </c>
      <c r="B446" s="4" t="s">
        <v>1658</v>
      </c>
      <c r="C446" s="4" t="s">
        <v>1659</v>
      </c>
      <c r="D446" s="4" t="s">
        <v>47</v>
      </c>
      <c r="E446" s="20"/>
      <c r="F446" s="21"/>
      <c r="G446" s="21"/>
      <c r="H446" s="21"/>
    </row>
    <row r="447" spans="1:33" x14ac:dyDescent="0.25">
      <c r="A447" s="19">
        <f t="shared" si="9"/>
        <v>444</v>
      </c>
      <c r="B447" s="4" t="s">
        <v>1660</v>
      </c>
      <c r="C447" s="4" t="s">
        <v>1661</v>
      </c>
      <c r="D447" s="4" t="s">
        <v>10</v>
      </c>
      <c r="E447" s="20"/>
      <c r="F447" s="21"/>
      <c r="G447" s="21"/>
      <c r="H447" s="21"/>
    </row>
    <row r="448" spans="1:33" x14ac:dyDescent="0.25">
      <c r="A448" s="19">
        <f t="shared" si="9"/>
        <v>445</v>
      </c>
      <c r="B448" s="4" t="s">
        <v>1662</v>
      </c>
      <c r="C448" s="4" t="s">
        <v>1663</v>
      </c>
      <c r="D448" s="4" t="s">
        <v>47</v>
      </c>
      <c r="E448" s="20"/>
      <c r="F448" s="21"/>
      <c r="G448" s="21"/>
      <c r="H448" s="21"/>
    </row>
    <row r="449" spans="1:8" x14ac:dyDescent="0.25">
      <c r="A449" s="19">
        <f t="shared" si="9"/>
        <v>446</v>
      </c>
      <c r="B449" s="4" t="s">
        <v>1664</v>
      </c>
      <c r="C449" s="4" t="s">
        <v>1665</v>
      </c>
      <c r="D449" s="4" t="s">
        <v>47</v>
      </c>
      <c r="E449" s="20"/>
      <c r="F449" s="21"/>
      <c r="G449" s="21"/>
      <c r="H449" s="21"/>
    </row>
    <row r="450" spans="1:8" x14ac:dyDescent="0.25">
      <c r="A450" s="19">
        <f t="shared" si="9"/>
        <v>447</v>
      </c>
      <c r="B450" s="4" t="s">
        <v>1666</v>
      </c>
      <c r="C450" s="4" t="s">
        <v>1667</v>
      </c>
      <c r="D450" s="4" t="s">
        <v>68</v>
      </c>
      <c r="E450" s="20"/>
      <c r="F450" s="21"/>
      <c r="G450" s="21"/>
      <c r="H450" s="21"/>
    </row>
    <row r="451" spans="1:8" x14ac:dyDescent="0.25">
      <c r="A451" s="19">
        <f t="shared" si="9"/>
        <v>448</v>
      </c>
      <c r="B451" s="4" t="s">
        <v>1668</v>
      </c>
      <c r="C451" s="4" t="s">
        <v>1669</v>
      </c>
      <c r="D451" s="4" t="s">
        <v>56</v>
      </c>
      <c r="E451" s="20"/>
      <c r="F451" s="21"/>
      <c r="G451" s="21"/>
      <c r="H451" s="21"/>
    </row>
    <row r="452" spans="1:8" x14ac:dyDescent="0.25">
      <c r="A452" s="19">
        <f t="shared" si="9"/>
        <v>449</v>
      </c>
      <c r="B452" s="4" t="s">
        <v>1670</v>
      </c>
      <c r="C452" s="4" t="s">
        <v>1671</v>
      </c>
      <c r="D452" s="4" t="s">
        <v>10</v>
      </c>
      <c r="E452" s="20"/>
      <c r="F452" s="21"/>
      <c r="G452" s="21"/>
      <c r="H452" s="21"/>
    </row>
    <row r="453" spans="1:8" x14ac:dyDescent="0.25">
      <c r="A453" s="19">
        <f t="shared" si="9"/>
        <v>450</v>
      </c>
      <c r="B453" s="4" t="s">
        <v>1672</v>
      </c>
      <c r="C453" s="4" t="s">
        <v>1673</v>
      </c>
      <c r="D453" s="4" t="s">
        <v>10</v>
      </c>
      <c r="E453" s="20"/>
      <c r="F453" s="21"/>
      <c r="G453" s="21"/>
      <c r="H453" s="21"/>
    </row>
    <row r="454" spans="1:8" x14ac:dyDescent="0.25">
      <c r="A454" s="19">
        <f t="shared" si="9"/>
        <v>451</v>
      </c>
      <c r="B454" s="4" t="s">
        <v>1674</v>
      </c>
      <c r="C454" s="4" t="s">
        <v>1675</v>
      </c>
      <c r="D454" s="4" t="s">
        <v>10</v>
      </c>
      <c r="E454" s="20"/>
      <c r="F454" s="21"/>
      <c r="G454" s="21"/>
      <c r="H454" s="21"/>
    </row>
    <row r="455" spans="1:8" x14ac:dyDescent="0.25">
      <c r="A455" s="19">
        <f t="shared" si="9"/>
        <v>452</v>
      </c>
      <c r="B455" s="4" t="s">
        <v>1676</v>
      </c>
      <c r="C455" s="4" t="s">
        <v>1677</v>
      </c>
      <c r="D455" s="4" t="s">
        <v>2</v>
      </c>
      <c r="E455" s="20"/>
      <c r="F455" s="21"/>
      <c r="G455" s="21"/>
      <c r="H455" s="21"/>
    </row>
    <row r="456" spans="1:8" x14ac:dyDescent="0.25">
      <c r="A456" s="19">
        <f t="shared" si="9"/>
        <v>453</v>
      </c>
      <c r="B456" s="4" t="s">
        <v>1678</v>
      </c>
      <c r="C456" s="4" t="s">
        <v>1679</v>
      </c>
      <c r="D456" s="4" t="s">
        <v>10</v>
      </c>
      <c r="E456" s="20"/>
      <c r="F456" s="21"/>
      <c r="G456" s="21"/>
      <c r="H456" s="21"/>
    </row>
    <row r="457" spans="1:8" x14ac:dyDescent="0.25">
      <c r="A457" s="19">
        <f t="shared" si="9"/>
        <v>454</v>
      </c>
      <c r="B457" s="4" t="s">
        <v>1680</v>
      </c>
      <c r="C457" s="4" t="s">
        <v>1681</v>
      </c>
      <c r="D457" s="4" t="s">
        <v>10</v>
      </c>
      <c r="E457" s="20"/>
      <c r="F457" s="21"/>
      <c r="G457" s="21"/>
      <c r="H457" s="21"/>
    </row>
    <row r="458" spans="1:8" x14ac:dyDescent="0.25">
      <c r="A458" s="19">
        <f t="shared" si="9"/>
        <v>455</v>
      </c>
      <c r="B458" s="4" t="s">
        <v>1682</v>
      </c>
      <c r="C458" s="4" t="s">
        <v>1683</v>
      </c>
      <c r="D458" s="4" t="s">
        <v>56</v>
      </c>
      <c r="E458" s="20"/>
      <c r="F458" s="21"/>
      <c r="G458" s="21"/>
      <c r="H458" s="21"/>
    </row>
    <row r="459" spans="1:8" x14ac:dyDescent="0.25">
      <c r="A459" s="19">
        <f t="shared" si="9"/>
        <v>456</v>
      </c>
      <c r="B459" s="4" t="s">
        <v>1684</v>
      </c>
      <c r="C459" s="4" t="s">
        <v>1685</v>
      </c>
      <c r="D459" s="4" t="s">
        <v>47</v>
      </c>
      <c r="E459" s="20"/>
      <c r="F459" s="21"/>
      <c r="G459" s="21"/>
      <c r="H459" s="21"/>
    </row>
    <row r="460" spans="1:8" x14ac:dyDescent="0.25">
      <c r="A460" s="19">
        <f t="shared" si="9"/>
        <v>457</v>
      </c>
      <c r="B460" s="4" t="s">
        <v>1686</v>
      </c>
      <c r="C460" s="4" t="s">
        <v>1687</v>
      </c>
      <c r="D460" s="4" t="s">
        <v>10</v>
      </c>
      <c r="E460" s="20"/>
      <c r="F460" s="21"/>
      <c r="G460" s="21"/>
      <c r="H460" s="21"/>
    </row>
    <row r="461" spans="1:8" x14ac:dyDescent="0.25">
      <c r="A461" s="19">
        <f t="shared" si="9"/>
        <v>458</v>
      </c>
      <c r="B461" s="4" t="s">
        <v>1688</v>
      </c>
      <c r="C461" s="4" t="s">
        <v>1689</v>
      </c>
      <c r="D461" s="4" t="s">
        <v>10</v>
      </c>
      <c r="E461" s="20"/>
      <c r="F461" s="21"/>
      <c r="G461" s="21"/>
      <c r="H461" s="21"/>
    </row>
    <row r="462" spans="1:8" x14ac:dyDescent="0.25">
      <c r="A462" s="19">
        <f t="shared" si="9"/>
        <v>459</v>
      </c>
      <c r="B462" s="4" t="s">
        <v>1690</v>
      </c>
      <c r="C462" s="4" t="s">
        <v>1691</v>
      </c>
      <c r="D462" s="4" t="s">
        <v>10</v>
      </c>
      <c r="E462" s="20"/>
      <c r="F462" s="21"/>
      <c r="G462" s="21"/>
      <c r="H462" s="21"/>
    </row>
    <row r="463" spans="1:8" x14ac:dyDescent="0.25">
      <c r="A463" s="19">
        <f t="shared" si="9"/>
        <v>460</v>
      </c>
      <c r="B463" s="4" t="s">
        <v>1692</v>
      </c>
      <c r="C463" s="4" t="s">
        <v>1693</v>
      </c>
      <c r="D463" s="4" t="s">
        <v>31</v>
      </c>
      <c r="E463" s="20"/>
      <c r="F463" s="21"/>
      <c r="G463" s="21"/>
      <c r="H463" s="21"/>
    </row>
    <row r="464" spans="1:8" x14ac:dyDescent="0.25">
      <c r="A464" s="19">
        <f t="shared" si="9"/>
        <v>461</v>
      </c>
      <c r="B464" s="4" t="s">
        <v>1694</v>
      </c>
      <c r="C464" s="4" t="s">
        <v>1695</v>
      </c>
      <c r="D464" s="4" t="s">
        <v>2</v>
      </c>
      <c r="E464" s="20"/>
      <c r="F464" s="21"/>
      <c r="G464" s="21"/>
      <c r="H464" s="21"/>
    </row>
    <row r="465" spans="1:8" x14ac:dyDescent="0.25">
      <c r="A465" s="19">
        <f t="shared" si="9"/>
        <v>462</v>
      </c>
      <c r="B465" s="4" t="s">
        <v>1696</v>
      </c>
      <c r="C465" s="4" t="s">
        <v>1697</v>
      </c>
      <c r="D465" s="4" t="s">
        <v>2</v>
      </c>
      <c r="E465" s="20"/>
      <c r="F465" s="21"/>
      <c r="G465" s="21"/>
      <c r="H465" s="21"/>
    </row>
    <row r="466" spans="1:8" x14ac:dyDescent="0.25">
      <c r="A466" s="19">
        <f t="shared" si="9"/>
        <v>463</v>
      </c>
      <c r="B466" s="4" t="s">
        <v>1698</v>
      </c>
      <c r="C466" s="4" t="s">
        <v>1699</v>
      </c>
      <c r="D466" s="4" t="s">
        <v>995</v>
      </c>
      <c r="E466" s="20"/>
      <c r="F466" s="21"/>
      <c r="G466" s="21"/>
      <c r="H466" s="21"/>
    </row>
    <row r="467" spans="1:8" x14ac:dyDescent="0.25">
      <c r="A467" s="19">
        <f t="shared" si="9"/>
        <v>464</v>
      </c>
      <c r="B467" s="4" t="s">
        <v>1700</v>
      </c>
      <c r="C467" s="4" t="s">
        <v>1701</v>
      </c>
      <c r="D467" s="4" t="s">
        <v>989</v>
      </c>
      <c r="E467" s="20"/>
      <c r="F467" s="21"/>
      <c r="G467" s="21"/>
      <c r="H467" s="21"/>
    </row>
    <row r="468" spans="1:8" x14ac:dyDescent="0.25">
      <c r="A468" s="19">
        <f t="shared" si="9"/>
        <v>465</v>
      </c>
      <c r="B468" s="4" t="s">
        <v>404</v>
      </c>
      <c r="C468" s="4" t="s">
        <v>405</v>
      </c>
      <c r="D468" s="4" t="s">
        <v>193</v>
      </c>
      <c r="E468" s="20"/>
      <c r="F468" s="21"/>
      <c r="G468" s="21"/>
      <c r="H468" s="21"/>
    </row>
    <row r="469" spans="1:8" x14ac:dyDescent="0.25">
      <c r="A469" s="19">
        <f t="shared" si="9"/>
        <v>466</v>
      </c>
      <c r="B469" s="4" t="s">
        <v>1702</v>
      </c>
      <c r="C469" s="4" t="s">
        <v>1703</v>
      </c>
      <c r="D469" s="4" t="s">
        <v>2</v>
      </c>
      <c r="E469" s="20"/>
      <c r="F469" s="21"/>
      <c r="G469" s="21"/>
      <c r="H469" s="21"/>
    </row>
    <row r="470" spans="1:8" x14ac:dyDescent="0.25">
      <c r="A470" s="19">
        <f t="shared" si="9"/>
        <v>467</v>
      </c>
      <c r="B470" s="4" t="s">
        <v>1704</v>
      </c>
      <c r="C470" s="4" t="s">
        <v>1705</v>
      </c>
      <c r="D470" s="4" t="s">
        <v>78</v>
      </c>
      <c r="E470" s="20"/>
      <c r="F470" s="21"/>
      <c r="G470" s="21"/>
      <c r="H470" s="21"/>
    </row>
    <row r="471" spans="1:8" x14ac:dyDescent="0.25">
      <c r="A471" s="19">
        <f t="shared" si="9"/>
        <v>468</v>
      </c>
      <c r="B471" s="4" t="s">
        <v>1706</v>
      </c>
      <c r="C471" s="4" t="s">
        <v>1707</v>
      </c>
      <c r="D471" s="4" t="s">
        <v>2</v>
      </c>
      <c r="E471" s="20"/>
      <c r="F471" s="21"/>
      <c r="G471" s="21"/>
      <c r="H471" s="21"/>
    </row>
    <row r="472" spans="1:8" x14ac:dyDescent="0.25">
      <c r="A472" s="19">
        <f t="shared" si="9"/>
        <v>469</v>
      </c>
      <c r="B472" s="4" t="s">
        <v>1708</v>
      </c>
      <c r="C472" s="4" t="s">
        <v>1709</v>
      </c>
      <c r="D472" s="4" t="s">
        <v>31</v>
      </c>
      <c r="E472" s="20"/>
      <c r="F472" s="21"/>
      <c r="G472" s="21"/>
      <c r="H472" s="21"/>
    </row>
    <row r="473" spans="1:8" x14ac:dyDescent="0.25">
      <c r="A473" s="19">
        <f t="shared" si="9"/>
        <v>470</v>
      </c>
      <c r="B473" s="4" t="s">
        <v>1710</v>
      </c>
      <c r="C473" s="4" t="s">
        <v>1711</v>
      </c>
      <c r="D473" s="4" t="s">
        <v>10</v>
      </c>
      <c r="E473" s="20"/>
      <c r="F473" s="21"/>
      <c r="G473" s="21"/>
      <c r="H473" s="21"/>
    </row>
    <row r="474" spans="1:8" x14ac:dyDescent="0.25">
      <c r="A474" s="19">
        <f t="shared" si="9"/>
        <v>471</v>
      </c>
      <c r="B474" s="4" t="s">
        <v>1712</v>
      </c>
      <c r="C474" s="4" t="s">
        <v>1713</v>
      </c>
      <c r="D474" s="4" t="s">
        <v>73</v>
      </c>
      <c r="E474" s="20"/>
      <c r="F474" s="21"/>
      <c r="G474" s="21"/>
      <c r="H474" s="21"/>
    </row>
    <row r="475" spans="1:8" x14ac:dyDescent="0.25">
      <c r="A475" s="19">
        <f t="shared" si="9"/>
        <v>472</v>
      </c>
      <c r="B475" s="4" t="s">
        <v>1714</v>
      </c>
      <c r="C475" s="4" t="s">
        <v>1715</v>
      </c>
      <c r="D475" s="4" t="s">
        <v>10</v>
      </c>
      <c r="E475" s="20"/>
      <c r="F475" s="21"/>
      <c r="G475" s="21"/>
      <c r="H475" s="21"/>
    </row>
    <row r="476" spans="1:8" x14ac:dyDescent="0.25">
      <c r="A476" s="19">
        <f t="shared" si="9"/>
        <v>473</v>
      </c>
      <c r="B476" s="4" t="s">
        <v>1716</v>
      </c>
      <c r="C476" s="4" t="s">
        <v>1717</v>
      </c>
      <c r="D476" s="4" t="s">
        <v>56</v>
      </c>
      <c r="E476" s="20"/>
      <c r="F476" s="21"/>
      <c r="G476" s="21"/>
      <c r="H476" s="21"/>
    </row>
    <row r="477" spans="1:8" x14ac:dyDescent="0.25">
      <c r="A477" s="19">
        <f t="shared" si="9"/>
        <v>474</v>
      </c>
      <c r="B477" s="4" t="s">
        <v>1718</v>
      </c>
      <c r="C477" s="4" t="s">
        <v>1719</v>
      </c>
      <c r="D477" s="4" t="s">
        <v>31</v>
      </c>
      <c r="E477" s="20"/>
      <c r="F477" s="21"/>
      <c r="G477" s="21"/>
      <c r="H477" s="21"/>
    </row>
    <row r="478" spans="1:8" x14ac:dyDescent="0.25">
      <c r="A478" s="19">
        <f t="shared" si="9"/>
        <v>475</v>
      </c>
      <c r="B478" s="4" t="s">
        <v>1720</v>
      </c>
      <c r="C478" s="4" t="s">
        <v>1721</v>
      </c>
      <c r="D478" s="4" t="s">
        <v>10</v>
      </c>
      <c r="E478" s="20"/>
      <c r="F478" s="21"/>
      <c r="G478" s="21"/>
      <c r="H478" s="21"/>
    </row>
    <row r="479" spans="1:8" x14ac:dyDescent="0.25">
      <c r="A479" s="19">
        <f t="shared" si="9"/>
        <v>476</v>
      </c>
      <c r="B479" s="4" t="s">
        <v>1722</v>
      </c>
      <c r="C479" s="4" t="s">
        <v>1723</v>
      </c>
      <c r="D479" s="4" t="s">
        <v>10</v>
      </c>
      <c r="E479" s="20"/>
      <c r="F479" s="21"/>
      <c r="G479" s="21"/>
      <c r="H479" s="21"/>
    </row>
    <row r="480" spans="1:8" x14ac:dyDescent="0.25">
      <c r="A480" s="19">
        <f t="shared" si="9"/>
        <v>477</v>
      </c>
      <c r="B480" s="4" t="s">
        <v>1724</v>
      </c>
      <c r="C480" s="4" t="s">
        <v>1725</v>
      </c>
      <c r="D480" s="4" t="s">
        <v>10</v>
      </c>
      <c r="E480" s="20"/>
      <c r="F480" s="21"/>
      <c r="G480" s="21"/>
      <c r="H480" s="21"/>
    </row>
    <row r="481" spans="1:8" x14ac:dyDescent="0.25">
      <c r="A481" s="19">
        <f t="shared" si="9"/>
        <v>478</v>
      </c>
      <c r="B481" s="4" t="s">
        <v>1726</v>
      </c>
      <c r="C481" s="4" t="s">
        <v>1727</v>
      </c>
      <c r="D481" s="4" t="s">
        <v>166</v>
      </c>
      <c r="E481" s="20"/>
      <c r="F481" s="21"/>
      <c r="G481" s="21"/>
      <c r="H481" s="21"/>
    </row>
    <row r="482" spans="1:8" x14ac:dyDescent="0.25">
      <c r="A482" s="19">
        <f t="shared" si="9"/>
        <v>479</v>
      </c>
      <c r="B482" s="4" t="s">
        <v>1728</v>
      </c>
      <c r="C482" s="4" t="s">
        <v>1729</v>
      </c>
      <c r="D482" s="4" t="s">
        <v>2</v>
      </c>
      <c r="E482" s="20"/>
      <c r="F482" s="21"/>
      <c r="G482" s="21"/>
      <c r="H482" s="21"/>
    </row>
    <row r="483" spans="1:8" x14ac:dyDescent="0.25">
      <c r="A483" s="19">
        <f t="shared" si="9"/>
        <v>480</v>
      </c>
      <c r="B483" s="4" t="s">
        <v>1730</v>
      </c>
      <c r="C483" s="4" t="s">
        <v>1731</v>
      </c>
      <c r="D483" s="4" t="s">
        <v>2</v>
      </c>
      <c r="E483" s="20"/>
      <c r="F483" s="21"/>
      <c r="G483" s="21"/>
      <c r="H483" s="21"/>
    </row>
    <row r="484" spans="1:8" x14ac:dyDescent="0.25">
      <c r="A484" s="19">
        <f t="shared" si="9"/>
        <v>481</v>
      </c>
      <c r="B484" s="4" t="s">
        <v>1732</v>
      </c>
      <c r="C484" s="4" t="s">
        <v>1733</v>
      </c>
      <c r="D484" s="4" t="s">
        <v>987</v>
      </c>
      <c r="E484" s="20"/>
      <c r="F484" s="21"/>
      <c r="G484" s="21"/>
      <c r="H484" s="21"/>
    </row>
    <row r="485" spans="1:8" x14ac:dyDescent="0.25">
      <c r="A485" s="19">
        <f t="shared" ref="A485:A548" si="10">+A484+1</f>
        <v>482</v>
      </c>
      <c r="B485" s="4" t="s">
        <v>1734</v>
      </c>
      <c r="C485" s="4" t="s">
        <v>1735</v>
      </c>
      <c r="D485" s="4" t="s">
        <v>975</v>
      </c>
      <c r="E485" s="20"/>
      <c r="F485" s="21"/>
      <c r="G485" s="21"/>
      <c r="H485" s="21"/>
    </row>
    <row r="486" spans="1:8" x14ac:dyDescent="0.25">
      <c r="A486" s="19">
        <f t="shared" si="10"/>
        <v>483</v>
      </c>
      <c r="B486" s="4" t="s">
        <v>1736</v>
      </c>
      <c r="C486" s="4" t="s">
        <v>1737</v>
      </c>
      <c r="D486" s="4" t="s">
        <v>89</v>
      </c>
      <c r="E486" s="20"/>
      <c r="F486" s="21"/>
      <c r="G486" s="21"/>
      <c r="H486" s="21"/>
    </row>
    <row r="487" spans="1:8" x14ac:dyDescent="0.25">
      <c r="A487" s="19">
        <f t="shared" si="10"/>
        <v>484</v>
      </c>
      <c r="B487" s="4" t="s">
        <v>1738</v>
      </c>
      <c r="C487" s="4" t="s">
        <v>1739</v>
      </c>
      <c r="D487" s="4" t="s">
        <v>47</v>
      </c>
      <c r="E487" s="20"/>
      <c r="F487" s="21"/>
      <c r="G487" s="21"/>
      <c r="H487" s="21"/>
    </row>
    <row r="488" spans="1:8" x14ac:dyDescent="0.25">
      <c r="A488" s="19">
        <f t="shared" si="10"/>
        <v>485</v>
      </c>
      <c r="B488" s="4" t="s">
        <v>1740</v>
      </c>
      <c r="C488" s="4" t="s">
        <v>1741</v>
      </c>
      <c r="D488" s="4" t="s">
        <v>981</v>
      </c>
      <c r="E488" s="20"/>
      <c r="F488" s="21"/>
      <c r="G488" s="21"/>
      <c r="H488" s="21"/>
    </row>
    <row r="489" spans="1:8" x14ac:dyDescent="0.25">
      <c r="A489" s="19">
        <f t="shared" si="10"/>
        <v>486</v>
      </c>
      <c r="B489" s="4" t="s">
        <v>1742</v>
      </c>
      <c r="C489" s="4" t="s">
        <v>1743</v>
      </c>
      <c r="D489" s="4" t="s">
        <v>10</v>
      </c>
      <c r="E489" s="20"/>
      <c r="F489" s="21"/>
      <c r="G489" s="21"/>
      <c r="H489" s="21"/>
    </row>
    <row r="490" spans="1:8" x14ac:dyDescent="0.25">
      <c r="A490" s="19">
        <f t="shared" si="10"/>
        <v>487</v>
      </c>
      <c r="B490" s="4" t="s">
        <v>1744</v>
      </c>
      <c r="C490" s="4" t="s">
        <v>1745</v>
      </c>
      <c r="D490" s="4" t="s">
        <v>2</v>
      </c>
      <c r="E490" s="20"/>
      <c r="F490" s="21"/>
      <c r="G490" s="21"/>
      <c r="H490" s="21"/>
    </row>
    <row r="491" spans="1:8" x14ac:dyDescent="0.25">
      <c r="A491" s="19">
        <f t="shared" si="10"/>
        <v>488</v>
      </c>
      <c r="B491" s="4" t="s">
        <v>1746</v>
      </c>
      <c r="C491" s="4" t="s">
        <v>1747</v>
      </c>
      <c r="D491" s="4" t="s">
        <v>988</v>
      </c>
      <c r="E491" s="20"/>
      <c r="F491" s="21"/>
      <c r="G491" s="21"/>
      <c r="H491" s="21"/>
    </row>
    <row r="492" spans="1:8" x14ac:dyDescent="0.25">
      <c r="A492" s="19">
        <f t="shared" si="10"/>
        <v>489</v>
      </c>
      <c r="B492" s="4" t="s">
        <v>1748</v>
      </c>
      <c r="C492" s="4" t="s">
        <v>1749</v>
      </c>
      <c r="D492" s="4" t="s">
        <v>186</v>
      </c>
      <c r="E492" s="20"/>
      <c r="F492" s="21"/>
      <c r="G492" s="21"/>
      <c r="H492" s="21"/>
    </row>
    <row r="493" spans="1:8" x14ac:dyDescent="0.25">
      <c r="A493" s="19">
        <f t="shared" si="10"/>
        <v>490</v>
      </c>
      <c r="B493" s="4" t="s">
        <v>1750</v>
      </c>
      <c r="C493" s="4" t="s">
        <v>1751</v>
      </c>
      <c r="D493" s="4" t="s">
        <v>10</v>
      </c>
      <c r="E493" s="20"/>
      <c r="F493" s="21"/>
      <c r="G493" s="21"/>
      <c r="H493" s="21"/>
    </row>
    <row r="494" spans="1:8" x14ac:dyDescent="0.25">
      <c r="A494" s="19">
        <f t="shared" si="10"/>
        <v>491</v>
      </c>
      <c r="B494" s="4" t="s">
        <v>1752</v>
      </c>
      <c r="C494" s="4" t="s">
        <v>1753</v>
      </c>
      <c r="D494" s="4" t="s">
        <v>10</v>
      </c>
      <c r="E494" s="20"/>
      <c r="F494" s="21"/>
      <c r="G494" s="21"/>
      <c r="H494" s="21"/>
    </row>
    <row r="495" spans="1:8" x14ac:dyDescent="0.25">
      <c r="A495" s="19">
        <f t="shared" si="10"/>
        <v>492</v>
      </c>
      <c r="B495" s="4" t="s">
        <v>1754</v>
      </c>
      <c r="C495" s="4" t="s">
        <v>1755</v>
      </c>
      <c r="D495" s="4" t="s">
        <v>987</v>
      </c>
      <c r="E495" s="20"/>
      <c r="F495" s="21"/>
      <c r="G495" s="21"/>
      <c r="H495" s="21"/>
    </row>
    <row r="496" spans="1:8" x14ac:dyDescent="0.25">
      <c r="A496" s="19">
        <f t="shared" si="10"/>
        <v>493</v>
      </c>
      <c r="B496" s="4" t="s">
        <v>1756</v>
      </c>
      <c r="C496" s="4" t="s">
        <v>1757</v>
      </c>
      <c r="D496" s="4" t="s">
        <v>2</v>
      </c>
      <c r="E496" s="20"/>
      <c r="F496" s="21"/>
      <c r="G496" s="21"/>
      <c r="H496" s="21"/>
    </row>
    <row r="497" spans="1:8" x14ac:dyDescent="0.25">
      <c r="A497" s="19">
        <f t="shared" si="10"/>
        <v>494</v>
      </c>
      <c r="B497" s="4" t="s">
        <v>1758</v>
      </c>
      <c r="C497" s="4" t="s">
        <v>1759</v>
      </c>
      <c r="D497" s="4" t="s">
        <v>2</v>
      </c>
      <c r="E497" s="20"/>
      <c r="F497" s="21"/>
      <c r="G497" s="21"/>
      <c r="H497" s="21"/>
    </row>
    <row r="498" spans="1:8" x14ac:dyDescent="0.25">
      <c r="A498" s="19">
        <f t="shared" si="10"/>
        <v>495</v>
      </c>
      <c r="B498" s="4" t="s">
        <v>1760</v>
      </c>
      <c r="C498" s="4" t="s">
        <v>1761</v>
      </c>
      <c r="D498" s="4" t="s">
        <v>10</v>
      </c>
      <c r="E498" s="20"/>
      <c r="F498" s="21"/>
      <c r="G498" s="21"/>
      <c r="H498" s="21"/>
    </row>
    <row r="499" spans="1:8" x14ac:dyDescent="0.25">
      <c r="A499" s="19">
        <f t="shared" si="10"/>
        <v>496</v>
      </c>
      <c r="B499" s="4" t="s">
        <v>1762</v>
      </c>
      <c r="C499" s="4" t="s">
        <v>1763</v>
      </c>
      <c r="D499" s="4" t="s">
        <v>975</v>
      </c>
      <c r="E499" s="20"/>
      <c r="F499" s="21"/>
      <c r="G499" s="21"/>
      <c r="H499" s="21"/>
    </row>
    <row r="500" spans="1:8" x14ac:dyDescent="0.25">
      <c r="A500" s="19">
        <f t="shared" si="10"/>
        <v>497</v>
      </c>
      <c r="B500" s="4" t="s">
        <v>1764</v>
      </c>
      <c r="C500" s="4" t="s">
        <v>1765</v>
      </c>
      <c r="D500" s="4" t="s">
        <v>1766</v>
      </c>
      <c r="E500" s="20"/>
      <c r="F500" s="21"/>
      <c r="G500" s="21"/>
      <c r="H500" s="21"/>
    </row>
    <row r="501" spans="1:8" x14ac:dyDescent="0.25">
      <c r="A501" s="19">
        <f t="shared" si="10"/>
        <v>498</v>
      </c>
      <c r="B501" s="4" t="s">
        <v>1767</v>
      </c>
      <c r="C501" s="4" t="s">
        <v>1768</v>
      </c>
      <c r="D501" s="4" t="s">
        <v>10</v>
      </c>
      <c r="E501" s="20"/>
      <c r="F501" s="21"/>
      <c r="G501" s="21"/>
      <c r="H501" s="21"/>
    </row>
    <row r="502" spans="1:8" x14ac:dyDescent="0.25">
      <c r="A502" s="19">
        <f t="shared" si="10"/>
        <v>499</v>
      </c>
      <c r="B502" s="4" t="s">
        <v>1769</v>
      </c>
      <c r="C502" s="4" t="s">
        <v>1770</v>
      </c>
      <c r="D502" s="4" t="s">
        <v>1223</v>
      </c>
      <c r="E502" s="20"/>
      <c r="F502" s="21"/>
      <c r="G502" s="21"/>
      <c r="H502" s="21"/>
    </row>
    <row r="503" spans="1:8" x14ac:dyDescent="0.25">
      <c r="A503" s="19">
        <f t="shared" si="10"/>
        <v>500</v>
      </c>
      <c r="B503" s="4" t="s">
        <v>1771</v>
      </c>
      <c r="C503" s="4" t="s">
        <v>1772</v>
      </c>
      <c r="D503" s="4" t="s">
        <v>1766</v>
      </c>
      <c r="E503" s="20"/>
      <c r="F503" s="21"/>
      <c r="G503" s="21"/>
      <c r="H503" s="21"/>
    </row>
    <row r="504" spans="1:8" x14ac:dyDescent="0.25">
      <c r="A504" s="19">
        <f t="shared" si="10"/>
        <v>501</v>
      </c>
      <c r="B504" s="4" t="s">
        <v>1773</v>
      </c>
      <c r="C504" s="4" t="s">
        <v>1774</v>
      </c>
      <c r="D504" s="4" t="s">
        <v>10</v>
      </c>
      <c r="E504" s="20"/>
      <c r="F504" s="21"/>
      <c r="G504" s="21"/>
      <c r="H504" s="21"/>
    </row>
    <row r="505" spans="1:8" x14ac:dyDescent="0.25">
      <c r="A505" s="19">
        <f t="shared" si="10"/>
        <v>502</v>
      </c>
      <c r="B505" s="4" t="s">
        <v>1775</v>
      </c>
      <c r="C505" s="4" t="s">
        <v>1776</v>
      </c>
      <c r="D505" s="4" t="s">
        <v>1777</v>
      </c>
      <c r="E505" s="20"/>
      <c r="F505" s="21"/>
      <c r="G505" s="21"/>
      <c r="H505" s="21"/>
    </row>
    <row r="506" spans="1:8" x14ac:dyDescent="0.25">
      <c r="A506" s="19">
        <f t="shared" si="10"/>
        <v>503</v>
      </c>
      <c r="B506" s="4" t="s">
        <v>1778</v>
      </c>
      <c r="C506" s="4" t="s">
        <v>1779</v>
      </c>
      <c r="D506" s="4" t="s">
        <v>980</v>
      </c>
      <c r="E506" s="20"/>
      <c r="F506" s="21"/>
      <c r="G506" s="21"/>
      <c r="H506" s="21"/>
    </row>
    <row r="507" spans="1:8" x14ac:dyDescent="0.25">
      <c r="A507" s="19">
        <f t="shared" si="10"/>
        <v>504</v>
      </c>
      <c r="B507" s="4" t="s">
        <v>1780</v>
      </c>
      <c r="C507" s="4" t="s">
        <v>1781</v>
      </c>
      <c r="D507" s="4" t="s">
        <v>412</v>
      </c>
      <c r="E507" s="20"/>
      <c r="F507" s="21"/>
      <c r="G507" s="21"/>
      <c r="H507" s="21"/>
    </row>
    <row r="508" spans="1:8" x14ac:dyDescent="0.25">
      <c r="A508" s="19">
        <f t="shared" si="10"/>
        <v>505</v>
      </c>
      <c r="B508" s="4" t="s">
        <v>1782</v>
      </c>
      <c r="C508" s="4" t="s">
        <v>1783</v>
      </c>
      <c r="D508" s="4" t="s">
        <v>47</v>
      </c>
      <c r="E508" s="20"/>
      <c r="F508" s="21"/>
      <c r="G508" s="21"/>
      <c r="H508" s="21"/>
    </row>
    <row r="509" spans="1:8" x14ac:dyDescent="0.25">
      <c r="A509" s="19">
        <f t="shared" si="10"/>
        <v>506</v>
      </c>
      <c r="B509" s="4" t="s">
        <v>1784</v>
      </c>
      <c r="C509" s="4" t="s">
        <v>1785</v>
      </c>
      <c r="D509" s="4" t="s">
        <v>2</v>
      </c>
      <c r="E509" s="20"/>
      <c r="F509" s="21"/>
      <c r="G509" s="21"/>
      <c r="H509" s="21"/>
    </row>
    <row r="510" spans="1:8" x14ac:dyDescent="0.25">
      <c r="A510" s="19">
        <f t="shared" si="10"/>
        <v>507</v>
      </c>
      <c r="B510" s="4" t="s">
        <v>1786</v>
      </c>
      <c r="C510" s="4" t="s">
        <v>1787</v>
      </c>
      <c r="D510" s="4" t="s">
        <v>980</v>
      </c>
      <c r="E510" s="20"/>
      <c r="F510" s="21"/>
      <c r="G510" s="21"/>
      <c r="H510" s="21"/>
    </row>
    <row r="511" spans="1:8" x14ac:dyDescent="0.25">
      <c r="A511" s="19">
        <f t="shared" si="10"/>
        <v>508</v>
      </c>
      <c r="B511" s="4" t="s">
        <v>1788</v>
      </c>
      <c r="C511" s="4" t="s">
        <v>1789</v>
      </c>
      <c r="D511" s="4" t="s">
        <v>2</v>
      </c>
      <c r="E511" s="20"/>
      <c r="F511" s="21"/>
      <c r="G511" s="21"/>
      <c r="H511" s="21"/>
    </row>
    <row r="512" spans="1:8" x14ac:dyDescent="0.25">
      <c r="A512" s="19">
        <f t="shared" si="10"/>
        <v>509</v>
      </c>
      <c r="B512" s="4" t="s">
        <v>1790</v>
      </c>
      <c r="C512" s="4" t="s">
        <v>1791</v>
      </c>
      <c r="D512" s="4" t="s">
        <v>10</v>
      </c>
      <c r="E512" s="20"/>
      <c r="F512" s="21"/>
      <c r="G512" s="21"/>
      <c r="H512" s="21"/>
    </row>
    <row r="513" spans="1:8" x14ac:dyDescent="0.25">
      <c r="A513" s="19">
        <f t="shared" si="10"/>
        <v>510</v>
      </c>
      <c r="B513" s="4" t="s">
        <v>1792</v>
      </c>
      <c r="C513" s="4" t="s">
        <v>1793</v>
      </c>
      <c r="D513" s="4" t="s">
        <v>31</v>
      </c>
      <c r="E513" s="20"/>
      <c r="F513" s="21"/>
      <c r="G513" s="21"/>
      <c r="H513" s="21"/>
    </row>
    <row r="514" spans="1:8" x14ac:dyDescent="0.25">
      <c r="A514" s="19">
        <f t="shared" si="10"/>
        <v>511</v>
      </c>
      <c r="B514" s="4" t="s">
        <v>1794</v>
      </c>
      <c r="C514" s="4" t="s">
        <v>1795</v>
      </c>
      <c r="D514" s="4" t="s">
        <v>61</v>
      </c>
      <c r="E514" s="20"/>
      <c r="F514" s="21"/>
      <c r="G514" s="21"/>
      <c r="H514" s="21"/>
    </row>
    <row r="515" spans="1:8" x14ac:dyDescent="0.25">
      <c r="A515" s="19">
        <f t="shared" si="10"/>
        <v>512</v>
      </c>
      <c r="B515" s="4" t="s">
        <v>1796</v>
      </c>
      <c r="C515" s="4" t="s">
        <v>1797</v>
      </c>
      <c r="D515" s="4" t="s">
        <v>975</v>
      </c>
      <c r="E515" s="20"/>
      <c r="F515" s="21"/>
      <c r="G515" s="21"/>
      <c r="H515" s="21"/>
    </row>
    <row r="516" spans="1:8" x14ac:dyDescent="0.25">
      <c r="A516" s="19">
        <f t="shared" si="10"/>
        <v>513</v>
      </c>
      <c r="B516" s="4" t="s">
        <v>1798</v>
      </c>
      <c r="C516" s="4" t="s">
        <v>1799</v>
      </c>
      <c r="D516" s="4" t="s">
        <v>56</v>
      </c>
      <c r="E516" s="20"/>
      <c r="F516" s="21"/>
      <c r="G516" s="21"/>
      <c r="H516" s="21"/>
    </row>
    <row r="517" spans="1:8" x14ac:dyDescent="0.25">
      <c r="A517" s="19">
        <f t="shared" si="10"/>
        <v>514</v>
      </c>
      <c r="B517" s="4" t="s">
        <v>1800</v>
      </c>
      <c r="C517" s="4" t="s">
        <v>1801</v>
      </c>
      <c r="D517" s="4" t="s">
        <v>980</v>
      </c>
      <c r="E517" s="20"/>
      <c r="F517" s="21"/>
      <c r="G517" s="21"/>
      <c r="H517" s="21"/>
    </row>
    <row r="518" spans="1:8" x14ac:dyDescent="0.25">
      <c r="A518" s="19">
        <f t="shared" si="10"/>
        <v>515</v>
      </c>
      <c r="B518" s="4" t="s">
        <v>1802</v>
      </c>
      <c r="C518" s="4" t="s">
        <v>1803</v>
      </c>
      <c r="D518" s="4" t="s">
        <v>28</v>
      </c>
      <c r="E518" s="20"/>
      <c r="F518" s="21"/>
      <c r="G518" s="21"/>
      <c r="H518" s="21"/>
    </row>
    <row r="519" spans="1:8" x14ac:dyDescent="0.25">
      <c r="A519" s="19">
        <f t="shared" si="10"/>
        <v>516</v>
      </c>
      <c r="B519" s="4" t="s">
        <v>1804</v>
      </c>
      <c r="C519" s="4" t="s">
        <v>1805</v>
      </c>
      <c r="D519" s="4" t="s">
        <v>56</v>
      </c>
      <c r="E519" s="20"/>
      <c r="F519" s="21"/>
      <c r="G519" s="21"/>
      <c r="H519" s="21"/>
    </row>
    <row r="520" spans="1:8" x14ac:dyDescent="0.25">
      <c r="A520" s="19">
        <f t="shared" si="10"/>
        <v>517</v>
      </c>
      <c r="B520" s="4" t="s">
        <v>1806</v>
      </c>
      <c r="C520" s="4" t="s">
        <v>1807</v>
      </c>
      <c r="D520" s="4" t="s">
        <v>10</v>
      </c>
      <c r="E520" s="20"/>
      <c r="F520" s="21"/>
      <c r="G520" s="21"/>
      <c r="H520" s="21"/>
    </row>
    <row r="521" spans="1:8" x14ac:dyDescent="0.25">
      <c r="A521" s="19">
        <f t="shared" si="10"/>
        <v>518</v>
      </c>
      <c r="B521" s="4" t="s">
        <v>1808</v>
      </c>
      <c r="C521" s="4" t="s">
        <v>1809</v>
      </c>
      <c r="D521" s="4" t="s">
        <v>2</v>
      </c>
      <c r="E521" s="20"/>
      <c r="F521" s="21"/>
      <c r="G521" s="21"/>
      <c r="H521" s="21"/>
    </row>
    <row r="522" spans="1:8" x14ac:dyDescent="0.25">
      <c r="A522" s="19">
        <f t="shared" si="10"/>
        <v>519</v>
      </c>
      <c r="B522" s="4" t="s">
        <v>1810</v>
      </c>
      <c r="C522" s="4" t="s">
        <v>1811</v>
      </c>
      <c r="D522" s="4" t="s">
        <v>31</v>
      </c>
      <c r="E522" s="20"/>
      <c r="F522" s="21"/>
      <c r="G522" s="21"/>
      <c r="H522" s="21"/>
    </row>
    <row r="523" spans="1:8" x14ac:dyDescent="0.25">
      <c r="A523" s="19">
        <f t="shared" si="10"/>
        <v>520</v>
      </c>
      <c r="B523" s="4" t="s">
        <v>1812</v>
      </c>
      <c r="C523" s="4" t="s">
        <v>1813</v>
      </c>
      <c r="D523" s="4" t="s">
        <v>2</v>
      </c>
      <c r="E523" s="20"/>
      <c r="F523" s="21"/>
      <c r="G523" s="21"/>
      <c r="H523" s="21"/>
    </row>
    <row r="524" spans="1:8" x14ac:dyDescent="0.25">
      <c r="A524" s="19">
        <f t="shared" si="10"/>
        <v>521</v>
      </c>
      <c r="B524" s="4" t="s">
        <v>1814</v>
      </c>
      <c r="C524" s="4" t="s">
        <v>1815</v>
      </c>
      <c r="D524" s="4" t="s">
        <v>987</v>
      </c>
      <c r="E524" s="20"/>
      <c r="F524" s="21"/>
      <c r="G524" s="21"/>
      <c r="H524" s="21"/>
    </row>
    <row r="525" spans="1:8" x14ac:dyDescent="0.25">
      <c r="A525" s="19">
        <f t="shared" si="10"/>
        <v>522</v>
      </c>
      <c r="B525" s="4" t="s">
        <v>1816</v>
      </c>
      <c r="C525" s="4" t="s">
        <v>1817</v>
      </c>
      <c r="D525" s="4" t="s">
        <v>186</v>
      </c>
      <c r="E525" s="20"/>
      <c r="F525" s="21"/>
      <c r="G525" s="21"/>
      <c r="H525" s="21"/>
    </row>
    <row r="526" spans="1:8" x14ac:dyDescent="0.25">
      <c r="A526" s="19">
        <f t="shared" si="10"/>
        <v>523</v>
      </c>
      <c r="B526" s="4" t="s">
        <v>1818</v>
      </c>
      <c r="C526" s="4" t="s">
        <v>1819</v>
      </c>
      <c r="D526" s="4" t="s">
        <v>980</v>
      </c>
      <c r="E526" s="20"/>
      <c r="F526" s="21"/>
      <c r="G526" s="21"/>
      <c r="H526" s="21"/>
    </row>
    <row r="527" spans="1:8" x14ac:dyDescent="0.25">
      <c r="A527" s="19">
        <f t="shared" si="10"/>
        <v>524</v>
      </c>
      <c r="B527" s="4" t="s">
        <v>1820</v>
      </c>
      <c r="C527" s="4" t="s">
        <v>1821</v>
      </c>
      <c r="D527" s="4" t="s">
        <v>204</v>
      </c>
      <c r="E527" s="20"/>
      <c r="F527" s="21"/>
      <c r="G527" s="21"/>
      <c r="H527" s="21"/>
    </row>
    <row r="528" spans="1:8" x14ac:dyDescent="0.25">
      <c r="A528" s="19">
        <f t="shared" si="10"/>
        <v>525</v>
      </c>
      <c r="B528" s="4" t="s">
        <v>1822</v>
      </c>
      <c r="C528" s="4" t="s">
        <v>1823</v>
      </c>
      <c r="D528" s="4" t="s">
        <v>56</v>
      </c>
      <c r="E528" s="20"/>
      <c r="F528" s="21"/>
      <c r="G528" s="21"/>
      <c r="H528" s="21"/>
    </row>
    <row r="529" spans="1:8" x14ac:dyDescent="0.25">
      <c r="A529" s="19">
        <f t="shared" si="10"/>
        <v>526</v>
      </c>
      <c r="B529" s="4" t="s">
        <v>1824</v>
      </c>
      <c r="C529" s="4" t="s">
        <v>1825</v>
      </c>
      <c r="D529" s="4" t="s">
        <v>10</v>
      </c>
      <c r="E529" s="20"/>
      <c r="F529" s="21"/>
      <c r="G529" s="21"/>
      <c r="H529" s="21"/>
    </row>
    <row r="530" spans="1:8" x14ac:dyDescent="0.25">
      <c r="A530" s="19">
        <f t="shared" si="10"/>
        <v>527</v>
      </c>
      <c r="B530" s="4" t="s">
        <v>1826</v>
      </c>
      <c r="C530" s="4" t="s">
        <v>1827</v>
      </c>
      <c r="D530" s="4" t="s">
        <v>401</v>
      </c>
      <c r="E530" s="20"/>
      <c r="F530" s="21"/>
      <c r="G530" s="21"/>
      <c r="H530" s="21"/>
    </row>
    <row r="531" spans="1:8" x14ac:dyDescent="0.25">
      <c r="A531" s="19">
        <f t="shared" si="10"/>
        <v>528</v>
      </c>
      <c r="B531" s="4" t="s">
        <v>1828</v>
      </c>
      <c r="C531" s="4" t="s">
        <v>1829</v>
      </c>
      <c r="D531" s="4" t="s">
        <v>401</v>
      </c>
      <c r="E531" s="20"/>
      <c r="F531" s="21"/>
      <c r="G531" s="21"/>
      <c r="H531" s="21"/>
    </row>
    <row r="532" spans="1:8" x14ac:dyDescent="0.25">
      <c r="A532" s="19">
        <f t="shared" si="10"/>
        <v>529</v>
      </c>
      <c r="B532" s="4" t="s">
        <v>1830</v>
      </c>
      <c r="C532" s="4" t="s">
        <v>1831</v>
      </c>
      <c r="D532" s="4" t="s">
        <v>193</v>
      </c>
      <c r="E532" s="20"/>
      <c r="F532" s="21"/>
      <c r="G532" s="21"/>
      <c r="H532" s="21"/>
    </row>
    <row r="533" spans="1:8" x14ac:dyDescent="0.25">
      <c r="A533" s="19">
        <f t="shared" si="10"/>
        <v>530</v>
      </c>
      <c r="B533" s="4" t="s">
        <v>1832</v>
      </c>
      <c r="C533" s="4" t="s">
        <v>1833</v>
      </c>
      <c r="D533" s="4" t="s">
        <v>2</v>
      </c>
      <c r="E533" s="20"/>
      <c r="F533" s="21"/>
      <c r="G533" s="21"/>
      <c r="H533" s="21"/>
    </row>
    <row r="534" spans="1:8" x14ac:dyDescent="0.25">
      <c r="A534" s="19">
        <f t="shared" si="10"/>
        <v>531</v>
      </c>
      <c r="B534" s="4" t="s">
        <v>1834</v>
      </c>
      <c r="C534" s="4" t="s">
        <v>1835</v>
      </c>
      <c r="D534" s="4" t="s">
        <v>47</v>
      </c>
      <c r="E534" s="20"/>
      <c r="F534" s="21"/>
      <c r="G534" s="21"/>
      <c r="H534" s="21"/>
    </row>
    <row r="535" spans="1:8" x14ac:dyDescent="0.25">
      <c r="A535" s="19">
        <f t="shared" si="10"/>
        <v>532</v>
      </c>
      <c r="B535" s="4" t="s">
        <v>1836</v>
      </c>
      <c r="C535" s="4" t="s">
        <v>1837</v>
      </c>
      <c r="D535" s="4" t="s">
        <v>28</v>
      </c>
      <c r="E535" s="20"/>
      <c r="F535" s="21"/>
      <c r="G535" s="21"/>
      <c r="H535" s="21"/>
    </row>
    <row r="536" spans="1:8" x14ac:dyDescent="0.25">
      <c r="A536" s="19">
        <f t="shared" si="10"/>
        <v>533</v>
      </c>
      <c r="B536" s="4" t="s">
        <v>1838</v>
      </c>
      <c r="C536" s="4" t="s">
        <v>1839</v>
      </c>
      <c r="D536" s="4" t="s">
        <v>78</v>
      </c>
      <c r="E536" s="20"/>
      <c r="F536" s="21"/>
      <c r="G536" s="21"/>
      <c r="H536" s="21"/>
    </row>
    <row r="537" spans="1:8" x14ac:dyDescent="0.25">
      <c r="A537" s="19">
        <f t="shared" si="10"/>
        <v>534</v>
      </c>
      <c r="B537" s="4" t="s">
        <v>1840</v>
      </c>
      <c r="C537" s="4" t="s">
        <v>1841</v>
      </c>
      <c r="D537" s="4" t="s">
        <v>367</v>
      </c>
      <c r="E537" s="20"/>
      <c r="F537" s="21"/>
      <c r="G537" s="21"/>
      <c r="H537" s="21"/>
    </row>
    <row r="538" spans="1:8" x14ac:dyDescent="0.25">
      <c r="A538" s="19">
        <f t="shared" si="10"/>
        <v>535</v>
      </c>
      <c r="B538" s="4" t="s">
        <v>1842</v>
      </c>
      <c r="C538" s="4" t="s">
        <v>1843</v>
      </c>
      <c r="D538" s="4" t="s">
        <v>2</v>
      </c>
      <c r="E538" s="20"/>
      <c r="F538" s="21"/>
      <c r="G538" s="21"/>
      <c r="H538" s="21"/>
    </row>
    <row r="539" spans="1:8" x14ac:dyDescent="0.25">
      <c r="A539" s="19">
        <f t="shared" si="10"/>
        <v>536</v>
      </c>
      <c r="B539" s="4" t="s">
        <v>1844</v>
      </c>
      <c r="C539" s="4" t="s">
        <v>1845</v>
      </c>
      <c r="D539" s="4" t="s">
        <v>2</v>
      </c>
      <c r="E539" s="20"/>
      <c r="F539" s="21"/>
      <c r="G539" s="21"/>
      <c r="H539" s="21"/>
    </row>
    <row r="540" spans="1:8" x14ac:dyDescent="0.25">
      <c r="A540" s="19">
        <f t="shared" si="10"/>
        <v>537</v>
      </c>
      <c r="B540" s="4" t="s">
        <v>1846</v>
      </c>
      <c r="C540" s="4" t="s">
        <v>1847</v>
      </c>
      <c r="D540" s="4" t="s">
        <v>2</v>
      </c>
      <c r="E540" s="20"/>
      <c r="F540" s="21"/>
      <c r="G540" s="21"/>
      <c r="H540" s="21"/>
    </row>
    <row r="541" spans="1:8" x14ac:dyDescent="0.25">
      <c r="A541" s="19">
        <f t="shared" si="10"/>
        <v>538</v>
      </c>
      <c r="B541" s="4" t="s">
        <v>1848</v>
      </c>
      <c r="C541" s="4" t="s">
        <v>1849</v>
      </c>
      <c r="D541" s="4" t="s">
        <v>193</v>
      </c>
      <c r="E541" s="20"/>
      <c r="F541" s="21"/>
      <c r="G541" s="21"/>
      <c r="H541" s="21"/>
    </row>
    <row r="542" spans="1:8" x14ac:dyDescent="0.25">
      <c r="A542" s="19">
        <f t="shared" si="10"/>
        <v>539</v>
      </c>
      <c r="B542" s="4" t="s">
        <v>1850</v>
      </c>
      <c r="C542" s="4" t="s">
        <v>1851</v>
      </c>
      <c r="D542" s="4" t="s">
        <v>2</v>
      </c>
      <c r="E542" s="20"/>
      <c r="F542" s="21"/>
      <c r="G542" s="21"/>
      <c r="H542" s="21"/>
    </row>
    <row r="543" spans="1:8" x14ac:dyDescent="0.25">
      <c r="A543" s="19">
        <f t="shared" si="10"/>
        <v>540</v>
      </c>
      <c r="B543" s="4" t="s">
        <v>1852</v>
      </c>
      <c r="C543" s="4" t="s">
        <v>1853</v>
      </c>
      <c r="D543" s="4" t="s">
        <v>2</v>
      </c>
      <c r="E543" s="20"/>
      <c r="F543" s="21"/>
      <c r="G543" s="21"/>
      <c r="H543" s="21"/>
    </row>
    <row r="544" spans="1:8" x14ac:dyDescent="0.25">
      <c r="A544" s="19">
        <f t="shared" si="10"/>
        <v>541</v>
      </c>
      <c r="B544" s="4" t="s">
        <v>1854</v>
      </c>
      <c r="C544" s="4" t="s">
        <v>1855</v>
      </c>
      <c r="D544" s="4" t="s">
        <v>980</v>
      </c>
      <c r="E544" s="20"/>
      <c r="F544" s="21"/>
      <c r="G544" s="21"/>
      <c r="H544" s="21"/>
    </row>
    <row r="545" spans="1:8" x14ac:dyDescent="0.25">
      <c r="A545" s="19">
        <f t="shared" si="10"/>
        <v>542</v>
      </c>
      <c r="B545" s="4" t="s">
        <v>1856</v>
      </c>
      <c r="C545" s="4" t="s">
        <v>1857</v>
      </c>
      <c r="D545" s="4" t="s">
        <v>31</v>
      </c>
      <c r="E545" s="20"/>
      <c r="F545" s="21"/>
      <c r="G545" s="21"/>
      <c r="H545" s="21"/>
    </row>
    <row r="546" spans="1:8" x14ac:dyDescent="0.25">
      <c r="A546" s="19">
        <f t="shared" si="10"/>
        <v>543</v>
      </c>
      <c r="B546" s="4" t="s">
        <v>1858</v>
      </c>
      <c r="C546" s="4" t="s">
        <v>1859</v>
      </c>
      <c r="D546" s="4" t="s">
        <v>980</v>
      </c>
      <c r="E546" s="20"/>
      <c r="F546" s="21"/>
      <c r="G546" s="21"/>
      <c r="H546" s="21"/>
    </row>
    <row r="547" spans="1:8" x14ac:dyDescent="0.25">
      <c r="A547" s="19">
        <f t="shared" si="10"/>
        <v>544</v>
      </c>
      <c r="B547" s="4" t="s">
        <v>1860</v>
      </c>
      <c r="C547" s="4" t="s">
        <v>1861</v>
      </c>
      <c r="D547" s="4" t="s">
        <v>2</v>
      </c>
      <c r="E547" s="20"/>
      <c r="F547" s="21"/>
      <c r="G547" s="21"/>
      <c r="H547" s="21"/>
    </row>
    <row r="548" spans="1:8" x14ac:dyDescent="0.25">
      <c r="A548" s="19">
        <f t="shared" si="10"/>
        <v>545</v>
      </c>
      <c r="B548" s="4" t="s">
        <v>1862</v>
      </c>
      <c r="C548" s="4" t="s">
        <v>1863</v>
      </c>
      <c r="D548" s="4" t="s">
        <v>980</v>
      </c>
      <c r="E548" s="20"/>
      <c r="F548" s="21"/>
      <c r="G548" s="21"/>
      <c r="H548" s="21"/>
    </row>
    <row r="549" spans="1:8" x14ac:dyDescent="0.25">
      <c r="A549" s="19">
        <f t="shared" ref="A549:A612" si="11">+A548+1</f>
        <v>546</v>
      </c>
      <c r="B549" s="4" t="s">
        <v>1864</v>
      </c>
      <c r="C549" s="4" t="s">
        <v>1865</v>
      </c>
      <c r="D549" s="4" t="s">
        <v>47</v>
      </c>
      <c r="E549" s="20"/>
      <c r="F549" s="21"/>
      <c r="G549" s="21"/>
      <c r="H549" s="21"/>
    </row>
    <row r="550" spans="1:8" x14ac:dyDescent="0.25">
      <c r="A550" s="19">
        <f t="shared" si="11"/>
        <v>547</v>
      </c>
      <c r="B550" s="4" t="s">
        <v>1866</v>
      </c>
      <c r="C550" s="4" t="s">
        <v>1867</v>
      </c>
      <c r="D550" s="4" t="s">
        <v>47</v>
      </c>
      <c r="E550" s="20"/>
      <c r="F550" s="21"/>
      <c r="G550" s="21"/>
      <c r="H550" s="21"/>
    </row>
    <row r="551" spans="1:8" x14ac:dyDescent="0.25">
      <c r="A551" s="19">
        <f t="shared" si="11"/>
        <v>548</v>
      </c>
      <c r="B551" s="4" t="s">
        <v>1868</v>
      </c>
      <c r="C551" s="4" t="s">
        <v>1869</v>
      </c>
      <c r="D551" s="4" t="s">
        <v>2</v>
      </c>
      <c r="E551" s="20"/>
      <c r="F551" s="21"/>
      <c r="G551" s="21"/>
      <c r="H551" s="21"/>
    </row>
    <row r="552" spans="1:8" x14ac:dyDescent="0.25">
      <c r="A552" s="19">
        <f t="shared" si="11"/>
        <v>549</v>
      </c>
      <c r="B552" s="4" t="s">
        <v>1870</v>
      </c>
      <c r="C552" s="4" t="s">
        <v>1871</v>
      </c>
      <c r="D552" s="4" t="s">
        <v>2</v>
      </c>
      <c r="E552" s="20"/>
      <c r="F552" s="21"/>
      <c r="G552" s="21"/>
      <c r="H552" s="21"/>
    </row>
    <row r="553" spans="1:8" x14ac:dyDescent="0.25">
      <c r="A553" s="19">
        <f t="shared" si="11"/>
        <v>550</v>
      </c>
      <c r="B553" s="4" t="s">
        <v>1872</v>
      </c>
      <c r="C553" s="4" t="s">
        <v>1873</v>
      </c>
      <c r="D553" s="4" t="s">
        <v>56</v>
      </c>
      <c r="E553" s="20"/>
      <c r="F553" s="21"/>
      <c r="G553" s="21"/>
      <c r="H553" s="21"/>
    </row>
    <row r="554" spans="1:8" x14ac:dyDescent="0.25">
      <c r="A554" s="19">
        <f t="shared" si="11"/>
        <v>551</v>
      </c>
      <c r="B554" s="4" t="s">
        <v>1874</v>
      </c>
      <c r="C554" s="4" t="s">
        <v>1875</v>
      </c>
      <c r="D554" s="4" t="s">
        <v>977</v>
      </c>
      <c r="E554" s="20"/>
      <c r="F554" s="21"/>
      <c r="G554" s="21"/>
      <c r="H554" s="21"/>
    </row>
    <row r="555" spans="1:8" x14ac:dyDescent="0.25">
      <c r="A555" s="19">
        <f t="shared" si="11"/>
        <v>552</v>
      </c>
      <c r="B555" s="4" t="s">
        <v>1876</v>
      </c>
      <c r="C555" s="4" t="s">
        <v>1877</v>
      </c>
      <c r="D555" s="4" t="s">
        <v>975</v>
      </c>
      <c r="E555" s="20"/>
      <c r="F555" s="21"/>
      <c r="G555" s="21"/>
      <c r="H555" s="21"/>
    </row>
    <row r="556" spans="1:8" x14ac:dyDescent="0.25">
      <c r="A556" s="19">
        <f t="shared" si="11"/>
        <v>553</v>
      </c>
      <c r="B556" s="4" t="s">
        <v>1878</v>
      </c>
      <c r="C556" s="4" t="s">
        <v>1879</v>
      </c>
      <c r="D556" s="4" t="s">
        <v>2</v>
      </c>
      <c r="E556" s="20"/>
      <c r="F556" s="21"/>
      <c r="G556" s="21"/>
      <c r="H556" s="21"/>
    </row>
    <row r="557" spans="1:8" x14ac:dyDescent="0.25">
      <c r="A557" s="19">
        <f t="shared" si="11"/>
        <v>554</v>
      </c>
      <c r="B557" s="4" t="s">
        <v>1880</v>
      </c>
      <c r="C557" s="4" t="s">
        <v>1881</v>
      </c>
      <c r="D557" s="4" t="s">
        <v>31</v>
      </c>
      <c r="E557" s="20"/>
      <c r="F557" s="21"/>
      <c r="G557" s="21"/>
      <c r="H557" s="21"/>
    </row>
    <row r="558" spans="1:8" x14ac:dyDescent="0.25">
      <c r="A558" s="19">
        <f t="shared" si="11"/>
        <v>555</v>
      </c>
      <c r="B558" s="4" t="s">
        <v>1882</v>
      </c>
      <c r="C558" s="4" t="s">
        <v>1883</v>
      </c>
      <c r="D558" s="4" t="s">
        <v>193</v>
      </c>
      <c r="E558" s="20"/>
      <c r="F558" s="21"/>
      <c r="G558" s="21"/>
      <c r="H558" s="21"/>
    </row>
    <row r="559" spans="1:8" x14ac:dyDescent="0.25">
      <c r="A559" s="19">
        <f t="shared" si="11"/>
        <v>556</v>
      </c>
      <c r="B559" s="4" t="s">
        <v>1884</v>
      </c>
      <c r="C559" s="4" t="s">
        <v>1885</v>
      </c>
      <c r="D559" s="4" t="s">
        <v>47</v>
      </c>
      <c r="E559" s="20"/>
      <c r="F559" s="21"/>
      <c r="G559" s="21"/>
      <c r="H559" s="21"/>
    </row>
    <row r="560" spans="1:8" x14ac:dyDescent="0.25">
      <c r="A560" s="19">
        <f t="shared" si="11"/>
        <v>557</v>
      </c>
      <c r="B560" s="4" t="s">
        <v>1886</v>
      </c>
      <c r="C560" s="4" t="s">
        <v>1887</v>
      </c>
      <c r="D560" s="4" t="s">
        <v>980</v>
      </c>
      <c r="E560" s="20"/>
      <c r="F560" s="21"/>
      <c r="G560" s="21"/>
      <c r="H560" s="21"/>
    </row>
    <row r="561" spans="1:8" x14ac:dyDescent="0.25">
      <c r="A561" s="19">
        <f t="shared" si="11"/>
        <v>558</v>
      </c>
      <c r="B561" s="4" t="s">
        <v>1888</v>
      </c>
      <c r="C561" s="4" t="s">
        <v>1889</v>
      </c>
      <c r="D561" s="4" t="s">
        <v>31</v>
      </c>
      <c r="E561" s="20"/>
      <c r="F561" s="21"/>
      <c r="G561" s="21"/>
      <c r="H561" s="21"/>
    </row>
    <row r="562" spans="1:8" x14ac:dyDescent="0.25">
      <c r="A562" s="19">
        <f t="shared" si="11"/>
        <v>559</v>
      </c>
      <c r="B562" s="4" t="s">
        <v>1890</v>
      </c>
      <c r="C562" s="4" t="s">
        <v>1891</v>
      </c>
      <c r="D562" s="4" t="s">
        <v>166</v>
      </c>
      <c r="E562" s="20"/>
      <c r="F562" s="21"/>
      <c r="G562" s="21"/>
      <c r="H562" s="21"/>
    </row>
    <row r="563" spans="1:8" x14ac:dyDescent="0.25">
      <c r="A563" s="19">
        <f t="shared" si="11"/>
        <v>560</v>
      </c>
      <c r="B563" s="4" t="s">
        <v>1892</v>
      </c>
      <c r="C563" s="4" t="s">
        <v>1893</v>
      </c>
      <c r="D563" s="4" t="s">
        <v>401</v>
      </c>
      <c r="E563" s="20"/>
      <c r="F563" s="21"/>
      <c r="G563" s="21"/>
      <c r="H563" s="21"/>
    </row>
    <row r="564" spans="1:8" x14ac:dyDescent="0.25">
      <c r="A564" s="19">
        <f t="shared" si="11"/>
        <v>561</v>
      </c>
      <c r="B564" s="4" t="s">
        <v>1894</v>
      </c>
      <c r="C564" s="4" t="s">
        <v>1895</v>
      </c>
      <c r="D564" s="4" t="s">
        <v>47</v>
      </c>
      <c r="E564" s="20"/>
      <c r="F564" s="21"/>
      <c r="G564" s="21"/>
      <c r="H564" s="21"/>
    </row>
    <row r="565" spans="1:8" x14ac:dyDescent="0.25">
      <c r="A565" s="19">
        <f t="shared" si="11"/>
        <v>562</v>
      </c>
      <c r="B565" s="4" t="s">
        <v>1896</v>
      </c>
      <c r="C565" s="4" t="s">
        <v>1897</v>
      </c>
      <c r="D565" s="4" t="s">
        <v>186</v>
      </c>
      <c r="E565" s="20"/>
      <c r="F565" s="21"/>
      <c r="G565" s="21"/>
      <c r="H565" s="21"/>
    </row>
    <row r="566" spans="1:8" x14ac:dyDescent="0.25">
      <c r="A566" s="19">
        <f t="shared" si="11"/>
        <v>563</v>
      </c>
      <c r="B566" s="4" t="s">
        <v>1898</v>
      </c>
      <c r="C566" s="4" t="s">
        <v>1899</v>
      </c>
      <c r="D566" s="4" t="s">
        <v>31</v>
      </c>
      <c r="E566" s="20"/>
      <c r="F566" s="21"/>
      <c r="G566" s="21"/>
      <c r="H566" s="21"/>
    </row>
    <row r="567" spans="1:8" x14ac:dyDescent="0.25">
      <c r="A567" s="19">
        <f t="shared" si="11"/>
        <v>564</v>
      </c>
      <c r="B567" s="4" t="s">
        <v>1900</v>
      </c>
      <c r="C567" s="4" t="s">
        <v>1901</v>
      </c>
      <c r="D567" s="4" t="s">
        <v>2</v>
      </c>
      <c r="E567" s="20"/>
      <c r="F567" s="21"/>
      <c r="G567" s="21"/>
      <c r="H567" s="21"/>
    </row>
    <row r="568" spans="1:8" x14ac:dyDescent="0.25">
      <c r="A568" s="19">
        <f t="shared" si="11"/>
        <v>565</v>
      </c>
      <c r="B568" s="4" t="s">
        <v>1902</v>
      </c>
      <c r="C568" s="4" t="s">
        <v>1903</v>
      </c>
      <c r="D568" s="4" t="s">
        <v>2</v>
      </c>
      <c r="E568" s="20"/>
      <c r="F568" s="21"/>
      <c r="G568" s="21"/>
      <c r="H568" s="21"/>
    </row>
    <row r="569" spans="1:8" x14ac:dyDescent="0.25">
      <c r="A569" s="19">
        <f t="shared" si="11"/>
        <v>566</v>
      </c>
      <c r="B569" s="4" t="s">
        <v>1904</v>
      </c>
      <c r="C569" s="4" t="s">
        <v>1905</v>
      </c>
      <c r="D569" s="4" t="s">
        <v>166</v>
      </c>
      <c r="E569" s="20"/>
      <c r="F569" s="21"/>
      <c r="G569" s="21"/>
      <c r="H569" s="21"/>
    </row>
    <row r="570" spans="1:8" x14ac:dyDescent="0.25">
      <c r="A570" s="19">
        <f t="shared" si="11"/>
        <v>567</v>
      </c>
      <c r="B570" s="4" t="s">
        <v>1906</v>
      </c>
      <c r="C570" s="4" t="s">
        <v>1907</v>
      </c>
      <c r="D570" s="4" t="s">
        <v>186</v>
      </c>
      <c r="E570" s="20"/>
      <c r="F570" s="21"/>
      <c r="G570" s="21"/>
      <c r="H570" s="21"/>
    </row>
    <row r="571" spans="1:8" x14ac:dyDescent="0.25">
      <c r="A571" s="19">
        <f t="shared" si="11"/>
        <v>568</v>
      </c>
      <c r="B571" s="4" t="s">
        <v>1908</v>
      </c>
      <c r="C571" s="4" t="s">
        <v>1909</v>
      </c>
      <c r="D571" s="4" t="s">
        <v>78</v>
      </c>
      <c r="E571" s="20"/>
      <c r="F571" s="21"/>
      <c r="G571" s="21"/>
      <c r="H571" s="21"/>
    </row>
    <row r="572" spans="1:8" x14ac:dyDescent="0.25">
      <c r="A572" s="19">
        <f t="shared" si="11"/>
        <v>569</v>
      </c>
      <c r="B572" s="4" t="s">
        <v>1910</v>
      </c>
      <c r="C572" s="4" t="s">
        <v>1911</v>
      </c>
      <c r="D572" s="4" t="s">
        <v>56</v>
      </c>
      <c r="E572" s="20"/>
      <c r="F572" s="21"/>
      <c r="G572" s="21"/>
      <c r="H572" s="21"/>
    </row>
    <row r="573" spans="1:8" x14ac:dyDescent="0.25">
      <c r="A573" s="19">
        <f t="shared" si="11"/>
        <v>570</v>
      </c>
      <c r="B573" s="4" t="s">
        <v>1912</v>
      </c>
      <c r="C573" s="4" t="s">
        <v>1913</v>
      </c>
      <c r="D573" s="4" t="s">
        <v>47</v>
      </c>
      <c r="E573" s="20"/>
      <c r="F573" s="21"/>
      <c r="G573" s="21"/>
      <c r="H573" s="21"/>
    </row>
    <row r="574" spans="1:8" x14ac:dyDescent="0.25">
      <c r="A574" s="19">
        <f t="shared" si="11"/>
        <v>571</v>
      </c>
      <c r="B574" s="4" t="s">
        <v>1914</v>
      </c>
      <c r="C574" s="4" t="s">
        <v>1915</v>
      </c>
      <c r="D574" s="4" t="s">
        <v>193</v>
      </c>
      <c r="E574" s="20"/>
      <c r="F574" s="21"/>
      <c r="G574" s="21"/>
      <c r="H574" s="21"/>
    </row>
    <row r="575" spans="1:8" x14ac:dyDescent="0.25">
      <c r="A575" s="19">
        <f t="shared" si="11"/>
        <v>572</v>
      </c>
      <c r="B575" s="4" t="s">
        <v>1916</v>
      </c>
      <c r="C575" s="4" t="s">
        <v>1917</v>
      </c>
      <c r="D575" s="4" t="s">
        <v>1918</v>
      </c>
      <c r="E575" s="20"/>
      <c r="F575" s="21"/>
      <c r="G575" s="21"/>
      <c r="H575" s="21"/>
    </row>
    <row r="576" spans="1:8" x14ac:dyDescent="0.25">
      <c r="A576" s="19">
        <f t="shared" si="11"/>
        <v>573</v>
      </c>
      <c r="B576" s="4" t="s">
        <v>1919</v>
      </c>
      <c r="C576" s="4" t="s">
        <v>1920</v>
      </c>
      <c r="D576" s="4" t="s">
        <v>56</v>
      </c>
      <c r="E576" s="20"/>
      <c r="F576" s="21"/>
      <c r="G576" s="21"/>
      <c r="H576" s="21"/>
    </row>
    <row r="577" spans="1:8" x14ac:dyDescent="0.25">
      <c r="A577" s="19">
        <f t="shared" si="11"/>
        <v>574</v>
      </c>
      <c r="B577" s="4" t="s">
        <v>1921</v>
      </c>
      <c r="C577" s="4" t="s">
        <v>1922</v>
      </c>
      <c r="D577" s="4" t="s">
        <v>186</v>
      </c>
      <c r="E577" s="20"/>
      <c r="F577" s="21"/>
      <c r="G577" s="21"/>
      <c r="H577" s="21"/>
    </row>
    <row r="578" spans="1:8" x14ac:dyDescent="0.25">
      <c r="A578" s="19">
        <f t="shared" si="11"/>
        <v>575</v>
      </c>
      <c r="B578" s="4" t="s">
        <v>1923</v>
      </c>
      <c r="C578" s="4" t="s">
        <v>1924</v>
      </c>
      <c r="D578" s="4" t="s">
        <v>47</v>
      </c>
      <c r="E578" s="20"/>
      <c r="F578" s="21"/>
      <c r="G578" s="21"/>
      <c r="H578" s="21"/>
    </row>
    <row r="579" spans="1:8" x14ac:dyDescent="0.25">
      <c r="A579" s="19">
        <f t="shared" si="11"/>
        <v>576</v>
      </c>
      <c r="B579" s="4" t="s">
        <v>1925</v>
      </c>
      <c r="C579" s="4" t="s">
        <v>1926</v>
      </c>
      <c r="D579" s="4" t="s">
        <v>166</v>
      </c>
      <c r="E579" s="20"/>
      <c r="F579" s="21"/>
      <c r="G579" s="21"/>
      <c r="H579" s="21"/>
    </row>
    <row r="580" spans="1:8" x14ac:dyDescent="0.25">
      <c r="A580" s="19">
        <f t="shared" si="11"/>
        <v>577</v>
      </c>
      <c r="B580" s="4" t="s">
        <v>1927</v>
      </c>
      <c r="C580" s="4" t="s">
        <v>1928</v>
      </c>
      <c r="D580" s="4" t="s">
        <v>980</v>
      </c>
      <c r="E580" s="20"/>
      <c r="F580" s="21"/>
      <c r="G580" s="21"/>
      <c r="H580" s="21"/>
    </row>
    <row r="581" spans="1:8" x14ac:dyDescent="0.25">
      <c r="A581" s="19">
        <f t="shared" si="11"/>
        <v>578</v>
      </c>
      <c r="B581" s="4" t="s">
        <v>1929</v>
      </c>
      <c r="C581" s="4" t="s">
        <v>1930</v>
      </c>
      <c r="D581" s="4" t="s">
        <v>977</v>
      </c>
      <c r="E581" s="20"/>
      <c r="F581" s="21"/>
      <c r="G581" s="21"/>
      <c r="H581" s="21"/>
    </row>
    <row r="582" spans="1:8" x14ac:dyDescent="0.25">
      <c r="A582" s="19">
        <f t="shared" si="11"/>
        <v>579</v>
      </c>
      <c r="B582" s="4" t="s">
        <v>1931</v>
      </c>
      <c r="C582" s="4" t="s">
        <v>1932</v>
      </c>
      <c r="D582" s="4" t="s">
        <v>980</v>
      </c>
      <c r="E582" s="20"/>
      <c r="F582" s="21"/>
      <c r="G582" s="21"/>
      <c r="H582" s="21"/>
    </row>
    <row r="583" spans="1:8" x14ac:dyDescent="0.25">
      <c r="A583" s="19">
        <f t="shared" si="11"/>
        <v>580</v>
      </c>
      <c r="B583" s="4" t="s">
        <v>1933</v>
      </c>
      <c r="C583" s="4" t="s">
        <v>1934</v>
      </c>
      <c r="D583" s="4" t="s">
        <v>119</v>
      </c>
      <c r="E583" s="20"/>
      <c r="F583" s="21"/>
      <c r="G583" s="21"/>
      <c r="H583" s="21"/>
    </row>
    <row r="584" spans="1:8" x14ac:dyDescent="0.25">
      <c r="A584" s="19">
        <f t="shared" si="11"/>
        <v>581</v>
      </c>
      <c r="B584" s="4" t="s">
        <v>1935</v>
      </c>
      <c r="C584" s="4" t="s">
        <v>1936</v>
      </c>
      <c r="D584" s="4" t="s">
        <v>47</v>
      </c>
      <c r="E584" s="20"/>
      <c r="F584" s="21"/>
      <c r="G584" s="21"/>
      <c r="H584" s="21"/>
    </row>
    <row r="585" spans="1:8" x14ac:dyDescent="0.25">
      <c r="A585" s="19">
        <f t="shared" si="11"/>
        <v>582</v>
      </c>
      <c r="B585" s="4" t="s">
        <v>1937</v>
      </c>
      <c r="C585" s="4" t="s">
        <v>1938</v>
      </c>
      <c r="D585" s="4" t="s">
        <v>2</v>
      </c>
      <c r="E585" s="20"/>
      <c r="F585" s="21"/>
      <c r="G585" s="21"/>
      <c r="H585" s="21"/>
    </row>
    <row r="586" spans="1:8" x14ac:dyDescent="0.25">
      <c r="A586" s="19">
        <f t="shared" si="11"/>
        <v>583</v>
      </c>
      <c r="B586" s="4" t="s">
        <v>1939</v>
      </c>
      <c r="C586" s="4" t="s">
        <v>1940</v>
      </c>
      <c r="D586" s="4" t="s">
        <v>56</v>
      </c>
      <c r="E586" s="20"/>
      <c r="F586" s="21"/>
      <c r="G586" s="21"/>
      <c r="H586" s="21"/>
    </row>
    <row r="587" spans="1:8" x14ac:dyDescent="0.25">
      <c r="A587" s="19">
        <f t="shared" si="11"/>
        <v>584</v>
      </c>
      <c r="B587" s="4" t="s">
        <v>1941</v>
      </c>
      <c r="C587" s="4" t="s">
        <v>1942</v>
      </c>
      <c r="D587" s="4" t="s">
        <v>2</v>
      </c>
      <c r="E587" s="20"/>
      <c r="F587" s="21"/>
      <c r="G587" s="21"/>
      <c r="H587" s="21"/>
    </row>
    <row r="588" spans="1:8" x14ac:dyDescent="0.25">
      <c r="A588" s="19">
        <f t="shared" si="11"/>
        <v>585</v>
      </c>
      <c r="B588" s="4" t="s">
        <v>1943</v>
      </c>
      <c r="C588" s="4" t="s">
        <v>1944</v>
      </c>
      <c r="D588" s="4" t="s">
        <v>1223</v>
      </c>
      <c r="E588" s="20"/>
      <c r="F588" s="21"/>
      <c r="G588" s="21"/>
      <c r="H588" s="21"/>
    </row>
    <row r="589" spans="1:8" x14ac:dyDescent="0.25">
      <c r="A589" s="19">
        <f t="shared" si="11"/>
        <v>586</v>
      </c>
      <c r="B589" s="4" t="s">
        <v>1945</v>
      </c>
      <c r="C589" s="4" t="s">
        <v>1946</v>
      </c>
      <c r="D589" s="4" t="s">
        <v>2</v>
      </c>
      <c r="E589" s="20"/>
      <c r="F589" s="21"/>
      <c r="G589" s="21"/>
      <c r="H589" s="21"/>
    </row>
    <row r="590" spans="1:8" x14ac:dyDescent="0.25">
      <c r="A590" s="19">
        <f t="shared" si="11"/>
        <v>587</v>
      </c>
      <c r="B590" s="4" t="s">
        <v>1947</v>
      </c>
      <c r="C590" s="4" t="s">
        <v>1948</v>
      </c>
      <c r="D590" s="4" t="s">
        <v>166</v>
      </c>
      <c r="E590" s="20"/>
      <c r="F590" s="21"/>
      <c r="G590" s="21"/>
      <c r="H590" s="21"/>
    </row>
    <row r="591" spans="1:8" x14ac:dyDescent="0.25">
      <c r="A591" s="19">
        <f t="shared" si="11"/>
        <v>588</v>
      </c>
      <c r="B591" s="4" t="s">
        <v>1949</v>
      </c>
      <c r="C591" s="4" t="s">
        <v>1950</v>
      </c>
      <c r="D591" s="4" t="s">
        <v>31</v>
      </c>
      <c r="E591" s="20"/>
      <c r="F591" s="21"/>
      <c r="G591" s="21"/>
      <c r="H591" s="21"/>
    </row>
    <row r="592" spans="1:8" x14ac:dyDescent="0.25">
      <c r="A592" s="19">
        <f t="shared" si="11"/>
        <v>589</v>
      </c>
      <c r="B592" s="4" t="s">
        <v>1951</v>
      </c>
      <c r="C592" s="4" t="s">
        <v>1952</v>
      </c>
      <c r="D592" s="4" t="s">
        <v>987</v>
      </c>
      <c r="E592" s="20"/>
      <c r="F592" s="21"/>
      <c r="G592" s="21"/>
      <c r="H592" s="21"/>
    </row>
    <row r="593" spans="1:8" x14ac:dyDescent="0.25">
      <c r="A593" s="19">
        <f t="shared" si="11"/>
        <v>590</v>
      </c>
      <c r="B593" s="4" t="s">
        <v>1953</v>
      </c>
      <c r="C593" s="4" t="s">
        <v>1954</v>
      </c>
      <c r="D593" s="4" t="s">
        <v>166</v>
      </c>
      <c r="E593" s="20"/>
      <c r="F593" s="21"/>
      <c r="G593" s="21"/>
      <c r="H593" s="21"/>
    </row>
    <row r="594" spans="1:8" x14ac:dyDescent="0.25">
      <c r="A594" s="19">
        <f t="shared" si="11"/>
        <v>591</v>
      </c>
      <c r="B594" s="4" t="s">
        <v>1955</v>
      </c>
      <c r="C594" s="4" t="s">
        <v>1956</v>
      </c>
      <c r="D594" s="4" t="s">
        <v>2</v>
      </c>
      <c r="E594" s="20"/>
      <c r="F594" s="21"/>
      <c r="G594" s="21"/>
      <c r="H594" s="21"/>
    </row>
    <row r="595" spans="1:8" x14ac:dyDescent="0.25">
      <c r="A595" s="19">
        <f t="shared" si="11"/>
        <v>592</v>
      </c>
      <c r="B595" s="4" t="s">
        <v>1957</v>
      </c>
      <c r="C595" s="4" t="s">
        <v>1958</v>
      </c>
      <c r="D595" s="4" t="s">
        <v>31</v>
      </c>
      <c r="E595" s="20"/>
      <c r="F595" s="21"/>
      <c r="G595" s="21"/>
      <c r="H595" s="21"/>
    </row>
    <row r="596" spans="1:8" x14ac:dyDescent="0.25">
      <c r="A596" s="19">
        <f t="shared" si="11"/>
        <v>593</v>
      </c>
      <c r="B596" s="4" t="s">
        <v>1959</v>
      </c>
      <c r="C596" s="4" t="s">
        <v>1960</v>
      </c>
      <c r="D596" s="4" t="s">
        <v>1961</v>
      </c>
      <c r="E596" s="20"/>
      <c r="F596" s="21"/>
      <c r="G596" s="21"/>
      <c r="H596" s="21"/>
    </row>
    <row r="597" spans="1:8" x14ac:dyDescent="0.25">
      <c r="A597" s="19">
        <f t="shared" si="11"/>
        <v>594</v>
      </c>
      <c r="B597" s="4" t="s">
        <v>1962</v>
      </c>
      <c r="C597" s="4" t="s">
        <v>1963</v>
      </c>
      <c r="D597" s="4" t="s">
        <v>193</v>
      </c>
      <c r="E597" s="20"/>
      <c r="F597" s="21"/>
      <c r="G597" s="21"/>
      <c r="H597" s="21"/>
    </row>
    <row r="598" spans="1:8" x14ac:dyDescent="0.25">
      <c r="A598" s="19">
        <f t="shared" si="11"/>
        <v>595</v>
      </c>
      <c r="B598" s="4" t="s">
        <v>1964</v>
      </c>
      <c r="C598" s="4" t="s">
        <v>1965</v>
      </c>
      <c r="D598" s="4" t="s">
        <v>186</v>
      </c>
      <c r="E598" s="20"/>
      <c r="F598" s="21"/>
      <c r="G598" s="21"/>
      <c r="H598" s="21"/>
    </row>
    <row r="599" spans="1:8" x14ac:dyDescent="0.25">
      <c r="A599" s="19">
        <f t="shared" si="11"/>
        <v>596</v>
      </c>
      <c r="B599" s="4" t="s">
        <v>1966</v>
      </c>
      <c r="C599" s="4" t="s">
        <v>1967</v>
      </c>
      <c r="D599" s="4" t="s">
        <v>2</v>
      </c>
      <c r="E599" s="20"/>
      <c r="F599" s="21"/>
      <c r="G599" s="21"/>
      <c r="H599" s="21"/>
    </row>
    <row r="600" spans="1:8" x14ac:dyDescent="0.25">
      <c r="A600" s="19">
        <f t="shared" si="11"/>
        <v>597</v>
      </c>
      <c r="B600" s="4" t="s">
        <v>1968</v>
      </c>
      <c r="C600" s="4" t="s">
        <v>1969</v>
      </c>
      <c r="D600" s="4" t="s">
        <v>2</v>
      </c>
      <c r="E600" s="20"/>
      <c r="F600" s="21"/>
      <c r="G600" s="21"/>
      <c r="H600" s="21"/>
    </row>
    <row r="601" spans="1:8" x14ac:dyDescent="0.25">
      <c r="A601" s="19">
        <f t="shared" si="11"/>
        <v>598</v>
      </c>
      <c r="B601" s="4" t="s">
        <v>1970</v>
      </c>
      <c r="C601" s="4" t="s">
        <v>1971</v>
      </c>
      <c r="D601" s="4" t="s">
        <v>1223</v>
      </c>
      <c r="E601" s="20"/>
      <c r="F601" s="21"/>
      <c r="G601" s="21"/>
      <c r="H601" s="21"/>
    </row>
    <row r="602" spans="1:8" x14ac:dyDescent="0.25">
      <c r="A602" s="19">
        <f t="shared" si="11"/>
        <v>599</v>
      </c>
      <c r="B602" s="4" t="s">
        <v>1972</v>
      </c>
      <c r="C602" s="4" t="s">
        <v>1973</v>
      </c>
      <c r="D602" s="4" t="s">
        <v>980</v>
      </c>
      <c r="E602" s="20"/>
      <c r="F602" s="21"/>
      <c r="G602" s="21"/>
      <c r="H602" s="21"/>
    </row>
    <row r="603" spans="1:8" x14ac:dyDescent="0.25">
      <c r="A603" s="19">
        <f t="shared" si="11"/>
        <v>600</v>
      </c>
      <c r="B603" s="4" t="s">
        <v>1974</v>
      </c>
      <c r="C603" s="4" t="s">
        <v>1975</v>
      </c>
      <c r="D603" s="4" t="s">
        <v>193</v>
      </c>
      <c r="E603" s="20"/>
      <c r="F603" s="21"/>
      <c r="G603" s="21"/>
      <c r="H603" s="21"/>
    </row>
    <row r="604" spans="1:8" x14ac:dyDescent="0.25">
      <c r="A604" s="19">
        <f t="shared" si="11"/>
        <v>601</v>
      </c>
      <c r="B604" s="4" t="s">
        <v>1976</v>
      </c>
      <c r="C604" s="4" t="s">
        <v>1977</v>
      </c>
      <c r="D604" s="4" t="s">
        <v>412</v>
      </c>
      <c r="E604" s="20"/>
      <c r="F604" s="21"/>
      <c r="G604" s="21"/>
      <c r="H604" s="21"/>
    </row>
    <row r="605" spans="1:8" x14ac:dyDescent="0.25">
      <c r="A605" s="19">
        <f t="shared" si="11"/>
        <v>602</v>
      </c>
      <c r="B605" s="4" t="s">
        <v>1978</v>
      </c>
      <c r="C605" s="4" t="s">
        <v>1979</v>
      </c>
      <c r="D605" s="4" t="s">
        <v>980</v>
      </c>
      <c r="E605" s="20"/>
      <c r="F605" s="21"/>
      <c r="G605" s="21"/>
      <c r="H605" s="21"/>
    </row>
    <row r="606" spans="1:8" x14ac:dyDescent="0.25">
      <c r="A606" s="19">
        <f t="shared" si="11"/>
        <v>603</v>
      </c>
      <c r="B606" s="4" t="s">
        <v>1980</v>
      </c>
      <c r="C606" s="4" t="s">
        <v>1981</v>
      </c>
      <c r="D606" s="4" t="s">
        <v>31</v>
      </c>
      <c r="E606" s="20"/>
      <c r="F606" s="21"/>
      <c r="G606" s="21"/>
      <c r="H606" s="21"/>
    </row>
    <row r="607" spans="1:8" x14ac:dyDescent="0.25">
      <c r="A607" s="19">
        <f t="shared" si="11"/>
        <v>604</v>
      </c>
      <c r="B607" s="4" t="s">
        <v>1982</v>
      </c>
      <c r="C607" s="4" t="s">
        <v>1983</v>
      </c>
      <c r="D607" s="4" t="s">
        <v>2</v>
      </c>
      <c r="E607" s="20"/>
      <c r="F607" s="21"/>
      <c r="G607" s="21"/>
      <c r="H607" s="21"/>
    </row>
    <row r="608" spans="1:8" x14ac:dyDescent="0.25">
      <c r="A608" s="19">
        <f t="shared" si="11"/>
        <v>605</v>
      </c>
      <c r="B608" s="4" t="s">
        <v>1984</v>
      </c>
      <c r="C608" s="4" t="s">
        <v>1985</v>
      </c>
      <c r="D608" s="4" t="s">
        <v>2</v>
      </c>
      <c r="E608" s="20"/>
      <c r="F608" s="21"/>
      <c r="G608" s="21"/>
      <c r="H608" s="21"/>
    </row>
    <row r="609" spans="1:8" x14ac:dyDescent="0.25">
      <c r="A609" s="19">
        <f t="shared" si="11"/>
        <v>606</v>
      </c>
      <c r="B609" s="4" t="s">
        <v>1986</v>
      </c>
      <c r="C609" s="4" t="s">
        <v>1987</v>
      </c>
      <c r="D609" s="4" t="s">
        <v>166</v>
      </c>
      <c r="E609" s="20"/>
      <c r="F609" s="21"/>
      <c r="G609" s="21"/>
      <c r="H609" s="21"/>
    </row>
    <row r="610" spans="1:8" x14ac:dyDescent="0.25">
      <c r="A610" s="19">
        <f t="shared" si="11"/>
        <v>607</v>
      </c>
      <c r="B610" s="4" t="s">
        <v>1988</v>
      </c>
      <c r="C610" s="4" t="s">
        <v>1989</v>
      </c>
      <c r="D610" s="4" t="s">
        <v>31</v>
      </c>
      <c r="E610" s="20"/>
      <c r="F610" s="21"/>
      <c r="G610" s="21"/>
      <c r="H610" s="21"/>
    </row>
    <row r="611" spans="1:8" x14ac:dyDescent="0.25">
      <c r="A611" s="19">
        <f t="shared" si="11"/>
        <v>608</v>
      </c>
      <c r="B611" s="4" t="s">
        <v>1990</v>
      </c>
      <c r="C611" s="4" t="s">
        <v>1991</v>
      </c>
      <c r="D611" s="4" t="s">
        <v>31</v>
      </c>
      <c r="E611" s="20"/>
      <c r="F611" s="21"/>
      <c r="G611" s="21"/>
      <c r="H611" s="21"/>
    </row>
    <row r="612" spans="1:8" x14ac:dyDescent="0.25">
      <c r="A612" s="19">
        <f t="shared" si="11"/>
        <v>609</v>
      </c>
      <c r="B612" s="4" t="s">
        <v>1992</v>
      </c>
      <c r="C612" s="4" t="s">
        <v>1993</v>
      </c>
      <c r="D612" s="4" t="s">
        <v>412</v>
      </c>
      <c r="E612" s="20"/>
      <c r="F612" s="21"/>
      <c r="G612" s="21"/>
      <c r="H612" s="21"/>
    </row>
    <row r="613" spans="1:8" x14ac:dyDescent="0.25">
      <c r="A613" s="19">
        <f t="shared" ref="A613:A676" si="12">+A612+1</f>
        <v>610</v>
      </c>
      <c r="B613" s="4" t="s">
        <v>1994</v>
      </c>
      <c r="C613" s="4" t="s">
        <v>1995</v>
      </c>
      <c r="D613" s="4" t="s">
        <v>78</v>
      </c>
      <c r="E613" s="20"/>
      <c r="F613" s="21"/>
      <c r="G613" s="21"/>
      <c r="H613" s="21"/>
    </row>
    <row r="614" spans="1:8" x14ac:dyDescent="0.25">
      <c r="A614" s="19">
        <f t="shared" si="12"/>
        <v>611</v>
      </c>
      <c r="B614" s="4" t="s">
        <v>1996</v>
      </c>
      <c r="C614" s="4" t="s">
        <v>1997</v>
      </c>
      <c r="D614" s="4" t="s">
        <v>1961</v>
      </c>
      <c r="E614" s="20"/>
      <c r="F614" s="21"/>
      <c r="G614" s="21"/>
      <c r="H614" s="21"/>
    </row>
    <row r="615" spans="1:8" x14ac:dyDescent="0.25">
      <c r="A615" s="19">
        <f t="shared" si="12"/>
        <v>612</v>
      </c>
      <c r="B615" s="4" t="s">
        <v>1998</v>
      </c>
      <c r="C615" s="4" t="s">
        <v>1999</v>
      </c>
      <c r="D615" s="4" t="s">
        <v>56</v>
      </c>
      <c r="E615" s="20"/>
      <c r="F615" s="21"/>
      <c r="G615" s="21"/>
      <c r="H615" s="21"/>
    </row>
    <row r="616" spans="1:8" x14ac:dyDescent="0.25">
      <c r="A616" s="19">
        <f t="shared" si="12"/>
        <v>613</v>
      </c>
      <c r="B616" s="4" t="s">
        <v>2000</v>
      </c>
      <c r="C616" s="4" t="s">
        <v>2001</v>
      </c>
      <c r="D616" s="4" t="s">
        <v>193</v>
      </c>
      <c r="E616" s="20"/>
      <c r="F616" s="21"/>
      <c r="G616" s="21"/>
      <c r="H616" s="21"/>
    </row>
    <row r="617" spans="1:8" x14ac:dyDescent="0.25">
      <c r="A617" s="19">
        <f t="shared" si="12"/>
        <v>614</v>
      </c>
      <c r="B617" s="4" t="s">
        <v>2002</v>
      </c>
      <c r="C617" s="4" t="s">
        <v>2003</v>
      </c>
      <c r="D617" s="4" t="s">
        <v>193</v>
      </c>
      <c r="E617" s="20"/>
      <c r="F617" s="21"/>
      <c r="G617" s="21"/>
      <c r="H617" s="21"/>
    </row>
    <row r="618" spans="1:8" x14ac:dyDescent="0.25">
      <c r="A618" s="19">
        <f t="shared" si="12"/>
        <v>615</v>
      </c>
      <c r="B618" s="4" t="s">
        <v>2004</v>
      </c>
      <c r="C618" s="4" t="s">
        <v>2005</v>
      </c>
      <c r="D618" s="4" t="s">
        <v>367</v>
      </c>
      <c r="E618" s="20"/>
      <c r="F618" s="21"/>
      <c r="G618" s="21"/>
      <c r="H618" s="21"/>
    </row>
    <row r="619" spans="1:8" x14ac:dyDescent="0.25">
      <c r="A619" s="19">
        <f t="shared" si="12"/>
        <v>616</v>
      </c>
      <c r="B619" s="4" t="s">
        <v>2006</v>
      </c>
      <c r="C619" s="4" t="s">
        <v>2007</v>
      </c>
      <c r="D619" s="4" t="s">
        <v>193</v>
      </c>
      <c r="E619" s="20"/>
      <c r="F619" s="21"/>
      <c r="G619" s="21"/>
      <c r="H619" s="21"/>
    </row>
    <row r="620" spans="1:8" x14ac:dyDescent="0.25">
      <c r="A620" s="19">
        <f t="shared" si="12"/>
        <v>617</v>
      </c>
      <c r="B620" s="4" t="s">
        <v>2008</v>
      </c>
      <c r="C620" s="4" t="s">
        <v>2009</v>
      </c>
      <c r="D620" s="4" t="s">
        <v>31</v>
      </c>
      <c r="E620" s="20"/>
      <c r="F620" s="21"/>
      <c r="G620" s="21"/>
      <c r="H620" s="21"/>
    </row>
    <row r="621" spans="1:8" x14ac:dyDescent="0.25">
      <c r="A621" s="19">
        <f t="shared" si="12"/>
        <v>618</v>
      </c>
      <c r="B621" s="4" t="s">
        <v>2010</v>
      </c>
      <c r="C621" s="4" t="s">
        <v>2011</v>
      </c>
      <c r="D621" s="4" t="s">
        <v>412</v>
      </c>
      <c r="E621" s="20"/>
      <c r="F621" s="21"/>
      <c r="G621" s="21"/>
      <c r="H621" s="21"/>
    </row>
    <row r="622" spans="1:8" x14ac:dyDescent="0.25">
      <c r="A622" s="19">
        <f t="shared" si="12"/>
        <v>619</v>
      </c>
      <c r="B622" s="4" t="s">
        <v>2012</v>
      </c>
      <c r="C622" s="4" t="s">
        <v>2013</v>
      </c>
      <c r="D622" s="4" t="s">
        <v>2</v>
      </c>
      <c r="E622" s="20"/>
      <c r="F622" s="21"/>
      <c r="G622" s="21"/>
      <c r="H622" s="21"/>
    </row>
    <row r="623" spans="1:8" x14ac:dyDescent="0.25">
      <c r="A623" s="19">
        <f t="shared" si="12"/>
        <v>620</v>
      </c>
      <c r="B623" s="4" t="s">
        <v>2014</v>
      </c>
      <c r="C623" s="4" t="s">
        <v>2015</v>
      </c>
      <c r="D623" s="4" t="s">
        <v>31</v>
      </c>
      <c r="E623" s="20"/>
      <c r="F623" s="21"/>
      <c r="G623" s="21"/>
      <c r="H623" s="21"/>
    </row>
    <row r="624" spans="1:8" x14ac:dyDescent="0.25">
      <c r="A624" s="19">
        <f t="shared" si="12"/>
        <v>621</v>
      </c>
      <c r="B624" s="4" t="s">
        <v>2016</v>
      </c>
      <c r="C624" s="4" t="s">
        <v>312</v>
      </c>
      <c r="D624" s="4" t="s">
        <v>313</v>
      </c>
      <c r="E624" s="20"/>
      <c r="F624" s="21"/>
      <c r="G624" s="21"/>
      <c r="H624" s="21"/>
    </row>
    <row r="625" spans="1:8" x14ac:dyDescent="0.25">
      <c r="A625" s="19">
        <f t="shared" si="12"/>
        <v>622</v>
      </c>
      <c r="B625" s="4" t="s">
        <v>2017</v>
      </c>
      <c r="C625" s="4" t="s">
        <v>315</v>
      </c>
      <c r="D625" s="4" t="s">
        <v>5</v>
      </c>
      <c r="E625" s="20"/>
      <c r="F625" s="21"/>
      <c r="G625" s="21"/>
      <c r="H625" s="21"/>
    </row>
    <row r="626" spans="1:8" x14ac:dyDescent="0.25">
      <c r="A626" s="19">
        <f t="shared" si="12"/>
        <v>623</v>
      </c>
      <c r="B626" s="4" t="s">
        <v>2018</v>
      </c>
      <c r="C626" s="4" t="s">
        <v>2019</v>
      </c>
      <c r="D626" s="4" t="s">
        <v>31</v>
      </c>
      <c r="E626" s="20"/>
      <c r="F626" s="21"/>
      <c r="G626" s="21"/>
      <c r="H626" s="21"/>
    </row>
    <row r="627" spans="1:8" x14ac:dyDescent="0.25">
      <c r="A627" s="19">
        <f t="shared" si="12"/>
        <v>624</v>
      </c>
      <c r="B627" s="4" t="s">
        <v>2020</v>
      </c>
      <c r="C627" s="4" t="s">
        <v>2021</v>
      </c>
      <c r="D627" s="4" t="s">
        <v>31</v>
      </c>
      <c r="E627" s="20"/>
      <c r="F627" s="21"/>
      <c r="G627" s="21"/>
      <c r="H627" s="21"/>
    </row>
    <row r="628" spans="1:8" x14ac:dyDescent="0.25">
      <c r="A628" s="19">
        <f t="shared" si="12"/>
        <v>625</v>
      </c>
      <c r="B628" s="4" t="s">
        <v>2022</v>
      </c>
      <c r="C628" s="4" t="s">
        <v>2023</v>
      </c>
      <c r="D628" s="4" t="s">
        <v>2</v>
      </c>
      <c r="E628" s="20"/>
      <c r="F628" s="21"/>
      <c r="G628" s="21"/>
      <c r="H628" s="21"/>
    </row>
    <row r="629" spans="1:8" x14ac:dyDescent="0.25">
      <c r="A629" s="19">
        <f t="shared" si="12"/>
        <v>626</v>
      </c>
      <c r="B629" s="4" t="s">
        <v>2024</v>
      </c>
      <c r="C629" s="4" t="s">
        <v>2025</v>
      </c>
      <c r="D629" s="4" t="s">
        <v>2</v>
      </c>
      <c r="E629" s="20"/>
      <c r="F629" s="21"/>
      <c r="G629" s="21"/>
      <c r="H629" s="21"/>
    </row>
    <row r="630" spans="1:8" x14ac:dyDescent="0.25">
      <c r="A630" s="19">
        <f t="shared" si="12"/>
        <v>627</v>
      </c>
      <c r="B630" s="4" t="s">
        <v>2026</v>
      </c>
      <c r="C630" s="4" t="s">
        <v>2027</v>
      </c>
      <c r="D630" s="4" t="s">
        <v>989</v>
      </c>
      <c r="E630" s="20"/>
      <c r="F630" s="21"/>
      <c r="G630" s="21"/>
      <c r="H630" s="21"/>
    </row>
    <row r="631" spans="1:8" x14ac:dyDescent="0.25">
      <c r="A631" s="19">
        <f t="shared" si="12"/>
        <v>628</v>
      </c>
      <c r="B631" s="4" t="s">
        <v>2028</v>
      </c>
      <c r="C631" s="4" t="s">
        <v>2029</v>
      </c>
      <c r="D631" s="4" t="s">
        <v>2</v>
      </c>
      <c r="E631" s="20"/>
      <c r="F631" s="21"/>
      <c r="G631" s="21"/>
      <c r="H631" s="21"/>
    </row>
    <row r="632" spans="1:8" x14ac:dyDescent="0.25">
      <c r="A632" s="19">
        <f t="shared" si="12"/>
        <v>629</v>
      </c>
      <c r="B632" s="4" t="s">
        <v>2030</v>
      </c>
      <c r="C632" s="4" t="s">
        <v>2031</v>
      </c>
      <c r="D632" s="4" t="s">
        <v>78</v>
      </c>
      <c r="E632" s="20"/>
      <c r="F632" s="21"/>
      <c r="G632" s="21"/>
      <c r="H632" s="21"/>
    </row>
    <row r="633" spans="1:8" x14ac:dyDescent="0.25">
      <c r="A633" s="19">
        <f t="shared" si="12"/>
        <v>630</v>
      </c>
      <c r="B633" s="4" t="s">
        <v>2032</v>
      </c>
      <c r="C633" s="4" t="s">
        <v>2033</v>
      </c>
      <c r="D633" s="4" t="s">
        <v>2</v>
      </c>
      <c r="E633" s="20"/>
      <c r="F633" s="21"/>
      <c r="G633" s="21"/>
      <c r="H633" s="21"/>
    </row>
    <row r="634" spans="1:8" x14ac:dyDescent="0.25">
      <c r="A634" s="19">
        <f t="shared" si="12"/>
        <v>631</v>
      </c>
      <c r="B634" s="4" t="s">
        <v>2034</v>
      </c>
      <c r="C634" s="4" t="s">
        <v>2035</v>
      </c>
      <c r="D634" s="4" t="s">
        <v>401</v>
      </c>
      <c r="E634" s="20"/>
      <c r="F634" s="21"/>
      <c r="G634" s="21"/>
      <c r="H634" s="21"/>
    </row>
    <row r="635" spans="1:8" x14ac:dyDescent="0.25">
      <c r="A635" s="19">
        <f t="shared" si="12"/>
        <v>632</v>
      </c>
      <c r="B635" s="4" t="s">
        <v>2036</v>
      </c>
      <c r="C635" s="4" t="s">
        <v>2037</v>
      </c>
      <c r="D635" s="4" t="s">
        <v>31</v>
      </c>
      <c r="E635" s="20"/>
      <c r="F635" s="21"/>
      <c r="G635" s="21"/>
      <c r="H635" s="21"/>
    </row>
    <row r="636" spans="1:8" x14ac:dyDescent="0.25">
      <c r="A636" s="19">
        <f t="shared" si="12"/>
        <v>633</v>
      </c>
      <c r="B636" s="4" t="s">
        <v>2038</v>
      </c>
      <c r="C636" s="4" t="s">
        <v>2039</v>
      </c>
      <c r="D636" s="4" t="s">
        <v>975</v>
      </c>
      <c r="E636" s="20"/>
      <c r="F636" s="21"/>
      <c r="G636" s="21"/>
      <c r="H636" s="21"/>
    </row>
    <row r="637" spans="1:8" x14ac:dyDescent="0.25">
      <c r="A637" s="19">
        <f t="shared" si="12"/>
        <v>634</v>
      </c>
      <c r="B637" s="4" t="s">
        <v>2040</v>
      </c>
      <c r="C637" s="4" t="s">
        <v>2041</v>
      </c>
      <c r="D637" s="4" t="s">
        <v>412</v>
      </c>
      <c r="E637" s="20"/>
      <c r="F637" s="21"/>
      <c r="G637" s="21"/>
      <c r="H637" s="21"/>
    </row>
    <row r="638" spans="1:8" x14ac:dyDescent="0.25">
      <c r="A638" s="19">
        <f t="shared" si="12"/>
        <v>635</v>
      </c>
      <c r="B638" s="4" t="s">
        <v>2042</v>
      </c>
      <c r="C638" s="4" t="s">
        <v>2043</v>
      </c>
      <c r="D638" s="4" t="s">
        <v>166</v>
      </c>
      <c r="E638" s="20"/>
      <c r="F638" s="21"/>
      <c r="G638" s="21"/>
      <c r="H638" s="21"/>
    </row>
    <row r="639" spans="1:8" x14ac:dyDescent="0.25">
      <c r="A639" s="19">
        <f t="shared" si="12"/>
        <v>636</v>
      </c>
      <c r="B639" s="4" t="s">
        <v>2044</v>
      </c>
      <c r="C639" s="4" t="s">
        <v>2045</v>
      </c>
      <c r="D639" s="4" t="s">
        <v>977</v>
      </c>
      <c r="E639" s="20"/>
      <c r="F639" s="21"/>
      <c r="G639" s="21"/>
      <c r="H639" s="21"/>
    </row>
    <row r="640" spans="1:8" x14ac:dyDescent="0.25">
      <c r="A640" s="19">
        <f t="shared" si="12"/>
        <v>637</v>
      </c>
      <c r="B640" s="4" t="s">
        <v>2046</v>
      </c>
      <c r="C640" s="4" t="s">
        <v>2047</v>
      </c>
      <c r="D640" s="4" t="s">
        <v>2</v>
      </c>
      <c r="E640" s="20"/>
      <c r="F640" s="21"/>
      <c r="G640" s="21"/>
      <c r="H640" s="21"/>
    </row>
    <row r="641" spans="1:8" x14ac:dyDescent="0.25">
      <c r="A641" s="19">
        <f t="shared" si="12"/>
        <v>638</v>
      </c>
      <c r="B641" s="4" t="s">
        <v>2048</v>
      </c>
      <c r="C641" s="4" t="s">
        <v>2049</v>
      </c>
      <c r="D641" s="4" t="s">
        <v>2</v>
      </c>
      <c r="E641" s="20"/>
      <c r="F641" s="21"/>
      <c r="G641" s="21"/>
      <c r="H641" s="21"/>
    </row>
    <row r="642" spans="1:8" x14ac:dyDescent="0.25">
      <c r="A642" s="19">
        <f t="shared" si="12"/>
        <v>639</v>
      </c>
      <c r="B642" s="4" t="s">
        <v>2050</v>
      </c>
      <c r="C642" s="4" t="s">
        <v>2051</v>
      </c>
      <c r="D642" s="4" t="s">
        <v>31</v>
      </c>
      <c r="E642" s="20"/>
      <c r="F642" s="21"/>
      <c r="G642" s="21"/>
      <c r="H642" s="21"/>
    </row>
    <row r="643" spans="1:8" x14ac:dyDescent="0.25">
      <c r="A643" s="19">
        <f t="shared" si="12"/>
        <v>640</v>
      </c>
      <c r="B643" s="4" t="s">
        <v>2052</v>
      </c>
      <c r="C643" s="4" t="s">
        <v>2053</v>
      </c>
      <c r="D643" s="4" t="s">
        <v>61</v>
      </c>
      <c r="E643" s="20"/>
      <c r="F643" s="21"/>
      <c r="G643" s="21"/>
      <c r="H643" s="21"/>
    </row>
    <row r="644" spans="1:8" x14ac:dyDescent="0.25">
      <c r="A644" s="19">
        <f t="shared" si="12"/>
        <v>641</v>
      </c>
      <c r="B644" s="4" t="s">
        <v>2054</v>
      </c>
      <c r="C644" s="4" t="s">
        <v>2055</v>
      </c>
      <c r="D644" s="4" t="s">
        <v>166</v>
      </c>
      <c r="E644" s="20"/>
      <c r="F644" s="21"/>
      <c r="G644" s="21"/>
      <c r="H644" s="21"/>
    </row>
    <row r="645" spans="1:8" x14ac:dyDescent="0.25">
      <c r="A645" s="19">
        <f t="shared" si="12"/>
        <v>642</v>
      </c>
      <c r="B645" s="4" t="s">
        <v>2056</v>
      </c>
      <c r="C645" s="4" t="s">
        <v>2057</v>
      </c>
      <c r="D645" s="4" t="s">
        <v>31</v>
      </c>
      <c r="E645" s="20"/>
      <c r="F645" s="21"/>
      <c r="G645" s="21"/>
      <c r="H645" s="21"/>
    </row>
    <row r="646" spans="1:8" x14ac:dyDescent="0.25">
      <c r="A646" s="19">
        <f t="shared" si="12"/>
        <v>643</v>
      </c>
      <c r="B646" s="4" t="s">
        <v>2058</v>
      </c>
      <c r="C646" s="4" t="s">
        <v>2059</v>
      </c>
      <c r="D646" s="4" t="s">
        <v>2</v>
      </c>
      <c r="E646" s="20"/>
      <c r="F646" s="21"/>
      <c r="G646" s="21"/>
      <c r="H646" s="21"/>
    </row>
    <row r="647" spans="1:8" x14ac:dyDescent="0.25">
      <c r="A647" s="19">
        <f t="shared" si="12"/>
        <v>644</v>
      </c>
      <c r="B647" s="4" t="s">
        <v>2060</v>
      </c>
      <c r="C647" s="4" t="s">
        <v>2061</v>
      </c>
      <c r="D647" s="4" t="s">
        <v>166</v>
      </c>
      <c r="E647" s="20"/>
      <c r="F647" s="21"/>
      <c r="G647" s="21"/>
      <c r="H647" s="21"/>
    </row>
    <row r="648" spans="1:8" x14ac:dyDescent="0.25">
      <c r="A648" s="19">
        <f t="shared" si="12"/>
        <v>645</v>
      </c>
      <c r="B648" s="4" t="s">
        <v>2062</v>
      </c>
      <c r="C648" s="4" t="s">
        <v>2063</v>
      </c>
      <c r="D648" s="4" t="s">
        <v>2</v>
      </c>
      <c r="E648" s="20"/>
      <c r="F648" s="21"/>
      <c r="G648" s="21"/>
      <c r="H648" s="21"/>
    </row>
    <row r="649" spans="1:8" x14ac:dyDescent="0.25">
      <c r="A649" s="19">
        <f t="shared" si="12"/>
        <v>646</v>
      </c>
      <c r="B649" s="4" t="s">
        <v>2064</v>
      </c>
      <c r="C649" s="4" t="s">
        <v>2065</v>
      </c>
      <c r="D649" s="4" t="s">
        <v>31</v>
      </c>
      <c r="E649" s="20"/>
      <c r="F649" s="21"/>
      <c r="G649" s="21"/>
      <c r="H649" s="21"/>
    </row>
    <row r="650" spans="1:8" x14ac:dyDescent="0.25">
      <c r="A650" s="19">
        <f t="shared" si="12"/>
        <v>647</v>
      </c>
      <c r="B650" s="4" t="s">
        <v>2066</v>
      </c>
      <c r="C650" s="4" t="s">
        <v>2067</v>
      </c>
      <c r="D650" s="4" t="s">
        <v>2</v>
      </c>
      <c r="E650" s="20"/>
      <c r="F650" s="21"/>
      <c r="G650" s="21"/>
      <c r="H650" s="21"/>
    </row>
    <row r="651" spans="1:8" x14ac:dyDescent="0.25">
      <c r="A651" s="19">
        <f t="shared" si="12"/>
        <v>648</v>
      </c>
      <c r="B651" s="4" t="s">
        <v>2068</v>
      </c>
      <c r="C651" s="4" t="s">
        <v>2069</v>
      </c>
      <c r="D651" s="4" t="s">
        <v>977</v>
      </c>
      <c r="E651" s="20"/>
      <c r="F651" s="21"/>
      <c r="G651" s="21"/>
      <c r="H651" s="21"/>
    </row>
    <row r="652" spans="1:8" x14ac:dyDescent="0.25">
      <c r="A652" s="19">
        <f t="shared" si="12"/>
        <v>649</v>
      </c>
      <c r="B652" s="4" t="s">
        <v>2070</v>
      </c>
      <c r="C652" s="4" t="s">
        <v>2071</v>
      </c>
      <c r="D652" s="4" t="s">
        <v>2</v>
      </c>
      <c r="E652" s="20"/>
      <c r="F652" s="21"/>
      <c r="G652" s="21"/>
      <c r="H652" s="21"/>
    </row>
    <row r="653" spans="1:8" x14ac:dyDescent="0.25">
      <c r="A653" s="19">
        <f t="shared" si="12"/>
        <v>650</v>
      </c>
      <c r="B653" s="4" t="s">
        <v>2072</v>
      </c>
      <c r="C653" s="4" t="s">
        <v>2073</v>
      </c>
      <c r="D653" s="4" t="s">
        <v>2</v>
      </c>
      <c r="E653" s="20"/>
      <c r="F653" s="21"/>
      <c r="G653" s="21"/>
      <c r="H653" s="21"/>
    </row>
    <row r="654" spans="1:8" x14ac:dyDescent="0.25">
      <c r="A654" s="19">
        <f t="shared" si="12"/>
        <v>651</v>
      </c>
      <c r="B654" s="4" t="s">
        <v>2074</v>
      </c>
      <c r="C654" s="4" t="s">
        <v>2075</v>
      </c>
      <c r="D654" s="4" t="s">
        <v>56</v>
      </c>
      <c r="E654" s="20"/>
      <c r="F654" s="21"/>
      <c r="G654" s="21"/>
      <c r="H654" s="21"/>
    </row>
    <row r="655" spans="1:8" x14ac:dyDescent="0.25">
      <c r="A655" s="19">
        <f t="shared" si="12"/>
        <v>652</v>
      </c>
      <c r="B655" s="4" t="s">
        <v>2076</v>
      </c>
      <c r="C655" s="4" t="s">
        <v>2077</v>
      </c>
      <c r="D655" s="4" t="s">
        <v>166</v>
      </c>
      <c r="E655" s="20"/>
      <c r="F655" s="21"/>
      <c r="G655" s="21"/>
      <c r="H655" s="21"/>
    </row>
    <row r="656" spans="1:8" x14ac:dyDescent="0.25">
      <c r="A656" s="19">
        <f t="shared" si="12"/>
        <v>653</v>
      </c>
      <c r="B656" s="4" t="s">
        <v>2078</v>
      </c>
      <c r="C656" s="4" t="s">
        <v>2079</v>
      </c>
      <c r="D656" s="4" t="s">
        <v>1961</v>
      </c>
      <c r="E656" s="20"/>
      <c r="F656" s="21"/>
      <c r="G656" s="21"/>
      <c r="H656" s="21"/>
    </row>
    <row r="657" spans="1:8" x14ac:dyDescent="0.25">
      <c r="A657" s="19">
        <f t="shared" si="12"/>
        <v>654</v>
      </c>
      <c r="B657" s="4" t="s">
        <v>2080</v>
      </c>
      <c r="C657" s="4" t="s">
        <v>2081</v>
      </c>
      <c r="D657" s="4" t="s">
        <v>2082</v>
      </c>
      <c r="E657" s="20"/>
      <c r="F657" s="21"/>
      <c r="G657" s="21"/>
      <c r="H657" s="21"/>
    </row>
    <row r="658" spans="1:8" x14ac:dyDescent="0.25">
      <c r="A658" s="19">
        <f t="shared" si="12"/>
        <v>655</v>
      </c>
      <c r="B658" s="4" t="s">
        <v>2083</v>
      </c>
      <c r="C658" s="4" t="s">
        <v>2084</v>
      </c>
      <c r="D658" s="4" t="s">
        <v>401</v>
      </c>
      <c r="E658" s="20"/>
      <c r="F658" s="21"/>
      <c r="G658" s="21"/>
      <c r="H658" s="21"/>
    </row>
    <row r="659" spans="1:8" x14ac:dyDescent="0.25">
      <c r="A659" s="19">
        <f t="shared" si="12"/>
        <v>656</v>
      </c>
      <c r="B659" s="4" t="s">
        <v>2085</v>
      </c>
      <c r="C659" s="4" t="s">
        <v>2086</v>
      </c>
      <c r="D659" s="4" t="s">
        <v>28</v>
      </c>
      <c r="E659" s="20"/>
      <c r="F659" s="21"/>
      <c r="G659" s="21"/>
      <c r="H659" s="21"/>
    </row>
    <row r="660" spans="1:8" x14ac:dyDescent="0.25">
      <c r="A660" s="19">
        <f t="shared" si="12"/>
        <v>657</v>
      </c>
      <c r="B660" s="4" t="s">
        <v>2087</v>
      </c>
      <c r="C660" s="4" t="s">
        <v>2088</v>
      </c>
      <c r="D660" s="4" t="s">
        <v>2</v>
      </c>
      <c r="E660" s="20"/>
      <c r="F660" s="21"/>
      <c r="G660" s="21"/>
      <c r="H660" s="21"/>
    </row>
    <row r="661" spans="1:8" x14ac:dyDescent="0.25">
      <c r="A661" s="19">
        <f t="shared" si="12"/>
        <v>658</v>
      </c>
      <c r="B661" s="4" t="s">
        <v>2089</v>
      </c>
      <c r="C661" s="4" t="s">
        <v>2090</v>
      </c>
      <c r="D661" s="4" t="s">
        <v>975</v>
      </c>
      <c r="E661" s="20"/>
      <c r="F661" s="21"/>
      <c r="G661" s="21"/>
      <c r="H661" s="21"/>
    </row>
    <row r="662" spans="1:8" x14ac:dyDescent="0.25">
      <c r="A662" s="19">
        <f t="shared" si="12"/>
        <v>659</v>
      </c>
      <c r="B662" s="4" t="s">
        <v>2091</v>
      </c>
      <c r="C662" s="4" t="s">
        <v>2092</v>
      </c>
      <c r="D662" s="4" t="s">
        <v>975</v>
      </c>
      <c r="E662" s="20"/>
      <c r="F662" s="21"/>
      <c r="G662" s="21"/>
      <c r="H662" s="21"/>
    </row>
    <row r="663" spans="1:8" x14ac:dyDescent="0.25">
      <c r="A663" s="19">
        <f t="shared" si="12"/>
        <v>660</v>
      </c>
      <c r="B663" s="4" t="s">
        <v>2093</v>
      </c>
      <c r="C663" s="4" t="s">
        <v>2094</v>
      </c>
      <c r="D663" s="4" t="s">
        <v>31</v>
      </c>
      <c r="E663" s="20"/>
      <c r="F663" s="21"/>
      <c r="G663" s="21"/>
      <c r="H663" s="21"/>
    </row>
    <row r="664" spans="1:8" x14ac:dyDescent="0.25">
      <c r="A664" s="19">
        <f t="shared" si="12"/>
        <v>661</v>
      </c>
      <c r="B664" s="4" t="s">
        <v>2095</v>
      </c>
      <c r="C664" s="4" t="s">
        <v>2096</v>
      </c>
      <c r="D664" s="4" t="s">
        <v>31</v>
      </c>
      <c r="E664" s="20"/>
      <c r="F664" s="21"/>
      <c r="G664" s="21"/>
      <c r="H664" s="21"/>
    </row>
    <row r="665" spans="1:8" x14ac:dyDescent="0.25">
      <c r="A665" s="19">
        <f t="shared" si="12"/>
        <v>662</v>
      </c>
      <c r="B665" s="4" t="s">
        <v>2097</v>
      </c>
      <c r="C665" s="4" t="s">
        <v>2098</v>
      </c>
      <c r="D665" s="4" t="s">
        <v>193</v>
      </c>
      <c r="E665" s="20"/>
      <c r="F665" s="21"/>
      <c r="G665" s="21"/>
      <c r="H665" s="21"/>
    </row>
    <row r="666" spans="1:8" x14ac:dyDescent="0.25">
      <c r="A666" s="19">
        <f t="shared" si="12"/>
        <v>663</v>
      </c>
      <c r="B666" s="4" t="s">
        <v>2099</v>
      </c>
      <c r="C666" s="4" t="s">
        <v>2100</v>
      </c>
      <c r="D666" s="4" t="s">
        <v>31</v>
      </c>
      <c r="E666" s="20"/>
      <c r="F666" s="21"/>
      <c r="G666" s="21"/>
      <c r="H666" s="21"/>
    </row>
    <row r="667" spans="1:8" x14ac:dyDescent="0.25">
      <c r="A667" s="19">
        <f t="shared" si="12"/>
        <v>664</v>
      </c>
      <c r="B667" s="4" t="s">
        <v>2101</v>
      </c>
      <c r="C667" s="4" t="s">
        <v>2102</v>
      </c>
      <c r="D667" s="4" t="s">
        <v>2</v>
      </c>
      <c r="E667" s="20"/>
      <c r="F667" s="21"/>
      <c r="G667" s="21"/>
      <c r="H667" s="21"/>
    </row>
    <row r="668" spans="1:8" x14ac:dyDescent="0.25">
      <c r="A668" s="19">
        <f t="shared" si="12"/>
        <v>665</v>
      </c>
      <c r="B668" s="4" t="s">
        <v>2103</v>
      </c>
      <c r="C668" s="4" t="s">
        <v>2104</v>
      </c>
      <c r="D668" s="4" t="s">
        <v>2</v>
      </c>
      <c r="E668" s="20"/>
      <c r="F668" s="21"/>
      <c r="G668" s="21"/>
      <c r="H668" s="21"/>
    </row>
    <row r="669" spans="1:8" x14ac:dyDescent="0.25">
      <c r="A669" s="19">
        <f t="shared" si="12"/>
        <v>666</v>
      </c>
      <c r="B669" s="4" t="s">
        <v>2105</v>
      </c>
      <c r="C669" s="4" t="s">
        <v>2106</v>
      </c>
      <c r="D669" s="4" t="s">
        <v>31</v>
      </c>
      <c r="E669" s="20"/>
      <c r="F669" s="21"/>
      <c r="G669" s="21"/>
      <c r="H669" s="21"/>
    </row>
    <row r="670" spans="1:8" x14ac:dyDescent="0.25">
      <c r="A670" s="19">
        <f t="shared" si="12"/>
        <v>667</v>
      </c>
      <c r="B670" s="4" t="s">
        <v>2107</v>
      </c>
      <c r="C670" s="4" t="s">
        <v>2108</v>
      </c>
      <c r="D670" s="4" t="s">
        <v>31</v>
      </c>
      <c r="E670" s="20"/>
      <c r="F670" s="21"/>
      <c r="G670" s="21"/>
      <c r="H670" s="21"/>
    </row>
    <row r="671" spans="1:8" x14ac:dyDescent="0.25">
      <c r="A671" s="19">
        <f t="shared" si="12"/>
        <v>668</v>
      </c>
      <c r="B671" s="4" t="s">
        <v>2109</v>
      </c>
      <c r="C671" s="4" t="s">
        <v>2110</v>
      </c>
      <c r="D671" s="4" t="s">
        <v>2</v>
      </c>
      <c r="E671" s="20"/>
      <c r="F671" s="21"/>
      <c r="G671" s="21"/>
      <c r="H671" s="21"/>
    </row>
    <row r="672" spans="1:8" x14ac:dyDescent="0.25">
      <c r="A672" s="19">
        <f t="shared" si="12"/>
        <v>669</v>
      </c>
      <c r="B672" s="4" t="s">
        <v>2111</v>
      </c>
      <c r="C672" s="4" t="s">
        <v>2112</v>
      </c>
      <c r="D672" s="4" t="s">
        <v>166</v>
      </c>
      <c r="E672" s="20"/>
      <c r="F672" s="21"/>
      <c r="G672" s="21"/>
      <c r="H672" s="21"/>
    </row>
    <row r="673" spans="1:8" x14ac:dyDescent="0.25">
      <c r="A673" s="19">
        <f t="shared" si="12"/>
        <v>670</v>
      </c>
      <c r="B673" s="4" t="s">
        <v>2113</v>
      </c>
      <c r="C673" s="4" t="s">
        <v>2114</v>
      </c>
      <c r="D673" s="4" t="s">
        <v>31</v>
      </c>
      <c r="E673" s="20"/>
      <c r="F673" s="21"/>
      <c r="G673" s="21"/>
      <c r="H673" s="21"/>
    </row>
    <row r="674" spans="1:8" x14ac:dyDescent="0.25">
      <c r="A674" s="19">
        <f t="shared" si="12"/>
        <v>671</v>
      </c>
      <c r="B674" s="4" t="s">
        <v>2115</v>
      </c>
      <c r="C674" s="4" t="s">
        <v>2116</v>
      </c>
      <c r="D674" s="4" t="s">
        <v>2</v>
      </c>
      <c r="E674" s="20"/>
      <c r="F674" s="21"/>
      <c r="G674" s="21"/>
      <c r="H674" s="21"/>
    </row>
    <row r="675" spans="1:8" x14ac:dyDescent="0.25">
      <c r="A675" s="19">
        <f t="shared" si="12"/>
        <v>672</v>
      </c>
      <c r="B675" s="4" t="s">
        <v>2117</v>
      </c>
      <c r="C675" s="4" t="s">
        <v>2118</v>
      </c>
      <c r="D675" s="4" t="s">
        <v>2</v>
      </c>
      <c r="E675" s="20"/>
      <c r="F675" s="21"/>
      <c r="G675" s="21"/>
      <c r="H675" s="21"/>
    </row>
    <row r="676" spans="1:8" x14ac:dyDescent="0.25">
      <c r="A676" s="19">
        <f t="shared" si="12"/>
        <v>673</v>
      </c>
      <c r="B676" s="4" t="s">
        <v>2119</v>
      </c>
      <c r="C676" s="4" t="s">
        <v>2120</v>
      </c>
      <c r="D676" s="4" t="s">
        <v>31</v>
      </c>
      <c r="E676" s="20"/>
      <c r="F676" s="21"/>
      <c r="G676" s="21"/>
      <c r="H676" s="21"/>
    </row>
    <row r="677" spans="1:8" x14ac:dyDescent="0.25">
      <c r="A677" s="19">
        <f t="shared" ref="A677:A715" si="13">+A676+1</f>
        <v>674</v>
      </c>
      <c r="B677" s="4" t="s">
        <v>2121</v>
      </c>
      <c r="C677" s="4" t="s">
        <v>2122</v>
      </c>
      <c r="D677" s="4" t="s">
        <v>2</v>
      </c>
      <c r="E677" s="20"/>
      <c r="F677" s="21"/>
      <c r="G677" s="21"/>
      <c r="H677" s="21"/>
    </row>
    <row r="678" spans="1:8" x14ac:dyDescent="0.25">
      <c r="A678" s="19">
        <f t="shared" si="13"/>
        <v>675</v>
      </c>
      <c r="B678" s="4" t="s">
        <v>2123</v>
      </c>
      <c r="C678" s="4" t="s">
        <v>2124</v>
      </c>
      <c r="D678" s="4" t="s">
        <v>2</v>
      </c>
      <c r="E678" s="20"/>
      <c r="F678" s="21"/>
      <c r="G678" s="21"/>
      <c r="H678" s="21"/>
    </row>
    <row r="679" spans="1:8" x14ac:dyDescent="0.25">
      <c r="A679" s="19">
        <f t="shared" si="13"/>
        <v>676</v>
      </c>
      <c r="B679" s="4" t="s">
        <v>2125</v>
      </c>
      <c r="C679" s="4" t="s">
        <v>2126</v>
      </c>
      <c r="D679" s="4" t="s">
        <v>31</v>
      </c>
      <c r="E679" s="20"/>
      <c r="F679" s="21"/>
      <c r="G679" s="21"/>
      <c r="H679" s="21"/>
    </row>
    <row r="680" spans="1:8" x14ac:dyDescent="0.25">
      <c r="A680" s="19">
        <f t="shared" si="13"/>
        <v>677</v>
      </c>
      <c r="B680" s="4" t="s">
        <v>2127</v>
      </c>
      <c r="C680" s="4" t="s">
        <v>2128</v>
      </c>
      <c r="D680" s="4" t="s">
        <v>2</v>
      </c>
      <c r="E680" s="20"/>
      <c r="F680" s="21"/>
      <c r="G680" s="21"/>
      <c r="H680" s="21"/>
    </row>
    <row r="681" spans="1:8" x14ac:dyDescent="0.25">
      <c r="A681" s="19">
        <f t="shared" si="13"/>
        <v>678</v>
      </c>
      <c r="B681" s="4" t="s">
        <v>2129</v>
      </c>
      <c r="C681" s="4" t="s">
        <v>2130</v>
      </c>
      <c r="D681" s="4" t="s">
        <v>166</v>
      </c>
      <c r="E681" s="20"/>
      <c r="F681" s="21"/>
      <c r="G681" s="21"/>
      <c r="H681" s="21"/>
    </row>
    <row r="682" spans="1:8" x14ac:dyDescent="0.25">
      <c r="A682" s="19">
        <f t="shared" si="13"/>
        <v>679</v>
      </c>
      <c r="B682" s="4" t="s">
        <v>2131</v>
      </c>
      <c r="C682" s="4" t="s">
        <v>2132</v>
      </c>
      <c r="D682" s="4" t="s">
        <v>5</v>
      </c>
      <c r="E682" s="20"/>
      <c r="F682" s="21"/>
      <c r="G682" s="21"/>
      <c r="H682" s="21"/>
    </row>
    <row r="683" spans="1:8" x14ac:dyDescent="0.25">
      <c r="A683" s="19">
        <f t="shared" si="13"/>
        <v>680</v>
      </c>
      <c r="B683" s="4" t="s">
        <v>2133</v>
      </c>
      <c r="C683" s="4" t="s">
        <v>2134</v>
      </c>
      <c r="D683" s="4" t="s">
        <v>31</v>
      </c>
      <c r="E683" s="20"/>
      <c r="F683" s="21"/>
      <c r="G683" s="21"/>
      <c r="H683" s="21"/>
    </row>
    <row r="684" spans="1:8" x14ac:dyDescent="0.25">
      <c r="A684" s="19">
        <f t="shared" si="13"/>
        <v>681</v>
      </c>
      <c r="B684" s="4" t="s">
        <v>2135</v>
      </c>
      <c r="C684" s="4" t="s">
        <v>2136</v>
      </c>
      <c r="D684" s="4" t="s">
        <v>31</v>
      </c>
      <c r="E684" s="20"/>
      <c r="F684" s="21"/>
      <c r="G684" s="21"/>
      <c r="H684" s="21"/>
    </row>
    <row r="685" spans="1:8" x14ac:dyDescent="0.25">
      <c r="A685" s="19">
        <f t="shared" si="13"/>
        <v>682</v>
      </c>
      <c r="B685" s="4" t="s">
        <v>2137</v>
      </c>
      <c r="C685" s="4" t="s">
        <v>2138</v>
      </c>
      <c r="D685" s="4" t="s">
        <v>31</v>
      </c>
      <c r="E685" s="20"/>
      <c r="F685" s="21"/>
      <c r="G685" s="21"/>
      <c r="H685" s="21"/>
    </row>
    <row r="686" spans="1:8" x14ac:dyDescent="0.25">
      <c r="A686" s="19">
        <f t="shared" si="13"/>
        <v>683</v>
      </c>
      <c r="B686" s="4" t="s">
        <v>2139</v>
      </c>
      <c r="C686" s="4" t="s">
        <v>2140</v>
      </c>
      <c r="D686" s="4" t="s">
        <v>367</v>
      </c>
      <c r="E686" s="20"/>
      <c r="F686" s="21"/>
      <c r="G686" s="21"/>
      <c r="H686" s="21"/>
    </row>
    <row r="687" spans="1:8" x14ac:dyDescent="0.25">
      <c r="A687" s="19">
        <f t="shared" si="13"/>
        <v>684</v>
      </c>
      <c r="B687" s="4" t="s">
        <v>2141</v>
      </c>
      <c r="C687" s="4" t="s">
        <v>2142</v>
      </c>
      <c r="D687" s="4" t="s">
        <v>2</v>
      </c>
      <c r="E687" s="20"/>
      <c r="F687" s="21"/>
      <c r="G687" s="21"/>
      <c r="H687" s="21"/>
    </row>
    <row r="688" spans="1:8" x14ac:dyDescent="0.25">
      <c r="A688" s="19">
        <f t="shared" si="13"/>
        <v>685</v>
      </c>
      <c r="B688" s="4" t="s">
        <v>2143</v>
      </c>
      <c r="C688" s="4" t="s">
        <v>2144</v>
      </c>
      <c r="D688" s="4" t="s">
        <v>31</v>
      </c>
      <c r="E688" s="20"/>
      <c r="F688" s="21"/>
      <c r="G688" s="21"/>
      <c r="H688" s="21"/>
    </row>
    <row r="689" spans="1:8" x14ac:dyDescent="0.25">
      <c r="A689" s="19">
        <f t="shared" si="13"/>
        <v>686</v>
      </c>
      <c r="B689" s="4" t="s">
        <v>2145</v>
      </c>
      <c r="C689" s="4" t="s">
        <v>2146</v>
      </c>
      <c r="D689" s="4" t="s">
        <v>266</v>
      </c>
      <c r="E689" s="20"/>
      <c r="F689" s="21"/>
      <c r="G689" s="21"/>
      <c r="H689" s="21"/>
    </row>
    <row r="690" spans="1:8" x14ac:dyDescent="0.25">
      <c r="A690" s="19">
        <f t="shared" si="13"/>
        <v>687</v>
      </c>
      <c r="B690" s="4" t="s">
        <v>2147</v>
      </c>
      <c r="C690" s="4" t="s">
        <v>2148</v>
      </c>
      <c r="D690" s="4" t="s">
        <v>2</v>
      </c>
      <c r="E690" s="20"/>
      <c r="F690" s="21"/>
      <c r="G690" s="21"/>
      <c r="H690" s="21"/>
    </row>
    <row r="691" spans="1:8" x14ac:dyDescent="0.25">
      <c r="A691" s="19">
        <f t="shared" si="13"/>
        <v>688</v>
      </c>
      <c r="B691" s="4" t="s">
        <v>2149</v>
      </c>
      <c r="C691" s="4" t="s">
        <v>328</v>
      </c>
      <c r="D691" s="4" t="s">
        <v>2</v>
      </c>
      <c r="E691" s="20"/>
      <c r="F691" s="21"/>
      <c r="G691" s="21"/>
      <c r="H691" s="21"/>
    </row>
    <row r="692" spans="1:8" x14ac:dyDescent="0.25">
      <c r="A692" s="19">
        <f t="shared" si="13"/>
        <v>689</v>
      </c>
      <c r="B692" s="4" t="s">
        <v>318</v>
      </c>
      <c r="C692" s="4" t="s">
        <v>319</v>
      </c>
      <c r="D692" s="4" t="s">
        <v>2</v>
      </c>
      <c r="E692" s="20"/>
      <c r="F692" s="21"/>
      <c r="G692" s="21"/>
      <c r="H692" s="21"/>
    </row>
    <row r="693" spans="1:8" x14ac:dyDescent="0.25">
      <c r="A693" s="19">
        <f t="shared" si="13"/>
        <v>690</v>
      </c>
      <c r="B693" s="4" t="s">
        <v>2150</v>
      </c>
      <c r="C693" s="4" t="s">
        <v>2151</v>
      </c>
      <c r="D693" s="4" t="s">
        <v>31</v>
      </c>
      <c r="E693" s="20"/>
      <c r="F693" s="21"/>
      <c r="G693" s="21"/>
      <c r="H693" s="21"/>
    </row>
    <row r="694" spans="1:8" x14ac:dyDescent="0.25">
      <c r="A694" s="19">
        <f t="shared" si="13"/>
        <v>691</v>
      </c>
      <c r="B694" s="4" t="s">
        <v>2152</v>
      </c>
      <c r="C694" s="4" t="s">
        <v>2153</v>
      </c>
      <c r="D694" s="4" t="s">
        <v>31</v>
      </c>
      <c r="E694" s="20"/>
      <c r="F694" s="21"/>
      <c r="G694" s="21"/>
      <c r="H694" s="21"/>
    </row>
    <row r="695" spans="1:8" x14ac:dyDescent="0.25">
      <c r="A695" s="19">
        <f t="shared" si="13"/>
        <v>692</v>
      </c>
      <c r="B695" s="4" t="s">
        <v>2154</v>
      </c>
      <c r="C695" s="4" t="s">
        <v>2155</v>
      </c>
      <c r="D695" s="4" t="s">
        <v>977</v>
      </c>
      <c r="E695" s="20"/>
      <c r="F695" s="21"/>
      <c r="G695" s="21"/>
      <c r="H695" s="21"/>
    </row>
    <row r="696" spans="1:8" x14ac:dyDescent="0.25">
      <c r="A696" s="19">
        <f t="shared" si="13"/>
        <v>693</v>
      </c>
      <c r="B696" s="4" t="s">
        <v>2156</v>
      </c>
      <c r="C696" s="4" t="s">
        <v>2157</v>
      </c>
      <c r="D696" s="4" t="s">
        <v>2</v>
      </c>
      <c r="E696" s="20"/>
      <c r="F696" s="21"/>
      <c r="G696" s="21"/>
      <c r="H696" s="21"/>
    </row>
    <row r="697" spans="1:8" x14ac:dyDescent="0.25">
      <c r="A697" s="19">
        <f t="shared" si="13"/>
        <v>694</v>
      </c>
      <c r="B697" s="4" t="s">
        <v>2158</v>
      </c>
      <c r="C697" s="4" t="s">
        <v>2159</v>
      </c>
      <c r="D697" s="4" t="s">
        <v>119</v>
      </c>
      <c r="E697" s="20"/>
      <c r="F697" s="21"/>
      <c r="G697" s="21"/>
      <c r="H697" s="21"/>
    </row>
    <row r="698" spans="1:8" x14ac:dyDescent="0.25">
      <c r="A698" s="19">
        <f t="shared" si="13"/>
        <v>695</v>
      </c>
      <c r="B698" s="4" t="s">
        <v>2160</v>
      </c>
      <c r="C698" s="4" t="s">
        <v>2161</v>
      </c>
      <c r="D698" s="4" t="s">
        <v>975</v>
      </c>
      <c r="E698" s="20"/>
      <c r="F698" s="21"/>
      <c r="G698" s="21"/>
      <c r="H698" s="21"/>
    </row>
    <row r="699" spans="1:8" x14ac:dyDescent="0.25">
      <c r="A699" s="19">
        <f t="shared" si="13"/>
        <v>696</v>
      </c>
      <c r="B699" s="4" t="s">
        <v>2162</v>
      </c>
      <c r="C699" s="4" t="s">
        <v>2163</v>
      </c>
      <c r="D699" s="4" t="s">
        <v>2</v>
      </c>
      <c r="E699" s="20"/>
      <c r="F699" s="21"/>
      <c r="G699" s="21"/>
      <c r="H699" s="21"/>
    </row>
    <row r="700" spans="1:8" x14ac:dyDescent="0.25">
      <c r="A700" s="19">
        <f t="shared" si="13"/>
        <v>697</v>
      </c>
      <c r="B700" s="4" t="s">
        <v>2164</v>
      </c>
      <c r="C700" s="4" t="s">
        <v>2165</v>
      </c>
      <c r="D700" s="4" t="s">
        <v>2</v>
      </c>
      <c r="E700" s="20"/>
      <c r="F700" s="21"/>
      <c r="G700" s="21"/>
      <c r="H700" s="21"/>
    </row>
    <row r="701" spans="1:8" x14ac:dyDescent="0.25">
      <c r="A701" s="19">
        <f t="shared" si="13"/>
        <v>698</v>
      </c>
      <c r="B701" s="4" t="s">
        <v>2166</v>
      </c>
      <c r="C701" s="4" t="s">
        <v>2167</v>
      </c>
      <c r="D701" s="4" t="s">
        <v>5</v>
      </c>
      <c r="E701" s="20"/>
      <c r="F701" s="21"/>
      <c r="G701" s="21"/>
      <c r="H701" s="21"/>
    </row>
    <row r="702" spans="1:8" x14ac:dyDescent="0.25">
      <c r="A702" s="19">
        <f t="shared" si="13"/>
        <v>699</v>
      </c>
      <c r="B702" s="4" t="s">
        <v>2168</v>
      </c>
      <c r="C702" s="4" t="s">
        <v>2169</v>
      </c>
      <c r="D702" s="4" t="s">
        <v>2</v>
      </c>
      <c r="E702" s="20"/>
      <c r="F702" s="21"/>
      <c r="G702" s="21"/>
      <c r="H702" s="21"/>
    </row>
    <row r="703" spans="1:8" x14ac:dyDescent="0.25">
      <c r="A703" s="19">
        <f t="shared" si="13"/>
        <v>700</v>
      </c>
      <c r="B703" s="4" t="s">
        <v>2170</v>
      </c>
      <c r="C703" s="4" t="s">
        <v>2171</v>
      </c>
      <c r="D703" s="4" t="s">
        <v>989</v>
      </c>
      <c r="E703" s="20"/>
      <c r="F703" s="21"/>
      <c r="G703" s="21"/>
      <c r="H703" s="21"/>
    </row>
    <row r="704" spans="1:8" x14ac:dyDescent="0.25">
      <c r="A704" s="19">
        <f t="shared" si="13"/>
        <v>701</v>
      </c>
      <c r="B704" s="4" t="s">
        <v>2172</v>
      </c>
      <c r="C704" s="4" t="s">
        <v>2173</v>
      </c>
      <c r="D704" s="4" t="s">
        <v>975</v>
      </c>
      <c r="E704" s="20"/>
      <c r="F704" s="21"/>
      <c r="G704" s="21"/>
      <c r="H704" s="21"/>
    </row>
    <row r="705" spans="1:8" x14ac:dyDescent="0.25">
      <c r="A705" s="19">
        <f t="shared" si="13"/>
        <v>702</v>
      </c>
      <c r="B705" s="4" t="s">
        <v>2174</v>
      </c>
      <c r="C705" s="4" t="s">
        <v>2175</v>
      </c>
      <c r="D705" s="4" t="s">
        <v>2</v>
      </c>
      <c r="E705" s="20"/>
      <c r="F705" s="21"/>
      <c r="G705" s="21"/>
      <c r="H705" s="21"/>
    </row>
    <row r="706" spans="1:8" x14ac:dyDescent="0.25">
      <c r="A706" s="19">
        <f t="shared" si="13"/>
        <v>703</v>
      </c>
      <c r="B706" s="4" t="s">
        <v>2176</v>
      </c>
      <c r="C706" s="4" t="s">
        <v>2177</v>
      </c>
      <c r="D706" s="4" t="s">
        <v>2</v>
      </c>
      <c r="E706" s="20"/>
      <c r="F706" s="21"/>
      <c r="G706" s="21"/>
      <c r="H706" s="21"/>
    </row>
    <row r="707" spans="1:8" x14ac:dyDescent="0.25">
      <c r="A707" s="19">
        <f t="shared" si="13"/>
        <v>704</v>
      </c>
      <c r="B707" s="4" t="s">
        <v>2178</v>
      </c>
      <c r="C707" s="4" t="s">
        <v>2179</v>
      </c>
      <c r="D707" s="4" t="s">
        <v>2</v>
      </c>
      <c r="E707" s="20"/>
      <c r="F707" s="21"/>
      <c r="G707" s="21"/>
      <c r="H707" s="21"/>
    </row>
    <row r="708" spans="1:8" x14ac:dyDescent="0.25">
      <c r="A708" s="19">
        <f t="shared" si="13"/>
        <v>705</v>
      </c>
      <c r="B708" s="4" t="s">
        <v>2180</v>
      </c>
      <c r="C708" s="4" t="s">
        <v>2181</v>
      </c>
      <c r="D708" s="4" t="s">
        <v>5</v>
      </c>
      <c r="E708" s="20"/>
      <c r="F708" s="21"/>
      <c r="G708" s="21"/>
      <c r="H708" s="21"/>
    </row>
    <row r="709" spans="1:8" x14ac:dyDescent="0.25">
      <c r="A709" s="19">
        <f t="shared" si="13"/>
        <v>706</v>
      </c>
      <c r="B709" s="4" t="s">
        <v>2182</v>
      </c>
      <c r="C709" s="4" t="s">
        <v>2183</v>
      </c>
      <c r="D709" s="4" t="s">
        <v>2</v>
      </c>
      <c r="E709" s="20"/>
      <c r="F709" s="21"/>
      <c r="G709" s="21"/>
      <c r="H709" s="21"/>
    </row>
    <row r="710" spans="1:8" x14ac:dyDescent="0.25">
      <c r="A710" s="19">
        <f t="shared" si="13"/>
        <v>707</v>
      </c>
      <c r="B710" s="4" t="s">
        <v>2184</v>
      </c>
      <c r="C710" s="4" t="s">
        <v>2185</v>
      </c>
      <c r="D710" s="4" t="s">
        <v>2</v>
      </c>
      <c r="E710" s="20"/>
      <c r="F710" s="21"/>
      <c r="G710" s="21"/>
      <c r="H710" s="21"/>
    </row>
    <row r="711" spans="1:8" x14ac:dyDescent="0.25">
      <c r="A711" s="19">
        <f t="shared" si="13"/>
        <v>708</v>
      </c>
      <c r="B711" s="4" t="s">
        <v>2186</v>
      </c>
      <c r="C711" s="4" t="s">
        <v>2187</v>
      </c>
      <c r="D711" s="4" t="s">
        <v>5</v>
      </c>
      <c r="E711" s="20"/>
      <c r="F711" s="21"/>
      <c r="G711" s="21"/>
      <c r="H711" s="21"/>
    </row>
    <row r="712" spans="1:8" x14ac:dyDescent="0.25">
      <c r="A712" s="19">
        <f t="shared" si="13"/>
        <v>709</v>
      </c>
      <c r="B712" s="4" t="s">
        <v>2188</v>
      </c>
      <c r="C712" s="4" t="s">
        <v>2189</v>
      </c>
      <c r="D712" s="4" t="s">
        <v>2</v>
      </c>
      <c r="E712" s="20"/>
      <c r="F712" s="21"/>
      <c r="G712" s="21"/>
      <c r="H712" s="21"/>
    </row>
    <row r="713" spans="1:8" x14ac:dyDescent="0.25">
      <c r="A713" s="19">
        <f t="shared" si="13"/>
        <v>710</v>
      </c>
      <c r="B713" s="4" t="s">
        <v>2190</v>
      </c>
      <c r="C713" s="4" t="s">
        <v>2191</v>
      </c>
      <c r="D713" s="4" t="s">
        <v>13</v>
      </c>
      <c r="E713" s="20"/>
      <c r="F713" s="21"/>
      <c r="G713" s="21"/>
      <c r="H713" s="21"/>
    </row>
    <row r="714" spans="1:8" x14ac:dyDescent="0.25">
      <c r="A714" s="19">
        <f t="shared" si="13"/>
        <v>711</v>
      </c>
      <c r="B714" s="4" t="s">
        <v>2192</v>
      </c>
      <c r="C714" s="4" t="s">
        <v>2193</v>
      </c>
      <c r="D714" s="4" t="s">
        <v>2</v>
      </c>
      <c r="E714" s="20"/>
      <c r="F714" s="21"/>
      <c r="G714" s="21"/>
      <c r="H714" s="21"/>
    </row>
    <row r="715" spans="1:8" x14ac:dyDescent="0.25">
      <c r="A715" s="19">
        <f t="shared" si="13"/>
        <v>712</v>
      </c>
      <c r="B715" s="4" t="s">
        <v>2194</v>
      </c>
      <c r="C715" s="4" t="s">
        <v>2195</v>
      </c>
      <c r="D715" s="4" t="s">
        <v>2</v>
      </c>
      <c r="E715" s="20"/>
      <c r="F715" s="21"/>
      <c r="G715" s="21"/>
      <c r="H715" s="21"/>
    </row>
    <row r="716" spans="1:8" x14ac:dyDescent="0.25">
      <c r="E716" s="20"/>
      <c r="F716" s="21"/>
      <c r="G716" s="21"/>
      <c r="H716" s="21"/>
    </row>
    <row r="717" spans="1:8" x14ac:dyDescent="0.25">
      <c r="E717" s="20"/>
    </row>
    <row r="718" spans="1:8" x14ac:dyDescent="0.25">
      <c r="E718" s="20"/>
    </row>
  </sheetData>
  <conditionalFormatting sqref="C4:C715">
    <cfRule type="duplicateValues" dxfId="2" priority="26"/>
  </conditionalFormatting>
  <hyperlinks>
    <hyperlink ref="B4" r:id="rId1" xr:uid="{F8EE75B5-AC7C-4E3F-B4B5-442F96E5B1EC}"/>
    <hyperlink ref="B5" r:id="rId2" xr:uid="{5FBB7213-5B3C-442B-A9FF-2E66AB3E1A6A}"/>
    <hyperlink ref="B6" r:id="rId3" xr:uid="{7F0A0097-4057-4654-8CDC-E856A3A32E51}"/>
    <hyperlink ref="B7" r:id="rId4" xr:uid="{39C52992-2BB4-4190-813D-6E2C6E4989EE}"/>
    <hyperlink ref="B10" r:id="rId5" xr:uid="{21EC1325-3C3C-4EBE-90BD-DAA2D5A658E8}"/>
    <hyperlink ref="B12" r:id="rId6" xr:uid="{7E148558-D0E6-4087-8512-A5BBEE9D994E}"/>
    <hyperlink ref="B14" r:id="rId7" xr:uid="{5536A44E-190B-4A5B-BAC3-F8B515384762}"/>
    <hyperlink ref="B16" r:id="rId8" xr:uid="{9F13DB4F-26E2-4956-8CC6-182E1E55D318}"/>
    <hyperlink ref="B20" r:id="rId9" xr:uid="{A04A564B-ED5E-41EF-82FB-F974FF20CDEB}"/>
    <hyperlink ref="A1" location="Main!A1" display="Main " xr:uid="{5C78AAD4-0BC5-4719-962B-2EA3CC0CB4D6}"/>
    <hyperlink ref="B8" r:id="rId10" xr:uid="{70A4A8D6-1360-4C23-85A1-0F667A7C58E1}"/>
    <hyperlink ref="B42" r:id="rId11" xr:uid="{DA061B37-674F-4C66-9D74-38B76783E05E}"/>
    <hyperlink ref="B31" r:id="rId12" xr:uid="{38B7ED55-9140-441E-B9FF-FEEA64277F66}"/>
    <hyperlink ref="B35" r:id="rId13" xr:uid="{A700572E-6753-4DD7-A28A-62BCE144E86A}"/>
    <hyperlink ref="B88" r:id="rId14" xr:uid="{3457B889-1A47-4E63-8812-FE0787F35087}"/>
    <hyperlink ref="B13" r:id="rId15" xr:uid="{2DD2D347-7F3F-45FE-A5E5-3B9EC18C64EE}"/>
    <hyperlink ref="B15" r:id="rId16" xr:uid="{1FDB284B-1A5D-4931-9AAD-0F3864ABD7F5}"/>
    <hyperlink ref="B23" r:id="rId17" xr:uid="{33BC2320-B045-4D21-87F5-3C873C49E81A}"/>
    <hyperlink ref="B41" r:id="rId18" xr:uid="{1784E1D2-BC27-43E8-A4AD-90FDBD7C1C62}"/>
    <hyperlink ref="B9" r:id="rId19" xr:uid="{4902F24C-008D-4471-B676-7BE9447F8653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EAA28-440B-416B-A441-CF08A847EF57}">
  <dimension ref="A1:AV304"/>
  <sheetViews>
    <sheetView zoomScale="200" zoomScaleNormal="200" workbookViewId="0">
      <pane ySplit="3" topLeftCell="A13" activePane="bottomLeft" state="frozen"/>
      <selection pane="bottomLeft" activeCell="B28" sqref="B28"/>
    </sheetView>
  </sheetViews>
  <sheetFormatPr defaultRowHeight="13.5" x14ac:dyDescent="0.25"/>
  <cols>
    <col min="1" max="1" width="4.5703125" style="4" customWidth="1"/>
    <col min="2" max="2" width="27.140625" style="4" customWidth="1"/>
    <col min="3" max="16384" width="9.140625" style="4"/>
  </cols>
  <sheetData>
    <row r="1" spans="1:48" x14ac:dyDescent="0.25">
      <c r="A1" s="1" t="s">
        <v>225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</row>
    <row r="2" spans="1:48" x14ac:dyDescent="0.25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</row>
    <row r="3" spans="1:48" x14ac:dyDescent="0.25">
      <c r="A3" s="23" t="s">
        <v>224</v>
      </c>
      <c r="B3" s="24" t="s">
        <v>223</v>
      </c>
      <c r="C3" s="24" t="s">
        <v>222</v>
      </c>
      <c r="D3" s="24" t="s">
        <v>221</v>
      </c>
      <c r="E3" s="25" t="s">
        <v>229</v>
      </c>
      <c r="F3" s="25" t="s">
        <v>230</v>
      </c>
      <c r="G3" s="25" t="s">
        <v>231</v>
      </c>
      <c r="H3" s="25" t="s">
        <v>232</v>
      </c>
      <c r="I3" s="25" t="s">
        <v>416</v>
      </c>
      <c r="J3" s="24" t="s">
        <v>2196</v>
      </c>
      <c r="K3" s="24"/>
      <c r="L3" s="24" t="s">
        <v>340</v>
      </c>
      <c r="M3" s="26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</row>
    <row r="4" spans="1:48" x14ac:dyDescent="0.25">
      <c r="A4" s="8">
        <v>1</v>
      </c>
      <c r="B4" s="1" t="s">
        <v>418</v>
      </c>
      <c r="C4" s="3" t="s">
        <v>419</v>
      </c>
      <c r="D4" s="3" t="s">
        <v>2</v>
      </c>
      <c r="E4" s="3">
        <f>+[19]Main!$H$2</f>
        <v>74.88</v>
      </c>
      <c r="F4" s="10">
        <f>+[19]Main!$H$4</f>
        <v>155587.93892928</v>
      </c>
      <c r="G4" s="10">
        <f>+[19]Main!$H$6-[19]Main!$H$5</f>
        <v>1529</v>
      </c>
      <c r="H4" s="10">
        <f>+F4+G4</f>
        <v>157116.93892928</v>
      </c>
      <c r="I4" s="11" t="s">
        <v>2200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</row>
    <row r="5" spans="1:48" x14ac:dyDescent="0.25">
      <c r="A5" s="8">
        <f>+A4+1</f>
        <v>2</v>
      </c>
      <c r="B5" s="1" t="s">
        <v>420</v>
      </c>
      <c r="C5" s="3" t="s">
        <v>421</v>
      </c>
      <c r="D5" s="3" t="s">
        <v>2</v>
      </c>
      <c r="E5" s="3">
        <f>+[20]Main!$L$2</f>
        <v>221.76</v>
      </c>
      <c r="F5" s="10">
        <f>+[20]Main!$L$4</f>
        <v>131513.36337216001</v>
      </c>
      <c r="G5" s="10">
        <f>+[20]Main!$L$6-[20]Main!$L$5</f>
        <v>31753</v>
      </c>
      <c r="H5" s="10">
        <f>+F5+G5</f>
        <v>163266.36337216001</v>
      </c>
      <c r="I5" s="28" t="s">
        <v>2218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</row>
    <row r="6" spans="1:48" x14ac:dyDescent="0.25">
      <c r="A6" s="8">
        <f t="shared" ref="A6:A69" si="0">+A5+1</f>
        <v>3</v>
      </c>
      <c r="B6" s="1" t="s">
        <v>422</v>
      </c>
      <c r="C6" s="3" t="s">
        <v>423</v>
      </c>
      <c r="D6" s="3" t="s">
        <v>2</v>
      </c>
      <c r="E6" s="3">
        <f>+[21]Main!$J$2</f>
        <v>98.26</v>
      </c>
      <c r="F6" s="10">
        <f>+[21]Main!$J$4</f>
        <v>83206.352417560003</v>
      </c>
      <c r="G6" s="10">
        <f>+[21]Main!$J$6-[21]Main!$J$5</f>
        <v>16304</v>
      </c>
      <c r="H6" s="10">
        <f>+F6+G6</f>
        <v>99510.352417560003</v>
      </c>
      <c r="I6" s="11" t="s">
        <v>2200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</row>
    <row r="7" spans="1:48" x14ac:dyDescent="0.25">
      <c r="A7" s="8">
        <f t="shared" si="0"/>
        <v>4</v>
      </c>
      <c r="B7" s="1" t="s">
        <v>424</v>
      </c>
      <c r="C7" s="3" t="s">
        <v>425</v>
      </c>
      <c r="D7" s="3" t="s">
        <v>975</v>
      </c>
      <c r="E7" s="3">
        <f>+[22]Main!$K$2</f>
        <v>114</v>
      </c>
      <c r="F7" s="10">
        <f>+[22]Main!$K$4*FX!C9</f>
        <v>76597.055999999997</v>
      </c>
      <c r="G7" s="10">
        <f>+([22]Main!$K$6-[22]Main!$K$5)*FX!C9</f>
        <v>15809.039999999999</v>
      </c>
      <c r="H7" s="10">
        <f>+F7+G7</f>
        <v>92406.09599999999</v>
      </c>
      <c r="I7" s="11" t="s">
        <v>2200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</row>
    <row r="8" spans="1:48" x14ac:dyDescent="0.25">
      <c r="A8" s="8">
        <f t="shared" si="0"/>
        <v>5</v>
      </c>
      <c r="B8" s="1" t="s">
        <v>426</v>
      </c>
      <c r="C8" s="3" t="s">
        <v>427</v>
      </c>
      <c r="D8" s="3" t="s">
        <v>975</v>
      </c>
      <c r="E8" s="12">
        <f>+[23]Main!$K$2</f>
        <v>150.99</v>
      </c>
      <c r="F8" s="10">
        <f>+[23]Main!$K$4*FX!C9</f>
        <v>68362.398042069603</v>
      </c>
      <c r="G8" s="10">
        <f>+([23]Main!$K$6-[23]Main!$K$5)*FX!C9</f>
        <v>14754.96</v>
      </c>
      <c r="H8" s="10">
        <f>+F8+G8</f>
        <v>83117.358042069594</v>
      </c>
      <c r="I8" s="11" t="s">
        <v>236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</row>
    <row r="9" spans="1:48" x14ac:dyDescent="0.25">
      <c r="A9" s="8">
        <f t="shared" si="0"/>
        <v>6</v>
      </c>
      <c r="B9" s="3" t="s">
        <v>428</v>
      </c>
      <c r="C9" s="3" t="s">
        <v>429</v>
      </c>
      <c r="D9" s="3" t="s">
        <v>2</v>
      </c>
      <c r="E9" s="3"/>
      <c r="F9" s="10"/>
      <c r="G9" s="10"/>
      <c r="H9" s="10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</row>
    <row r="10" spans="1:48" x14ac:dyDescent="0.25">
      <c r="A10" s="8">
        <f t="shared" si="0"/>
        <v>7</v>
      </c>
      <c r="B10" s="3" t="s">
        <v>430</v>
      </c>
      <c r="C10" s="3" t="s">
        <v>431</v>
      </c>
      <c r="D10" s="3" t="s">
        <v>2</v>
      </c>
      <c r="E10" s="3"/>
      <c r="F10" s="10"/>
      <c r="G10" s="10"/>
      <c r="H10" s="10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</row>
    <row r="11" spans="1:48" x14ac:dyDescent="0.25">
      <c r="A11" s="8">
        <f t="shared" si="0"/>
        <v>8</v>
      </c>
      <c r="B11" s="3" t="s">
        <v>432</v>
      </c>
      <c r="C11" s="3" t="s">
        <v>433</v>
      </c>
      <c r="D11" s="3" t="s">
        <v>2</v>
      </c>
      <c r="E11" s="3"/>
      <c r="F11" s="10"/>
      <c r="G11" s="10"/>
      <c r="H11" s="10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</row>
    <row r="12" spans="1:48" x14ac:dyDescent="0.25">
      <c r="A12" s="8">
        <f t="shared" si="0"/>
        <v>9</v>
      </c>
      <c r="B12" s="3" t="s">
        <v>434</v>
      </c>
      <c r="C12" s="3" t="s">
        <v>435</v>
      </c>
      <c r="D12" s="3" t="s">
        <v>975</v>
      </c>
      <c r="E12" s="3"/>
      <c r="F12" s="10"/>
      <c r="G12" s="10"/>
      <c r="H12" s="10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</row>
    <row r="13" spans="1:48" x14ac:dyDescent="0.25">
      <c r="A13" s="8">
        <f t="shared" si="0"/>
        <v>10</v>
      </c>
      <c r="B13" s="3" t="s">
        <v>436</v>
      </c>
      <c r="C13" s="3" t="s">
        <v>437</v>
      </c>
      <c r="D13" s="3" t="s">
        <v>31</v>
      </c>
      <c r="E13" s="3"/>
      <c r="F13" s="10"/>
      <c r="G13" s="10"/>
      <c r="H13" s="10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</row>
    <row r="14" spans="1:48" x14ac:dyDescent="0.25">
      <c r="A14" s="8">
        <f t="shared" si="0"/>
        <v>11</v>
      </c>
      <c r="B14" s="3" t="s">
        <v>438</v>
      </c>
      <c r="C14" s="3" t="s">
        <v>439</v>
      </c>
      <c r="D14" s="3" t="s">
        <v>204</v>
      </c>
      <c r="E14" s="3"/>
      <c r="F14" s="10"/>
      <c r="G14" s="10"/>
      <c r="H14" s="10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</row>
    <row r="15" spans="1:48" x14ac:dyDescent="0.25">
      <c r="A15" s="8">
        <f t="shared" si="0"/>
        <v>12</v>
      </c>
      <c r="B15" s="1" t="s">
        <v>440</v>
      </c>
      <c r="C15" s="3" t="s">
        <v>441</v>
      </c>
      <c r="D15" s="3" t="s">
        <v>2</v>
      </c>
      <c r="E15" s="3">
        <f>+[24]Main!$J$2</f>
        <v>159.69999999999999</v>
      </c>
      <c r="F15" s="10">
        <f>+[24]Main!$J$4</f>
        <v>33748.665421799997</v>
      </c>
      <c r="G15" s="10">
        <f>+[24]Main!$J$6-[24]Main!$J$5</f>
        <v>-37.207999999999991</v>
      </c>
      <c r="H15" s="10">
        <f>+F15+G15</f>
        <v>33711.457421799998</v>
      </c>
      <c r="I15" s="11" t="s">
        <v>2200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</row>
    <row r="16" spans="1:48" x14ac:dyDescent="0.25">
      <c r="A16" s="8">
        <f t="shared" si="0"/>
        <v>13</v>
      </c>
      <c r="B16" s="3" t="s">
        <v>442</v>
      </c>
      <c r="C16" s="3" t="s">
        <v>443</v>
      </c>
      <c r="D16" s="3" t="s">
        <v>5</v>
      </c>
      <c r="E16" s="3"/>
      <c r="F16" s="10"/>
      <c r="G16" s="10"/>
      <c r="H16" s="10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</row>
    <row r="17" spans="1:48" x14ac:dyDescent="0.25">
      <c r="A17" s="8">
        <f t="shared" si="0"/>
        <v>14</v>
      </c>
      <c r="B17" s="1" t="s">
        <v>444</v>
      </c>
      <c r="C17" s="3" t="s">
        <v>445</v>
      </c>
      <c r="D17" s="3" t="s">
        <v>2</v>
      </c>
      <c r="E17" s="3">
        <f>+[25]Main!$J$2</f>
        <v>41.41</v>
      </c>
      <c r="F17" s="10">
        <f>+[25]Main!$J$4</f>
        <v>27038.873548289997</v>
      </c>
      <c r="G17" s="10">
        <f>+[25]Main!$J$6-[25]Main!$J$5</f>
        <v>12113</v>
      </c>
      <c r="H17" s="10">
        <f>+F17+G17</f>
        <v>39151.873548289994</v>
      </c>
      <c r="I17" s="11" t="s">
        <v>2200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</row>
    <row r="18" spans="1:48" x14ac:dyDescent="0.25">
      <c r="A18" s="8">
        <f t="shared" si="0"/>
        <v>15</v>
      </c>
      <c r="B18" s="3" t="s">
        <v>446</v>
      </c>
      <c r="C18" s="3" t="s">
        <v>447</v>
      </c>
      <c r="D18" s="3" t="s">
        <v>31</v>
      </c>
      <c r="E18" s="3"/>
      <c r="F18" s="10"/>
      <c r="G18" s="10"/>
      <c r="H18" s="10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</row>
    <row r="19" spans="1:48" x14ac:dyDescent="0.25">
      <c r="A19" s="8">
        <f t="shared" si="0"/>
        <v>16</v>
      </c>
      <c r="B19" s="3" t="s">
        <v>448</v>
      </c>
      <c r="C19" s="3" t="s">
        <v>449</v>
      </c>
      <c r="D19" s="3" t="s">
        <v>56</v>
      </c>
      <c r="E19" s="3"/>
      <c r="F19" s="10"/>
      <c r="G19" s="10"/>
      <c r="H19" s="10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</row>
    <row r="20" spans="1:48" x14ac:dyDescent="0.25">
      <c r="A20" s="8">
        <f t="shared" si="0"/>
        <v>17</v>
      </c>
      <c r="B20" s="1" t="s">
        <v>450</v>
      </c>
      <c r="C20" s="3" t="s">
        <v>451</v>
      </c>
      <c r="D20" s="3" t="s">
        <v>10</v>
      </c>
      <c r="E20" s="3">
        <f>+[26]Main!$K$2</f>
        <v>3048</v>
      </c>
      <c r="F20" s="10">
        <f>+[26]Main!$K$4*FX!C6</f>
        <v>22758.353483659201</v>
      </c>
      <c r="G20" s="10">
        <f>+([26]Main!$K$6-[26]Main!$K$5)*FX!C6</f>
        <v>28538.518800000002</v>
      </c>
      <c r="H20" s="10">
        <f>+F20+G20</f>
        <v>51296.872283659206</v>
      </c>
      <c r="I20" s="11" t="s">
        <v>2199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</row>
    <row r="21" spans="1:48" x14ac:dyDescent="0.25">
      <c r="A21" s="8">
        <f t="shared" si="0"/>
        <v>18</v>
      </c>
      <c r="B21" s="3" t="s">
        <v>452</v>
      </c>
      <c r="C21" s="3" t="s">
        <v>453</v>
      </c>
      <c r="D21" s="3" t="s">
        <v>204</v>
      </c>
      <c r="E21" s="3"/>
      <c r="F21" s="10"/>
      <c r="G21" s="10"/>
      <c r="H21" s="10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</row>
    <row r="22" spans="1:48" x14ac:dyDescent="0.25">
      <c r="A22" s="8">
        <f t="shared" si="0"/>
        <v>19</v>
      </c>
      <c r="B22" s="3" t="s">
        <v>454</v>
      </c>
      <c r="C22" s="3" t="s">
        <v>455</v>
      </c>
      <c r="D22" s="3" t="s">
        <v>47</v>
      </c>
      <c r="E22" s="3"/>
      <c r="F22" s="10"/>
      <c r="G22" s="10"/>
      <c r="H22" s="10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</row>
    <row r="23" spans="1:48" x14ac:dyDescent="0.25">
      <c r="A23" s="8">
        <f t="shared" si="0"/>
        <v>20</v>
      </c>
      <c r="B23" s="3" t="s">
        <v>456</v>
      </c>
      <c r="C23" s="3" t="s">
        <v>457</v>
      </c>
      <c r="D23" s="3" t="s">
        <v>976</v>
      </c>
      <c r="E23" s="3"/>
      <c r="F23" s="10"/>
      <c r="G23" s="10"/>
      <c r="H23" s="10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</row>
    <row r="24" spans="1:48" x14ac:dyDescent="0.25">
      <c r="A24" s="8">
        <f t="shared" si="0"/>
        <v>21</v>
      </c>
      <c r="B24" s="3" t="s">
        <v>458</v>
      </c>
      <c r="C24" s="3" t="s">
        <v>459</v>
      </c>
      <c r="D24" s="3" t="s">
        <v>2</v>
      </c>
      <c r="E24" s="3"/>
      <c r="F24" s="10"/>
      <c r="G24" s="10"/>
      <c r="H24" s="10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</row>
    <row r="25" spans="1:48" x14ac:dyDescent="0.25">
      <c r="A25" s="8">
        <f t="shared" si="0"/>
        <v>22</v>
      </c>
      <c r="B25" s="3" t="s">
        <v>460</v>
      </c>
      <c r="C25" s="3" t="s">
        <v>461</v>
      </c>
      <c r="D25" s="3" t="s">
        <v>975</v>
      </c>
      <c r="E25" s="3"/>
      <c r="F25" s="10"/>
      <c r="G25" s="10"/>
      <c r="H25" s="10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</row>
    <row r="26" spans="1:48" x14ac:dyDescent="0.25">
      <c r="A26" s="8">
        <f t="shared" si="0"/>
        <v>23</v>
      </c>
      <c r="B26" s="3" t="s">
        <v>462</v>
      </c>
      <c r="C26" s="3" t="s">
        <v>463</v>
      </c>
      <c r="D26" s="3" t="s">
        <v>10</v>
      </c>
      <c r="E26" s="3"/>
      <c r="F26" s="10"/>
      <c r="G26" s="10"/>
      <c r="H26" s="10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</row>
    <row r="27" spans="1:48" x14ac:dyDescent="0.25">
      <c r="A27" s="8">
        <f t="shared" si="0"/>
        <v>24</v>
      </c>
      <c r="B27" s="3" t="s">
        <v>464</v>
      </c>
      <c r="C27" s="3" t="s">
        <v>465</v>
      </c>
      <c r="D27" s="3" t="s">
        <v>977</v>
      </c>
      <c r="E27" s="3"/>
      <c r="F27" s="10"/>
      <c r="G27" s="10"/>
      <c r="H27" s="10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</row>
    <row r="28" spans="1:48" x14ac:dyDescent="0.25">
      <c r="A28" s="8">
        <f t="shared" si="0"/>
        <v>25</v>
      </c>
      <c r="B28" s="3" t="s">
        <v>466</v>
      </c>
      <c r="C28" s="3" t="s">
        <v>467</v>
      </c>
      <c r="D28" s="3" t="s">
        <v>5</v>
      </c>
      <c r="E28" s="3"/>
      <c r="F28" s="10"/>
      <c r="G28" s="10"/>
      <c r="H28" s="10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</row>
    <row r="29" spans="1:48" x14ac:dyDescent="0.25">
      <c r="A29" s="8">
        <f t="shared" si="0"/>
        <v>26</v>
      </c>
      <c r="B29" s="3" t="s">
        <v>468</v>
      </c>
      <c r="C29" s="3" t="s">
        <v>469</v>
      </c>
      <c r="D29" s="3" t="s">
        <v>13</v>
      </c>
      <c r="E29" s="3"/>
      <c r="F29" s="10"/>
      <c r="G29" s="10"/>
      <c r="H29" s="10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</row>
    <row r="30" spans="1:48" x14ac:dyDescent="0.25">
      <c r="A30" s="8">
        <f t="shared" si="0"/>
        <v>27</v>
      </c>
      <c r="B30" s="3" t="s">
        <v>470</v>
      </c>
      <c r="C30" s="3" t="s">
        <v>471</v>
      </c>
      <c r="D30" s="3" t="s">
        <v>5</v>
      </c>
      <c r="E30" s="3"/>
      <c r="F30" s="10"/>
      <c r="G30" s="10"/>
      <c r="H30" s="10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</row>
    <row r="31" spans="1:48" x14ac:dyDescent="0.25">
      <c r="A31" s="8">
        <f t="shared" si="0"/>
        <v>28</v>
      </c>
      <c r="B31" s="1" t="s">
        <v>472</v>
      </c>
      <c r="C31" s="3" t="s">
        <v>473</v>
      </c>
      <c r="D31" s="3" t="s">
        <v>2</v>
      </c>
      <c r="E31" s="3">
        <f>+[27]Main!$J$2</f>
        <v>114.99</v>
      </c>
      <c r="F31" s="10">
        <f>+[27]Main!$J$4</f>
        <v>15747.656844450001</v>
      </c>
      <c r="G31" s="10">
        <f>+[27]Main!$J$6-[27]Main!$J$5</f>
        <v>-1318.52</v>
      </c>
      <c r="H31" s="10">
        <f>+F31+G31</f>
        <v>14429.13684445</v>
      </c>
      <c r="I31" s="11" t="s">
        <v>2200</v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</row>
    <row r="32" spans="1:48" x14ac:dyDescent="0.25">
      <c r="A32" s="8">
        <f t="shared" si="0"/>
        <v>29</v>
      </c>
      <c r="B32" s="3" t="s">
        <v>474</v>
      </c>
      <c r="C32" s="3" t="s">
        <v>475</v>
      </c>
      <c r="D32" s="3" t="s">
        <v>2</v>
      </c>
      <c r="E32" s="3"/>
      <c r="F32" s="10"/>
      <c r="G32" s="10"/>
      <c r="H32" s="10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</row>
    <row r="33" spans="1:48" x14ac:dyDescent="0.25">
      <c r="A33" s="8">
        <f t="shared" si="0"/>
        <v>30</v>
      </c>
      <c r="B33" s="3" t="s">
        <v>476</v>
      </c>
      <c r="C33" s="3" t="s">
        <v>477</v>
      </c>
      <c r="D33" s="3" t="s">
        <v>10</v>
      </c>
      <c r="E33" s="3"/>
      <c r="F33" s="10"/>
      <c r="G33" s="10"/>
      <c r="H33" s="10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</row>
    <row r="34" spans="1:48" x14ac:dyDescent="0.25">
      <c r="A34" s="8">
        <f t="shared" si="0"/>
        <v>31</v>
      </c>
      <c r="B34" s="3" t="s">
        <v>478</v>
      </c>
      <c r="C34" s="3" t="s">
        <v>479</v>
      </c>
      <c r="D34" s="3" t="s">
        <v>13</v>
      </c>
      <c r="E34" s="3"/>
      <c r="F34" s="10"/>
      <c r="G34" s="10"/>
      <c r="H34" s="10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</row>
    <row r="35" spans="1:48" x14ac:dyDescent="0.25">
      <c r="A35" s="8">
        <f t="shared" si="0"/>
        <v>32</v>
      </c>
      <c r="B35" s="3" t="s">
        <v>480</v>
      </c>
      <c r="C35" s="3" t="s">
        <v>481</v>
      </c>
      <c r="D35" s="3" t="s">
        <v>179</v>
      </c>
      <c r="E35" s="3"/>
      <c r="F35" s="10"/>
      <c r="G35" s="10"/>
      <c r="H35" s="10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</row>
    <row r="36" spans="1:48" x14ac:dyDescent="0.25">
      <c r="A36" s="8">
        <f t="shared" si="0"/>
        <v>33</v>
      </c>
      <c r="B36" s="3" t="s">
        <v>482</v>
      </c>
      <c r="C36" s="3" t="s">
        <v>483</v>
      </c>
      <c r="D36" s="3" t="s">
        <v>2</v>
      </c>
      <c r="E36" s="3"/>
      <c r="F36" s="10"/>
      <c r="G36" s="10"/>
      <c r="H36" s="10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</row>
    <row r="37" spans="1:48" x14ac:dyDescent="0.25">
      <c r="A37" s="8">
        <f t="shared" si="0"/>
        <v>34</v>
      </c>
      <c r="B37" s="3" t="s">
        <v>484</v>
      </c>
      <c r="C37" s="3" t="s">
        <v>485</v>
      </c>
      <c r="D37" s="3" t="s">
        <v>5</v>
      </c>
      <c r="E37" s="3"/>
      <c r="F37" s="10"/>
      <c r="G37" s="10"/>
      <c r="H37" s="10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</row>
    <row r="38" spans="1:48" x14ac:dyDescent="0.25">
      <c r="A38" s="8">
        <f t="shared" si="0"/>
        <v>35</v>
      </c>
      <c r="B38" s="3" t="s">
        <v>486</v>
      </c>
      <c r="C38" s="3" t="s">
        <v>487</v>
      </c>
      <c r="D38" s="3" t="s">
        <v>10</v>
      </c>
      <c r="E38" s="3"/>
      <c r="F38" s="10"/>
      <c r="G38" s="10"/>
      <c r="H38" s="10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</row>
    <row r="39" spans="1:48" x14ac:dyDescent="0.25">
      <c r="A39" s="8">
        <f t="shared" si="0"/>
        <v>36</v>
      </c>
      <c r="B39" s="3" t="s">
        <v>488</v>
      </c>
      <c r="C39" s="3" t="s">
        <v>489</v>
      </c>
      <c r="D39" s="3" t="s">
        <v>61</v>
      </c>
      <c r="E39" s="3"/>
      <c r="F39" s="10"/>
      <c r="G39" s="10"/>
      <c r="H39" s="10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</row>
    <row r="40" spans="1:48" x14ac:dyDescent="0.25">
      <c r="A40" s="8">
        <f t="shared" si="0"/>
        <v>37</v>
      </c>
      <c r="B40" s="3" t="s">
        <v>490</v>
      </c>
      <c r="C40" s="3" t="s">
        <v>491</v>
      </c>
      <c r="D40" s="3" t="s">
        <v>2</v>
      </c>
      <c r="E40" s="3"/>
      <c r="F40" s="10"/>
      <c r="G40" s="10"/>
      <c r="H40" s="10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</row>
    <row r="41" spans="1:48" x14ac:dyDescent="0.25">
      <c r="A41" s="8">
        <f t="shared" si="0"/>
        <v>38</v>
      </c>
      <c r="B41" s="3" t="s">
        <v>492</v>
      </c>
      <c r="C41" s="3" t="s">
        <v>493</v>
      </c>
      <c r="D41" s="3" t="s">
        <v>2</v>
      </c>
      <c r="E41" s="3"/>
      <c r="F41" s="10"/>
      <c r="G41" s="10"/>
      <c r="H41" s="10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</row>
    <row r="42" spans="1:48" x14ac:dyDescent="0.25">
      <c r="A42" s="8">
        <f t="shared" si="0"/>
        <v>39</v>
      </c>
      <c r="B42" s="3" t="s">
        <v>494</v>
      </c>
      <c r="C42" s="3" t="s">
        <v>495</v>
      </c>
      <c r="D42" s="3" t="s">
        <v>266</v>
      </c>
      <c r="E42" s="3"/>
      <c r="F42" s="10"/>
      <c r="G42" s="10"/>
      <c r="H42" s="10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</row>
    <row r="43" spans="1:48" x14ac:dyDescent="0.25">
      <c r="A43" s="8">
        <f t="shared" si="0"/>
        <v>40</v>
      </c>
      <c r="B43" s="3" t="s">
        <v>496</v>
      </c>
      <c r="C43" s="3" t="s">
        <v>497</v>
      </c>
      <c r="D43" s="3" t="s">
        <v>5</v>
      </c>
      <c r="E43" s="3"/>
      <c r="F43" s="10"/>
      <c r="G43" s="10"/>
      <c r="H43" s="10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</row>
    <row r="44" spans="1:48" x14ac:dyDescent="0.25">
      <c r="A44" s="8">
        <f t="shared" si="0"/>
        <v>41</v>
      </c>
      <c r="B44" s="3" t="s">
        <v>498</v>
      </c>
      <c r="C44" s="3" t="s">
        <v>499</v>
      </c>
      <c r="D44" s="3" t="s">
        <v>2</v>
      </c>
      <c r="E44" s="3"/>
      <c r="F44" s="10"/>
      <c r="G44" s="10"/>
      <c r="H44" s="10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</row>
    <row r="45" spans="1:48" x14ac:dyDescent="0.25">
      <c r="A45" s="8">
        <f t="shared" si="0"/>
        <v>42</v>
      </c>
      <c r="B45" s="3" t="s">
        <v>500</v>
      </c>
      <c r="C45" s="3" t="s">
        <v>501</v>
      </c>
      <c r="D45" s="3" t="s">
        <v>5</v>
      </c>
      <c r="E45" s="3"/>
      <c r="F45" s="10"/>
      <c r="G45" s="10"/>
      <c r="H45" s="10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</row>
    <row r="46" spans="1:48" x14ac:dyDescent="0.25">
      <c r="A46" s="8">
        <f t="shared" si="0"/>
        <v>43</v>
      </c>
      <c r="B46" s="3" t="s">
        <v>502</v>
      </c>
      <c r="C46" s="3" t="s">
        <v>503</v>
      </c>
      <c r="D46" s="3" t="s">
        <v>10</v>
      </c>
      <c r="E46" s="3"/>
      <c r="F46" s="10"/>
      <c r="G46" s="10"/>
      <c r="H46" s="10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</row>
    <row r="47" spans="1:48" x14ac:dyDescent="0.25">
      <c r="A47" s="8">
        <f t="shared" si="0"/>
        <v>44</v>
      </c>
      <c r="B47" s="3" t="s">
        <v>504</v>
      </c>
      <c r="C47" s="3" t="s">
        <v>505</v>
      </c>
      <c r="D47" s="3" t="s">
        <v>2</v>
      </c>
      <c r="E47" s="3"/>
      <c r="F47" s="10"/>
      <c r="G47" s="10"/>
      <c r="H47" s="10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</row>
    <row r="48" spans="1:48" x14ac:dyDescent="0.25">
      <c r="A48" s="8">
        <f t="shared" si="0"/>
        <v>45</v>
      </c>
      <c r="B48" s="3" t="s">
        <v>506</v>
      </c>
      <c r="C48" s="3" t="s">
        <v>507</v>
      </c>
      <c r="D48" s="3" t="s">
        <v>166</v>
      </c>
      <c r="E48" s="3"/>
      <c r="F48" s="10"/>
      <c r="G48" s="10"/>
      <c r="H48" s="10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</row>
    <row r="49" spans="1:48" x14ac:dyDescent="0.25">
      <c r="A49" s="8">
        <f t="shared" si="0"/>
        <v>46</v>
      </c>
      <c r="B49" s="3" t="s">
        <v>508</v>
      </c>
      <c r="C49" s="3" t="s">
        <v>509</v>
      </c>
      <c r="D49" s="3" t="s">
        <v>2</v>
      </c>
      <c r="E49" s="3"/>
      <c r="F49" s="10"/>
      <c r="G49" s="10"/>
      <c r="H49" s="10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</row>
    <row r="50" spans="1:48" x14ac:dyDescent="0.25">
      <c r="A50" s="8">
        <f t="shared" si="0"/>
        <v>47</v>
      </c>
      <c r="B50" s="3" t="s">
        <v>510</v>
      </c>
      <c r="C50" s="3" t="s">
        <v>511</v>
      </c>
      <c r="D50" s="3" t="s">
        <v>73</v>
      </c>
      <c r="E50" s="3"/>
      <c r="F50" s="10"/>
      <c r="G50" s="10"/>
      <c r="H50" s="10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</row>
    <row r="51" spans="1:48" x14ac:dyDescent="0.25">
      <c r="A51" s="8">
        <f t="shared" si="0"/>
        <v>48</v>
      </c>
      <c r="B51" s="3" t="s">
        <v>512</v>
      </c>
      <c r="C51" s="3" t="s">
        <v>513</v>
      </c>
      <c r="D51" s="3" t="s">
        <v>10</v>
      </c>
      <c r="E51" s="3"/>
      <c r="F51" s="10"/>
      <c r="G51" s="10"/>
      <c r="H51" s="10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</row>
    <row r="52" spans="1:48" x14ac:dyDescent="0.25">
      <c r="A52" s="8">
        <f t="shared" si="0"/>
        <v>49</v>
      </c>
      <c r="B52" s="3" t="s">
        <v>514</v>
      </c>
      <c r="C52" s="3" t="s">
        <v>515</v>
      </c>
      <c r="D52" s="3" t="s">
        <v>313</v>
      </c>
      <c r="E52" s="3"/>
      <c r="F52" s="10"/>
      <c r="G52" s="10"/>
      <c r="H52" s="10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</row>
    <row r="53" spans="1:48" x14ac:dyDescent="0.25">
      <c r="A53" s="8">
        <f t="shared" si="0"/>
        <v>50</v>
      </c>
      <c r="B53" s="3" t="s">
        <v>516</v>
      </c>
      <c r="C53" s="3" t="s">
        <v>517</v>
      </c>
      <c r="D53" s="3" t="s">
        <v>238</v>
      </c>
      <c r="E53" s="3"/>
      <c r="F53" s="10"/>
      <c r="G53" s="10"/>
      <c r="H53" s="10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</row>
    <row r="54" spans="1:48" x14ac:dyDescent="0.25">
      <c r="A54" s="8">
        <f t="shared" si="0"/>
        <v>51</v>
      </c>
      <c r="B54" s="3" t="s">
        <v>518</v>
      </c>
      <c r="C54" s="3" t="s">
        <v>519</v>
      </c>
      <c r="D54" s="3" t="s">
        <v>5</v>
      </c>
      <c r="E54" s="3"/>
      <c r="F54" s="10"/>
      <c r="G54" s="10"/>
      <c r="H54" s="10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</row>
    <row r="55" spans="1:48" x14ac:dyDescent="0.25">
      <c r="A55" s="8">
        <f t="shared" si="0"/>
        <v>52</v>
      </c>
      <c r="B55" s="3" t="s">
        <v>520</v>
      </c>
      <c r="C55" s="3" t="s">
        <v>521</v>
      </c>
      <c r="D55" s="3" t="s">
        <v>10</v>
      </c>
      <c r="E55" s="3"/>
      <c r="F55" s="10"/>
      <c r="G55" s="10"/>
      <c r="H55" s="10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</row>
    <row r="56" spans="1:48" x14ac:dyDescent="0.25">
      <c r="A56" s="8">
        <f t="shared" si="0"/>
        <v>53</v>
      </c>
      <c r="B56" s="3" t="s">
        <v>522</v>
      </c>
      <c r="C56" s="3" t="s">
        <v>523</v>
      </c>
      <c r="D56" s="3" t="s">
        <v>31</v>
      </c>
      <c r="E56" s="3"/>
      <c r="F56" s="10"/>
      <c r="G56" s="10"/>
      <c r="H56" s="10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</row>
    <row r="57" spans="1:48" x14ac:dyDescent="0.25">
      <c r="A57" s="8">
        <f t="shared" si="0"/>
        <v>54</v>
      </c>
      <c r="B57" s="3" t="s">
        <v>524</v>
      </c>
      <c r="C57" s="3" t="s">
        <v>525</v>
      </c>
      <c r="D57" s="3" t="s">
        <v>977</v>
      </c>
      <c r="E57" s="3"/>
      <c r="F57" s="10"/>
      <c r="G57" s="10"/>
      <c r="H57" s="10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</row>
    <row r="58" spans="1:48" x14ac:dyDescent="0.25">
      <c r="A58" s="8">
        <f t="shared" si="0"/>
        <v>55</v>
      </c>
      <c r="B58" s="3" t="s">
        <v>526</v>
      </c>
      <c r="C58" s="3" t="s">
        <v>527</v>
      </c>
      <c r="D58" s="3" t="s">
        <v>10</v>
      </c>
      <c r="E58" s="3"/>
      <c r="F58" s="10"/>
      <c r="G58" s="10"/>
      <c r="H58" s="10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</row>
    <row r="59" spans="1:48" x14ac:dyDescent="0.25">
      <c r="A59" s="8">
        <f t="shared" si="0"/>
        <v>56</v>
      </c>
      <c r="B59" s="3" t="s">
        <v>528</v>
      </c>
      <c r="C59" s="3" t="s">
        <v>529</v>
      </c>
      <c r="D59" s="3" t="s">
        <v>179</v>
      </c>
      <c r="E59" s="3"/>
      <c r="F59" s="10"/>
      <c r="G59" s="10"/>
      <c r="H59" s="10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</row>
    <row r="60" spans="1:48" x14ac:dyDescent="0.25">
      <c r="A60" s="8">
        <f t="shared" si="0"/>
        <v>57</v>
      </c>
      <c r="B60" s="3" t="s">
        <v>530</v>
      </c>
      <c r="C60" s="3" t="s">
        <v>531</v>
      </c>
      <c r="D60" s="3" t="s">
        <v>73</v>
      </c>
      <c r="E60" s="3"/>
      <c r="F60" s="10"/>
      <c r="G60" s="10"/>
      <c r="H60" s="10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</row>
    <row r="61" spans="1:48" x14ac:dyDescent="0.25">
      <c r="A61" s="8">
        <f t="shared" si="0"/>
        <v>58</v>
      </c>
      <c r="B61" s="3" t="s">
        <v>532</v>
      </c>
      <c r="C61" s="3" t="s">
        <v>533</v>
      </c>
      <c r="D61" s="3" t="s">
        <v>68</v>
      </c>
      <c r="E61" s="3"/>
      <c r="F61" s="10"/>
      <c r="G61" s="10"/>
      <c r="H61" s="10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</row>
    <row r="62" spans="1:48" x14ac:dyDescent="0.25">
      <c r="A62" s="8">
        <f t="shared" si="0"/>
        <v>59</v>
      </c>
      <c r="B62" s="3" t="s">
        <v>534</v>
      </c>
      <c r="C62" s="3" t="s">
        <v>535</v>
      </c>
      <c r="D62" s="3" t="s">
        <v>5</v>
      </c>
      <c r="E62" s="3"/>
      <c r="F62" s="10"/>
      <c r="G62" s="10"/>
      <c r="H62" s="10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</row>
    <row r="63" spans="1:48" x14ac:dyDescent="0.25">
      <c r="A63" s="8">
        <f t="shared" si="0"/>
        <v>60</v>
      </c>
      <c r="B63" s="3" t="s">
        <v>536</v>
      </c>
      <c r="C63" s="3" t="s">
        <v>537</v>
      </c>
      <c r="D63" s="3" t="s">
        <v>978</v>
      </c>
      <c r="E63" s="3"/>
      <c r="F63" s="10"/>
      <c r="G63" s="10"/>
      <c r="H63" s="10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</row>
    <row r="64" spans="1:48" x14ac:dyDescent="0.25">
      <c r="A64" s="8">
        <f t="shared" si="0"/>
        <v>61</v>
      </c>
      <c r="B64" s="3" t="s">
        <v>538</v>
      </c>
      <c r="C64" s="3" t="s">
        <v>539</v>
      </c>
      <c r="D64" s="3" t="s">
        <v>979</v>
      </c>
      <c r="E64" s="3"/>
      <c r="F64" s="10"/>
      <c r="G64" s="10"/>
      <c r="H64" s="10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</row>
    <row r="65" spans="1:48" x14ac:dyDescent="0.25">
      <c r="A65" s="8">
        <f t="shared" si="0"/>
        <v>62</v>
      </c>
      <c r="B65" s="3" t="s">
        <v>540</v>
      </c>
      <c r="C65" s="3" t="s">
        <v>541</v>
      </c>
      <c r="D65" s="3" t="s">
        <v>10</v>
      </c>
      <c r="E65" s="3"/>
      <c r="F65" s="10"/>
      <c r="G65" s="10"/>
      <c r="H65" s="10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</row>
    <row r="66" spans="1:48" x14ac:dyDescent="0.25">
      <c r="A66" s="8">
        <f t="shared" si="0"/>
        <v>63</v>
      </c>
      <c r="B66" s="3" t="s">
        <v>542</v>
      </c>
      <c r="C66" s="3" t="s">
        <v>543</v>
      </c>
      <c r="D66" s="3" t="s">
        <v>975</v>
      </c>
      <c r="E66" s="3"/>
      <c r="F66" s="10"/>
      <c r="G66" s="10"/>
      <c r="H66" s="10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</row>
    <row r="67" spans="1:48" x14ac:dyDescent="0.25">
      <c r="A67" s="8">
        <f t="shared" si="0"/>
        <v>64</v>
      </c>
      <c r="B67" s="3" t="s">
        <v>544</v>
      </c>
      <c r="C67" s="3" t="s">
        <v>545</v>
      </c>
      <c r="D67" s="3" t="s">
        <v>10</v>
      </c>
      <c r="E67" s="3"/>
      <c r="F67" s="10"/>
      <c r="G67" s="10"/>
      <c r="H67" s="10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</row>
    <row r="68" spans="1:48" x14ac:dyDescent="0.25">
      <c r="A68" s="8">
        <f t="shared" si="0"/>
        <v>65</v>
      </c>
      <c r="B68" s="3" t="s">
        <v>546</v>
      </c>
      <c r="C68" s="3" t="s">
        <v>547</v>
      </c>
      <c r="D68" s="3" t="s">
        <v>179</v>
      </c>
      <c r="E68" s="3"/>
      <c r="F68" s="10"/>
      <c r="G68" s="10"/>
      <c r="H68" s="10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</row>
    <row r="69" spans="1:48" x14ac:dyDescent="0.25">
      <c r="A69" s="8">
        <f t="shared" si="0"/>
        <v>66</v>
      </c>
      <c r="B69" s="3" t="s">
        <v>548</v>
      </c>
      <c r="C69" s="3" t="s">
        <v>549</v>
      </c>
      <c r="D69" s="3" t="s">
        <v>73</v>
      </c>
      <c r="E69" s="3"/>
      <c r="F69" s="10"/>
      <c r="G69" s="10"/>
      <c r="H69" s="10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</row>
    <row r="70" spans="1:48" x14ac:dyDescent="0.25">
      <c r="A70" s="8">
        <f t="shared" ref="A70:A133" si="1">+A69+1</f>
        <v>67</v>
      </c>
      <c r="B70" s="3" t="s">
        <v>550</v>
      </c>
      <c r="C70" s="3" t="s">
        <v>551</v>
      </c>
      <c r="D70" s="3" t="s">
        <v>2</v>
      </c>
      <c r="E70" s="3"/>
      <c r="F70" s="10"/>
      <c r="G70" s="10"/>
      <c r="H70" s="10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</row>
    <row r="71" spans="1:48" x14ac:dyDescent="0.25">
      <c r="A71" s="8">
        <f t="shared" si="1"/>
        <v>68</v>
      </c>
      <c r="B71" s="3" t="s">
        <v>552</v>
      </c>
      <c r="C71" s="3" t="s">
        <v>553</v>
      </c>
      <c r="D71" s="3" t="s">
        <v>73</v>
      </c>
      <c r="E71" s="3"/>
      <c r="F71" s="10"/>
      <c r="G71" s="10"/>
      <c r="H71" s="10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</row>
    <row r="72" spans="1:48" x14ac:dyDescent="0.25">
      <c r="A72" s="8">
        <f t="shared" si="1"/>
        <v>69</v>
      </c>
      <c r="B72" s="3" t="s">
        <v>554</v>
      </c>
      <c r="C72" s="3" t="s">
        <v>555</v>
      </c>
      <c r="D72" s="3" t="s">
        <v>179</v>
      </c>
      <c r="E72" s="3"/>
      <c r="F72" s="10"/>
      <c r="G72" s="10"/>
      <c r="H72" s="10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</row>
    <row r="73" spans="1:48" x14ac:dyDescent="0.25">
      <c r="A73" s="8">
        <f t="shared" si="1"/>
        <v>70</v>
      </c>
      <c r="B73" s="3" t="s">
        <v>556</v>
      </c>
      <c r="C73" s="3" t="s">
        <v>557</v>
      </c>
      <c r="D73" s="3" t="s">
        <v>2</v>
      </c>
      <c r="E73" s="3"/>
      <c r="F73" s="10"/>
      <c r="G73" s="10"/>
      <c r="H73" s="10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</row>
    <row r="74" spans="1:48" x14ac:dyDescent="0.25">
      <c r="A74" s="8">
        <f t="shared" si="1"/>
        <v>71</v>
      </c>
      <c r="B74" s="1" t="s">
        <v>558</v>
      </c>
      <c r="C74" s="3" t="s">
        <v>559</v>
      </c>
      <c r="D74" s="3" t="s">
        <v>2</v>
      </c>
      <c r="E74" s="3">
        <f>+[28]Main!$J$2</f>
        <v>160.88</v>
      </c>
      <c r="F74" s="10">
        <f>+[28]Main!$J$4</f>
        <v>6650.9066169600001</v>
      </c>
      <c r="G74" s="10">
        <f>+[28]Main!$J$7</f>
        <v>14264.906616960001</v>
      </c>
      <c r="H74" s="10">
        <f>+F74+G74</f>
        <v>20915.813233920002</v>
      </c>
      <c r="I74" s="11" t="s">
        <v>2200</v>
      </c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</row>
    <row r="75" spans="1:48" x14ac:dyDescent="0.25">
      <c r="A75" s="8">
        <f t="shared" si="1"/>
        <v>72</v>
      </c>
      <c r="B75" s="3" t="s">
        <v>560</v>
      </c>
      <c r="C75" s="3" t="s">
        <v>561</v>
      </c>
      <c r="D75" s="3" t="s">
        <v>61</v>
      </c>
      <c r="E75" s="3"/>
      <c r="F75" s="10"/>
      <c r="G75" s="10"/>
      <c r="H75" s="10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</row>
    <row r="76" spans="1:48" x14ac:dyDescent="0.25">
      <c r="A76" s="8">
        <f t="shared" si="1"/>
        <v>73</v>
      </c>
      <c r="B76" s="3" t="s">
        <v>562</v>
      </c>
      <c r="C76" s="3" t="s">
        <v>563</v>
      </c>
      <c r="D76" s="3" t="s">
        <v>61</v>
      </c>
      <c r="E76" s="3"/>
      <c r="F76" s="10"/>
      <c r="G76" s="10"/>
      <c r="H76" s="10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</row>
    <row r="77" spans="1:48" x14ac:dyDescent="0.25">
      <c r="A77" s="8">
        <f t="shared" si="1"/>
        <v>74</v>
      </c>
      <c r="B77" s="3" t="s">
        <v>564</v>
      </c>
      <c r="C77" s="3" t="s">
        <v>565</v>
      </c>
      <c r="D77" s="3" t="s">
        <v>2</v>
      </c>
      <c r="E77" s="3"/>
      <c r="F77" s="10"/>
      <c r="G77" s="10"/>
      <c r="H77" s="10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</row>
    <row r="78" spans="1:48" x14ac:dyDescent="0.25">
      <c r="A78" s="8">
        <f t="shared" si="1"/>
        <v>75</v>
      </c>
      <c r="B78" s="3" t="s">
        <v>566</v>
      </c>
      <c r="C78" s="3" t="s">
        <v>567</v>
      </c>
      <c r="D78" s="3" t="s">
        <v>2</v>
      </c>
      <c r="E78" s="3"/>
      <c r="F78" s="10"/>
      <c r="G78" s="10"/>
      <c r="H78" s="10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</row>
    <row r="79" spans="1:48" x14ac:dyDescent="0.25">
      <c r="A79" s="8">
        <f t="shared" si="1"/>
        <v>76</v>
      </c>
      <c r="B79" s="3" t="s">
        <v>568</v>
      </c>
      <c r="C79" s="3" t="s">
        <v>569</v>
      </c>
      <c r="D79" s="3" t="s">
        <v>47</v>
      </c>
      <c r="E79" s="3"/>
      <c r="F79" s="10"/>
      <c r="G79" s="10"/>
      <c r="H79" s="10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</row>
    <row r="80" spans="1:48" x14ac:dyDescent="0.25">
      <c r="A80" s="8">
        <f t="shared" si="1"/>
        <v>77</v>
      </c>
      <c r="B80" s="3" t="s">
        <v>570</v>
      </c>
      <c r="C80" s="3" t="s">
        <v>571</v>
      </c>
      <c r="D80" s="3" t="s">
        <v>2</v>
      </c>
      <c r="E80" s="3"/>
      <c r="F80" s="10"/>
      <c r="G80" s="10"/>
      <c r="H80" s="10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</row>
    <row r="81" spans="1:48" x14ac:dyDescent="0.25">
      <c r="A81" s="8">
        <f t="shared" si="1"/>
        <v>78</v>
      </c>
      <c r="B81" s="3" t="s">
        <v>572</v>
      </c>
      <c r="C81" s="3" t="s">
        <v>573</v>
      </c>
      <c r="D81" s="3" t="s">
        <v>47</v>
      </c>
      <c r="E81" s="3"/>
      <c r="F81" s="10"/>
      <c r="G81" s="10"/>
      <c r="H81" s="10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</row>
    <row r="82" spans="1:48" x14ac:dyDescent="0.25">
      <c r="A82" s="8">
        <f t="shared" si="1"/>
        <v>79</v>
      </c>
      <c r="B82" s="3" t="s">
        <v>574</v>
      </c>
      <c r="C82" s="3" t="s">
        <v>575</v>
      </c>
      <c r="D82" s="3" t="s">
        <v>10</v>
      </c>
      <c r="E82" s="3"/>
      <c r="F82" s="10"/>
      <c r="G82" s="10"/>
      <c r="H82" s="10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</row>
    <row r="83" spans="1:48" x14ac:dyDescent="0.25">
      <c r="A83" s="8">
        <f t="shared" si="1"/>
        <v>80</v>
      </c>
      <c r="B83" s="3" t="s">
        <v>576</v>
      </c>
      <c r="C83" s="3" t="s">
        <v>577</v>
      </c>
      <c r="D83" s="3" t="s">
        <v>10</v>
      </c>
      <c r="E83" s="3"/>
      <c r="F83" s="10"/>
      <c r="G83" s="10"/>
      <c r="H83" s="10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</row>
    <row r="84" spans="1:48" x14ac:dyDescent="0.25">
      <c r="A84" s="8">
        <f t="shared" si="1"/>
        <v>81</v>
      </c>
      <c r="B84" s="3" t="s">
        <v>578</v>
      </c>
      <c r="C84" s="3" t="s">
        <v>579</v>
      </c>
      <c r="D84" s="3" t="s">
        <v>193</v>
      </c>
      <c r="E84" s="3"/>
      <c r="F84" s="10"/>
      <c r="G84" s="10"/>
      <c r="H84" s="10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</row>
    <row r="85" spans="1:48" x14ac:dyDescent="0.25">
      <c r="A85" s="8">
        <f t="shared" si="1"/>
        <v>82</v>
      </c>
      <c r="B85" s="3" t="s">
        <v>580</v>
      </c>
      <c r="C85" s="3" t="s">
        <v>581</v>
      </c>
      <c r="D85" s="3" t="s">
        <v>977</v>
      </c>
      <c r="E85" s="3"/>
      <c r="F85" s="10"/>
      <c r="G85" s="10"/>
      <c r="H85" s="10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</row>
    <row r="86" spans="1:48" x14ac:dyDescent="0.25">
      <c r="A86" s="8">
        <f t="shared" si="1"/>
        <v>83</v>
      </c>
      <c r="B86" s="3" t="s">
        <v>582</v>
      </c>
      <c r="C86" s="3" t="s">
        <v>583</v>
      </c>
      <c r="D86" s="3" t="s">
        <v>13</v>
      </c>
      <c r="E86" s="3"/>
      <c r="F86" s="10"/>
      <c r="G86" s="10"/>
      <c r="H86" s="10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</row>
    <row r="87" spans="1:48" x14ac:dyDescent="0.25">
      <c r="A87" s="8">
        <f t="shared" si="1"/>
        <v>84</v>
      </c>
      <c r="B87" s="3" t="s">
        <v>584</v>
      </c>
      <c r="C87" s="3" t="s">
        <v>585</v>
      </c>
      <c r="D87" s="3" t="s">
        <v>10</v>
      </c>
      <c r="E87" s="3"/>
      <c r="F87" s="10"/>
      <c r="G87" s="10"/>
      <c r="H87" s="10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</row>
    <row r="88" spans="1:48" x14ac:dyDescent="0.25">
      <c r="A88" s="8">
        <f t="shared" si="1"/>
        <v>85</v>
      </c>
      <c r="B88" s="3" t="s">
        <v>586</v>
      </c>
      <c r="C88" s="3" t="s">
        <v>587</v>
      </c>
      <c r="D88" s="3" t="s">
        <v>179</v>
      </c>
      <c r="E88" s="3"/>
      <c r="F88" s="10"/>
      <c r="G88" s="10"/>
      <c r="H88" s="10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</row>
    <row r="89" spans="1:48" x14ac:dyDescent="0.25">
      <c r="A89" s="8">
        <f t="shared" si="1"/>
        <v>86</v>
      </c>
      <c r="B89" s="3" t="s">
        <v>588</v>
      </c>
      <c r="C89" s="3" t="s">
        <v>589</v>
      </c>
      <c r="D89" s="3" t="s">
        <v>980</v>
      </c>
      <c r="E89" s="3"/>
      <c r="F89" s="10"/>
      <c r="G89" s="10"/>
      <c r="H89" s="10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</row>
    <row r="90" spans="1:48" x14ac:dyDescent="0.25">
      <c r="A90" s="8">
        <f t="shared" si="1"/>
        <v>87</v>
      </c>
      <c r="B90" s="3" t="s">
        <v>590</v>
      </c>
      <c r="C90" s="3" t="s">
        <v>591</v>
      </c>
      <c r="D90" s="3" t="s">
        <v>10</v>
      </c>
      <c r="E90" s="3"/>
      <c r="F90" s="10"/>
      <c r="G90" s="10"/>
      <c r="H90" s="10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</row>
    <row r="91" spans="1:48" x14ac:dyDescent="0.25">
      <c r="A91" s="8">
        <f t="shared" si="1"/>
        <v>88</v>
      </c>
      <c r="B91" s="3" t="s">
        <v>592</v>
      </c>
      <c r="C91" s="3" t="s">
        <v>593</v>
      </c>
      <c r="D91" s="3" t="s">
        <v>2</v>
      </c>
      <c r="E91" s="3"/>
      <c r="F91" s="10"/>
      <c r="G91" s="10"/>
      <c r="H91" s="10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</row>
    <row r="92" spans="1:48" x14ac:dyDescent="0.25">
      <c r="A92" s="8">
        <f t="shared" si="1"/>
        <v>89</v>
      </c>
      <c r="B92" s="3" t="s">
        <v>594</v>
      </c>
      <c r="C92" s="3" t="s">
        <v>595</v>
      </c>
      <c r="D92" s="3" t="s">
        <v>980</v>
      </c>
      <c r="E92" s="3"/>
      <c r="F92" s="10"/>
      <c r="G92" s="10"/>
      <c r="H92" s="10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</row>
    <row r="93" spans="1:48" x14ac:dyDescent="0.25">
      <c r="A93" s="8">
        <f t="shared" si="1"/>
        <v>90</v>
      </c>
      <c r="B93" s="3" t="s">
        <v>596</v>
      </c>
      <c r="C93" s="3" t="s">
        <v>597</v>
      </c>
      <c r="D93" s="3" t="s">
        <v>10</v>
      </c>
      <c r="E93" s="3"/>
      <c r="F93" s="10"/>
      <c r="G93" s="10"/>
      <c r="H93" s="10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</row>
    <row r="94" spans="1:48" x14ac:dyDescent="0.25">
      <c r="A94" s="8">
        <f t="shared" si="1"/>
        <v>91</v>
      </c>
      <c r="B94" s="3" t="s">
        <v>598</v>
      </c>
      <c r="C94" s="3" t="s">
        <v>599</v>
      </c>
      <c r="D94" s="3" t="s">
        <v>10</v>
      </c>
      <c r="E94" s="3"/>
      <c r="F94" s="10"/>
      <c r="G94" s="10"/>
      <c r="H94" s="10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</row>
    <row r="95" spans="1:48" x14ac:dyDescent="0.25">
      <c r="A95" s="8">
        <f t="shared" si="1"/>
        <v>92</v>
      </c>
      <c r="B95" s="3" t="s">
        <v>600</v>
      </c>
      <c r="C95" s="3" t="s">
        <v>601</v>
      </c>
      <c r="D95" s="3" t="s">
        <v>2</v>
      </c>
      <c r="E95" s="3"/>
      <c r="F95" s="10"/>
      <c r="G95" s="10"/>
      <c r="H95" s="10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</row>
    <row r="96" spans="1:48" x14ac:dyDescent="0.25">
      <c r="A96" s="8">
        <f t="shared" si="1"/>
        <v>93</v>
      </c>
      <c r="B96" s="3" t="s">
        <v>602</v>
      </c>
      <c r="C96" s="3" t="s">
        <v>603</v>
      </c>
      <c r="D96" s="3" t="s">
        <v>981</v>
      </c>
      <c r="E96" s="3"/>
      <c r="F96" s="10"/>
      <c r="G96" s="10"/>
      <c r="H96" s="10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</row>
    <row r="97" spans="1:48" x14ac:dyDescent="0.25">
      <c r="A97" s="8">
        <f t="shared" si="1"/>
        <v>94</v>
      </c>
      <c r="B97" s="3" t="s">
        <v>604</v>
      </c>
      <c r="C97" s="3" t="s">
        <v>605</v>
      </c>
      <c r="D97" s="3" t="s">
        <v>193</v>
      </c>
      <c r="E97" s="3"/>
      <c r="F97" s="10"/>
      <c r="G97" s="10"/>
      <c r="H97" s="10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</row>
    <row r="98" spans="1:48" x14ac:dyDescent="0.25">
      <c r="A98" s="8">
        <f t="shared" si="1"/>
        <v>95</v>
      </c>
      <c r="B98" s="3" t="s">
        <v>606</v>
      </c>
      <c r="C98" s="3" t="s">
        <v>607</v>
      </c>
      <c r="D98" s="3" t="s">
        <v>982</v>
      </c>
      <c r="E98" s="3"/>
      <c r="F98" s="10"/>
      <c r="G98" s="10"/>
      <c r="H98" s="10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</row>
    <row r="99" spans="1:48" x14ac:dyDescent="0.25">
      <c r="A99" s="8">
        <f t="shared" si="1"/>
        <v>96</v>
      </c>
      <c r="B99" s="3" t="s">
        <v>608</v>
      </c>
      <c r="C99" s="3" t="s">
        <v>609</v>
      </c>
      <c r="D99" s="3" t="s">
        <v>266</v>
      </c>
      <c r="E99" s="3"/>
      <c r="F99" s="10"/>
      <c r="G99" s="10"/>
      <c r="H99" s="10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</row>
    <row r="100" spans="1:48" x14ac:dyDescent="0.25">
      <c r="A100" s="8">
        <f t="shared" si="1"/>
        <v>97</v>
      </c>
      <c r="B100" s="3" t="s">
        <v>610</v>
      </c>
      <c r="C100" s="3" t="s">
        <v>611</v>
      </c>
      <c r="D100" s="3" t="s">
        <v>2</v>
      </c>
      <c r="E100" s="3"/>
      <c r="F100" s="10"/>
      <c r="G100" s="10"/>
      <c r="H100" s="10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</row>
    <row r="101" spans="1:48" x14ac:dyDescent="0.25">
      <c r="A101" s="8">
        <f t="shared" si="1"/>
        <v>98</v>
      </c>
      <c r="B101" s="3" t="s">
        <v>612</v>
      </c>
      <c r="C101" s="3" t="s">
        <v>613</v>
      </c>
      <c r="D101" s="3" t="s">
        <v>977</v>
      </c>
      <c r="E101" s="3"/>
      <c r="F101" s="10"/>
      <c r="G101" s="10"/>
      <c r="H101" s="10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</row>
    <row r="102" spans="1:48" x14ac:dyDescent="0.25">
      <c r="A102" s="8">
        <f t="shared" si="1"/>
        <v>99</v>
      </c>
      <c r="B102" s="3" t="s">
        <v>614</v>
      </c>
      <c r="C102" s="3" t="s">
        <v>615</v>
      </c>
      <c r="D102" s="3" t="s">
        <v>979</v>
      </c>
      <c r="E102" s="3"/>
      <c r="F102" s="10"/>
      <c r="G102" s="10"/>
      <c r="H102" s="10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</row>
    <row r="103" spans="1:48" x14ac:dyDescent="0.25">
      <c r="A103" s="8">
        <f t="shared" si="1"/>
        <v>100</v>
      </c>
      <c r="B103" s="3" t="s">
        <v>616</v>
      </c>
      <c r="C103" s="3" t="s">
        <v>617</v>
      </c>
      <c r="D103" s="3" t="s">
        <v>2</v>
      </c>
      <c r="E103" s="3"/>
      <c r="F103" s="10"/>
      <c r="G103" s="10"/>
      <c r="H103" s="10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</row>
    <row r="104" spans="1:48" x14ac:dyDescent="0.25">
      <c r="A104" s="8">
        <f t="shared" si="1"/>
        <v>101</v>
      </c>
      <c r="B104" s="3" t="s">
        <v>618</v>
      </c>
      <c r="C104" s="3" t="s">
        <v>619</v>
      </c>
      <c r="D104" s="3" t="s">
        <v>975</v>
      </c>
      <c r="E104" s="3"/>
      <c r="F104" s="10"/>
      <c r="G104" s="10"/>
      <c r="H104" s="10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</row>
    <row r="105" spans="1:48" x14ac:dyDescent="0.25">
      <c r="A105" s="8">
        <f t="shared" si="1"/>
        <v>102</v>
      </c>
      <c r="B105" s="3" t="s">
        <v>620</v>
      </c>
      <c r="C105" s="3" t="s">
        <v>621</v>
      </c>
      <c r="D105" s="3" t="s">
        <v>10</v>
      </c>
      <c r="E105" s="3"/>
      <c r="F105" s="10"/>
      <c r="G105" s="10"/>
      <c r="H105" s="10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</row>
    <row r="106" spans="1:48" x14ac:dyDescent="0.25">
      <c r="A106" s="8">
        <f t="shared" si="1"/>
        <v>103</v>
      </c>
      <c r="B106" s="3" t="s">
        <v>622</v>
      </c>
      <c r="C106" s="3" t="s">
        <v>623</v>
      </c>
      <c r="D106" s="3" t="s">
        <v>983</v>
      </c>
      <c r="E106" s="3"/>
      <c r="F106" s="10"/>
      <c r="G106" s="10"/>
      <c r="H106" s="10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</row>
    <row r="107" spans="1:48" x14ac:dyDescent="0.25">
      <c r="A107" s="8">
        <f t="shared" si="1"/>
        <v>104</v>
      </c>
      <c r="B107" s="3" t="s">
        <v>624</v>
      </c>
      <c r="C107" s="3" t="s">
        <v>625</v>
      </c>
      <c r="D107" s="3" t="s">
        <v>367</v>
      </c>
      <c r="E107" s="3"/>
      <c r="F107" s="10"/>
      <c r="G107" s="10"/>
      <c r="H107" s="10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</row>
    <row r="108" spans="1:48" x14ac:dyDescent="0.25">
      <c r="A108" s="8">
        <f t="shared" si="1"/>
        <v>105</v>
      </c>
      <c r="B108" s="3" t="s">
        <v>626</v>
      </c>
      <c r="C108" s="3" t="s">
        <v>627</v>
      </c>
      <c r="D108" s="3" t="s">
        <v>5</v>
      </c>
      <c r="E108" s="3"/>
      <c r="F108" s="10"/>
      <c r="G108" s="10"/>
      <c r="H108" s="10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</row>
    <row r="109" spans="1:48" x14ac:dyDescent="0.25">
      <c r="A109" s="8">
        <f t="shared" si="1"/>
        <v>106</v>
      </c>
      <c r="B109" s="3" t="s">
        <v>628</v>
      </c>
      <c r="C109" s="3" t="s">
        <v>629</v>
      </c>
      <c r="D109" s="3" t="s">
        <v>78</v>
      </c>
      <c r="E109" s="3"/>
      <c r="F109" s="10"/>
      <c r="G109" s="10"/>
      <c r="H109" s="10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</row>
    <row r="110" spans="1:48" x14ac:dyDescent="0.25">
      <c r="A110" s="8">
        <f t="shared" si="1"/>
        <v>107</v>
      </c>
      <c r="B110" s="3" t="s">
        <v>630</v>
      </c>
      <c r="C110" s="3" t="s">
        <v>631</v>
      </c>
      <c r="D110" s="3" t="s">
        <v>193</v>
      </c>
      <c r="E110" s="3"/>
      <c r="F110" s="10"/>
      <c r="G110" s="10"/>
      <c r="H110" s="10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</row>
    <row r="111" spans="1:48" x14ac:dyDescent="0.25">
      <c r="A111" s="8">
        <f t="shared" si="1"/>
        <v>108</v>
      </c>
      <c r="B111" s="3" t="s">
        <v>632</v>
      </c>
      <c r="C111" s="3" t="s">
        <v>633</v>
      </c>
      <c r="D111" s="3" t="s">
        <v>984</v>
      </c>
      <c r="E111" s="3"/>
      <c r="F111" s="10"/>
      <c r="G111" s="10"/>
      <c r="H111" s="10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</row>
    <row r="112" spans="1:48" x14ac:dyDescent="0.25">
      <c r="A112" s="8">
        <f t="shared" si="1"/>
        <v>109</v>
      </c>
      <c r="B112" s="3" t="s">
        <v>634</v>
      </c>
      <c r="C112" s="3" t="s">
        <v>635</v>
      </c>
      <c r="D112" s="3" t="s">
        <v>2</v>
      </c>
      <c r="E112" s="3"/>
      <c r="F112" s="10"/>
      <c r="G112" s="10"/>
      <c r="H112" s="10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</row>
    <row r="113" spans="1:48" x14ac:dyDescent="0.25">
      <c r="A113" s="8">
        <f t="shared" si="1"/>
        <v>110</v>
      </c>
      <c r="B113" s="3" t="s">
        <v>636</v>
      </c>
      <c r="C113" s="3" t="s">
        <v>637</v>
      </c>
      <c r="D113" s="3" t="s">
        <v>89</v>
      </c>
      <c r="E113" s="3"/>
      <c r="F113" s="10"/>
      <c r="G113" s="10"/>
      <c r="H113" s="10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</row>
    <row r="114" spans="1:48" x14ac:dyDescent="0.25">
      <c r="A114" s="8">
        <f t="shared" si="1"/>
        <v>111</v>
      </c>
      <c r="B114" s="3" t="s">
        <v>638</v>
      </c>
      <c r="C114" s="3" t="s">
        <v>639</v>
      </c>
      <c r="D114" s="3" t="s">
        <v>166</v>
      </c>
      <c r="E114" s="3"/>
      <c r="F114" s="10"/>
      <c r="G114" s="10"/>
      <c r="H114" s="10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</row>
    <row r="115" spans="1:48" x14ac:dyDescent="0.25">
      <c r="A115" s="8">
        <f t="shared" si="1"/>
        <v>112</v>
      </c>
      <c r="B115" s="3" t="s">
        <v>640</v>
      </c>
      <c r="C115" s="3" t="s">
        <v>641</v>
      </c>
      <c r="D115" s="3" t="s">
        <v>10</v>
      </c>
      <c r="E115" s="3"/>
      <c r="F115" s="10"/>
      <c r="G115" s="10"/>
      <c r="H115" s="10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</row>
    <row r="116" spans="1:48" x14ac:dyDescent="0.25">
      <c r="A116" s="8">
        <f t="shared" si="1"/>
        <v>113</v>
      </c>
      <c r="B116" s="3" t="s">
        <v>642</v>
      </c>
      <c r="C116" s="3" t="s">
        <v>643</v>
      </c>
      <c r="D116" s="3" t="s">
        <v>10</v>
      </c>
      <c r="E116" s="3"/>
      <c r="F116" s="10"/>
      <c r="G116" s="10"/>
      <c r="H116" s="10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</row>
    <row r="117" spans="1:48" x14ac:dyDescent="0.25">
      <c r="A117" s="8">
        <f t="shared" si="1"/>
        <v>114</v>
      </c>
      <c r="B117" s="3" t="s">
        <v>644</v>
      </c>
      <c r="C117" s="3" t="s">
        <v>645</v>
      </c>
      <c r="D117" s="3" t="s">
        <v>10</v>
      </c>
      <c r="E117" s="3"/>
      <c r="F117" s="10"/>
      <c r="G117" s="10"/>
      <c r="H117" s="10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</row>
    <row r="118" spans="1:48" x14ac:dyDescent="0.25">
      <c r="A118" s="8">
        <f t="shared" si="1"/>
        <v>115</v>
      </c>
      <c r="B118" s="3" t="s">
        <v>646</v>
      </c>
      <c r="C118" s="3" t="s">
        <v>646</v>
      </c>
      <c r="D118" s="3" t="s">
        <v>2</v>
      </c>
      <c r="E118" s="3"/>
      <c r="F118" s="10"/>
      <c r="G118" s="10"/>
      <c r="H118" s="10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</row>
    <row r="119" spans="1:48" x14ac:dyDescent="0.25">
      <c r="A119" s="8">
        <f t="shared" si="1"/>
        <v>116</v>
      </c>
      <c r="B119" s="3" t="s">
        <v>647</v>
      </c>
      <c r="C119" s="3" t="s">
        <v>648</v>
      </c>
      <c r="D119" s="3" t="s">
        <v>13</v>
      </c>
      <c r="E119" s="3"/>
      <c r="F119" s="10"/>
      <c r="G119" s="10"/>
      <c r="H119" s="10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</row>
    <row r="120" spans="1:48" x14ac:dyDescent="0.25">
      <c r="A120" s="8">
        <f t="shared" si="1"/>
        <v>117</v>
      </c>
      <c r="B120" s="3" t="s">
        <v>649</v>
      </c>
      <c r="C120" s="3" t="s">
        <v>650</v>
      </c>
      <c r="D120" s="3" t="s">
        <v>166</v>
      </c>
      <c r="E120" s="3"/>
      <c r="F120" s="10"/>
      <c r="G120" s="10"/>
      <c r="H120" s="10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</row>
    <row r="121" spans="1:48" x14ac:dyDescent="0.25">
      <c r="A121" s="8">
        <f t="shared" si="1"/>
        <v>118</v>
      </c>
      <c r="B121" s="3" t="s">
        <v>651</v>
      </c>
      <c r="C121" s="3" t="s">
        <v>652</v>
      </c>
      <c r="D121" s="3" t="s">
        <v>10</v>
      </c>
      <c r="E121" s="3"/>
      <c r="F121" s="10"/>
      <c r="G121" s="10"/>
      <c r="H121" s="10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</row>
    <row r="122" spans="1:48" x14ac:dyDescent="0.25">
      <c r="A122" s="8">
        <f t="shared" si="1"/>
        <v>119</v>
      </c>
      <c r="B122" s="3" t="s">
        <v>653</v>
      </c>
      <c r="C122" s="3" t="s">
        <v>654</v>
      </c>
      <c r="D122" s="3" t="s">
        <v>47</v>
      </c>
      <c r="E122" s="3"/>
      <c r="F122" s="10"/>
      <c r="G122" s="10"/>
      <c r="H122" s="10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</row>
    <row r="123" spans="1:48" x14ac:dyDescent="0.25">
      <c r="A123" s="8">
        <f t="shared" si="1"/>
        <v>120</v>
      </c>
      <c r="B123" s="3" t="s">
        <v>655</v>
      </c>
      <c r="C123" s="3" t="s">
        <v>656</v>
      </c>
      <c r="D123" s="3" t="s">
        <v>89</v>
      </c>
      <c r="E123" s="3"/>
      <c r="F123" s="10"/>
      <c r="G123" s="10"/>
      <c r="H123" s="10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</row>
    <row r="124" spans="1:48" x14ac:dyDescent="0.25">
      <c r="A124" s="8">
        <f t="shared" si="1"/>
        <v>121</v>
      </c>
      <c r="B124" s="3" t="s">
        <v>657</v>
      </c>
      <c r="C124" s="3" t="s">
        <v>658</v>
      </c>
      <c r="D124" s="3" t="s">
        <v>980</v>
      </c>
      <c r="E124" s="3"/>
      <c r="F124" s="10"/>
      <c r="G124" s="10"/>
      <c r="H124" s="10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</row>
    <row r="125" spans="1:48" x14ac:dyDescent="0.25">
      <c r="A125" s="8">
        <f t="shared" si="1"/>
        <v>122</v>
      </c>
      <c r="B125" s="3" t="s">
        <v>659</v>
      </c>
      <c r="C125" s="3" t="s">
        <v>660</v>
      </c>
      <c r="D125" s="3" t="s">
        <v>983</v>
      </c>
      <c r="E125" s="3"/>
      <c r="F125" s="10"/>
      <c r="G125" s="10"/>
      <c r="H125" s="10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</row>
    <row r="126" spans="1:48" x14ac:dyDescent="0.25">
      <c r="A126" s="8">
        <f t="shared" si="1"/>
        <v>123</v>
      </c>
      <c r="B126" s="3" t="s">
        <v>661</v>
      </c>
      <c r="C126" s="3" t="s">
        <v>662</v>
      </c>
      <c r="D126" s="3" t="s">
        <v>985</v>
      </c>
      <c r="E126" s="3"/>
      <c r="F126" s="10"/>
      <c r="G126" s="10"/>
      <c r="H126" s="10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</row>
    <row r="127" spans="1:48" x14ac:dyDescent="0.25">
      <c r="A127" s="8">
        <f t="shared" si="1"/>
        <v>124</v>
      </c>
      <c r="B127" s="3" t="s">
        <v>663</v>
      </c>
      <c r="C127" s="3" t="s">
        <v>664</v>
      </c>
      <c r="D127" s="3" t="s">
        <v>10</v>
      </c>
      <c r="E127" s="3"/>
      <c r="F127" s="10"/>
      <c r="G127" s="10"/>
      <c r="H127" s="10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</row>
    <row r="128" spans="1:48" x14ac:dyDescent="0.25">
      <c r="A128" s="8">
        <f t="shared" si="1"/>
        <v>125</v>
      </c>
      <c r="B128" s="3" t="s">
        <v>665</v>
      </c>
      <c r="C128" s="3" t="s">
        <v>666</v>
      </c>
      <c r="D128" s="3" t="s">
        <v>984</v>
      </c>
      <c r="E128" s="3"/>
      <c r="F128" s="10"/>
      <c r="G128" s="10"/>
      <c r="H128" s="10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</row>
    <row r="129" spans="1:48" x14ac:dyDescent="0.25">
      <c r="A129" s="8">
        <f t="shared" si="1"/>
        <v>126</v>
      </c>
      <c r="B129" s="3" t="s">
        <v>667</v>
      </c>
      <c r="C129" s="3" t="s">
        <v>668</v>
      </c>
      <c r="D129" s="3" t="s">
        <v>2</v>
      </c>
      <c r="E129" s="3"/>
      <c r="F129" s="10"/>
      <c r="G129" s="10"/>
      <c r="H129" s="10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</row>
    <row r="130" spans="1:48" x14ac:dyDescent="0.25">
      <c r="A130" s="8">
        <f t="shared" si="1"/>
        <v>127</v>
      </c>
      <c r="B130" s="3" t="s">
        <v>669</v>
      </c>
      <c r="C130" s="3" t="s">
        <v>670</v>
      </c>
      <c r="D130" s="3" t="s">
        <v>975</v>
      </c>
      <c r="E130" s="3"/>
      <c r="F130" s="10"/>
      <c r="G130" s="10"/>
      <c r="H130" s="10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</row>
    <row r="131" spans="1:48" x14ac:dyDescent="0.25">
      <c r="A131" s="8">
        <f t="shared" si="1"/>
        <v>128</v>
      </c>
      <c r="B131" s="3" t="s">
        <v>671</v>
      </c>
      <c r="C131" s="3" t="s">
        <v>672</v>
      </c>
      <c r="D131" s="3" t="s">
        <v>367</v>
      </c>
      <c r="E131" s="3"/>
      <c r="F131" s="10"/>
      <c r="G131" s="10"/>
      <c r="H131" s="10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</row>
    <row r="132" spans="1:48" x14ac:dyDescent="0.25">
      <c r="A132" s="8">
        <f t="shared" si="1"/>
        <v>129</v>
      </c>
      <c r="B132" s="3" t="s">
        <v>673</v>
      </c>
      <c r="C132" s="3" t="s">
        <v>674</v>
      </c>
      <c r="D132" s="3" t="s">
        <v>47</v>
      </c>
      <c r="E132" s="3"/>
      <c r="F132" s="10"/>
      <c r="G132" s="10"/>
      <c r="H132" s="10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</row>
    <row r="133" spans="1:48" x14ac:dyDescent="0.25">
      <c r="A133" s="8">
        <f t="shared" si="1"/>
        <v>130</v>
      </c>
      <c r="B133" s="3" t="s">
        <v>675</v>
      </c>
      <c r="C133" s="3" t="s">
        <v>676</v>
      </c>
      <c r="D133" s="3" t="s">
        <v>2</v>
      </c>
      <c r="E133" s="3"/>
      <c r="F133" s="10"/>
      <c r="G133" s="10"/>
      <c r="H133" s="10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</row>
    <row r="134" spans="1:48" x14ac:dyDescent="0.25">
      <c r="A134" s="8">
        <f t="shared" ref="A134:A197" si="2">+A133+1</f>
        <v>131</v>
      </c>
      <c r="B134" s="3" t="s">
        <v>677</v>
      </c>
      <c r="C134" s="3" t="s">
        <v>678</v>
      </c>
      <c r="D134" s="3" t="s">
        <v>986</v>
      </c>
      <c r="E134" s="3"/>
      <c r="F134" s="10"/>
      <c r="G134" s="10"/>
      <c r="H134" s="10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</row>
    <row r="135" spans="1:48" x14ac:dyDescent="0.25">
      <c r="A135" s="8">
        <f t="shared" si="2"/>
        <v>132</v>
      </c>
      <c r="B135" s="3" t="s">
        <v>679</v>
      </c>
      <c r="C135" s="3" t="s">
        <v>680</v>
      </c>
      <c r="D135" s="3" t="s">
        <v>983</v>
      </c>
      <c r="E135" s="3"/>
      <c r="F135" s="10"/>
      <c r="G135" s="10"/>
      <c r="H135" s="10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</row>
    <row r="136" spans="1:48" x14ac:dyDescent="0.25">
      <c r="A136" s="8">
        <f t="shared" si="2"/>
        <v>133</v>
      </c>
      <c r="B136" s="3" t="s">
        <v>681</v>
      </c>
      <c r="C136" s="3" t="s">
        <v>682</v>
      </c>
      <c r="D136" s="3" t="s">
        <v>2</v>
      </c>
      <c r="E136" s="3"/>
      <c r="F136" s="10"/>
      <c r="G136" s="10"/>
      <c r="H136" s="10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</row>
    <row r="137" spans="1:48" x14ac:dyDescent="0.25">
      <c r="A137" s="8">
        <f t="shared" si="2"/>
        <v>134</v>
      </c>
      <c r="B137" s="3" t="s">
        <v>683</v>
      </c>
      <c r="C137" s="3" t="s">
        <v>684</v>
      </c>
      <c r="D137" s="3" t="s">
        <v>313</v>
      </c>
      <c r="E137" s="3"/>
      <c r="F137" s="10"/>
      <c r="G137" s="10"/>
      <c r="H137" s="10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</row>
    <row r="138" spans="1:48" x14ac:dyDescent="0.25">
      <c r="A138" s="8">
        <f t="shared" si="2"/>
        <v>135</v>
      </c>
      <c r="B138" s="3" t="s">
        <v>685</v>
      </c>
      <c r="C138" s="3" t="s">
        <v>686</v>
      </c>
      <c r="D138" s="3" t="s">
        <v>987</v>
      </c>
      <c r="E138" s="3"/>
      <c r="F138" s="10"/>
      <c r="G138" s="10"/>
      <c r="H138" s="10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</row>
    <row r="139" spans="1:48" x14ac:dyDescent="0.25">
      <c r="A139" s="8">
        <f t="shared" si="2"/>
        <v>136</v>
      </c>
      <c r="B139" s="3" t="s">
        <v>687</v>
      </c>
      <c r="C139" s="3" t="s">
        <v>688</v>
      </c>
      <c r="D139" s="3" t="s">
        <v>988</v>
      </c>
      <c r="E139" s="3"/>
      <c r="F139" s="10"/>
      <c r="G139" s="10"/>
      <c r="H139" s="10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</row>
    <row r="140" spans="1:48" x14ac:dyDescent="0.25">
      <c r="A140" s="8">
        <f t="shared" si="2"/>
        <v>137</v>
      </c>
      <c r="B140" s="3" t="s">
        <v>689</v>
      </c>
      <c r="C140" s="3" t="s">
        <v>690</v>
      </c>
      <c r="D140" s="3" t="s">
        <v>989</v>
      </c>
      <c r="E140" s="3"/>
      <c r="F140" s="10"/>
      <c r="G140" s="10"/>
      <c r="H140" s="10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</row>
    <row r="141" spans="1:48" x14ac:dyDescent="0.25">
      <c r="A141" s="8">
        <f t="shared" si="2"/>
        <v>138</v>
      </c>
      <c r="B141" s="3" t="s">
        <v>691</v>
      </c>
      <c r="C141" s="3" t="s">
        <v>692</v>
      </c>
      <c r="D141" s="3" t="s">
        <v>2</v>
      </c>
      <c r="E141" s="3"/>
      <c r="F141" s="10"/>
      <c r="G141" s="10"/>
      <c r="H141" s="10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</row>
    <row r="142" spans="1:48" x14ac:dyDescent="0.25">
      <c r="A142" s="8">
        <f t="shared" si="2"/>
        <v>139</v>
      </c>
      <c r="B142" s="3" t="s">
        <v>693</v>
      </c>
      <c r="C142" s="3" t="s">
        <v>694</v>
      </c>
      <c r="D142" s="3" t="s">
        <v>193</v>
      </c>
      <c r="E142" s="3"/>
      <c r="F142" s="10"/>
      <c r="G142" s="10"/>
      <c r="H142" s="10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</row>
    <row r="143" spans="1:48" x14ac:dyDescent="0.25">
      <c r="A143" s="8">
        <f t="shared" si="2"/>
        <v>140</v>
      </c>
      <c r="B143" s="3" t="s">
        <v>695</v>
      </c>
      <c r="C143" s="3" t="s">
        <v>696</v>
      </c>
      <c r="D143" s="3" t="s">
        <v>2</v>
      </c>
      <c r="E143" s="3"/>
      <c r="F143" s="10"/>
      <c r="G143" s="10"/>
      <c r="H143" s="10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</row>
    <row r="144" spans="1:48" x14ac:dyDescent="0.25">
      <c r="A144" s="8">
        <f t="shared" si="2"/>
        <v>141</v>
      </c>
      <c r="B144" s="3" t="s">
        <v>697</v>
      </c>
      <c r="C144" s="3" t="s">
        <v>698</v>
      </c>
      <c r="D144" s="3" t="s">
        <v>73</v>
      </c>
      <c r="E144" s="3"/>
      <c r="F144" s="10"/>
      <c r="G144" s="10"/>
      <c r="H144" s="10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</row>
    <row r="145" spans="1:48" x14ac:dyDescent="0.25">
      <c r="A145" s="8">
        <f t="shared" si="2"/>
        <v>142</v>
      </c>
      <c r="B145" s="3" t="s">
        <v>699</v>
      </c>
      <c r="C145" s="3" t="s">
        <v>700</v>
      </c>
      <c r="D145" s="3" t="s">
        <v>2</v>
      </c>
      <c r="E145" s="3"/>
      <c r="F145" s="10"/>
      <c r="G145" s="10"/>
      <c r="H145" s="10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</row>
    <row r="146" spans="1:48" x14ac:dyDescent="0.25">
      <c r="A146" s="8">
        <f t="shared" si="2"/>
        <v>143</v>
      </c>
      <c r="B146" s="3" t="s">
        <v>701</v>
      </c>
      <c r="C146" s="3" t="s">
        <v>702</v>
      </c>
      <c r="D146" s="3" t="s">
        <v>2</v>
      </c>
      <c r="E146" s="3"/>
      <c r="F146" s="10"/>
      <c r="G146" s="10"/>
      <c r="H146" s="10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</row>
    <row r="147" spans="1:48" x14ac:dyDescent="0.25">
      <c r="A147" s="8">
        <f t="shared" si="2"/>
        <v>144</v>
      </c>
      <c r="B147" s="3" t="s">
        <v>703</v>
      </c>
      <c r="C147" s="3" t="s">
        <v>704</v>
      </c>
      <c r="D147" s="3" t="s">
        <v>367</v>
      </c>
      <c r="E147" s="3"/>
      <c r="F147" s="10"/>
      <c r="G147" s="10"/>
      <c r="H147" s="10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</row>
    <row r="148" spans="1:48" x14ac:dyDescent="0.25">
      <c r="A148" s="8">
        <f t="shared" si="2"/>
        <v>145</v>
      </c>
      <c r="B148" s="3" t="s">
        <v>705</v>
      </c>
      <c r="C148" s="3" t="s">
        <v>706</v>
      </c>
      <c r="D148" s="3" t="s">
        <v>61</v>
      </c>
      <c r="E148" s="3"/>
      <c r="F148" s="10"/>
      <c r="G148" s="10"/>
      <c r="H148" s="10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</row>
    <row r="149" spans="1:48" x14ac:dyDescent="0.25">
      <c r="A149" s="8">
        <f t="shared" si="2"/>
        <v>146</v>
      </c>
      <c r="B149" s="3" t="s">
        <v>707</v>
      </c>
      <c r="C149" s="3" t="s">
        <v>708</v>
      </c>
      <c r="D149" s="3" t="s">
        <v>983</v>
      </c>
      <c r="E149" s="3"/>
      <c r="F149" s="10"/>
      <c r="G149" s="10"/>
      <c r="H149" s="10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</row>
    <row r="150" spans="1:48" x14ac:dyDescent="0.25">
      <c r="A150" s="8">
        <f t="shared" si="2"/>
        <v>147</v>
      </c>
      <c r="B150" s="3" t="s">
        <v>709</v>
      </c>
      <c r="C150" s="3" t="s">
        <v>710</v>
      </c>
      <c r="D150" s="3" t="s">
        <v>367</v>
      </c>
      <c r="E150" s="3"/>
      <c r="F150" s="10"/>
      <c r="G150" s="10"/>
      <c r="H150" s="10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</row>
    <row r="151" spans="1:48" x14ac:dyDescent="0.25">
      <c r="A151" s="8">
        <f t="shared" si="2"/>
        <v>148</v>
      </c>
      <c r="B151" s="3" t="s">
        <v>711</v>
      </c>
      <c r="C151" s="3" t="s">
        <v>712</v>
      </c>
      <c r="D151" s="3" t="s">
        <v>2</v>
      </c>
      <c r="E151" s="3"/>
      <c r="F151" s="10"/>
      <c r="G151" s="10"/>
      <c r="H151" s="10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</row>
    <row r="152" spans="1:48" x14ac:dyDescent="0.25">
      <c r="A152" s="8">
        <f t="shared" si="2"/>
        <v>149</v>
      </c>
      <c r="B152" s="3" t="s">
        <v>713</v>
      </c>
      <c r="C152" s="3" t="s">
        <v>714</v>
      </c>
      <c r="D152" s="3" t="s">
        <v>193</v>
      </c>
      <c r="E152" s="3"/>
      <c r="F152" s="10"/>
      <c r="G152" s="10"/>
      <c r="H152" s="10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</row>
    <row r="153" spans="1:48" x14ac:dyDescent="0.25">
      <c r="A153" s="8">
        <f t="shared" si="2"/>
        <v>150</v>
      </c>
      <c r="B153" s="3" t="s">
        <v>715</v>
      </c>
      <c r="C153" s="3" t="s">
        <v>716</v>
      </c>
      <c r="D153" s="3" t="s">
        <v>988</v>
      </c>
      <c r="E153" s="3"/>
      <c r="F153" s="10"/>
      <c r="G153" s="10"/>
      <c r="H153" s="10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</row>
    <row r="154" spans="1:48" x14ac:dyDescent="0.25">
      <c r="A154" s="8">
        <f t="shared" si="2"/>
        <v>151</v>
      </c>
      <c r="B154" s="3" t="s">
        <v>717</v>
      </c>
      <c r="C154" s="3" t="s">
        <v>718</v>
      </c>
      <c r="D154" s="3" t="s">
        <v>56</v>
      </c>
      <c r="E154" s="3"/>
      <c r="F154" s="10"/>
      <c r="G154" s="10"/>
      <c r="H154" s="10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</row>
    <row r="155" spans="1:48" x14ac:dyDescent="0.25">
      <c r="A155" s="8">
        <f t="shared" si="2"/>
        <v>152</v>
      </c>
      <c r="B155" s="3" t="s">
        <v>719</v>
      </c>
      <c r="C155" s="3" t="s">
        <v>720</v>
      </c>
      <c r="D155" s="3" t="s">
        <v>61</v>
      </c>
      <c r="E155" s="3"/>
      <c r="F155" s="10"/>
      <c r="G155" s="10"/>
      <c r="H155" s="10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</row>
    <row r="156" spans="1:48" x14ac:dyDescent="0.25">
      <c r="A156" s="8">
        <f t="shared" si="2"/>
        <v>153</v>
      </c>
      <c r="B156" s="3" t="s">
        <v>721</v>
      </c>
      <c r="C156" s="3" t="s">
        <v>722</v>
      </c>
      <c r="D156" s="3" t="s">
        <v>975</v>
      </c>
      <c r="E156" s="3"/>
      <c r="F156" s="10"/>
      <c r="G156" s="10"/>
      <c r="H156" s="10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</row>
    <row r="157" spans="1:48" x14ac:dyDescent="0.25">
      <c r="A157" s="8">
        <f t="shared" si="2"/>
        <v>154</v>
      </c>
      <c r="B157" s="3" t="s">
        <v>723</v>
      </c>
      <c r="C157" s="3" t="s">
        <v>724</v>
      </c>
      <c r="D157" s="3" t="s">
        <v>193</v>
      </c>
      <c r="E157" s="3"/>
      <c r="F157" s="10"/>
      <c r="G157" s="10"/>
      <c r="H157" s="10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</row>
    <row r="158" spans="1:48" x14ac:dyDescent="0.25">
      <c r="A158" s="8">
        <f t="shared" si="2"/>
        <v>155</v>
      </c>
      <c r="B158" s="3" t="s">
        <v>725</v>
      </c>
      <c r="C158" s="3" t="s">
        <v>726</v>
      </c>
      <c r="D158" s="3" t="s">
        <v>313</v>
      </c>
      <c r="E158" s="3"/>
      <c r="F158" s="10"/>
      <c r="G158" s="10"/>
      <c r="H158" s="10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</row>
    <row r="159" spans="1:48" x14ac:dyDescent="0.25">
      <c r="A159" s="8">
        <f t="shared" si="2"/>
        <v>156</v>
      </c>
      <c r="B159" s="3" t="s">
        <v>727</v>
      </c>
      <c r="C159" s="3" t="s">
        <v>728</v>
      </c>
      <c r="D159" s="3" t="s">
        <v>983</v>
      </c>
      <c r="E159" s="3"/>
      <c r="F159" s="10"/>
      <c r="G159" s="10"/>
      <c r="H159" s="10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</row>
    <row r="160" spans="1:48" x14ac:dyDescent="0.25">
      <c r="A160" s="8">
        <f t="shared" si="2"/>
        <v>157</v>
      </c>
      <c r="B160" s="3" t="s">
        <v>729</v>
      </c>
      <c r="C160" s="3" t="s">
        <v>730</v>
      </c>
      <c r="D160" s="3" t="s">
        <v>193</v>
      </c>
      <c r="E160" s="3"/>
      <c r="F160" s="10"/>
      <c r="G160" s="10"/>
      <c r="H160" s="10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</row>
    <row r="161" spans="1:48" x14ac:dyDescent="0.25">
      <c r="A161" s="8">
        <f t="shared" si="2"/>
        <v>158</v>
      </c>
      <c r="B161" s="3" t="s">
        <v>731</v>
      </c>
      <c r="C161" s="3" t="s">
        <v>732</v>
      </c>
      <c r="D161" s="3" t="s">
        <v>10</v>
      </c>
      <c r="E161" s="3"/>
      <c r="F161" s="10"/>
      <c r="G161" s="10"/>
      <c r="H161" s="10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</row>
    <row r="162" spans="1:48" x14ac:dyDescent="0.25">
      <c r="A162" s="8">
        <f t="shared" si="2"/>
        <v>159</v>
      </c>
      <c r="B162" s="3" t="s">
        <v>733</v>
      </c>
      <c r="C162" s="3" t="s">
        <v>734</v>
      </c>
      <c r="D162" s="3" t="s">
        <v>981</v>
      </c>
      <c r="E162" s="3"/>
      <c r="F162" s="10"/>
      <c r="G162" s="10"/>
      <c r="H162" s="10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</row>
    <row r="163" spans="1:48" x14ac:dyDescent="0.25">
      <c r="A163" s="8">
        <f t="shared" si="2"/>
        <v>160</v>
      </c>
      <c r="B163" s="3" t="s">
        <v>735</v>
      </c>
      <c r="C163" s="3" t="s">
        <v>736</v>
      </c>
      <c r="D163" s="3" t="s">
        <v>988</v>
      </c>
      <c r="E163" s="3"/>
      <c r="F163" s="10"/>
      <c r="G163" s="10"/>
      <c r="H163" s="10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</row>
    <row r="164" spans="1:48" x14ac:dyDescent="0.25">
      <c r="A164" s="8">
        <f t="shared" si="2"/>
        <v>161</v>
      </c>
      <c r="B164" s="3" t="s">
        <v>737</v>
      </c>
      <c r="C164" s="3" t="s">
        <v>738</v>
      </c>
      <c r="D164" s="3" t="s">
        <v>13</v>
      </c>
      <c r="E164" s="3"/>
      <c r="F164" s="10"/>
      <c r="G164" s="10"/>
      <c r="H164" s="10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</row>
    <row r="165" spans="1:48" x14ac:dyDescent="0.25">
      <c r="A165" s="8">
        <f t="shared" si="2"/>
        <v>162</v>
      </c>
      <c r="B165" s="3" t="s">
        <v>739</v>
      </c>
      <c r="C165" s="3" t="s">
        <v>740</v>
      </c>
      <c r="D165" s="3" t="s">
        <v>975</v>
      </c>
      <c r="E165" s="3"/>
      <c r="F165" s="10"/>
      <c r="G165" s="10"/>
      <c r="H165" s="10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</row>
    <row r="166" spans="1:48" x14ac:dyDescent="0.25">
      <c r="A166" s="8">
        <f t="shared" si="2"/>
        <v>163</v>
      </c>
      <c r="B166" s="3" t="s">
        <v>741</v>
      </c>
      <c r="C166" s="3" t="s">
        <v>742</v>
      </c>
      <c r="D166" s="3" t="s">
        <v>2</v>
      </c>
      <c r="E166" s="3"/>
      <c r="F166" s="10"/>
      <c r="G166" s="10"/>
      <c r="H166" s="10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</row>
    <row r="167" spans="1:48" x14ac:dyDescent="0.25">
      <c r="A167" s="8">
        <f t="shared" si="2"/>
        <v>164</v>
      </c>
      <c r="B167" s="3" t="s">
        <v>743</v>
      </c>
      <c r="C167" s="3" t="s">
        <v>744</v>
      </c>
      <c r="D167" s="3" t="s">
        <v>981</v>
      </c>
      <c r="E167" s="3"/>
      <c r="F167" s="10"/>
      <c r="G167" s="10"/>
      <c r="H167" s="10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</row>
    <row r="168" spans="1:48" x14ac:dyDescent="0.25">
      <c r="A168" s="8">
        <f t="shared" si="2"/>
        <v>165</v>
      </c>
      <c r="B168" s="3" t="s">
        <v>745</v>
      </c>
      <c r="C168" s="3" t="s">
        <v>746</v>
      </c>
      <c r="D168" s="3" t="s">
        <v>73</v>
      </c>
      <c r="E168" s="3"/>
      <c r="F168" s="10"/>
      <c r="G168" s="10"/>
      <c r="H168" s="10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</row>
    <row r="169" spans="1:48" x14ac:dyDescent="0.25">
      <c r="A169" s="8">
        <f t="shared" si="2"/>
        <v>166</v>
      </c>
      <c r="B169" s="3" t="s">
        <v>747</v>
      </c>
      <c r="C169" s="3" t="s">
        <v>748</v>
      </c>
      <c r="D169" s="3" t="s">
        <v>367</v>
      </c>
      <c r="E169" s="3"/>
      <c r="F169" s="10"/>
      <c r="G169" s="10"/>
      <c r="H169" s="10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</row>
    <row r="170" spans="1:48" x14ac:dyDescent="0.25">
      <c r="A170" s="8">
        <f t="shared" si="2"/>
        <v>167</v>
      </c>
      <c r="B170" s="3" t="s">
        <v>749</v>
      </c>
      <c r="C170" s="3" t="s">
        <v>750</v>
      </c>
      <c r="D170" s="3" t="s">
        <v>990</v>
      </c>
      <c r="E170" s="3"/>
      <c r="F170" s="10"/>
      <c r="G170" s="10"/>
      <c r="H170" s="10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</row>
    <row r="171" spans="1:48" x14ac:dyDescent="0.25">
      <c r="A171" s="8">
        <f t="shared" si="2"/>
        <v>168</v>
      </c>
      <c r="B171" s="3" t="s">
        <v>751</v>
      </c>
      <c r="C171" s="3" t="s">
        <v>752</v>
      </c>
      <c r="D171" s="3" t="s">
        <v>983</v>
      </c>
      <c r="E171" s="3"/>
      <c r="F171" s="10"/>
      <c r="G171" s="10"/>
      <c r="H171" s="10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</row>
    <row r="172" spans="1:48" x14ac:dyDescent="0.25">
      <c r="A172" s="8">
        <f t="shared" si="2"/>
        <v>169</v>
      </c>
      <c r="B172" s="3" t="s">
        <v>753</v>
      </c>
      <c r="C172" s="3" t="s">
        <v>754</v>
      </c>
      <c r="D172" s="3" t="s">
        <v>47</v>
      </c>
      <c r="E172" s="3"/>
      <c r="F172" s="10"/>
      <c r="G172" s="10"/>
      <c r="H172" s="10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</row>
    <row r="173" spans="1:48" x14ac:dyDescent="0.25">
      <c r="A173" s="8">
        <f t="shared" si="2"/>
        <v>170</v>
      </c>
      <c r="B173" s="3" t="s">
        <v>755</v>
      </c>
      <c r="C173" s="3" t="s">
        <v>756</v>
      </c>
      <c r="D173" s="3" t="s">
        <v>89</v>
      </c>
      <c r="E173" s="3"/>
      <c r="F173" s="10"/>
      <c r="G173" s="10"/>
      <c r="H173" s="10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</row>
    <row r="174" spans="1:48" x14ac:dyDescent="0.25">
      <c r="A174" s="8">
        <f t="shared" si="2"/>
        <v>171</v>
      </c>
      <c r="B174" s="3" t="s">
        <v>757</v>
      </c>
      <c r="C174" s="3" t="s">
        <v>758</v>
      </c>
      <c r="D174" s="3" t="s">
        <v>10</v>
      </c>
      <c r="E174" s="3"/>
      <c r="F174" s="10"/>
      <c r="G174" s="10"/>
      <c r="H174" s="10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</row>
    <row r="175" spans="1:48" x14ac:dyDescent="0.25">
      <c r="A175" s="8">
        <f t="shared" si="2"/>
        <v>172</v>
      </c>
      <c r="B175" s="3" t="s">
        <v>759</v>
      </c>
      <c r="C175" s="3" t="s">
        <v>760</v>
      </c>
      <c r="D175" s="3" t="s">
        <v>990</v>
      </c>
      <c r="E175" s="3"/>
      <c r="F175" s="10"/>
      <c r="G175" s="10"/>
      <c r="H175" s="10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</row>
    <row r="176" spans="1:48" x14ac:dyDescent="0.25">
      <c r="A176" s="8">
        <f t="shared" si="2"/>
        <v>173</v>
      </c>
      <c r="B176" s="3" t="s">
        <v>761</v>
      </c>
      <c r="C176" s="3" t="s">
        <v>762</v>
      </c>
      <c r="D176" s="3" t="s">
        <v>13</v>
      </c>
      <c r="E176" s="3"/>
      <c r="F176" s="10"/>
      <c r="G176" s="10"/>
      <c r="H176" s="10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</row>
    <row r="177" spans="1:48" x14ac:dyDescent="0.25">
      <c r="A177" s="8">
        <f t="shared" si="2"/>
        <v>174</v>
      </c>
      <c r="B177" s="3" t="s">
        <v>763</v>
      </c>
      <c r="C177" s="3" t="s">
        <v>764</v>
      </c>
      <c r="D177" s="3" t="s">
        <v>988</v>
      </c>
      <c r="E177" s="3"/>
      <c r="F177" s="10"/>
      <c r="G177" s="10"/>
      <c r="H177" s="10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</row>
    <row r="178" spans="1:48" x14ac:dyDescent="0.25">
      <c r="A178" s="8">
        <f t="shared" si="2"/>
        <v>175</v>
      </c>
      <c r="B178" s="3" t="s">
        <v>765</v>
      </c>
      <c r="C178" s="3" t="s">
        <v>766</v>
      </c>
      <c r="D178" s="3" t="s">
        <v>2</v>
      </c>
      <c r="E178" s="3"/>
      <c r="F178" s="10"/>
      <c r="G178" s="10"/>
      <c r="H178" s="10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</row>
    <row r="179" spans="1:48" x14ac:dyDescent="0.25">
      <c r="A179" s="8">
        <f t="shared" si="2"/>
        <v>176</v>
      </c>
      <c r="B179" s="3" t="s">
        <v>767</v>
      </c>
      <c r="C179" s="3" t="s">
        <v>768</v>
      </c>
      <c r="D179" s="3" t="s">
        <v>975</v>
      </c>
      <c r="E179" s="3"/>
      <c r="F179" s="10"/>
      <c r="G179" s="10"/>
      <c r="H179" s="10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</row>
    <row r="180" spans="1:48" x14ac:dyDescent="0.25">
      <c r="A180" s="8">
        <f t="shared" si="2"/>
        <v>177</v>
      </c>
      <c r="B180" s="3" t="s">
        <v>769</v>
      </c>
      <c r="C180" s="3" t="s">
        <v>770</v>
      </c>
      <c r="D180" s="3" t="s">
        <v>193</v>
      </c>
      <c r="E180" s="3"/>
      <c r="F180" s="10"/>
      <c r="G180" s="10"/>
      <c r="H180" s="10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</row>
    <row r="181" spans="1:48" x14ac:dyDescent="0.25">
      <c r="A181" s="8">
        <f t="shared" si="2"/>
        <v>178</v>
      </c>
      <c r="B181" s="3" t="s">
        <v>771</v>
      </c>
      <c r="C181" s="3" t="s">
        <v>772</v>
      </c>
      <c r="D181" s="3" t="s">
        <v>2</v>
      </c>
      <c r="E181" s="3"/>
      <c r="F181" s="10"/>
      <c r="G181" s="10"/>
      <c r="H181" s="10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</row>
    <row r="182" spans="1:48" x14ac:dyDescent="0.25">
      <c r="A182" s="8">
        <f t="shared" si="2"/>
        <v>179</v>
      </c>
      <c r="B182" s="3" t="s">
        <v>773</v>
      </c>
      <c r="C182" s="3" t="s">
        <v>774</v>
      </c>
      <c r="D182" s="3" t="s">
        <v>10</v>
      </c>
      <c r="E182" s="3"/>
      <c r="F182" s="10"/>
      <c r="G182" s="10"/>
      <c r="H182" s="10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</row>
    <row r="183" spans="1:48" x14ac:dyDescent="0.25">
      <c r="A183" s="8">
        <f t="shared" si="2"/>
        <v>180</v>
      </c>
      <c r="B183" s="3" t="s">
        <v>775</v>
      </c>
      <c r="C183" s="3" t="s">
        <v>776</v>
      </c>
      <c r="D183" s="3" t="s">
        <v>2</v>
      </c>
      <c r="E183" s="3"/>
      <c r="F183" s="10"/>
      <c r="G183" s="10"/>
      <c r="H183" s="10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</row>
    <row r="184" spans="1:48" x14ac:dyDescent="0.25">
      <c r="A184" s="8">
        <f t="shared" si="2"/>
        <v>181</v>
      </c>
      <c r="B184" s="3" t="s">
        <v>777</v>
      </c>
      <c r="C184" s="3" t="s">
        <v>778</v>
      </c>
      <c r="D184" s="3" t="s">
        <v>975</v>
      </c>
      <c r="E184" s="3"/>
      <c r="F184" s="10"/>
      <c r="G184" s="10"/>
      <c r="H184" s="10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</row>
    <row r="185" spans="1:48" x14ac:dyDescent="0.25">
      <c r="A185" s="8">
        <f t="shared" si="2"/>
        <v>182</v>
      </c>
      <c r="B185" s="3" t="s">
        <v>779</v>
      </c>
      <c r="C185" s="3" t="s">
        <v>780</v>
      </c>
      <c r="D185" s="3" t="s">
        <v>991</v>
      </c>
      <c r="E185" s="3"/>
      <c r="F185" s="10"/>
      <c r="G185" s="10"/>
      <c r="H185" s="10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</row>
    <row r="186" spans="1:48" x14ac:dyDescent="0.25">
      <c r="A186" s="8">
        <f t="shared" si="2"/>
        <v>183</v>
      </c>
      <c r="B186" s="3" t="s">
        <v>781</v>
      </c>
      <c r="C186" s="3" t="s">
        <v>782</v>
      </c>
      <c r="D186" s="3" t="s">
        <v>204</v>
      </c>
      <c r="E186" s="3"/>
      <c r="F186" s="10"/>
      <c r="G186" s="10"/>
      <c r="H186" s="10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</row>
    <row r="187" spans="1:48" x14ac:dyDescent="0.25">
      <c r="A187" s="8">
        <f t="shared" si="2"/>
        <v>184</v>
      </c>
      <c r="B187" s="3" t="s">
        <v>783</v>
      </c>
      <c r="C187" s="3" t="s">
        <v>784</v>
      </c>
      <c r="D187" s="3" t="s">
        <v>987</v>
      </c>
      <c r="E187" s="3"/>
      <c r="F187" s="10"/>
      <c r="G187" s="10"/>
      <c r="H187" s="10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</row>
    <row r="188" spans="1:48" x14ac:dyDescent="0.25">
      <c r="A188" s="8">
        <f t="shared" si="2"/>
        <v>185</v>
      </c>
      <c r="B188" s="3" t="s">
        <v>785</v>
      </c>
      <c r="C188" s="3" t="s">
        <v>786</v>
      </c>
      <c r="D188" s="3" t="s">
        <v>204</v>
      </c>
      <c r="E188" s="3"/>
      <c r="F188" s="10"/>
      <c r="G188" s="10"/>
      <c r="H188" s="10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</row>
    <row r="189" spans="1:48" x14ac:dyDescent="0.25">
      <c r="A189" s="8">
        <f t="shared" si="2"/>
        <v>186</v>
      </c>
      <c r="B189" s="3" t="s">
        <v>787</v>
      </c>
      <c r="C189" s="3" t="s">
        <v>788</v>
      </c>
      <c r="D189" s="3" t="s">
        <v>10</v>
      </c>
      <c r="E189" s="3"/>
      <c r="F189" s="10"/>
      <c r="G189" s="10"/>
      <c r="H189" s="10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</row>
    <row r="190" spans="1:48" x14ac:dyDescent="0.25">
      <c r="A190" s="8">
        <f t="shared" si="2"/>
        <v>187</v>
      </c>
      <c r="B190" s="3" t="s">
        <v>789</v>
      </c>
      <c r="C190" s="3" t="s">
        <v>790</v>
      </c>
      <c r="D190" s="3" t="s">
        <v>367</v>
      </c>
      <c r="E190" s="3"/>
      <c r="F190" s="10"/>
      <c r="G190" s="10"/>
      <c r="H190" s="10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</row>
    <row r="191" spans="1:48" x14ac:dyDescent="0.25">
      <c r="A191" s="8">
        <f t="shared" si="2"/>
        <v>188</v>
      </c>
      <c r="B191" s="3" t="s">
        <v>791</v>
      </c>
      <c r="C191" s="3" t="s">
        <v>792</v>
      </c>
      <c r="D191" s="3" t="s">
        <v>992</v>
      </c>
      <c r="E191" s="3"/>
      <c r="F191" s="10"/>
      <c r="G191" s="10"/>
      <c r="H191" s="10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</row>
    <row r="192" spans="1:48" x14ac:dyDescent="0.25">
      <c r="A192" s="8">
        <f t="shared" si="2"/>
        <v>189</v>
      </c>
      <c r="B192" s="3" t="s">
        <v>793</v>
      </c>
      <c r="C192" s="3" t="s">
        <v>794</v>
      </c>
      <c r="D192" s="3" t="s">
        <v>2</v>
      </c>
      <c r="E192" s="3"/>
      <c r="F192" s="10"/>
      <c r="G192" s="10"/>
      <c r="H192" s="10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</row>
    <row r="193" spans="1:48" x14ac:dyDescent="0.25">
      <c r="A193" s="8">
        <f t="shared" si="2"/>
        <v>190</v>
      </c>
      <c r="B193" s="3" t="s">
        <v>795</v>
      </c>
      <c r="C193" s="3" t="s">
        <v>796</v>
      </c>
      <c r="D193" s="3" t="s">
        <v>978</v>
      </c>
      <c r="E193" s="3"/>
      <c r="F193" s="10"/>
      <c r="G193" s="10"/>
      <c r="H193" s="10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</row>
    <row r="194" spans="1:48" x14ac:dyDescent="0.25">
      <c r="A194" s="8">
        <f t="shared" si="2"/>
        <v>191</v>
      </c>
      <c r="B194" s="3" t="s">
        <v>797</v>
      </c>
      <c r="C194" s="3" t="s">
        <v>798</v>
      </c>
      <c r="D194" s="3" t="s">
        <v>204</v>
      </c>
      <c r="E194" s="3"/>
      <c r="F194" s="10"/>
      <c r="G194" s="10"/>
      <c r="H194" s="10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</row>
    <row r="195" spans="1:48" x14ac:dyDescent="0.25">
      <c r="A195" s="8">
        <f t="shared" si="2"/>
        <v>192</v>
      </c>
      <c r="B195" s="3" t="s">
        <v>799</v>
      </c>
      <c r="C195" s="3" t="s">
        <v>800</v>
      </c>
      <c r="D195" s="3" t="s">
        <v>2</v>
      </c>
      <c r="E195" s="3"/>
      <c r="F195" s="10"/>
      <c r="G195" s="10"/>
      <c r="H195" s="10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</row>
    <row r="196" spans="1:48" x14ac:dyDescent="0.25">
      <c r="A196" s="8">
        <f t="shared" si="2"/>
        <v>193</v>
      </c>
      <c r="B196" s="3" t="s">
        <v>801</v>
      </c>
      <c r="C196" s="3" t="s">
        <v>802</v>
      </c>
      <c r="D196" s="3" t="s">
        <v>28</v>
      </c>
      <c r="E196" s="3"/>
      <c r="F196" s="10"/>
      <c r="G196" s="10"/>
      <c r="H196" s="10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</row>
    <row r="197" spans="1:48" x14ac:dyDescent="0.25">
      <c r="A197" s="8">
        <f t="shared" si="2"/>
        <v>194</v>
      </c>
      <c r="B197" s="3" t="s">
        <v>803</v>
      </c>
      <c r="C197" s="3" t="s">
        <v>804</v>
      </c>
      <c r="D197" s="3" t="s">
        <v>10</v>
      </c>
      <c r="E197" s="3"/>
      <c r="F197" s="10"/>
      <c r="G197" s="10"/>
      <c r="H197" s="10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</row>
    <row r="198" spans="1:48" x14ac:dyDescent="0.25">
      <c r="A198" s="8">
        <f t="shared" ref="A198:A261" si="3">+A197+1</f>
        <v>195</v>
      </c>
      <c r="B198" s="3" t="s">
        <v>805</v>
      </c>
      <c r="C198" s="3" t="s">
        <v>806</v>
      </c>
      <c r="D198" s="3" t="s">
        <v>367</v>
      </c>
      <c r="E198" s="3"/>
      <c r="F198" s="10"/>
      <c r="G198" s="10"/>
      <c r="H198" s="10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</row>
    <row r="199" spans="1:48" x14ac:dyDescent="0.25">
      <c r="A199" s="8">
        <f t="shared" si="3"/>
        <v>196</v>
      </c>
      <c r="B199" s="3" t="s">
        <v>807</v>
      </c>
      <c r="C199" s="3" t="s">
        <v>808</v>
      </c>
      <c r="D199" s="3" t="s">
        <v>10</v>
      </c>
      <c r="E199" s="3"/>
      <c r="F199" s="10"/>
      <c r="G199" s="10"/>
      <c r="H199" s="10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</row>
    <row r="200" spans="1:48" x14ac:dyDescent="0.25">
      <c r="A200" s="8">
        <f t="shared" si="3"/>
        <v>197</v>
      </c>
      <c r="B200" s="3" t="s">
        <v>809</v>
      </c>
      <c r="C200" s="3" t="s">
        <v>810</v>
      </c>
      <c r="D200" s="3" t="s">
        <v>988</v>
      </c>
      <c r="E200" s="3"/>
      <c r="F200" s="10"/>
      <c r="G200" s="10"/>
      <c r="H200" s="10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</row>
    <row r="201" spans="1:48" x14ac:dyDescent="0.25">
      <c r="A201" s="8">
        <f t="shared" si="3"/>
        <v>198</v>
      </c>
      <c r="B201" s="3" t="s">
        <v>811</v>
      </c>
      <c r="C201" s="3" t="s">
        <v>812</v>
      </c>
      <c r="D201" s="3" t="s">
        <v>993</v>
      </c>
      <c r="E201" s="3"/>
      <c r="F201" s="10"/>
      <c r="G201" s="10"/>
      <c r="H201" s="10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</row>
    <row r="202" spans="1:48" x14ac:dyDescent="0.25">
      <c r="A202" s="8">
        <f t="shared" si="3"/>
        <v>199</v>
      </c>
      <c r="B202" s="3" t="s">
        <v>813</v>
      </c>
      <c r="C202" s="3" t="s">
        <v>814</v>
      </c>
      <c r="D202" s="3" t="s">
        <v>73</v>
      </c>
      <c r="E202" s="3"/>
      <c r="F202" s="10"/>
      <c r="G202" s="10"/>
      <c r="H202" s="10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</row>
    <row r="203" spans="1:48" x14ac:dyDescent="0.25">
      <c r="A203" s="8">
        <f t="shared" si="3"/>
        <v>200</v>
      </c>
      <c r="B203" s="3" t="s">
        <v>815</v>
      </c>
      <c r="C203" s="3" t="s">
        <v>816</v>
      </c>
      <c r="D203" s="3" t="s">
        <v>980</v>
      </c>
      <c r="E203" s="3"/>
      <c r="F203" s="10"/>
      <c r="G203" s="10"/>
      <c r="H203" s="10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</row>
    <row r="204" spans="1:48" x14ac:dyDescent="0.25">
      <c r="A204" s="8">
        <f t="shared" si="3"/>
        <v>201</v>
      </c>
      <c r="B204" s="3" t="s">
        <v>817</v>
      </c>
      <c r="C204" s="3" t="s">
        <v>818</v>
      </c>
      <c r="D204" s="3" t="s">
        <v>2</v>
      </c>
      <c r="E204" s="3"/>
      <c r="F204" s="10"/>
      <c r="G204" s="10"/>
      <c r="H204" s="10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</row>
    <row r="205" spans="1:48" x14ac:dyDescent="0.25">
      <c r="A205" s="8">
        <f t="shared" si="3"/>
        <v>202</v>
      </c>
      <c r="B205" s="3" t="s">
        <v>819</v>
      </c>
      <c r="C205" s="3" t="s">
        <v>820</v>
      </c>
      <c r="D205" s="3" t="s">
        <v>994</v>
      </c>
      <c r="E205" s="3"/>
      <c r="F205" s="10"/>
      <c r="G205" s="10"/>
      <c r="H205" s="10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</row>
    <row r="206" spans="1:48" x14ac:dyDescent="0.25">
      <c r="A206" s="8">
        <f t="shared" si="3"/>
        <v>203</v>
      </c>
      <c r="B206" s="3" t="s">
        <v>821</v>
      </c>
      <c r="C206" s="3" t="s">
        <v>822</v>
      </c>
      <c r="D206" s="3" t="s">
        <v>2</v>
      </c>
      <c r="E206" s="3"/>
      <c r="F206" s="10"/>
      <c r="G206" s="10"/>
      <c r="H206" s="10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</row>
    <row r="207" spans="1:48" x14ac:dyDescent="0.25">
      <c r="A207" s="8">
        <f t="shared" si="3"/>
        <v>204</v>
      </c>
      <c r="B207" s="3" t="s">
        <v>823</v>
      </c>
      <c r="C207" s="3" t="s">
        <v>824</v>
      </c>
      <c r="D207" s="3" t="s">
        <v>2</v>
      </c>
      <c r="E207" s="3"/>
      <c r="F207" s="10"/>
      <c r="G207" s="10"/>
      <c r="H207" s="10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</row>
    <row r="208" spans="1:48" x14ac:dyDescent="0.25">
      <c r="A208" s="8">
        <f t="shared" si="3"/>
        <v>205</v>
      </c>
      <c r="B208" s="3" t="s">
        <v>825</v>
      </c>
      <c r="C208" s="3" t="s">
        <v>826</v>
      </c>
      <c r="D208" s="3" t="s">
        <v>975</v>
      </c>
      <c r="E208" s="3"/>
      <c r="F208" s="10"/>
      <c r="G208" s="10"/>
      <c r="H208" s="10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</row>
    <row r="209" spans="1:48" x14ac:dyDescent="0.25">
      <c r="A209" s="8">
        <f t="shared" si="3"/>
        <v>206</v>
      </c>
      <c r="B209" s="3" t="s">
        <v>827</v>
      </c>
      <c r="C209" s="3" t="s">
        <v>828</v>
      </c>
      <c r="D209" s="3" t="s">
        <v>983</v>
      </c>
      <c r="E209" s="3"/>
      <c r="F209" s="10"/>
      <c r="G209" s="10"/>
      <c r="H209" s="10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</row>
    <row r="210" spans="1:48" x14ac:dyDescent="0.25">
      <c r="A210" s="8">
        <f t="shared" si="3"/>
        <v>207</v>
      </c>
      <c r="B210" s="3" t="s">
        <v>829</v>
      </c>
      <c r="C210" s="3" t="s">
        <v>830</v>
      </c>
      <c r="D210" s="3" t="s">
        <v>979</v>
      </c>
      <c r="E210" s="3"/>
      <c r="F210" s="10"/>
      <c r="G210" s="10"/>
      <c r="H210" s="10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</row>
    <row r="211" spans="1:48" x14ac:dyDescent="0.25">
      <c r="A211" s="8">
        <f t="shared" si="3"/>
        <v>208</v>
      </c>
      <c r="B211" s="3" t="s">
        <v>831</v>
      </c>
      <c r="C211" s="3" t="s">
        <v>832</v>
      </c>
      <c r="D211" s="3" t="s">
        <v>367</v>
      </c>
      <c r="E211" s="3"/>
      <c r="F211" s="10"/>
      <c r="G211" s="10"/>
      <c r="H211" s="10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</row>
    <row r="212" spans="1:48" x14ac:dyDescent="0.25">
      <c r="A212" s="8">
        <f t="shared" si="3"/>
        <v>209</v>
      </c>
      <c r="B212" s="3" t="s">
        <v>833</v>
      </c>
      <c r="C212" s="3" t="s">
        <v>834</v>
      </c>
      <c r="D212" s="3" t="s">
        <v>47</v>
      </c>
      <c r="E212" s="3"/>
      <c r="F212" s="10"/>
      <c r="G212" s="10"/>
      <c r="H212" s="10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</row>
    <row r="213" spans="1:48" x14ac:dyDescent="0.25">
      <c r="A213" s="8">
        <f t="shared" si="3"/>
        <v>210</v>
      </c>
      <c r="B213" s="3" t="s">
        <v>835</v>
      </c>
      <c r="C213" s="3" t="s">
        <v>836</v>
      </c>
      <c r="D213" s="3" t="s">
        <v>193</v>
      </c>
      <c r="E213" s="3"/>
      <c r="F213" s="10"/>
      <c r="G213" s="10"/>
      <c r="H213" s="10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</row>
    <row r="214" spans="1:48" x14ac:dyDescent="0.25">
      <c r="A214" s="8">
        <f t="shared" si="3"/>
        <v>211</v>
      </c>
      <c r="B214" s="3" t="s">
        <v>837</v>
      </c>
      <c r="C214" s="3" t="s">
        <v>838</v>
      </c>
      <c r="D214" s="3" t="s">
        <v>995</v>
      </c>
      <c r="E214" s="3"/>
      <c r="F214" s="10"/>
      <c r="G214" s="10"/>
      <c r="H214" s="10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</row>
    <row r="215" spans="1:48" x14ac:dyDescent="0.25">
      <c r="A215" s="8">
        <f t="shared" si="3"/>
        <v>212</v>
      </c>
      <c r="B215" s="3" t="s">
        <v>839</v>
      </c>
      <c r="C215" s="3" t="s">
        <v>840</v>
      </c>
      <c r="D215" s="3" t="s">
        <v>10</v>
      </c>
      <c r="E215" s="3"/>
      <c r="F215" s="10"/>
      <c r="G215" s="10"/>
      <c r="H215" s="10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</row>
    <row r="216" spans="1:48" x14ac:dyDescent="0.25">
      <c r="A216" s="8">
        <f t="shared" si="3"/>
        <v>213</v>
      </c>
      <c r="B216" s="3" t="s">
        <v>841</v>
      </c>
      <c r="C216" s="3" t="s">
        <v>842</v>
      </c>
      <c r="D216" s="3" t="s">
        <v>975</v>
      </c>
      <c r="E216" s="3"/>
      <c r="F216" s="10"/>
      <c r="G216" s="10"/>
      <c r="H216" s="10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</row>
    <row r="217" spans="1:48" x14ac:dyDescent="0.25">
      <c r="A217" s="8">
        <f t="shared" si="3"/>
        <v>214</v>
      </c>
      <c r="B217" s="3" t="s">
        <v>843</v>
      </c>
      <c r="C217" s="3" t="s">
        <v>844</v>
      </c>
      <c r="D217" s="3" t="s">
        <v>977</v>
      </c>
      <c r="E217" s="3"/>
      <c r="F217" s="10"/>
      <c r="G217" s="10"/>
      <c r="H217" s="10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</row>
    <row r="218" spans="1:48" x14ac:dyDescent="0.25">
      <c r="A218" s="8">
        <f t="shared" si="3"/>
        <v>215</v>
      </c>
      <c r="B218" s="3" t="s">
        <v>845</v>
      </c>
      <c r="C218" s="3" t="s">
        <v>846</v>
      </c>
      <c r="D218" s="3" t="s">
        <v>2</v>
      </c>
      <c r="E218" s="3"/>
      <c r="F218" s="10"/>
      <c r="G218" s="10"/>
      <c r="H218" s="10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</row>
    <row r="219" spans="1:48" x14ac:dyDescent="0.25">
      <c r="A219" s="8">
        <f t="shared" si="3"/>
        <v>216</v>
      </c>
      <c r="B219" s="3" t="s">
        <v>847</v>
      </c>
      <c r="C219" s="3" t="s">
        <v>848</v>
      </c>
      <c r="D219" s="3" t="s">
        <v>28</v>
      </c>
      <c r="E219" s="3"/>
      <c r="F219" s="10"/>
      <c r="G219" s="10"/>
      <c r="H219" s="10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</row>
    <row r="220" spans="1:48" x14ac:dyDescent="0.25">
      <c r="A220" s="8">
        <f t="shared" si="3"/>
        <v>217</v>
      </c>
      <c r="B220" s="3" t="s">
        <v>849</v>
      </c>
      <c r="C220" s="3" t="s">
        <v>850</v>
      </c>
      <c r="D220" s="3" t="s">
        <v>61</v>
      </c>
      <c r="E220" s="3"/>
      <c r="F220" s="10"/>
      <c r="G220" s="10"/>
      <c r="H220" s="10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</row>
    <row r="221" spans="1:48" x14ac:dyDescent="0.25">
      <c r="A221" s="8">
        <f t="shared" si="3"/>
        <v>218</v>
      </c>
      <c r="B221" s="3" t="s">
        <v>851</v>
      </c>
      <c r="C221" s="3" t="s">
        <v>852</v>
      </c>
      <c r="D221" s="3" t="s">
        <v>47</v>
      </c>
      <c r="E221" s="3"/>
      <c r="F221" s="10"/>
      <c r="G221" s="10"/>
      <c r="H221" s="10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</row>
    <row r="222" spans="1:48" x14ac:dyDescent="0.25">
      <c r="A222" s="8">
        <f t="shared" si="3"/>
        <v>219</v>
      </c>
      <c r="B222" s="3" t="s">
        <v>853</v>
      </c>
      <c r="C222" s="3" t="s">
        <v>854</v>
      </c>
      <c r="D222" s="3" t="s">
        <v>983</v>
      </c>
      <c r="E222" s="3"/>
      <c r="F222" s="10"/>
      <c r="G222" s="10"/>
      <c r="H222" s="10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</row>
    <row r="223" spans="1:48" x14ac:dyDescent="0.25">
      <c r="A223" s="8">
        <f t="shared" si="3"/>
        <v>220</v>
      </c>
      <c r="B223" s="3" t="s">
        <v>855</v>
      </c>
      <c r="C223" s="3" t="s">
        <v>856</v>
      </c>
      <c r="D223" s="3" t="s">
        <v>975</v>
      </c>
      <c r="E223" s="3"/>
      <c r="F223" s="10"/>
      <c r="G223" s="10"/>
      <c r="H223" s="10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</row>
    <row r="224" spans="1:48" x14ac:dyDescent="0.25">
      <c r="A224" s="8">
        <f t="shared" si="3"/>
        <v>221</v>
      </c>
      <c r="B224" s="3" t="s">
        <v>857</v>
      </c>
      <c r="C224" s="3" t="s">
        <v>858</v>
      </c>
      <c r="D224" s="3" t="s">
        <v>996</v>
      </c>
      <c r="E224" s="3"/>
      <c r="F224" s="10"/>
      <c r="G224" s="10"/>
      <c r="H224" s="10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</row>
    <row r="225" spans="1:48" x14ac:dyDescent="0.25">
      <c r="A225" s="8">
        <f t="shared" si="3"/>
        <v>222</v>
      </c>
      <c r="B225" s="3" t="s">
        <v>859</v>
      </c>
      <c r="C225" s="3" t="s">
        <v>860</v>
      </c>
      <c r="D225" s="3" t="s">
        <v>995</v>
      </c>
      <c r="E225" s="3"/>
      <c r="F225" s="10"/>
      <c r="G225" s="10"/>
      <c r="H225" s="10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</row>
    <row r="226" spans="1:48" x14ac:dyDescent="0.25">
      <c r="A226" s="8">
        <f t="shared" si="3"/>
        <v>223</v>
      </c>
      <c r="B226" s="3" t="s">
        <v>861</v>
      </c>
      <c r="C226" s="3" t="s">
        <v>862</v>
      </c>
      <c r="D226" s="3" t="s">
        <v>992</v>
      </c>
      <c r="E226" s="3"/>
      <c r="F226" s="10"/>
      <c r="G226" s="10"/>
      <c r="H226" s="10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</row>
    <row r="227" spans="1:48" x14ac:dyDescent="0.25">
      <c r="A227" s="8">
        <f t="shared" si="3"/>
        <v>224</v>
      </c>
      <c r="B227" s="3" t="s">
        <v>863</v>
      </c>
      <c r="C227" s="3" t="s">
        <v>864</v>
      </c>
      <c r="D227" s="3" t="s">
        <v>2</v>
      </c>
      <c r="E227" s="3"/>
      <c r="F227" s="10"/>
      <c r="G227" s="10"/>
      <c r="H227" s="10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</row>
    <row r="228" spans="1:48" x14ac:dyDescent="0.25">
      <c r="A228" s="8">
        <f t="shared" si="3"/>
        <v>225</v>
      </c>
      <c r="B228" s="3" t="s">
        <v>865</v>
      </c>
      <c r="C228" s="3" t="s">
        <v>866</v>
      </c>
      <c r="D228" s="3" t="s">
        <v>367</v>
      </c>
      <c r="E228" s="3"/>
      <c r="F228" s="10"/>
      <c r="G228" s="10"/>
      <c r="H228" s="10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</row>
    <row r="229" spans="1:48" x14ac:dyDescent="0.25">
      <c r="A229" s="8">
        <f t="shared" si="3"/>
        <v>226</v>
      </c>
      <c r="B229" s="3" t="s">
        <v>867</v>
      </c>
      <c r="C229" s="3" t="s">
        <v>868</v>
      </c>
      <c r="D229" s="3" t="s">
        <v>47</v>
      </c>
      <c r="E229" s="3"/>
      <c r="F229" s="10"/>
      <c r="G229" s="10"/>
      <c r="H229" s="10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</row>
    <row r="230" spans="1:48" x14ac:dyDescent="0.25">
      <c r="A230" s="8">
        <f t="shared" si="3"/>
        <v>227</v>
      </c>
      <c r="B230" s="3" t="s">
        <v>869</v>
      </c>
      <c r="C230" s="3" t="s">
        <v>870</v>
      </c>
      <c r="D230" s="3" t="s">
        <v>47</v>
      </c>
      <c r="E230" s="3"/>
      <c r="F230" s="10"/>
      <c r="G230" s="10"/>
      <c r="H230" s="10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</row>
    <row r="231" spans="1:48" x14ac:dyDescent="0.25">
      <c r="A231" s="8">
        <f t="shared" si="3"/>
        <v>228</v>
      </c>
      <c r="B231" s="3" t="s">
        <v>871</v>
      </c>
      <c r="C231" s="3" t="s">
        <v>872</v>
      </c>
      <c r="D231" s="3" t="s">
        <v>61</v>
      </c>
      <c r="E231" s="3"/>
      <c r="F231" s="10"/>
      <c r="G231" s="10"/>
      <c r="H231" s="10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</row>
    <row r="232" spans="1:48" x14ac:dyDescent="0.25">
      <c r="A232" s="8">
        <f t="shared" si="3"/>
        <v>229</v>
      </c>
      <c r="B232" s="3" t="s">
        <v>873</v>
      </c>
      <c r="C232" s="3" t="s">
        <v>874</v>
      </c>
      <c r="D232" s="3" t="s">
        <v>61</v>
      </c>
      <c r="E232" s="3"/>
      <c r="F232" s="10"/>
      <c r="G232" s="10"/>
      <c r="H232" s="10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</row>
    <row r="233" spans="1:48" x14ac:dyDescent="0.25">
      <c r="A233" s="8">
        <f t="shared" si="3"/>
        <v>230</v>
      </c>
      <c r="B233" s="3" t="s">
        <v>875</v>
      </c>
      <c r="C233" s="3" t="s">
        <v>876</v>
      </c>
      <c r="D233" s="3" t="s">
        <v>2</v>
      </c>
      <c r="E233" s="3"/>
      <c r="F233" s="10"/>
      <c r="G233" s="10"/>
      <c r="H233" s="10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</row>
    <row r="234" spans="1:48" x14ac:dyDescent="0.25">
      <c r="A234" s="8">
        <f t="shared" si="3"/>
        <v>231</v>
      </c>
      <c r="B234" s="3" t="s">
        <v>877</v>
      </c>
      <c r="C234" s="3" t="s">
        <v>878</v>
      </c>
      <c r="D234" s="3" t="s">
        <v>2</v>
      </c>
      <c r="E234" s="3"/>
      <c r="F234" s="10"/>
      <c r="G234" s="10"/>
      <c r="H234" s="10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</row>
    <row r="235" spans="1:48" x14ac:dyDescent="0.25">
      <c r="A235" s="8">
        <f t="shared" si="3"/>
        <v>232</v>
      </c>
      <c r="B235" s="3" t="s">
        <v>879</v>
      </c>
      <c r="C235" s="3" t="s">
        <v>880</v>
      </c>
      <c r="D235" s="3" t="s">
        <v>983</v>
      </c>
      <c r="E235" s="3"/>
      <c r="F235" s="10"/>
      <c r="G235" s="10"/>
      <c r="H235" s="10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</row>
    <row r="236" spans="1:48" x14ac:dyDescent="0.25">
      <c r="A236" s="8">
        <f t="shared" si="3"/>
        <v>233</v>
      </c>
      <c r="B236" s="3" t="s">
        <v>881</v>
      </c>
      <c r="C236" s="3" t="s">
        <v>882</v>
      </c>
      <c r="D236" s="3" t="s">
        <v>2</v>
      </c>
      <c r="E236" s="3"/>
      <c r="F236" s="10"/>
      <c r="G236" s="10"/>
      <c r="H236" s="10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</row>
    <row r="237" spans="1:48" x14ac:dyDescent="0.25">
      <c r="A237" s="8">
        <f t="shared" si="3"/>
        <v>234</v>
      </c>
      <c r="B237" s="3" t="s">
        <v>883</v>
      </c>
      <c r="C237" s="3" t="s">
        <v>884</v>
      </c>
      <c r="D237" s="3" t="s">
        <v>56</v>
      </c>
      <c r="E237" s="3"/>
      <c r="F237" s="10"/>
      <c r="G237" s="10"/>
      <c r="H237" s="10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</row>
    <row r="238" spans="1:48" x14ac:dyDescent="0.25">
      <c r="A238" s="8">
        <f t="shared" si="3"/>
        <v>235</v>
      </c>
      <c r="B238" s="3" t="s">
        <v>885</v>
      </c>
      <c r="C238" s="3" t="s">
        <v>886</v>
      </c>
      <c r="D238" s="3" t="s">
        <v>193</v>
      </c>
      <c r="E238" s="3"/>
      <c r="F238" s="10"/>
      <c r="G238" s="10"/>
      <c r="H238" s="10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</row>
    <row r="239" spans="1:48" x14ac:dyDescent="0.25">
      <c r="A239" s="8">
        <f t="shared" si="3"/>
        <v>236</v>
      </c>
      <c r="B239" s="3" t="s">
        <v>887</v>
      </c>
      <c r="C239" s="3" t="s">
        <v>888</v>
      </c>
      <c r="D239" s="3" t="s">
        <v>983</v>
      </c>
      <c r="E239" s="3"/>
      <c r="F239" s="10"/>
      <c r="G239" s="10"/>
      <c r="H239" s="10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</row>
    <row r="240" spans="1:48" x14ac:dyDescent="0.25">
      <c r="A240" s="8">
        <f t="shared" si="3"/>
        <v>237</v>
      </c>
      <c r="B240" s="3" t="s">
        <v>889</v>
      </c>
      <c r="C240" s="3" t="s">
        <v>890</v>
      </c>
      <c r="D240" s="3" t="s">
        <v>31</v>
      </c>
      <c r="E240" s="3"/>
      <c r="F240" s="10"/>
      <c r="G240" s="10"/>
      <c r="H240" s="10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</row>
    <row r="241" spans="1:48" x14ac:dyDescent="0.25">
      <c r="A241" s="8">
        <f t="shared" si="3"/>
        <v>238</v>
      </c>
      <c r="B241" s="3" t="s">
        <v>891</v>
      </c>
      <c r="C241" s="3" t="s">
        <v>892</v>
      </c>
      <c r="D241" s="3" t="s">
        <v>2</v>
      </c>
      <c r="E241" s="3"/>
      <c r="F241" s="10"/>
      <c r="G241" s="10"/>
      <c r="H241" s="10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</row>
    <row r="242" spans="1:48" x14ac:dyDescent="0.25">
      <c r="A242" s="8">
        <f t="shared" si="3"/>
        <v>239</v>
      </c>
      <c r="B242" s="3" t="s">
        <v>893</v>
      </c>
      <c r="C242" s="3" t="s">
        <v>894</v>
      </c>
      <c r="D242" s="3" t="s">
        <v>2</v>
      </c>
      <c r="E242" s="3"/>
      <c r="F242" s="10"/>
      <c r="G242" s="10"/>
      <c r="H242" s="10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</row>
    <row r="243" spans="1:48" x14ac:dyDescent="0.25">
      <c r="A243" s="8">
        <f t="shared" si="3"/>
        <v>240</v>
      </c>
      <c r="B243" s="3" t="s">
        <v>895</v>
      </c>
      <c r="C243" s="3" t="s">
        <v>896</v>
      </c>
      <c r="D243" s="3" t="s">
        <v>988</v>
      </c>
      <c r="E243" s="3"/>
      <c r="F243" s="10"/>
      <c r="G243" s="10"/>
      <c r="H243" s="10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</row>
    <row r="244" spans="1:48" x14ac:dyDescent="0.25">
      <c r="A244" s="8">
        <f t="shared" si="3"/>
        <v>241</v>
      </c>
      <c r="B244" s="3" t="s">
        <v>897</v>
      </c>
      <c r="C244" s="3" t="s">
        <v>898</v>
      </c>
      <c r="D244" s="3" t="s">
        <v>412</v>
      </c>
      <c r="E244" s="3"/>
      <c r="F244" s="10"/>
      <c r="G244" s="10"/>
      <c r="H244" s="10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</row>
    <row r="245" spans="1:48" x14ac:dyDescent="0.25">
      <c r="A245" s="8">
        <f t="shared" si="3"/>
        <v>242</v>
      </c>
      <c r="B245" s="3" t="s">
        <v>899</v>
      </c>
      <c r="C245" s="3" t="s">
        <v>900</v>
      </c>
      <c r="D245" s="3" t="s">
        <v>988</v>
      </c>
      <c r="E245" s="3"/>
      <c r="F245" s="10"/>
      <c r="G245" s="10"/>
      <c r="H245" s="10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</row>
    <row r="246" spans="1:48" x14ac:dyDescent="0.25">
      <c r="A246" s="8">
        <f t="shared" si="3"/>
        <v>243</v>
      </c>
      <c r="B246" s="3" t="s">
        <v>901</v>
      </c>
      <c r="C246" s="3" t="s">
        <v>902</v>
      </c>
      <c r="D246" s="3" t="s">
        <v>991</v>
      </c>
      <c r="E246" s="3"/>
      <c r="F246" s="10"/>
      <c r="G246" s="10"/>
      <c r="H246" s="10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</row>
    <row r="247" spans="1:48" x14ac:dyDescent="0.25">
      <c r="A247" s="8">
        <f t="shared" si="3"/>
        <v>244</v>
      </c>
      <c r="B247" s="3" t="s">
        <v>903</v>
      </c>
      <c r="C247" s="3" t="s">
        <v>904</v>
      </c>
      <c r="D247" s="3" t="s">
        <v>266</v>
      </c>
      <c r="E247" s="3"/>
      <c r="F247" s="10"/>
      <c r="G247" s="10"/>
      <c r="H247" s="10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</row>
    <row r="248" spans="1:48" x14ac:dyDescent="0.25">
      <c r="A248" s="8">
        <f t="shared" si="3"/>
        <v>245</v>
      </c>
      <c r="B248" s="3" t="s">
        <v>905</v>
      </c>
      <c r="C248" s="3" t="s">
        <v>906</v>
      </c>
      <c r="D248" s="3" t="s">
        <v>56</v>
      </c>
      <c r="E248" s="3"/>
      <c r="F248" s="10"/>
      <c r="G248" s="10"/>
      <c r="H248" s="10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</row>
    <row r="249" spans="1:48" x14ac:dyDescent="0.25">
      <c r="A249" s="8">
        <f t="shared" si="3"/>
        <v>246</v>
      </c>
      <c r="B249" s="3" t="s">
        <v>907</v>
      </c>
      <c r="C249" s="3" t="s">
        <v>908</v>
      </c>
      <c r="D249" s="3" t="s">
        <v>988</v>
      </c>
      <c r="E249" s="3"/>
      <c r="F249" s="10"/>
      <c r="G249" s="10"/>
      <c r="H249" s="10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</row>
    <row r="250" spans="1:48" x14ac:dyDescent="0.25">
      <c r="A250" s="8">
        <f t="shared" si="3"/>
        <v>247</v>
      </c>
      <c r="B250" s="3" t="s">
        <v>909</v>
      </c>
      <c r="C250" s="3" t="s">
        <v>910</v>
      </c>
      <c r="D250" s="3" t="s">
        <v>31</v>
      </c>
      <c r="E250" s="3"/>
      <c r="F250" s="10"/>
      <c r="G250" s="10"/>
      <c r="H250" s="10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</row>
    <row r="251" spans="1:48" x14ac:dyDescent="0.25">
      <c r="A251" s="8">
        <f t="shared" si="3"/>
        <v>248</v>
      </c>
      <c r="B251" s="3" t="s">
        <v>911</v>
      </c>
      <c r="C251" s="3" t="s">
        <v>912</v>
      </c>
      <c r="D251" s="3" t="s">
        <v>61</v>
      </c>
      <c r="E251" s="3"/>
      <c r="F251" s="10"/>
      <c r="G251" s="10"/>
      <c r="H251" s="10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</row>
    <row r="252" spans="1:48" x14ac:dyDescent="0.25">
      <c r="A252" s="8">
        <f t="shared" si="3"/>
        <v>249</v>
      </c>
      <c r="B252" s="3" t="s">
        <v>913</v>
      </c>
      <c r="C252" s="3" t="s">
        <v>914</v>
      </c>
      <c r="D252" s="3" t="s">
        <v>166</v>
      </c>
      <c r="E252" s="3"/>
      <c r="F252" s="10"/>
      <c r="G252" s="10"/>
      <c r="H252" s="10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</row>
    <row r="253" spans="1:48" x14ac:dyDescent="0.25">
      <c r="A253" s="8">
        <f t="shared" si="3"/>
        <v>250</v>
      </c>
      <c r="B253" s="3" t="s">
        <v>915</v>
      </c>
      <c r="C253" s="3" t="s">
        <v>916</v>
      </c>
      <c r="D253" s="3" t="s">
        <v>47</v>
      </c>
      <c r="E253" s="3"/>
      <c r="F253" s="10"/>
      <c r="G253" s="10"/>
      <c r="H253" s="10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</row>
    <row r="254" spans="1:48" x14ac:dyDescent="0.25">
      <c r="A254" s="8">
        <f t="shared" si="3"/>
        <v>251</v>
      </c>
      <c r="B254" s="3" t="s">
        <v>917</v>
      </c>
      <c r="C254" s="3" t="s">
        <v>918</v>
      </c>
      <c r="D254" s="3" t="s">
        <v>977</v>
      </c>
      <c r="E254" s="3"/>
      <c r="F254" s="10"/>
      <c r="G254" s="10"/>
      <c r="H254" s="10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</row>
    <row r="255" spans="1:48" x14ac:dyDescent="0.25">
      <c r="A255" s="8">
        <f t="shared" si="3"/>
        <v>252</v>
      </c>
      <c r="B255" s="3" t="s">
        <v>919</v>
      </c>
      <c r="C255" s="3" t="s">
        <v>920</v>
      </c>
      <c r="D255" s="3" t="s">
        <v>2</v>
      </c>
      <c r="E255" s="3"/>
      <c r="F255" s="10"/>
      <c r="G255" s="10"/>
      <c r="H255" s="10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</row>
    <row r="256" spans="1:48" x14ac:dyDescent="0.25">
      <c r="A256" s="8">
        <f t="shared" si="3"/>
        <v>253</v>
      </c>
      <c r="B256" s="3" t="s">
        <v>921</v>
      </c>
      <c r="C256" s="3" t="s">
        <v>922</v>
      </c>
      <c r="D256" s="3" t="s">
        <v>988</v>
      </c>
      <c r="E256" s="3"/>
      <c r="F256" s="10"/>
      <c r="G256" s="10"/>
      <c r="H256" s="10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</row>
    <row r="257" spans="1:48" x14ac:dyDescent="0.25">
      <c r="A257" s="8">
        <f t="shared" si="3"/>
        <v>254</v>
      </c>
      <c r="B257" s="3" t="s">
        <v>923</v>
      </c>
      <c r="C257" s="3" t="s">
        <v>924</v>
      </c>
      <c r="D257" s="3" t="s">
        <v>980</v>
      </c>
      <c r="E257" s="3"/>
      <c r="F257" s="10"/>
      <c r="G257" s="10"/>
      <c r="H257" s="10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</row>
    <row r="258" spans="1:48" x14ac:dyDescent="0.25">
      <c r="A258" s="8">
        <f t="shared" si="3"/>
        <v>255</v>
      </c>
      <c r="B258" s="3" t="s">
        <v>925</v>
      </c>
      <c r="C258" s="3" t="s">
        <v>926</v>
      </c>
      <c r="D258" s="3" t="s">
        <v>989</v>
      </c>
      <c r="E258" s="3"/>
      <c r="F258" s="10"/>
      <c r="G258" s="10"/>
      <c r="H258" s="10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</row>
    <row r="259" spans="1:48" x14ac:dyDescent="0.25">
      <c r="A259" s="8">
        <f t="shared" si="3"/>
        <v>256</v>
      </c>
      <c r="B259" s="3" t="s">
        <v>927</v>
      </c>
      <c r="C259" s="3" t="s">
        <v>928</v>
      </c>
      <c r="D259" s="3" t="s">
        <v>988</v>
      </c>
      <c r="E259" s="3"/>
      <c r="F259" s="10"/>
      <c r="G259" s="10"/>
      <c r="H259" s="10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</row>
    <row r="260" spans="1:48" x14ac:dyDescent="0.25">
      <c r="A260" s="8">
        <f t="shared" si="3"/>
        <v>257</v>
      </c>
      <c r="B260" s="3" t="s">
        <v>929</v>
      </c>
      <c r="C260" s="3" t="s">
        <v>930</v>
      </c>
      <c r="D260" s="3" t="s">
        <v>5</v>
      </c>
      <c r="E260" s="3"/>
      <c r="F260" s="10"/>
      <c r="G260" s="10"/>
      <c r="H260" s="10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</row>
    <row r="261" spans="1:48" x14ac:dyDescent="0.25">
      <c r="A261" s="8">
        <f t="shared" si="3"/>
        <v>258</v>
      </c>
      <c r="B261" s="3" t="s">
        <v>931</v>
      </c>
      <c r="C261" s="3" t="s">
        <v>932</v>
      </c>
      <c r="D261" s="3" t="s">
        <v>367</v>
      </c>
      <c r="E261" s="3"/>
      <c r="F261" s="10"/>
      <c r="G261" s="10"/>
      <c r="H261" s="10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</row>
    <row r="262" spans="1:48" x14ac:dyDescent="0.25">
      <c r="A262" s="8">
        <f t="shared" ref="A262:A286" si="4">+A261+1</f>
        <v>259</v>
      </c>
      <c r="B262" s="3" t="s">
        <v>933</v>
      </c>
      <c r="C262" s="3" t="s">
        <v>934</v>
      </c>
      <c r="D262" s="3" t="s">
        <v>412</v>
      </c>
      <c r="E262" s="3"/>
      <c r="F262" s="10"/>
      <c r="G262" s="10"/>
      <c r="H262" s="10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</row>
    <row r="263" spans="1:48" x14ac:dyDescent="0.25">
      <c r="A263" s="8">
        <f t="shared" si="4"/>
        <v>260</v>
      </c>
      <c r="B263" s="3" t="s">
        <v>935</v>
      </c>
      <c r="C263" s="3" t="s">
        <v>936</v>
      </c>
      <c r="D263" s="3" t="s">
        <v>2</v>
      </c>
      <c r="E263" s="3"/>
      <c r="F263" s="10"/>
      <c r="G263" s="10"/>
      <c r="H263" s="10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</row>
    <row r="264" spans="1:48" x14ac:dyDescent="0.25">
      <c r="A264" s="8">
        <f t="shared" si="4"/>
        <v>261</v>
      </c>
      <c r="B264" s="3" t="s">
        <v>937</v>
      </c>
      <c r="C264" s="3" t="s">
        <v>938</v>
      </c>
      <c r="D264" s="3" t="s">
        <v>2</v>
      </c>
      <c r="E264" s="3"/>
      <c r="F264" s="10"/>
      <c r="G264" s="10"/>
      <c r="H264" s="10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</row>
    <row r="265" spans="1:48" x14ac:dyDescent="0.25">
      <c r="A265" s="8">
        <f t="shared" si="4"/>
        <v>262</v>
      </c>
      <c r="B265" s="3" t="s">
        <v>939</v>
      </c>
      <c r="C265" s="3" t="s">
        <v>940</v>
      </c>
      <c r="D265" s="3" t="s">
        <v>992</v>
      </c>
      <c r="E265" s="3"/>
      <c r="F265" s="10"/>
      <c r="G265" s="10"/>
      <c r="H265" s="10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</row>
    <row r="266" spans="1:48" x14ac:dyDescent="0.25">
      <c r="A266" s="8">
        <f t="shared" si="4"/>
        <v>263</v>
      </c>
      <c r="B266" s="3" t="s">
        <v>941</v>
      </c>
      <c r="C266" s="3" t="s">
        <v>942</v>
      </c>
      <c r="D266" s="3" t="s">
        <v>31</v>
      </c>
      <c r="E266" s="3"/>
      <c r="F266" s="10"/>
      <c r="G266" s="10"/>
      <c r="H266" s="10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</row>
    <row r="267" spans="1:48" x14ac:dyDescent="0.25">
      <c r="A267" s="8">
        <f t="shared" si="4"/>
        <v>264</v>
      </c>
      <c r="B267" s="3" t="s">
        <v>943</v>
      </c>
      <c r="C267" s="3" t="s">
        <v>944</v>
      </c>
      <c r="D267" s="3" t="s">
        <v>367</v>
      </c>
      <c r="E267" s="3"/>
      <c r="F267" s="10"/>
      <c r="G267" s="10"/>
      <c r="H267" s="10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</row>
    <row r="268" spans="1:48" x14ac:dyDescent="0.25">
      <c r="A268" s="8">
        <f t="shared" si="4"/>
        <v>265</v>
      </c>
      <c r="B268" s="3" t="s">
        <v>945</v>
      </c>
      <c r="C268" s="3" t="s">
        <v>946</v>
      </c>
      <c r="D268" s="3" t="s">
        <v>997</v>
      </c>
      <c r="E268" s="3"/>
      <c r="F268" s="10"/>
      <c r="G268" s="10"/>
      <c r="H268" s="10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</row>
    <row r="269" spans="1:48" x14ac:dyDescent="0.25">
      <c r="A269" s="8">
        <f t="shared" si="4"/>
        <v>266</v>
      </c>
      <c r="B269" s="3" t="s">
        <v>947</v>
      </c>
      <c r="C269" s="3" t="s">
        <v>948</v>
      </c>
      <c r="D269" s="3" t="s">
        <v>988</v>
      </c>
      <c r="E269" s="3"/>
      <c r="F269" s="10"/>
      <c r="G269" s="10"/>
      <c r="H269" s="10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</row>
    <row r="270" spans="1:48" x14ac:dyDescent="0.25">
      <c r="A270" s="8">
        <f t="shared" si="4"/>
        <v>267</v>
      </c>
      <c r="B270" s="3" t="s">
        <v>949</v>
      </c>
      <c r="C270" s="3" t="s">
        <v>950</v>
      </c>
      <c r="D270" s="3" t="s">
        <v>313</v>
      </c>
      <c r="E270" s="3"/>
      <c r="F270" s="10"/>
      <c r="G270" s="10"/>
      <c r="H270" s="10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</row>
    <row r="271" spans="1:48" x14ac:dyDescent="0.25">
      <c r="A271" s="8">
        <f t="shared" si="4"/>
        <v>268</v>
      </c>
      <c r="B271" s="3" t="s">
        <v>951</v>
      </c>
      <c r="C271" s="3" t="s">
        <v>952</v>
      </c>
      <c r="D271" s="3" t="s">
        <v>988</v>
      </c>
      <c r="E271" s="3"/>
      <c r="F271" s="10"/>
      <c r="G271" s="10"/>
      <c r="H271" s="10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</row>
    <row r="272" spans="1:48" x14ac:dyDescent="0.25">
      <c r="A272" s="8">
        <f t="shared" si="4"/>
        <v>269</v>
      </c>
      <c r="B272" s="3" t="s">
        <v>953</v>
      </c>
      <c r="C272" s="3" t="s">
        <v>954</v>
      </c>
      <c r="D272" s="3" t="s">
        <v>31</v>
      </c>
      <c r="E272" s="3"/>
      <c r="F272" s="10"/>
      <c r="G272" s="10"/>
      <c r="H272" s="10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</row>
    <row r="273" spans="1:48" x14ac:dyDescent="0.25">
      <c r="A273" s="8">
        <f t="shared" si="4"/>
        <v>270</v>
      </c>
      <c r="B273" s="3" t="s">
        <v>955</v>
      </c>
      <c r="C273" s="3" t="s">
        <v>956</v>
      </c>
      <c r="D273" s="3" t="s">
        <v>2</v>
      </c>
      <c r="E273" s="3"/>
      <c r="F273" s="10"/>
      <c r="G273" s="10"/>
      <c r="H273" s="10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</row>
    <row r="274" spans="1:48" x14ac:dyDescent="0.25">
      <c r="A274" s="8">
        <f t="shared" si="4"/>
        <v>271</v>
      </c>
      <c r="B274" s="3" t="s">
        <v>957</v>
      </c>
      <c r="C274" s="3" t="s">
        <v>958</v>
      </c>
      <c r="D274" s="3" t="s">
        <v>988</v>
      </c>
      <c r="E274" s="3"/>
      <c r="F274" s="10"/>
      <c r="G274" s="10"/>
      <c r="H274" s="10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</row>
    <row r="275" spans="1:48" x14ac:dyDescent="0.25">
      <c r="A275" s="8">
        <f t="shared" si="4"/>
        <v>272</v>
      </c>
      <c r="B275" s="3" t="s">
        <v>959</v>
      </c>
      <c r="C275" s="3" t="s">
        <v>960</v>
      </c>
      <c r="D275" s="3" t="s">
        <v>995</v>
      </c>
      <c r="E275" s="3"/>
      <c r="F275" s="10"/>
      <c r="G275" s="10"/>
      <c r="H275" s="10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</row>
    <row r="276" spans="1:48" x14ac:dyDescent="0.25">
      <c r="A276" s="8">
        <f t="shared" si="4"/>
        <v>273</v>
      </c>
      <c r="B276" s="3" t="s">
        <v>961</v>
      </c>
      <c r="C276" s="3" t="s">
        <v>962</v>
      </c>
      <c r="D276" s="3" t="s">
        <v>977</v>
      </c>
      <c r="E276" s="3"/>
      <c r="F276" s="10"/>
      <c r="G276" s="10"/>
      <c r="H276" s="10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</row>
    <row r="277" spans="1:48" x14ac:dyDescent="0.25">
      <c r="A277" s="8">
        <f t="shared" si="4"/>
        <v>274</v>
      </c>
      <c r="B277" s="3" t="s">
        <v>963</v>
      </c>
      <c r="C277" s="3" t="s">
        <v>964</v>
      </c>
      <c r="D277" s="3" t="s">
        <v>13</v>
      </c>
      <c r="E277" s="3"/>
      <c r="F277" s="10"/>
      <c r="G277" s="10"/>
      <c r="H277" s="10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</row>
    <row r="278" spans="1:48" x14ac:dyDescent="0.25">
      <c r="A278" s="8">
        <f t="shared" si="4"/>
        <v>275</v>
      </c>
      <c r="B278" s="3" t="s">
        <v>965</v>
      </c>
      <c r="C278" s="3" t="s">
        <v>966</v>
      </c>
      <c r="D278" s="3" t="s">
        <v>988</v>
      </c>
      <c r="E278" s="3"/>
      <c r="F278" s="10"/>
      <c r="G278" s="10"/>
      <c r="H278" s="10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</row>
    <row r="279" spans="1:48" x14ac:dyDescent="0.25">
      <c r="A279" s="8">
        <f t="shared" si="4"/>
        <v>276</v>
      </c>
      <c r="B279" s="3" t="s">
        <v>967</v>
      </c>
      <c r="C279" s="3" t="s">
        <v>968</v>
      </c>
      <c r="D279" s="3" t="s">
        <v>89</v>
      </c>
      <c r="E279" s="3"/>
      <c r="F279" s="10"/>
      <c r="G279" s="10"/>
      <c r="H279" s="10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</row>
    <row r="280" spans="1:48" x14ac:dyDescent="0.25">
      <c r="A280" s="8">
        <f t="shared" si="4"/>
        <v>277</v>
      </c>
      <c r="B280" s="3" t="s">
        <v>969</v>
      </c>
      <c r="C280" s="3" t="s">
        <v>970</v>
      </c>
      <c r="D280" s="3" t="s">
        <v>313</v>
      </c>
      <c r="E280" s="3"/>
      <c r="F280" s="10"/>
      <c r="G280" s="10"/>
      <c r="H280" s="10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</row>
    <row r="281" spans="1:48" x14ac:dyDescent="0.25">
      <c r="A281" s="8">
        <f t="shared" si="4"/>
        <v>278</v>
      </c>
      <c r="B281" s="3" t="s">
        <v>971</v>
      </c>
      <c r="C281" s="3" t="s">
        <v>972</v>
      </c>
      <c r="D281" s="3" t="s">
        <v>313</v>
      </c>
      <c r="E281" s="3"/>
      <c r="F281" s="10"/>
      <c r="G281" s="10"/>
      <c r="H281" s="10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</row>
    <row r="282" spans="1:48" x14ac:dyDescent="0.25">
      <c r="A282" s="8">
        <f t="shared" si="4"/>
        <v>279</v>
      </c>
      <c r="B282" s="3" t="s">
        <v>973</v>
      </c>
      <c r="C282" s="3" t="s">
        <v>974</v>
      </c>
      <c r="D282" s="3" t="s">
        <v>313</v>
      </c>
      <c r="E282" s="3"/>
      <c r="F282" s="10"/>
      <c r="G282" s="10"/>
      <c r="H282" s="10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</row>
    <row r="283" spans="1:48" x14ac:dyDescent="0.25">
      <c r="A283" s="8">
        <f t="shared" si="4"/>
        <v>280</v>
      </c>
      <c r="B283" s="3" t="s">
        <v>2204</v>
      </c>
      <c r="C283" s="3" t="s">
        <v>2205</v>
      </c>
      <c r="D283" s="3" t="s">
        <v>2</v>
      </c>
      <c r="E283" s="3"/>
      <c r="F283" s="10"/>
      <c r="G283" s="10"/>
      <c r="H283" s="10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</row>
    <row r="284" spans="1:48" x14ac:dyDescent="0.25">
      <c r="A284" s="8">
        <f t="shared" si="4"/>
        <v>281</v>
      </c>
      <c r="B284" s="3" t="s">
        <v>2206</v>
      </c>
      <c r="C284" s="3" t="s">
        <v>2207</v>
      </c>
      <c r="D284" s="3" t="s">
        <v>2</v>
      </c>
      <c r="E284" s="3"/>
      <c r="F284" s="10"/>
      <c r="G284" s="10"/>
      <c r="H284" s="10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</row>
    <row r="285" spans="1:48" x14ac:dyDescent="0.25">
      <c r="A285" s="8">
        <f t="shared" si="4"/>
        <v>282</v>
      </c>
      <c r="B285" s="3" t="s">
        <v>2208</v>
      </c>
      <c r="C285" s="3" t="s">
        <v>2209</v>
      </c>
      <c r="D285" s="3" t="s">
        <v>983</v>
      </c>
      <c r="E285" s="3"/>
      <c r="F285" s="10"/>
      <c r="G285" s="10"/>
      <c r="H285" s="10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</row>
    <row r="286" spans="1:48" x14ac:dyDescent="0.25">
      <c r="A286" s="8">
        <f t="shared" si="4"/>
        <v>283</v>
      </c>
      <c r="B286" s="3" t="s">
        <v>2210</v>
      </c>
      <c r="C286" s="3" t="s">
        <v>2211</v>
      </c>
      <c r="D286" s="3" t="s">
        <v>2</v>
      </c>
      <c r="E286" s="3"/>
      <c r="F286" s="10"/>
      <c r="G286" s="10"/>
      <c r="H286" s="10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</row>
    <row r="287" spans="1:48" x14ac:dyDescent="0.25">
      <c r="A287" s="3"/>
      <c r="B287" s="3"/>
      <c r="C287" s="3"/>
      <c r="D287" s="3"/>
      <c r="E287" s="3"/>
      <c r="F287" s="10"/>
      <c r="G287" s="10"/>
      <c r="H287" s="10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</row>
    <row r="288" spans="1:48" x14ac:dyDescent="0.25">
      <c r="A288" s="3"/>
      <c r="B288" s="3"/>
      <c r="C288" s="3"/>
      <c r="D288" s="3"/>
      <c r="E288" s="3"/>
      <c r="F288" s="10"/>
      <c r="G288" s="10"/>
      <c r="H288" s="10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</row>
    <row r="289" spans="1:48" x14ac:dyDescent="0.25">
      <c r="A289" s="3"/>
      <c r="B289" s="3"/>
      <c r="C289" s="3"/>
      <c r="D289" s="3"/>
      <c r="E289" s="3"/>
      <c r="F289" s="10"/>
      <c r="G289" s="10"/>
      <c r="H289" s="10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</row>
    <row r="290" spans="1:48" x14ac:dyDescent="0.25">
      <c r="A290" s="3"/>
      <c r="B290" s="3"/>
      <c r="C290" s="3"/>
      <c r="D290" s="3"/>
      <c r="E290" s="3"/>
      <c r="F290" s="10"/>
      <c r="G290" s="10"/>
      <c r="H290" s="10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</row>
    <row r="291" spans="1:48" x14ac:dyDescent="0.25">
      <c r="A291" s="3"/>
      <c r="B291" s="3"/>
      <c r="C291" s="3"/>
      <c r="D291" s="3"/>
      <c r="E291" s="3"/>
      <c r="F291" s="10"/>
      <c r="G291" s="10"/>
      <c r="H291" s="10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</row>
    <row r="292" spans="1:48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</row>
    <row r="293" spans="1:48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</row>
    <row r="294" spans="1:48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</row>
    <row r="295" spans="1:48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</row>
    <row r="296" spans="1:48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</row>
    <row r="297" spans="1:48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</row>
    <row r="298" spans="1:48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</row>
    <row r="299" spans="1:48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</row>
    <row r="300" spans="1:48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</row>
    <row r="301" spans="1:48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</row>
    <row r="302" spans="1:48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</row>
    <row r="303" spans="1:48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</row>
    <row r="304" spans="1:48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</row>
  </sheetData>
  <conditionalFormatting sqref="C4:C286">
    <cfRule type="duplicateValues" dxfId="1" priority="27"/>
  </conditionalFormatting>
  <hyperlinks>
    <hyperlink ref="A1" location="Main!A1" display="Main " xr:uid="{C3DBCD92-FC50-4687-9C4F-67A7E74DFBDE}"/>
    <hyperlink ref="B5" r:id="rId1" xr:uid="{82B9E810-7E36-454A-9CFC-FB14BF07B904}"/>
    <hyperlink ref="B4" r:id="rId2" xr:uid="{E3360683-4D65-4937-9976-4ADFD96E960F}"/>
    <hyperlink ref="B20" r:id="rId3" xr:uid="{AE571667-E61F-4FBA-95BB-2290899DEAC1}"/>
    <hyperlink ref="B17" r:id="rId4" xr:uid="{83D0CAD2-3A6D-4DF3-9110-635DB2D2F526}"/>
    <hyperlink ref="B8" r:id="rId5" xr:uid="{D6A631A5-1AC3-4B17-8C95-CBA0B1488886}"/>
    <hyperlink ref="B7" r:id="rId6" xr:uid="{CF58832A-C9D8-4DB5-B753-051CCE7F3A0F}"/>
    <hyperlink ref="B6" r:id="rId7" xr:uid="{01366260-8CA1-43A2-8E4D-0BF0B2049B1E}"/>
    <hyperlink ref="B15" r:id="rId8" xr:uid="{089DBF26-835F-4778-BB80-5F04B035E247}"/>
    <hyperlink ref="B74" r:id="rId9" xr:uid="{DA9E5597-D89F-4437-B8A8-19175EE281BB}"/>
    <hyperlink ref="B31" r:id="rId10" xr:uid="{44844D1C-369A-40AB-AC30-4509691AAA16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3D7C0-0E3F-4465-BEEB-87D764EA4CA8}">
  <dimension ref="A1:AS108"/>
  <sheetViews>
    <sheetView zoomScale="200" zoomScaleNormal="200" workbookViewId="0">
      <selection activeCell="B24" sqref="B24"/>
    </sheetView>
  </sheetViews>
  <sheetFormatPr defaultRowHeight="13.5" x14ac:dyDescent="0.25"/>
  <cols>
    <col min="1" max="1" width="4.7109375" style="4" customWidth="1"/>
    <col min="2" max="2" width="23.28515625" style="4" bestFit="1" customWidth="1"/>
    <col min="3" max="3" width="9.85546875" style="4" bestFit="1" customWidth="1"/>
    <col min="4" max="4" width="8.28515625" style="4" bestFit="1" customWidth="1"/>
    <col min="5" max="16384" width="9.140625" style="4"/>
  </cols>
  <sheetData>
    <row r="1" spans="1:45" x14ac:dyDescent="0.25">
      <c r="A1" s="1" t="s">
        <v>225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</row>
    <row r="2" spans="1:45" x14ac:dyDescent="0.25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</row>
    <row r="3" spans="1:45" x14ac:dyDescent="0.25">
      <c r="A3" s="23" t="s">
        <v>224</v>
      </c>
      <c r="B3" s="24" t="s">
        <v>223</v>
      </c>
      <c r="C3" s="24" t="s">
        <v>338</v>
      </c>
      <c r="D3" s="24" t="s">
        <v>221</v>
      </c>
      <c r="E3" s="25" t="s">
        <v>229</v>
      </c>
      <c r="F3" s="25" t="s">
        <v>230</v>
      </c>
      <c r="G3" s="25" t="s">
        <v>231</v>
      </c>
      <c r="H3" s="25" t="s">
        <v>232</v>
      </c>
      <c r="I3" s="25" t="s">
        <v>339</v>
      </c>
      <c r="J3" s="24" t="s">
        <v>340</v>
      </c>
      <c r="K3" s="24"/>
      <c r="L3" s="24"/>
      <c r="M3" s="26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</row>
    <row r="4" spans="1:45" x14ac:dyDescent="0.25">
      <c r="A4" s="8">
        <v>1</v>
      </c>
      <c r="B4" s="1" t="s">
        <v>203</v>
      </c>
      <c r="C4" s="30" t="s">
        <v>202</v>
      </c>
      <c r="D4" s="30" t="s">
        <v>2</v>
      </c>
      <c r="E4" s="3">
        <f>+[14]Main!$I$2</f>
        <v>215.01</v>
      </c>
      <c r="F4" s="10">
        <f>+[14]Main!$I$4</f>
        <v>162118.71696474002</v>
      </c>
      <c r="G4" s="10">
        <f>+[14]Main!$I$6-[14]Main!$I$5</f>
        <v>29944</v>
      </c>
      <c r="H4" s="10">
        <f>+F4+G4</f>
        <v>192062.71696474002</v>
      </c>
      <c r="I4" s="31" t="s">
        <v>2200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</row>
    <row r="5" spans="1:45" x14ac:dyDescent="0.25">
      <c r="A5" s="8">
        <f>+A4+1</f>
        <v>2</v>
      </c>
      <c r="B5" s="1" t="s">
        <v>341</v>
      </c>
      <c r="C5" s="3" t="s">
        <v>342</v>
      </c>
      <c r="D5" s="3" t="s">
        <v>2</v>
      </c>
      <c r="E5" s="10">
        <f>+[29]Main!$H$3</f>
        <v>118.44</v>
      </c>
      <c r="F5" s="10">
        <f>+[29]Main!$H$5</f>
        <v>157553.55050904001</v>
      </c>
      <c r="G5" s="10">
        <f>+[29]Main!$H$7-[29]Main!$H$6</f>
        <v>36140</v>
      </c>
      <c r="H5" s="10">
        <f>F5+G5</f>
        <v>193693.55050904001</v>
      </c>
      <c r="I5" s="11" t="s">
        <v>343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</row>
    <row r="6" spans="1:45" x14ac:dyDescent="0.25">
      <c r="A6" s="8">
        <f t="shared" ref="A6:A44" si="0">+A5+1</f>
        <v>3</v>
      </c>
      <c r="B6" s="1" t="s">
        <v>344</v>
      </c>
      <c r="C6" s="3" t="s">
        <v>200</v>
      </c>
      <c r="D6" s="3" t="s">
        <v>2</v>
      </c>
      <c r="E6" s="10">
        <f>+[15]Main!$K$2</f>
        <v>652.46</v>
      </c>
      <c r="F6" s="10">
        <f>+[15]Main!$K$4</f>
        <v>155519.06263738</v>
      </c>
      <c r="G6" s="10">
        <f>+[15]Main!$K$6-[15]Main!$K$5</f>
        <v>16592.142</v>
      </c>
      <c r="H6" s="10">
        <f>F6+G6</f>
        <v>172111.20463738</v>
      </c>
      <c r="I6" s="11" t="s">
        <v>343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</row>
    <row r="7" spans="1:45" x14ac:dyDescent="0.25">
      <c r="A7" s="8">
        <f t="shared" si="0"/>
        <v>4</v>
      </c>
      <c r="B7" s="1" t="s">
        <v>345</v>
      </c>
      <c r="C7" s="3" t="s">
        <v>346</v>
      </c>
      <c r="D7" s="3" t="s">
        <v>2</v>
      </c>
      <c r="E7" s="10">
        <f>+[30]Main!$K$3</f>
        <v>198.13</v>
      </c>
      <c r="F7" s="10">
        <f>+[30]Main!$K$5</f>
        <v>128719.35485599999</v>
      </c>
      <c r="G7" s="10">
        <f>+[30]Main!$K$7-[30]Main!$K$6</f>
        <v>18125</v>
      </c>
      <c r="H7" s="10">
        <f>F7+G7</f>
        <v>146844.35485599999</v>
      </c>
      <c r="I7" s="11" t="s">
        <v>343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</row>
    <row r="8" spans="1:45" x14ac:dyDescent="0.25">
      <c r="A8" s="8">
        <f t="shared" si="0"/>
        <v>5</v>
      </c>
      <c r="B8" s="3" t="s">
        <v>347</v>
      </c>
      <c r="C8" s="3" t="s">
        <v>348</v>
      </c>
      <c r="D8" s="3" t="s">
        <v>36</v>
      </c>
      <c r="E8" s="10"/>
      <c r="F8" s="10"/>
      <c r="G8" s="10"/>
      <c r="H8" s="10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</row>
    <row r="9" spans="1:45" x14ac:dyDescent="0.25">
      <c r="A9" s="8">
        <f t="shared" si="0"/>
        <v>6</v>
      </c>
      <c r="B9" s="1" t="s">
        <v>349</v>
      </c>
      <c r="C9" s="3" t="s">
        <v>350</v>
      </c>
      <c r="D9" s="3" t="s">
        <v>2</v>
      </c>
      <c r="E9" s="10">
        <f>+[31]Main!$H$2</f>
        <v>304.8</v>
      </c>
      <c r="F9" s="10">
        <f>+[31]Main!$H$4</f>
        <v>83752.206079199997</v>
      </c>
      <c r="G9" s="10">
        <f>+[31]Main!$H$6-[31]Main!$H$5</f>
        <v>7899</v>
      </c>
      <c r="H9" s="10">
        <f>F9+G9</f>
        <v>91651.206079199997</v>
      </c>
      <c r="I9" s="11" t="s">
        <v>343</v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</row>
    <row r="10" spans="1:45" x14ac:dyDescent="0.25">
      <c r="A10" s="8">
        <f t="shared" si="0"/>
        <v>7</v>
      </c>
      <c r="B10" s="1" t="s">
        <v>351</v>
      </c>
      <c r="C10" s="3" t="s">
        <v>352</v>
      </c>
      <c r="D10" s="3" t="s">
        <v>2</v>
      </c>
      <c r="E10" s="3">
        <f>+[32]Main!$K$2</f>
        <v>519.92999999999995</v>
      </c>
      <c r="F10" s="10">
        <f>+[32]Main!$K$4</f>
        <v>76037.290752779998</v>
      </c>
      <c r="G10" s="10">
        <f>+[32]Main!$K$6-[32]Main!$K$5</f>
        <v>11434</v>
      </c>
      <c r="H10" s="10">
        <f>F10+G10</f>
        <v>87471.290752779998</v>
      </c>
      <c r="I10" s="11" t="s">
        <v>343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</row>
    <row r="11" spans="1:45" x14ac:dyDescent="0.25">
      <c r="A11" s="8">
        <f t="shared" si="0"/>
        <v>8</v>
      </c>
      <c r="B11" s="3" t="s">
        <v>353</v>
      </c>
      <c r="C11" s="3" t="s">
        <v>354</v>
      </c>
      <c r="D11" s="3" t="s">
        <v>193</v>
      </c>
      <c r="E11" s="10"/>
      <c r="F11" s="10"/>
      <c r="G11" s="10"/>
      <c r="H11" s="10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</row>
    <row r="12" spans="1:45" x14ac:dyDescent="0.25">
      <c r="A12" s="8">
        <f t="shared" si="0"/>
        <v>9</v>
      </c>
      <c r="B12" s="1" t="s">
        <v>355</v>
      </c>
      <c r="C12" s="3" t="s">
        <v>356</v>
      </c>
      <c r="D12" s="3" t="s">
        <v>2</v>
      </c>
      <c r="E12" s="10">
        <f>+[33]Main!$I$3</f>
        <v>227.23</v>
      </c>
      <c r="F12" s="10">
        <f>+[33]Main!$I$5</f>
        <v>43106.710323699997</v>
      </c>
      <c r="G12" s="10">
        <f>+[33]Main!$I$7-[33]Main!$I$6</f>
        <v>12705</v>
      </c>
      <c r="H12" s="10">
        <f>F12+G12</f>
        <v>55811.710323699997</v>
      </c>
      <c r="I12" s="11" t="s">
        <v>343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</row>
    <row r="13" spans="1:45" x14ac:dyDescent="0.25">
      <c r="A13" s="8">
        <f t="shared" si="0"/>
        <v>10</v>
      </c>
      <c r="B13" s="3" t="s">
        <v>357</v>
      </c>
      <c r="C13" s="3" t="s">
        <v>358</v>
      </c>
      <c r="D13" s="3" t="s">
        <v>246</v>
      </c>
      <c r="E13" s="10"/>
      <c r="F13" s="10"/>
      <c r="G13" s="10"/>
      <c r="H13" s="10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</row>
    <row r="14" spans="1:45" x14ac:dyDescent="0.25">
      <c r="A14" s="8">
        <f t="shared" si="0"/>
        <v>11</v>
      </c>
      <c r="B14" s="1" t="s">
        <v>2202</v>
      </c>
      <c r="C14" s="3" t="s">
        <v>2203</v>
      </c>
      <c r="D14" s="3" t="s">
        <v>2</v>
      </c>
      <c r="E14" s="10">
        <f>+[34]Main!$K$2</f>
        <v>628.66999999999996</v>
      </c>
      <c r="F14" s="10">
        <f>+[34]Main!$K$4</f>
        <v>48170.74863622</v>
      </c>
      <c r="G14" s="10">
        <f>+[34]Main!$K$6-[34]Main!$K$5</f>
        <v>-306.06000000000006</v>
      </c>
      <c r="H14" s="10">
        <f>F14+G14</f>
        <v>47864.688636220002</v>
      </c>
      <c r="I14" s="11" t="s">
        <v>236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</row>
    <row r="15" spans="1:45" x14ac:dyDescent="0.25">
      <c r="A15" s="8">
        <f t="shared" si="0"/>
        <v>12</v>
      </c>
      <c r="B15" s="3" t="s">
        <v>359</v>
      </c>
      <c r="C15" s="3" t="s">
        <v>360</v>
      </c>
      <c r="D15" s="3" t="s">
        <v>36</v>
      </c>
      <c r="E15" s="10"/>
      <c r="F15" s="10"/>
      <c r="G15" s="10"/>
      <c r="H15" s="10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</row>
    <row r="16" spans="1:45" x14ac:dyDescent="0.25">
      <c r="A16" s="8">
        <f t="shared" si="0"/>
        <v>13</v>
      </c>
      <c r="B16" s="3" t="s">
        <v>361</v>
      </c>
      <c r="C16" s="3" t="s">
        <v>362</v>
      </c>
      <c r="D16" s="3" t="s">
        <v>246</v>
      </c>
      <c r="E16" s="10"/>
      <c r="F16" s="10"/>
      <c r="G16" s="10"/>
      <c r="H16" s="10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</row>
    <row r="17" spans="1:45" x14ac:dyDescent="0.25">
      <c r="A17" s="8">
        <f t="shared" si="0"/>
        <v>14</v>
      </c>
      <c r="B17" s="1" t="s">
        <v>363</v>
      </c>
      <c r="C17" s="3" t="s">
        <v>364</v>
      </c>
      <c r="D17" s="3" t="s">
        <v>31</v>
      </c>
      <c r="E17" s="10">
        <f>+[35]Main!$I$2</f>
        <v>1332</v>
      </c>
      <c r="F17" s="10">
        <f>+[35]Main!$I$4*FX!C3</f>
        <v>62576.028000000013</v>
      </c>
      <c r="G17" s="10">
        <f>+([35]Main!$I$6-[35]Main!$I$5)*FX!C3</f>
        <v>1350.51</v>
      </c>
      <c r="H17" s="10">
        <f>F17+G17</f>
        <v>63926.538000000015</v>
      </c>
      <c r="I17" s="11" t="s">
        <v>236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</row>
    <row r="18" spans="1:45" x14ac:dyDescent="0.25">
      <c r="A18" s="8">
        <f t="shared" si="0"/>
        <v>15</v>
      </c>
      <c r="B18" s="3" t="s">
        <v>365</v>
      </c>
      <c r="C18" s="3" t="s">
        <v>366</v>
      </c>
      <c r="D18" s="3" t="s">
        <v>367</v>
      </c>
      <c r="E18" s="10"/>
      <c r="F18" s="10"/>
      <c r="G18" s="10"/>
      <c r="H18" s="10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</row>
    <row r="19" spans="1:45" x14ac:dyDescent="0.25">
      <c r="A19" s="8">
        <f t="shared" si="0"/>
        <v>16</v>
      </c>
      <c r="B19" s="3" t="s">
        <v>99</v>
      </c>
      <c r="C19" s="3" t="s">
        <v>98</v>
      </c>
      <c r="D19" s="3" t="s">
        <v>36</v>
      </c>
      <c r="E19" s="10"/>
      <c r="F19" s="10"/>
      <c r="G19" s="10"/>
      <c r="H19" s="10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</row>
    <row r="20" spans="1:45" x14ac:dyDescent="0.25">
      <c r="A20" s="8">
        <f t="shared" si="0"/>
        <v>17</v>
      </c>
      <c r="B20" s="3" t="s">
        <v>368</v>
      </c>
      <c r="C20" s="3" t="s">
        <v>369</v>
      </c>
      <c r="D20" s="3" t="s">
        <v>240</v>
      </c>
      <c r="E20" s="10"/>
      <c r="F20" s="10"/>
      <c r="G20" s="10"/>
      <c r="H20" s="10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</row>
    <row r="21" spans="1:45" x14ac:dyDescent="0.25">
      <c r="A21" s="8">
        <f t="shared" si="0"/>
        <v>18</v>
      </c>
      <c r="B21" s="3" t="s">
        <v>370</v>
      </c>
      <c r="C21" s="3" t="s">
        <v>371</v>
      </c>
      <c r="D21" s="3" t="s">
        <v>78</v>
      </c>
      <c r="E21" s="10"/>
      <c r="F21" s="10"/>
      <c r="G21" s="10"/>
      <c r="H21" s="10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</row>
    <row r="22" spans="1:45" x14ac:dyDescent="0.25">
      <c r="A22" s="8">
        <f t="shared" si="0"/>
        <v>19</v>
      </c>
      <c r="B22" s="1" t="s">
        <v>372</v>
      </c>
      <c r="C22" s="3" t="s">
        <v>373</v>
      </c>
      <c r="D22" s="3" t="s">
        <v>2</v>
      </c>
      <c r="E22" s="10">
        <f>+[36]Main!$I$2</f>
        <v>265.20999999999998</v>
      </c>
      <c r="F22" s="10">
        <f>+[36]Main!$I$4</f>
        <v>10400.271678719999</v>
      </c>
      <c r="G22" s="10">
        <f>+[36]Main!$I$6-[36]Main!$I$5</f>
        <v>2646</v>
      </c>
      <c r="H22" s="10">
        <f>F22+G22</f>
        <v>13046.271678719999</v>
      </c>
      <c r="I22" s="11" t="s">
        <v>343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</row>
    <row r="23" spans="1:45" x14ac:dyDescent="0.25">
      <c r="A23" s="8">
        <f t="shared" si="0"/>
        <v>20</v>
      </c>
      <c r="B23" s="3" t="s">
        <v>374</v>
      </c>
      <c r="C23" s="3" t="s">
        <v>375</v>
      </c>
      <c r="D23" s="3" t="s">
        <v>322</v>
      </c>
      <c r="E23" s="10"/>
      <c r="F23" s="10"/>
      <c r="G23" s="10"/>
      <c r="H23" s="10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</row>
    <row r="24" spans="1:45" x14ac:dyDescent="0.25">
      <c r="A24" s="8">
        <f t="shared" si="0"/>
        <v>21</v>
      </c>
      <c r="B24" s="3" t="s">
        <v>376</v>
      </c>
      <c r="C24" s="3" t="s">
        <v>377</v>
      </c>
      <c r="D24" s="3" t="s">
        <v>2</v>
      </c>
      <c r="E24" s="10"/>
      <c r="F24" s="10"/>
      <c r="G24" s="10"/>
      <c r="H24" s="10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</row>
    <row r="25" spans="1:45" x14ac:dyDescent="0.25">
      <c r="A25" s="8">
        <f t="shared" si="0"/>
        <v>22</v>
      </c>
      <c r="B25" s="3" t="s">
        <v>378</v>
      </c>
      <c r="C25" s="3" t="s">
        <v>379</v>
      </c>
      <c r="D25" s="3" t="s">
        <v>266</v>
      </c>
      <c r="E25" s="10"/>
      <c r="F25" s="10"/>
      <c r="G25" s="10"/>
      <c r="H25" s="10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</row>
    <row r="26" spans="1:45" x14ac:dyDescent="0.25">
      <c r="A26" s="8">
        <f t="shared" si="0"/>
        <v>23</v>
      </c>
      <c r="B26" s="3" t="s">
        <v>380</v>
      </c>
      <c r="C26" s="3" t="s">
        <v>381</v>
      </c>
      <c r="D26" s="3" t="s">
        <v>246</v>
      </c>
      <c r="E26" s="10"/>
      <c r="F26" s="10"/>
      <c r="G26" s="10"/>
      <c r="H26" s="10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</row>
    <row r="27" spans="1:45" x14ac:dyDescent="0.25">
      <c r="A27" s="8">
        <f t="shared" si="0"/>
        <v>24</v>
      </c>
      <c r="B27" s="3" t="s">
        <v>382</v>
      </c>
      <c r="C27" s="3" t="s">
        <v>383</v>
      </c>
      <c r="D27" s="3" t="s">
        <v>2</v>
      </c>
      <c r="E27" s="10"/>
      <c r="F27" s="10"/>
      <c r="G27" s="10"/>
      <c r="H27" s="10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</row>
    <row r="28" spans="1:45" x14ac:dyDescent="0.25">
      <c r="A28" s="8">
        <f t="shared" si="0"/>
        <v>25</v>
      </c>
      <c r="B28" s="3" t="s">
        <v>384</v>
      </c>
      <c r="C28" s="3" t="s">
        <v>385</v>
      </c>
      <c r="D28" s="3" t="s">
        <v>31</v>
      </c>
      <c r="E28" s="10"/>
      <c r="F28" s="10"/>
      <c r="G28" s="10"/>
      <c r="H28" s="10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</row>
    <row r="29" spans="1:45" x14ac:dyDescent="0.25">
      <c r="A29" s="8">
        <f t="shared" si="0"/>
        <v>26</v>
      </c>
      <c r="B29" s="3" t="s">
        <v>386</v>
      </c>
      <c r="C29" s="3" t="s">
        <v>387</v>
      </c>
      <c r="D29" s="3" t="s">
        <v>193</v>
      </c>
      <c r="E29" s="10"/>
      <c r="F29" s="10"/>
      <c r="G29" s="10"/>
      <c r="H29" s="10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</row>
    <row r="30" spans="1:45" x14ac:dyDescent="0.25">
      <c r="A30" s="8">
        <f t="shared" si="0"/>
        <v>27</v>
      </c>
      <c r="B30" s="3" t="s">
        <v>388</v>
      </c>
      <c r="C30" s="3" t="s">
        <v>389</v>
      </c>
      <c r="D30" s="3" t="s">
        <v>2</v>
      </c>
      <c r="E30" s="10"/>
      <c r="F30" s="10"/>
      <c r="G30" s="10"/>
      <c r="H30" s="10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</row>
    <row r="31" spans="1:45" x14ac:dyDescent="0.25">
      <c r="A31" s="8">
        <f t="shared" si="0"/>
        <v>28</v>
      </c>
      <c r="B31" s="3" t="s">
        <v>390</v>
      </c>
      <c r="C31" s="3" t="s">
        <v>391</v>
      </c>
      <c r="D31" s="3" t="s">
        <v>392</v>
      </c>
      <c r="E31" s="10"/>
      <c r="F31" s="10"/>
      <c r="G31" s="10"/>
      <c r="H31" s="10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</row>
    <row r="32" spans="1:45" x14ac:dyDescent="0.25">
      <c r="A32" s="8">
        <f t="shared" si="0"/>
        <v>29</v>
      </c>
      <c r="B32" s="3" t="s">
        <v>393</v>
      </c>
      <c r="C32" s="3" t="s">
        <v>394</v>
      </c>
      <c r="D32" s="3" t="s">
        <v>2</v>
      </c>
      <c r="E32" s="10"/>
      <c r="F32" s="10"/>
      <c r="G32" s="10"/>
      <c r="H32" s="10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</row>
    <row r="33" spans="1:45" x14ac:dyDescent="0.25">
      <c r="A33" s="8">
        <f t="shared" si="0"/>
        <v>30</v>
      </c>
      <c r="B33" s="3" t="s">
        <v>395</v>
      </c>
      <c r="C33" s="3" t="s">
        <v>396</v>
      </c>
      <c r="D33" s="3" t="s">
        <v>2</v>
      </c>
      <c r="E33" s="10"/>
      <c r="F33" s="10"/>
      <c r="G33" s="10"/>
      <c r="H33" s="10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</row>
    <row r="34" spans="1:45" x14ac:dyDescent="0.25">
      <c r="A34" s="8">
        <f t="shared" si="0"/>
        <v>31</v>
      </c>
      <c r="B34" s="3" t="s">
        <v>397</v>
      </c>
      <c r="C34" s="3" t="s">
        <v>398</v>
      </c>
      <c r="D34" s="3" t="s">
        <v>2</v>
      </c>
      <c r="E34" s="10"/>
      <c r="F34" s="10"/>
      <c r="G34" s="10"/>
      <c r="H34" s="10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</row>
    <row r="35" spans="1:45" x14ac:dyDescent="0.25">
      <c r="A35" s="8">
        <f t="shared" si="0"/>
        <v>32</v>
      </c>
      <c r="B35" s="3" t="s">
        <v>399</v>
      </c>
      <c r="C35" s="3" t="s">
        <v>400</v>
      </c>
      <c r="D35" s="3" t="s">
        <v>401</v>
      </c>
      <c r="E35" s="10"/>
      <c r="F35" s="10"/>
      <c r="G35" s="10"/>
      <c r="H35" s="10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</row>
    <row r="36" spans="1:45" x14ac:dyDescent="0.25">
      <c r="A36" s="8">
        <f t="shared" si="0"/>
        <v>33</v>
      </c>
      <c r="B36" s="3" t="s">
        <v>402</v>
      </c>
      <c r="C36" s="3" t="s">
        <v>403</v>
      </c>
      <c r="D36" s="3" t="s">
        <v>2</v>
      </c>
      <c r="E36" s="10"/>
      <c r="F36" s="10"/>
      <c r="G36" s="10"/>
      <c r="H36" s="10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</row>
    <row r="37" spans="1:45" x14ac:dyDescent="0.25">
      <c r="A37" s="8">
        <f t="shared" si="0"/>
        <v>34</v>
      </c>
      <c r="B37" s="3" t="s">
        <v>404</v>
      </c>
      <c r="C37" s="3" t="s">
        <v>405</v>
      </c>
      <c r="D37" s="3" t="s">
        <v>193</v>
      </c>
      <c r="E37" s="10"/>
      <c r="F37" s="10"/>
      <c r="G37" s="10"/>
      <c r="H37" s="10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</row>
    <row r="38" spans="1:45" x14ac:dyDescent="0.25">
      <c r="A38" s="8">
        <f t="shared" si="0"/>
        <v>35</v>
      </c>
      <c r="B38" s="3" t="s">
        <v>406</v>
      </c>
      <c r="C38" s="3" t="s">
        <v>407</v>
      </c>
      <c r="D38" s="3" t="s">
        <v>2</v>
      </c>
      <c r="E38" s="10"/>
      <c r="F38" s="10"/>
      <c r="G38" s="10"/>
      <c r="H38" s="10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</row>
    <row r="39" spans="1:45" x14ac:dyDescent="0.25">
      <c r="A39" s="8">
        <f t="shared" si="0"/>
        <v>36</v>
      </c>
      <c r="B39" s="3" t="s">
        <v>408</v>
      </c>
      <c r="C39" s="3" t="s">
        <v>409</v>
      </c>
      <c r="D39" s="3" t="s">
        <v>322</v>
      </c>
      <c r="E39" s="10"/>
      <c r="F39" s="10"/>
      <c r="G39" s="10"/>
      <c r="H39" s="10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</row>
    <row r="40" spans="1:45" x14ac:dyDescent="0.25">
      <c r="A40" s="8">
        <f t="shared" si="0"/>
        <v>37</v>
      </c>
      <c r="B40" s="3" t="s">
        <v>410</v>
      </c>
      <c r="C40" s="3" t="s">
        <v>411</v>
      </c>
      <c r="D40" s="3" t="s">
        <v>412</v>
      </c>
      <c r="E40" s="10"/>
      <c r="F40" s="10"/>
      <c r="G40" s="10"/>
      <c r="H40" s="10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</row>
    <row r="41" spans="1:45" x14ac:dyDescent="0.25">
      <c r="A41" s="8">
        <f t="shared" si="0"/>
        <v>38</v>
      </c>
      <c r="B41" s="1" t="s">
        <v>2214</v>
      </c>
      <c r="C41" s="3" t="s">
        <v>2215</v>
      </c>
      <c r="D41" s="3" t="s">
        <v>2</v>
      </c>
      <c r="E41" s="3">
        <f>+[37]Main!$K$2</f>
        <v>52.3</v>
      </c>
      <c r="F41" s="10">
        <f>+[37]Main!$K$4</f>
        <v>2580.9004</v>
      </c>
      <c r="G41" s="10">
        <f>+[37]Main!$K$6-[37]Main!$K$5</f>
        <v>-107.15900000000001</v>
      </c>
      <c r="H41" s="10">
        <f>+F41+G41</f>
        <v>2473.7413999999999</v>
      </c>
      <c r="I41" s="11" t="s">
        <v>2200</v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</row>
    <row r="42" spans="1:45" x14ac:dyDescent="0.25">
      <c r="A42" s="8">
        <f t="shared" si="0"/>
        <v>39</v>
      </c>
      <c r="B42" s="1" t="s">
        <v>2216</v>
      </c>
      <c r="C42" s="3" t="s">
        <v>2217</v>
      </c>
      <c r="D42" s="3" t="s">
        <v>2</v>
      </c>
      <c r="E42" s="3">
        <f>+[38]Main!$I$2</f>
        <v>8.2799999999999994</v>
      </c>
      <c r="F42" s="10">
        <f>+[38]Main!$I$4</f>
        <v>367.14994667999997</v>
      </c>
      <c r="G42" s="10">
        <f>+[38]Main!$I$6-[38]Main!$I$5</f>
        <v>72.963999999999999</v>
      </c>
      <c r="H42" s="10">
        <f>+F42+G42</f>
        <v>440.11394667999997</v>
      </c>
      <c r="I42" s="29" t="s">
        <v>2219</v>
      </c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</row>
    <row r="43" spans="1:45" x14ac:dyDescent="0.25">
      <c r="A43" s="8">
        <f t="shared" si="0"/>
        <v>40</v>
      </c>
      <c r="B43" s="3" t="s">
        <v>2481</v>
      </c>
      <c r="C43" s="30" t="s">
        <v>2482</v>
      </c>
      <c r="D43" s="30" t="s">
        <v>2</v>
      </c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</row>
    <row r="44" spans="1:45" x14ac:dyDescent="0.25">
      <c r="A44" s="8">
        <f t="shared" si="0"/>
        <v>41</v>
      </c>
      <c r="B44" s="30" t="s">
        <v>2483</v>
      </c>
      <c r="C44" s="30" t="s">
        <v>2484</v>
      </c>
      <c r="D44" s="30" t="s">
        <v>2</v>
      </c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</row>
    <row r="45" spans="1:45" x14ac:dyDescent="0.25">
      <c r="A45" s="3"/>
      <c r="B45" s="30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</row>
    <row r="46" spans="1:45" x14ac:dyDescent="0.25">
      <c r="A46" s="3"/>
      <c r="B46" s="27" t="s">
        <v>413</v>
      </c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</row>
    <row r="47" spans="1:45" x14ac:dyDescent="0.25">
      <c r="A47" s="3"/>
      <c r="B47" s="3" t="s">
        <v>414</v>
      </c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</row>
    <row r="48" spans="1:45" x14ac:dyDescent="0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</row>
    <row r="49" spans="1:45" x14ac:dyDescent="0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</row>
    <row r="50" spans="1:45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</row>
    <row r="51" spans="1:45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</row>
    <row r="52" spans="1:45" x14ac:dyDescent="0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</row>
    <row r="53" spans="1:45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</row>
    <row r="54" spans="1:45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</row>
    <row r="55" spans="1:45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</row>
    <row r="56" spans="1:45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</row>
    <row r="57" spans="1:45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</row>
    <row r="58" spans="1:45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</row>
    <row r="59" spans="1:45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</row>
    <row r="60" spans="1:45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</row>
    <row r="61" spans="1:45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</row>
    <row r="62" spans="1:45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</row>
    <row r="63" spans="1:45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</row>
    <row r="64" spans="1:45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</row>
    <row r="65" spans="1:45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</row>
    <row r="66" spans="1:45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</row>
    <row r="67" spans="1:45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</row>
    <row r="68" spans="1:45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</row>
    <row r="69" spans="1:45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</row>
    <row r="70" spans="1:45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</row>
    <row r="71" spans="1:45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</row>
    <row r="72" spans="1:45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</row>
    <row r="73" spans="1:45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</row>
    <row r="74" spans="1:45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</row>
    <row r="75" spans="1:45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</row>
    <row r="76" spans="1:45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</row>
    <row r="77" spans="1:45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</row>
    <row r="78" spans="1:45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</row>
    <row r="79" spans="1:45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</row>
    <row r="80" spans="1:45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</row>
    <row r="81" spans="1:45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</row>
    <row r="82" spans="1:45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</row>
    <row r="83" spans="1:45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</row>
    <row r="84" spans="1:45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</row>
    <row r="85" spans="1:45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</row>
    <row r="86" spans="1:45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</row>
    <row r="87" spans="1:45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</row>
    <row r="88" spans="1:45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</row>
    <row r="89" spans="1:45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</row>
    <row r="90" spans="1:45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</row>
    <row r="91" spans="1:45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</row>
    <row r="92" spans="1:45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</row>
    <row r="93" spans="1:45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</row>
    <row r="94" spans="1:45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</row>
    <row r="95" spans="1:45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</row>
    <row r="96" spans="1:45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</row>
    <row r="97" spans="1:45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</row>
    <row r="98" spans="1:45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</row>
    <row r="99" spans="1:45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</row>
    <row r="100" spans="1:45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</row>
    <row r="101" spans="1:45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</row>
    <row r="102" spans="1:45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</row>
    <row r="103" spans="1:45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</row>
    <row r="104" spans="1:45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</row>
    <row r="105" spans="1:45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</row>
    <row r="106" spans="1:45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</row>
    <row r="107" spans="1:45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</row>
    <row r="108" spans="1:45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</row>
  </sheetData>
  <hyperlinks>
    <hyperlink ref="B6" r:id="rId1" xr:uid="{65FA6ECD-C1A6-4383-9EE2-A5357122375B}"/>
    <hyperlink ref="B5" r:id="rId2" xr:uid="{5B2270ED-BE2D-4379-AF8E-2597576B0DAA}"/>
    <hyperlink ref="B7" r:id="rId3" xr:uid="{969F9532-95C6-44F3-A46A-0B046681E464}"/>
    <hyperlink ref="B12" r:id="rId4" xr:uid="{F07B2B59-19FC-4226-8166-11B116DC43CF}"/>
    <hyperlink ref="B10" r:id="rId5" xr:uid="{252F9A06-FB2B-4F4F-86FC-0F6E1045F965}"/>
    <hyperlink ref="B9" r:id="rId6" xr:uid="{4DDF92E1-EA04-4DFC-A313-3BC5F0B86A8D}"/>
    <hyperlink ref="B22" r:id="rId7" xr:uid="{8178D7BB-370F-44F1-99D1-DF23516CC68D}"/>
    <hyperlink ref="B17" r:id="rId8" xr:uid="{9190C2F6-CA8F-4E8C-A6C0-5D573F2755BE}"/>
    <hyperlink ref="A1" location="Main!A1" display="Main " xr:uid="{B805826C-1E0D-4D13-9E78-4A34A3BECED8}"/>
    <hyperlink ref="B14" r:id="rId9" xr:uid="{76453F52-5406-40EE-ACF2-E4D4BEA3964F}"/>
    <hyperlink ref="B41" r:id="rId10" xr:uid="{BAFB35A7-61FB-4628-AD85-8C11D52C38C4}"/>
    <hyperlink ref="B42" r:id="rId11" xr:uid="{4417956A-D7AB-4239-89EF-3E76F2C798E1}"/>
    <hyperlink ref="B4" r:id="rId12" xr:uid="{27974F10-4631-45DA-832C-A6E7F4D0B84B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D9DC4-06D4-4533-8197-234D8A0621AE}">
  <dimension ref="A1:M90"/>
  <sheetViews>
    <sheetView topLeftCell="A3" zoomScale="200" zoomScaleNormal="200" workbookViewId="0">
      <selection activeCell="B3" sqref="B3"/>
    </sheetView>
  </sheetViews>
  <sheetFormatPr defaultRowHeight="12.75" x14ac:dyDescent="0.2"/>
  <cols>
    <col min="1" max="1" width="4.7109375" style="36" customWidth="1"/>
    <col min="2" max="2" width="22.5703125" style="36" customWidth="1"/>
    <col min="3" max="16384" width="9.140625" style="36"/>
  </cols>
  <sheetData>
    <row r="1" spans="1:13" x14ac:dyDescent="0.2">
      <c r="A1" s="1" t="s">
        <v>333</v>
      </c>
    </row>
    <row r="2" spans="1:13" x14ac:dyDescent="0.2">
      <c r="A2" s="36" t="s">
        <v>1</v>
      </c>
    </row>
    <row r="3" spans="1:13" x14ac:dyDescent="0.2">
      <c r="A3" s="23" t="s">
        <v>224</v>
      </c>
      <c r="B3" s="24" t="s">
        <v>223</v>
      </c>
      <c r="C3" s="24" t="s">
        <v>222</v>
      </c>
      <c r="D3" s="24" t="s">
        <v>221</v>
      </c>
      <c r="E3" s="25" t="s">
        <v>229</v>
      </c>
      <c r="F3" s="25" t="s">
        <v>230</v>
      </c>
      <c r="G3" s="25" t="s">
        <v>231</v>
      </c>
      <c r="H3" s="25" t="s">
        <v>232</v>
      </c>
      <c r="I3" s="25" t="s">
        <v>416</v>
      </c>
      <c r="J3" s="24" t="s">
        <v>2196</v>
      </c>
      <c r="K3" s="24"/>
      <c r="L3" s="24" t="s">
        <v>340</v>
      </c>
      <c r="M3" s="26"/>
    </row>
    <row r="4" spans="1:13" x14ac:dyDescent="0.2">
      <c r="A4" s="37">
        <v>1</v>
      </c>
      <c r="B4" s="36" t="s">
        <v>2485</v>
      </c>
      <c r="D4" s="36" t="s">
        <v>2</v>
      </c>
    </row>
    <row r="5" spans="1:13" x14ac:dyDescent="0.2">
      <c r="A5" s="37">
        <f>+A4+1</f>
        <v>2</v>
      </c>
      <c r="B5" s="36" t="s">
        <v>2486</v>
      </c>
      <c r="C5" s="36" t="s">
        <v>2487</v>
      </c>
      <c r="D5" s="36" t="s">
        <v>2</v>
      </c>
    </row>
    <row r="6" spans="1:13" x14ac:dyDescent="0.2">
      <c r="A6" s="37">
        <f t="shared" ref="A6:A69" si="0">+A5+1</f>
        <v>3</v>
      </c>
      <c r="B6" s="36" t="s">
        <v>342</v>
      </c>
      <c r="C6" s="36" t="s">
        <v>342</v>
      </c>
      <c r="D6" s="36" t="s">
        <v>2</v>
      </c>
    </row>
    <row r="7" spans="1:13" x14ac:dyDescent="0.2">
      <c r="A7" s="37">
        <f t="shared" si="0"/>
        <v>4</v>
      </c>
      <c r="B7" s="36" t="s">
        <v>203</v>
      </c>
      <c r="C7" s="36" t="s">
        <v>202</v>
      </c>
      <c r="D7" s="36" t="s">
        <v>2</v>
      </c>
    </row>
    <row r="8" spans="1:13" x14ac:dyDescent="0.2">
      <c r="A8" s="37">
        <f t="shared" si="0"/>
        <v>5</v>
      </c>
      <c r="B8" s="36" t="s">
        <v>207</v>
      </c>
      <c r="C8" s="36" t="s">
        <v>206</v>
      </c>
      <c r="D8" s="36" t="s">
        <v>119</v>
      </c>
    </row>
    <row r="9" spans="1:13" x14ac:dyDescent="0.2">
      <c r="A9" s="37">
        <f t="shared" si="0"/>
        <v>6</v>
      </c>
      <c r="B9" s="36" t="s">
        <v>345</v>
      </c>
      <c r="C9" s="36" t="s">
        <v>346</v>
      </c>
      <c r="D9" s="36" t="s">
        <v>2</v>
      </c>
    </row>
    <row r="10" spans="1:13" x14ac:dyDescent="0.2">
      <c r="A10" s="37">
        <f t="shared" si="0"/>
        <v>7</v>
      </c>
      <c r="B10" s="36" t="s">
        <v>347</v>
      </c>
      <c r="C10" s="36" t="s">
        <v>348</v>
      </c>
      <c r="D10" s="36" t="s">
        <v>36</v>
      </c>
    </row>
    <row r="11" spans="1:13" x14ac:dyDescent="0.2">
      <c r="A11" s="37">
        <f t="shared" si="0"/>
        <v>8</v>
      </c>
      <c r="B11" s="36" t="s">
        <v>201</v>
      </c>
      <c r="C11" s="36" t="s">
        <v>200</v>
      </c>
      <c r="D11" s="36" t="s">
        <v>2</v>
      </c>
    </row>
    <row r="12" spans="1:13" x14ac:dyDescent="0.2">
      <c r="A12" s="37">
        <f t="shared" si="0"/>
        <v>9</v>
      </c>
      <c r="B12" s="36" t="s">
        <v>2488</v>
      </c>
      <c r="C12" s="36" t="s">
        <v>2489</v>
      </c>
      <c r="D12" s="36" t="s">
        <v>193</v>
      </c>
    </row>
    <row r="13" spans="1:13" x14ac:dyDescent="0.2">
      <c r="A13" s="37">
        <f t="shared" si="0"/>
        <v>10</v>
      </c>
      <c r="B13" s="36" t="s">
        <v>2490</v>
      </c>
      <c r="C13" s="36" t="s">
        <v>352</v>
      </c>
      <c r="D13" s="36" t="s">
        <v>2</v>
      </c>
    </row>
    <row r="14" spans="1:13" x14ac:dyDescent="0.2">
      <c r="A14" s="37">
        <f t="shared" si="0"/>
        <v>11</v>
      </c>
      <c r="B14" s="36" t="s">
        <v>2492</v>
      </c>
      <c r="C14" s="36" t="s">
        <v>2491</v>
      </c>
      <c r="D14" s="36" t="s">
        <v>2</v>
      </c>
    </row>
    <row r="15" spans="1:13" x14ac:dyDescent="0.2">
      <c r="A15" s="37">
        <f t="shared" si="0"/>
        <v>12</v>
      </c>
      <c r="B15" s="36" t="s">
        <v>2493</v>
      </c>
      <c r="C15" s="36" t="s">
        <v>354</v>
      </c>
      <c r="D15" s="36" t="s">
        <v>193</v>
      </c>
    </row>
    <row r="16" spans="1:13" x14ac:dyDescent="0.2">
      <c r="A16" s="37">
        <f t="shared" si="0"/>
        <v>13</v>
      </c>
      <c r="B16" s="36" t="s">
        <v>2513</v>
      </c>
      <c r="C16" s="36" t="s">
        <v>2494</v>
      </c>
      <c r="D16" s="36" t="s">
        <v>2</v>
      </c>
    </row>
    <row r="17" spans="1:4" x14ac:dyDescent="0.2">
      <c r="A17" s="37">
        <f t="shared" si="0"/>
        <v>14</v>
      </c>
      <c r="B17" s="36" t="s">
        <v>2495</v>
      </c>
      <c r="C17" s="36" t="s">
        <v>62</v>
      </c>
      <c r="D17" s="36" t="s">
        <v>61</v>
      </c>
    </row>
    <row r="18" spans="1:4" x14ac:dyDescent="0.2">
      <c r="A18" s="37">
        <f t="shared" si="0"/>
        <v>15</v>
      </c>
      <c r="B18" s="36" t="s">
        <v>368</v>
      </c>
      <c r="C18" s="36" t="s">
        <v>369</v>
      </c>
      <c r="D18" s="36" t="s">
        <v>240</v>
      </c>
    </row>
    <row r="19" spans="1:4" x14ac:dyDescent="0.2">
      <c r="A19" s="37">
        <f t="shared" si="0"/>
        <v>16</v>
      </c>
      <c r="B19" s="36" t="s">
        <v>2496</v>
      </c>
      <c r="C19" s="36" t="s">
        <v>375</v>
      </c>
      <c r="D19" s="36" t="s">
        <v>989</v>
      </c>
    </row>
    <row r="20" spans="1:4" x14ac:dyDescent="0.2">
      <c r="A20" s="37">
        <f t="shared" si="0"/>
        <v>17</v>
      </c>
      <c r="B20" s="36" t="s">
        <v>2483</v>
      </c>
      <c r="C20" s="36" t="s">
        <v>2484</v>
      </c>
      <c r="D20" s="36" t="s">
        <v>2</v>
      </c>
    </row>
    <row r="21" spans="1:4" x14ac:dyDescent="0.2">
      <c r="A21" s="37">
        <f t="shared" si="0"/>
        <v>18</v>
      </c>
      <c r="B21" s="36" t="s">
        <v>370</v>
      </c>
      <c r="C21" s="36" t="s">
        <v>2514</v>
      </c>
      <c r="D21" s="36" t="s">
        <v>56</v>
      </c>
    </row>
    <row r="22" spans="1:4" x14ac:dyDescent="0.2">
      <c r="A22" s="37">
        <f t="shared" si="0"/>
        <v>19</v>
      </c>
      <c r="B22" s="36" t="s">
        <v>2497</v>
      </c>
      <c r="C22" s="36" t="s">
        <v>362</v>
      </c>
      <c r="D22" s="36" t="s">
        <v>47</v>
      </c>
    </row>
    <row r="23" spans="1:4" x14ac:dyDescent="0.2">
      <c r="A23" s="37">
        <f t="shared" si="0"/>
        <v>20</v>
      </c>
      <c r="B23" s="36" t="s">
        <v>365</v>
      </c>
      <c r="C23" s="36" t="s">
        <v>366</v>
      </c>
      <c r="D23" s="36" t="s">
        <v>367</v>
      </c>
    </row>
    <row r="24" spans="1:4" x14ac:dyDescent="0.2">
      <c r="A24" s="37">
        <f t="shared" si="0"/>
        <v>21</v>
      </c>
      <c r="B24" s="36" t="s">
        <v>2498</v>
      </c>
      <c r="C24" s="36" t="s">
        <v>2499</v>
      </c>
      <c r="D24" s="36" t="s">
        <v>2500</v>
      </c>
    </row>
    <row r="25" spans="1:4" x14ac:dyDescent="0.2">
      <c r="A25" s="37">
        <f t="shared" si="0"/>
        <v>22</v>
      </c>
      <c r="B25" s="36" t="s">
        <v>357</v>
      </c>
      <c r="C25" s="36" t="s">
        <v>358</v>
      </c>
    </row>
    <row r="26" spans="1:4" x14ac:dyDescent="0.2">
      <c r="A26" s="37">
        <f t="shared" si="0"/>
        <v>23</v>
      </c>
      <c r="B26" s="36" t="s">
        <v>2515</v>
      </c>
      <c r="C26" s="36" t="s">
        <v>2516</v>
      </c>
    </row>
    <row r="27" spans="1:4" x14ac:dyDescent="0.2">
      <c r="A27" s="37">
        <f t="shared" si="0"/>
        <v>24</v>
      </c>
      <c r="B27" s="36" t="s">
        <v>1007</v>
      </c>
      <c r="C27" s="36" t="s">
        <v>1008</v>
      </c>
    </row>
    <row r="28" spans="1:4" x14ac:dyDescent="0.2">
      <c r="A28" s="37">
        <f t="shared" si="0"/>
        <v>25</v>
      </c>
      <c r="B28" s="36" t="s">
        <v>2517</v>
      </c>
      <c r="C28" s="36" t="s">
        <v>2518</v>
      </c>
    </row>
    <row r="29" spans="1:4" x14ac:dyDescent="0.2">
      <c r="A29" s="37">
        <f t="shared" si="0"/>
        <v>26</v>
      </c>
      <c r="B29" s="36" t="s">
        <v>2519</v>
      </c>
      <c r="C29" s="36" t="s">
        <v>2520</v>
      </c>
    </row>
    <row r="30" spans="1:4" x14ac:dyDescent="0.2">
      <c r="A30" s="37">
        <f t="shared" si="0"/>
        <v>27</v>
      </c>
      <c r="B30" s="36" t="s">
        <v>2521</v>
      </c>
      <c r="C30" s="36" t="s">
        <v>2522</v>
      </c>
    </row>
    <row r="31" spans="1:4" x14ac:dyDescent="0.2">
      <c r="A31" s="37">
        <f t="shared" si="0"/>
        <v>28</v>
      </c>
      <c r="B31" s="36" t="s">
        <v>1099</v>
      </c>
      <c r="C31" s="36" t="s">
        <v>1100</v>
      </c>
    </row>
    <row r="32" spans="1:4" x14ac:dyDescent="0.2">
      <c r="A32" s="37">
        <f t="shared" si="0"/>
        <v>29</v>
      </c>
      <c r="B32" s="36" t="s">
        <v>376</v>
      </c>
      <c r="C32" s="36" t="s">
        <v>377</v>
      </c>
    </row>
    <row r="33" spans="1:3" x14ac:dyDescent="0.2">
      <c r="A33" s="37">
        <f t="shared" si="0"/>
        <v>30</v>
      </c>
      <c r="B33" s="36" t="s">
        <v>1037</v>
      </c>
      <c r="C33" s="36" t="s">
        <v>2523</v>
      </c>
    </row>
    <row r="34" spans="1:3" x14ac:dyDescent="0.2">
      <c r="A34" s="37">
        <f t="shared" si="0"/>
        <v>31</v>
      </c>
      <c r="B34" s="36" t="s">
        <v>2524</v>
      </c>
      <c r="C34" s="36" t="s">
        <v>2525</v>
      </c>
    </row>
    <row r="35" spans="1:3" x14ac:dyDescent="0.2">
      <c r="A35" s="37">
        <f t="shared" si="0"/>
        <v>32</v>
      </c>
      <c r="B35" s="36" t="s">
        <v>2526</v>
      </c>
      <c r="C35" s="36" t="s">
        <v>383</v>
      </c>
    </row>
    <row r="36" spans="1:3" x14ac:dyDescent="0.2">
      <c r="A36" s="37">
        <f t="shared" si="0"/>
        <v>33</v>
      </c>
      <c r="B36" s="36" t="s">
        <v>2527</v>
      </c>
      <c r="C36" s="36" t="s">
        <v>2528</v>
      </c>
    </row>
    <row r="37" spans="1:3" x14ac:dyDescent="0.2">
      <c r="A37" s="37">
        <f t="shared" si="0"/>
        <v>34</v>
      </c>
      <c r="B37" s="36" t="s">
        <v>2529</v>
      </c>
      <c r="C37" s="36" t="s">
        <v>2530</v>
      </c>
    </row>
    <row r="38" spans="1:3" x14ac:dyDescent="0.2">
      <c r="A38" s="37">
        <f t="shared" si="0"/>
        <v>35</v>
      </c>
      <c r="B38" s="36" t="s">
        <v>1135</v>
      </c>
      <c r="C38" s="36" t="s">
        <v>1136</v>
      </c>
    </row>
    <row r="39" spans="1:3" x14ac:dyDescent="0.2">
      <c r="A39" s="37">
        <f t="shared" si="0"/>
        <v>36</v>
      </c>
      <c r="B39" s="36" t="s">
        <v>2531</v>
      </c>
      <c r="C39" s="36" t="s">
        <v>2532</v>
      </c>
    </row>
    <row r="40" spans="1:3" x14ac:dyDescent="0.2">
      <c r="A40" s="37">
        <f t="shared" si="0"/>
        <v>37</v>
      </c>
      <c r="B40" s="36" t="s">
        <v>2533</v>
      </c>
      <c r="C40" s="36" t="s">
        <v>2534</v>
      </c>
    </row>
    <row r="41" spans="1:3" x14ac:dyDescent="0.2">
      <c r="A41" s="37">
        <f t="shared" si="0"/>
        <v>38</v>
      </c>
      <c r="B41" s="36" t="s">
        <v>1060</v>
      </c>
      <c r="C41" s="36" t="s">
        <v>1061</v>
      </c>
    </row>
    <row r="42" spans="1:3" x14ac:dyDescent="0.2">
      <c r="A42" s="37">
        <f t="shared" si="0"/>
        <v>39</v>
      </c>
      <c r="B42" s="36" t="s">
        <v>2535</v>
      </c>
      <c r="C42" s="36" t="s">
        <v>2536</v>
      </c>
    </row>
    <row r="43" spans="1:3" x14ac:dyDescent="0.2">
      <c r="A43" s="37">
        <f t="shared" si="0"/>
        <v>40</v>
      </c>
      <c r="B43" s="36" t="s">
        <v>2537</v>
      </c>
      <c r="C43" s="36" t="s">
        <v>2538</v>
      </c>
    </row>
    <row r="44" spans="1:3" x14ac:dyDescent="0.2">
      <c r="A44" s="37">
        <f t="shared" si="0"/>
        <v>41</v>
      </c>
      <c r="B44" s="36" t="s">
        <v>2539</v>
      </c>
      <c r="C44" s="36" t="s">
        <v>2540</v>
      </c>
    </row>
    <row r="45" spans="1:3" x14ac:dyDescent="0.2">
      <c r="A45" s="37">
        <f t="shared" si="0"/>
        <v>42</v>
      </c>
      <c r="B45" s="36" t="s">
        <v>2541</v>
      </c>
      <c r="C45" s="36" t="s">
        <v>2542</v>
      </c>
    </row>
    <row r="46" spans="1:3" x14ac:dyDescent="0.2">
      <c r="A46" s="37">
        <f t="shared" si="0"/>
        <v>43</v>
      </c>
      <c r="B46" s="36" t="s">
        <v>393</v>
      </c>
      <c r="C46" s="36" t="s">
        <v>394</v>
      </c>
    </row>
    <row r="47" spans="1:3" x14ac:dyDescent="0.2">
      <c r="A47" s="37">
        <f t="shared" si="0"/>
        <v>44</v>
      </c>
      <c r="B47" s="36" t="s">
        <v>2543</v>
      </c>
      <c r="C47" s="36" t="s">
        <v>2544</v>
      </c>
    </row>
    <row r="48" spans="1:3" x14ac:dyDescent="0.2">
      <c r="A48" s="37">
        <f t="shared" si="0"/>
        <v>45</v>
      </c>
      <c r="B48" s="36" t="s">
        <v>1195</v>
      </c>
      <c r="C48" s="36" t="s">
        <v>1196</v>
      </c>
    </row>
    <row r="49" spans="1:3" x14ac:dyDescent="0.2">
      <c r="A49" s="37">
        <f t="shared" si="0"/>
        <v>46</v>
      </c>
      <c r="B49" s="36" t="s">
        <v>2545</v>
      </c>
      <c r="C49" s="36" t="s">
        <v>2546</v>
      </c>
    </row>
    <row r="50" spans="1:3" x14ac:dyDescent="0.2">
      <c r="A50" s="37">
        <f t="shared" si="0"/>
        <v>47</v>
      </c>
      <c r="B50" s="36" t="s">
        <v>2547</v>
      </c>
      <c r="C50" s="36" t="s">
        <v>2548</v>
      </c>
    </row>
    <row r="51" spans="1:3" x14ac:dyDescent="0.2">
      <c r="A51" s="37">
        <f t="shared" si="0"/>
        <v>48</v>
      </c>
      <c r="B51" s="36" t="s">
        <v>2481</v>
      </c>
      <c r="C51" s="36" t="s">
        <v>2482</v>
      </c>
    </row>
    <row r="52" spans="1:3" x14ac:dyDescent="0.2">
      <c r="A52" s="37">
        <f t="shared" si="0"/>
        <v>49</v>
      </c>
      <c r="B52" s="36" t="s">
        <v>2549</v>
      </c>
      <c r="C52" s="36" t="s">
        <v>2550</v>
      </c>
    </row>
    <row r="53" spans="1:3" x14ac:dyDescent="0.2">
      <c r="A53" s="37">
        <f t="shared" si="0"/>
        <v>50</v>
      </c>
      <c r="B53" s="36" t="s">
        <v>2551</v>
      </c>
      <c r="C53" s="36" t="s">
        <v>2552</v>
      </c>
    </row>
    <row r="54" spans="1:3" x14ac:dyDescent="0.2">
      <c r="A54" s="37">
        <f t="shared" si="0"/>
        <v>51</v>
      </c>
      <c r="B54" s="36" t="s">
        <v>2553</v>
      </c>
      <c r="C54" s="36" t="s">
        <v>2554</v>
      </c>
    </row>
    <row r="55" spans="1:3" x14ac:dyDescent="0.2">
      <c r="A55" s="37">
        <f t="shared" si="0"/>
        <v>52</v>
      </c>
      <c r="B55" s="36" t="s">
        <v>2555</v>
      </c>
      <c r="C55" s="36" t="s">
        <v>2556</v>
      </c>
    </row>
    <row r="56" spans="1:3" x14ac:dyDescent="0.2">
      <c r="A56" s="37">
        <f t="shared" si="0"/>
        <v>53</v>
      </c>
      <c r="B56" s="36" t="s">
        <v>2557</v>
      </c>
      <c r="C56" s="36" t="s">
        <v>400</v>
      </c>
    </row>
    <row r="57" spans="1:3" x14ac:dyDescent="0.2">
      <c r="A57" s="37">
        <f t="shared" si="0"/>
        <v>54</v>
      </c>
      <c r="B57" s="36" t="s">
        <v>2558</v>
      </c>
      <c r="C57" s="36" t="s">
        <v>2559</v>
      </c>
    </row>
    <row r="58" spans="1:3" x14ac:dyDescent="0.2">
      <c r="A58" s="37">
        <f t="shared" si="0"/>
        <v>55</v>
      </c>
      <c r="B58" s="36" t="s">
        <v>1476</v>
      </c>
      <c r="C58" s="36" t="s">
        <v>1477</v>
      </c>
    </row>
    <row r="59" spans="1:3" x14ac:dyDescent="0.2">
      <c r="A59" s="37">
        <f t="shared" si="0"/>
        <v>56</v>
      </c>
      <c r="B59" s="36" t="s">
        <v>2560</v>
      </c>
      <c r="C59" s="36" t="s">
        <v>2561</v>
      </c>
    </row>
    <row r="60" spans="1:3" x14ac:dyDescent="0.2">
      <c r="A60" s="37">
        <f t="shared" si="0"/>
        <v>57</v>
      </c>
      <c r="B60" s="36" t="s">
        <v>2562</v>
      </c>
      <c r="C60" s="36" t="s">
        <v>2563</v>
      </c>
    </row>
    <row r="61" spans="1:3" x14ac:dyDescent="0.2">
      <c r="A61" s="37">
        <f t="shared" si="0"/>
        <v>58</v>
      </c>
      <c r="B61" s="36" t="s">
        <v>2564</v>
      </c>
      <c r="C61" s="36" t="s">
        <v>2565</v>
      </c>
    </row>
    <row r="62" spans="1:3" x14ac:dyDescent="0.2">
      <c r="A62" s="37">
        <f t="shared" si="0"/>
        <v>59</v>
      </c>
      <c r="B62" s="36" t="s">
        <v>2566</v>
      </c>
      <c r="C62" s="36" t="s">
        <v>2567</v>
      </c>
    </row>
    <row r="63" spans="1:3" x14ac:dyDescent="0.2">
      <c r="A63" s="37">
        <f t="shared" si="0"/>
        <v>60</v>
      </c>
      <c r="B63" s="36" t="s">
        <v>2568</v>
      </c>
      <c r="C63" s="36" t="s">
        <v>2569</v>
      </c>
    </row>
    <row r="64" spans="1:3" x14ac:dyDescent="0.2">
      <c r="A64" s="37">
        <f t="shared" si="0"/>
        <v>61</v>
      </c>
      <c r="B64" s="36" t="s">
        <v>2570</v>
      </c>
      <c r="C64" s="36" t="s">
        <v>2571</v>
      </c>
    </row>
    <row r="65" spans="1:3" x14ac:dyDescent="0.2">
      <c r="A65" s="37">
        <f t="shared" si="0"/>
        <v>62</v>
      </c>
      <c r="B65" s="36" t="s">
        <v>2572</v>
      </c>
      <c r="C65" s="36" t="s">
        <v>2573</v>
      </c>
    </row>
    <row r="66" spans="1:3" x14ac:dyDescent="0.2">
      <c r="A66" s="37">
        <f t="shared" si="0"/>
        <v>63</v>
      </c>
      <c r="B66" s="36" t="s">
        <v>2574</v>
      </c>
      <c r="C66" s="36" t="s">
        <v>2575</v>
      </c>
    </row>
    <row r="67" spans="1:3" x14ac:dyDescent="0.2">
      <c r="A67" s="37">
        <f t="shared" si="0"/>
        <v>64</v>
      </c>
      <c r="B67" s="36" t="s">
        <v>2214</v>
      </c>
      <c r="C67" s="36" t="s">
        <v>2215</v>
      </c>
    </row>
    <row r="68" spans="1:3" x14ac:dyDescent="0.2">
      <c r="A68" s="37">
        <f t="shared" si="0"/>
        <v>65</v>
      </c>
      <c r="B68" s="36" t="s">
        <v>2576</v>
      </c>
      <c r="C68" s="36" t="s">
        <v>2577</v>
      </c>
    </row>
    <row r="69" spans="1:3" x14ac:dyDescent="0.2">
      <c r="A69" s="37">
        <f t="shared" si="0"/>
        <v>66</v>
      </c>
      <c r="B69" s="36" t="s">
        <v>2578</v>
      </c>
      <c r="C69" s="36" t="s">
        <v>2579</v>
      </c>
    </row>
    <row r="70" spans="1:3" x14ac:dyDescent="0.2">
      <c r="A70" s="37">
        <f t="shared" ref="A70:A90" si="1">+A69+1</f>
        <v>67</v>
      </c>
      <c r="B70" s="36" t="s">
        <v>1543</v>
      </c>
      <c r="C70" s="36" t="s">
        <v>1544</v>
      </c>
    </row>
    <row r="71" spans="1:3" x14ac:dyDescent="0.2">
      <c r="A71" s="37">
        <f t="shared" si="1"/>
        <v>68</v>
      </c>
      <c r="B71" s="36" t="s">
        <v>2580</v>
      </c>
      <c r="C71" s="36" t="s">
        <v>2581</v>
      </c>
    </row>
    <row r="72" spans="1:3" x14ac:dyDescent="0.2">
      <c r="A72" s="37">
        <f t="shared" si="1"/>
        <v>69</v>
      </c>
      <c r="B72" s="36" t="s">
        <v>408</v>
      </c>
      <c r="C72" s="36" t="s">
        <v>409</v>
      </c>
    </row>
    <row r="73" spans="1:3" x14ac:dyDescent="0.2">
      <c r="A73" s="37">
        <f t="shared" si="1"/>
        <v>70</v>
      </c>
      <c r="B73" s="36" t="s">
        <v>2582</v>
      </c>
      <c r="C73" s="36" t="s">
        <v>2583</v>
      </c>
    </row>
    <row r="74" spans="1:3" x14ac:dyDescent="0.2">
      <c r="A74" s="37">
        <f t="shared" si="1"/>
        <v>71</v>
      </c>
      <c r="B74" s="36" t="s">
        <v>2584</v>
      </c>
      <c r="C74" s="36" t="s">
        <v>2585</v>
      </c>
    </row>
    <row r="75" spans="1:3" x14ac:dyDescent="0.2">
      <c r="A75" s="37">
        <f t="shared" si="1"/>
        <v>72</v>
      </c>
      <c r="B75" s="36" t="s">
        <v>2586</v>
      </c>
      <c r="C75" s="36" t="s">
        <v>2587</v>
      </c>
    </row>
    <row r="76" spans="1:3" x14ac:dyDescent="0.2">
      <c r="A76" s="37">
        <f t="shared" si="1"/>
        <v>73</v>
      </c>
      <c r="B76" s="36" t="s">
        <v>2588</v>
      </c>
      <c r="C76" s="36" t="s">
        <v>2589</v>
      </c>
    </row>
    <row r="77" spans="1:3" x14ac:dyDescent="0.2">
      <c r="A77" s="37">
        <f t="shared" si="1"/>
        <v>74</v>
      </c>
      <c r="B77" s="36" t="s">
        <v>2590</v>
      </c>
      <c r="C77" s="36" t="s">
        <v>2591</v>
      </c>
    </row>
    <row r="78" spans="1:3" x14ac:dyDescent="0.2">
      <c r="A78" s="37">
        <f t="shared" si="1"/>
        <v>75</v>
      </c>
      <c r="B78" s="36" t="s">
        <v>2592</v>
      </c>
      <c r="C78" s="36" t="s">
        <v>2593</v>
      </c>
    </row>
    <row r="79" spans="1:3" x14ac:dyDescent="0.2">
      <c r="A79" s="37">
        <f t="shared" si="1"/>
        <v>76</v>
      </c>
      <c r="B79" s="36" t="s">
        <v>1830</v>
      </c>
      <c r="C79" s="36" t="s">
        <v>1831</v>
      </c>
    </row>
    <row r="80" spans="1:3" x14ac:dyDescent="0.2">
      <c r="A80" s="37">
        <f t="shared" si="1"/>
        <v>77</v>
      </c>
      <c r="B80" s="36" t="s">
        <v>2594</v>
      </c>
      <c r="C80" s="36" t="s">
        <v>2595</v>
      </c>
    </row>
    <row r="81" spans="1:1" x14ac:dyDescent="0.2">
      <c r="A81" s="37">
        <f t="shared" si="1"/>
        <v>78</v>
      </c>
    </row>
    <row r="82" spans="1:1" x14ac:dyDescent="0.2">
      <c r="A82" s="37">
        <f t="shared" si="1"/>
        <v>79</v>
      </c>
    </row>
    <row r="83" spans="1:1" x14ac:dyDescent="0.2">
      <c r="A83" s="37">
        <f t="shared" si="1"/>
        <v>80</v>
      </c>
    </row>
    <row r="84" spans="1:1" x14ac:dyDescent="0.2">
      <c r="A84" s="37">
        <f t="shared" si="1"/>
        <v>81</v>
      </c>
    </row>
    <row r="85" spans="1:1" x14ac:dyDescent="0.2">
      <c r="A85" s="37">
        <f t="shared" si="1"/>
        <v>82</v>
      </c>
    </row>
    <row r="86" spans="1:1" x14ac:dyDescent="0.2">
      <c r="A86" s="37">
        <f t="shared" si="1"/>
        <v>83</v>
      </c>
    </row>
    <row r="87" spans="1:1" x14ac:dyDescent="0.2">
      <c r="A87" s="37">
        <f t="shared" si="1"/>
        <v>84</v>
      </c>
    </row>
    <row r="88" spans="1:1" x14ac:dyDescent="0.2">
      <c r="A88" s="37">
        <f t="shared" si="1"/>
        <v>85</v>
      </c>
    </row>
    <row r="89" spans="1:1" x14ac:dyDescent="0.2">
      <c r="A89" s="37">
        <f t="shared" si="1"/>
        <v>86</v>
      </c>
    </row>
    <row r="90" spans="1:1" x14ac:dyDescent="0.2">
      <c r="A90" s="37">
        <f t="shared" si="1"/>
        <v>87</v>
      </c>
    </row>
  </sheetData>
  <hyperlinks>
    <hyperlink ref="A1" location="Main!A1" display="Main" xr:uid="{F07BEEFB-1371-4B22-B77C-938F064C4E0D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5BB98-9B2D-427A-B20F-8CE5CF42BA03}">
  <dimension ref="A1:M116"/>
  <sheetViews>
    <sheetView zoomScale="200" zoomScaleNormal="200" workbookViewId="0">
      <selection activeCell="A2" sqref="A2"/>
    </sheetView>
  </sheetViews>
  <sheetFormatPr defaultRowHeight="12.75" x14ac:dyDescent="0.2"/>
  <cols>
    <col min="1" max="1" width="4.5703125" style="36" customWidth="1"/>
    <col min="2" max="2" width="36.140625" style="36" customWidth="1"/>
    <col min="3" max="3" width="15.42578125" style="36" bestFit="1" customWidth="1"/>
    <col min="4" max="4" width="19.7109375" style="36" bestFit="1" customWidth="1"/>
    <col min="5" max="16384" width="9.140625" style="36"/>
  </cols>
  <sheetData>
    <row r="1" spans="1:13" x14ac:dyDescent="0.2">
      <c r="A1" s="1" t="s">
        <v>333</v>
      </c>
    </row>
    <row r="2" spans="1:13" x14ac:dyDescent="0.2">
      <c r="A2" s="36" t="s">
        <v>1</v>
      </c>
    </row>
    <row r="3" spans="1:13" x14ac:dyDescent="0.2">
      <c r="A3" s="23" t="s">
        <v>224</v>
      </c>
      <c r="B3" s="24" t="s">
        <v>223</v>
      </c>
      <c r="C3" s="24" t="s">
        <v>222</v>
      </c>
      <c r="D3" s="24" t="s">
        <v>221</v>
      </c>
      <c r="E3" s="25" t="s">
        <v>229</v>
      </c>
      <c r="F3" s="25" t="s">
        <v>230</v>
      </c>
      <c r="G3" s="25" t="s">
        <v>231</v>
      </c>
      <c r="H3" s="25" t="s">
        <v>232</v>
      </c>
      <c r="I3" s="25" t="s">
        <v>416</v>
      </c>
      <c r="J3" s="24" t="s">
        <v>2196</v>
      </c>
      <c r="K3" s="24"/>
      <c r="L3" s="24" t="s">
        <v>340</v>
      </c>
      <c r="M3" s="26"/>
    </row>
    <row r="4" spans="1:13" x14ac:dyDescent="0.2">
      <c r="A4" s="37">
        <v>1</v>
      </c>
      <c r="B4" s="36" t="s">
        <v>452</v>
      </c>
      <c r="C4" s="36" t="s">
        <v>453</v>
      </c>
      <c r="D4" s="36" t="s">
        <v>2458</v>
      </c>
    </row>
    <row r="5" spans="1:13" x14ac:dyDescent="0.2">
      <c r="A5" s="37">
        <f>+A4+1</f>
        <v>2</v>
      </c>
      <c r="B5" s="36" t="s">
        <v>442</v>
      </c>
      <c r="C5" s="36" t="s">
        <v>443</v>
      </c>
      <c r="D5" s="36" t="s">
        <v>2447</v>
      </c>
    </row>
    <row r="6" spans="1:13" x14ac:dyDescent="0.2">
      <c r="A6" s="37">
        <f t="shared" ref="A6:A69" si="0">+A5+1</f>
        <v>3</v>
      </c>
      <c r="B6" s="36" t="s">
        <v>446</v>
      </c>
      <c r="C6" s="36" t="s">
        <v>447</v>
      </c>
      <c r="D6" s="36" t="s">
        <v>2459</v>
      </c>
    </row>
    <row r="7" spans="1:13" x14ac:dyDescent="0.2">
      <c r="A7" s="37">
        <f t="shared" si="0"/>
        <v>4</v>
      </c>
      <c r="B7" s="36" t="s">
        <v>2600</v>
      </c>
      <c r="C7" s="36" t="s">
        <v>2601</v>
      </c>
      <c r="D7" s="36" t="s">
        <v>2447</v>
      </c>
    </row>
    <row r="8" spans="1:13" x14ac:dyDescent="0.2">
      <c r="A8" s="37">
        <f t="shared" si="0"/>
        <v>5</v>
      </c>
      <c r="B8" s="36" t="s">
        <v>2623</v>
      </c>
      <c r="C8" s="36" t="s">
        <v>477</v>
      </c>
      <c r="D8" s="36" t="s">
        <v>2468</v>
      </c>
    </row>
    <row r="9" spans="1:13" x14ac:dyDescent="0.2">
      <c r="A9" s="37">
        <f t="shared" si="0"/>
        <v>6</v>
      </c>
      <c r="B9" s="36" t="s">
        <v>480</v>
      </c>
      <c r="C9" s="36" t="s">
        <v>481</v>
      </c>
      <c r="D9" s="36" t="s">
        <v>2461</v>
      </c>
    </row>
    <row r="10" spans="1:13" x14ac:dyDescent="0.2">
      <c r="A10" s="37">
        <f t="shared" si="0"/>
        <v>7</v>
      </c>
      <c r="B10" s="36" t="s">
        <v>486</v>
      </c>
      <c r="C10" s="36" t="s">
        <v>487</v>
      </c>
      <c r="D10" s="36" t="s">
        <v>2468</v>
      </c>
    </row>
    <row r="11" spans="1:13" x14ac:dyDescent="0.2">
      <c r="A11" s="37">
        <f t="shared" si="0"/>
        <v>8</v>
      </c>
      <c r="B11" s="36" t="s">
        <v>488</v>
      </c>
      <c r="C11" s="36" t="s">
        <v>489</v>
      </c>
      <c r="D11" s="36" t="s">
        <v>2602</v>
      </c>
    </row>
    <row r="12" spans="1:13" x14ac:dyDescent="0.2">
      <c r="A12" s="37">
        <f t="shared" si="0"/>
        <v>9</v>
      </c>
      <c r="B12" s="36" t="s">
        <v>510</v>
      </c>
      <c r="C12" s="36" t="s">
        <v>511</v>
      </c>
      <c r="D12" s="36" t="s">
        <v>2448</v>
      </c>
    </row>
    <row r="13" spans="1:13" x14ac:dyDescent="0.2">
      <c r="A13" s="37">
        <f t="shared" si="0"/>
        <v>10</v>
      </c>
      <c r="B13" s="36" t="s">
        <v>552</v>
      </c>
      <c r="C13" s="36" t="s">
        <v>553</v>
      </c>
      <c r="D13" s="36" t="s">
        <v>2448</v>
      </c>
    </row>
    <row r="14" spans="1:13" x14ac:dyDescent="0.2">
      <c r="A14" s="37">
        <f t="shared" si="0"/>
        <v>11</v>
      </c>
      <c r="B14" s="36" t="s">
        <v>2622</v>
      </c>
      <c r="C14" s="36" t="s">
        <v>521</v>
      </c>
      <c r="D14" s="36" t="s">
        <v>2468</v>
      </c>
    </row>
    <row r="15" spans="1:13" x14ac:dyDescent="0.2">
      <c r="A15" s="37">
        <f t="shared" si="0"/>
        <v>12</v>
      </c>
      <c r="B15" s="36" t="s">
        <v>536</v>
      </c>
      <c r="C15" s="36" t="s">
        <v>537</v>
      </c>
      <c r="D15" s="36" t="s">
        <v>2457</v>
      </c>
    </row>
    <row r="16" spans="1:13" x14ac:dyDescent="0.2">
      <c r="A16" s="37">
        <f t="shared" si="0"/>
        <v>13</v>
      </c>
      <c r="B16" s="36" t="s">
        <v>548</v>
      </c>
      <c r="C16" s="36" t="s">
        <v>549</v>
      </c>
      <c r="D16" s="36" t="s">
        <v>2448</v>
      </c>
    </row>
    <row r="17" spans="1:4" x14ac:dyDescent="0.2">
      <c r="A17" s="37">
        <f t="shared" si="0"/>
        <v>14</v>
      </c>
      <c r="B17" s="36" t="s">
        <v>622</v>
      </c>
      <c r="C17" s="36" t="s">
        <v>623</v>
      </c>
      <c r="D17" s="36" t="s">
        <v>2452</v>
      </c>
    </row>
    <row r="18" spans="1:4" x14ac:dyDescent="0.2">
      <c r="A18" s="37">
        <f t="shared" si="0"/>
        <v>15</v>
      </c>
      <c r="B18" s="36" t="s">
        <v>554</v>
      </c>
      <c r="C18" s="36" t="s">
        <v>555</v>
      </c>
      <c r="D18" s="36" t="s">
        <v>2461</v>
      </c>
    </row>
    <row r="19" spans="1:4" x14ac:dyDescent="0.2">
      <c r="A19" s="37">
        <f t="shared" si="0"/>
        <v>16</v>
      </c>
      <c r="B19" s="36" t="s">
        <v>538</v>
      </c>
      <c r="C19" s="36" t="s">
        <v>539</v>
      </c>
      <c r="D19" s="36" t="s">
        <v>2603</v>
      </c>
    </row>
    <row r="20" spans="1:4" x14ac:dyDescent="0.2">
      <c r="A20" s="37">
        <f t="shared" si="0"/>
        <v>17</v>
      </c>
      <c r="B20" s="36" t="s">
        <v>566</v>
      </c>
      <c r="C20" s="36" t="s">
        <v>567</v>
      </c>
      <c r="D20" s="36" t="s">
        <v>2441</v>
      </c>
    </row>
    <row r="21" spans="1:4" x14ac:dyDescent="0.2">
      <c r="A21" s="37">
        <f t="shared" si="0"/>
        <v>18</v>
      </c>
      <c r="B21" s="36" t="s">
        <v>528</v>
      </c>
      <c r="C21" s="36" t="s">
        <v>529</v>
      </c>
      <c r="D21" s="36" t="s">
        <v>2461</v>
      </c>
    </row>
    <row r="22" spans="1:4" x14ac:dyDescent="0.2">
      <c r="A22" s="37">
        <f t="shared" si="0"/>
        <v>19</v>
      </c>
      <c r="B22" s="36" t="s">
        <v>624</v>
      </c>
      <c r="C22" s="36" t="s">
        <v>625</v>
      </c>
      <c r="D22" s="36" t="s">
        <v>2476</v>
      </c>
    </row>
    <row r="23" spans="1:4" x14ac:dyDescent="0.2">
      <c r="A23" s="37">
        <f t="shared" si="0"/>
        <v>20</v>
      </c>
      <c r="B23" s="36" t="s">
        <v>616</v>
      </c>
      <c r="C23" s="36" t="s">
        <v>617</v>
      </c>
      <c r="D23" s="36" t="s">
        <v>2441</v>
      </c>
    </row>
    <row r="24" spans="1:4" x14ac:dyDescent="0.2">
      <c r="A24" s="37">
        <f t="shared" si="0"/>
        <v>21</v>
      </c>
      <c r="B24" s="36" t="s">
        <v>2604</v>
      </c>
      <c r="C24" s="36" t="s">
        <v>635</v>
      </c>
      <c r="D24" s="36" t="s">
        <v>2441</v>
      </c>
    </row>
    <row r="25" spans="1:4" x14ac:dyDescent="0.2">
      <c r="A25" s="37">
        <f t="shared" si="0"/>
        <v>22</v>
      </c>
      <c r="B25" s="36" t="s">
        <v>588</v>
      </c>
      <c r="C25" s="36" t="s">
        <v>589</v>
      </c>
      <c r="D25" s="36" t="s">
        <v>2475</v>
      </c>
    </row>
    <row r="26" spans="1:4" x14ac:dyDescent="0.2">
      <c r="A26" s="37">
        <f t="shared" si="0"/>
        <v>23</v>
      </c>
      <c r="B26" s="36" t="s">
        <v>677</v>
      </c>
      <c r="C26" s="36" t="s">
        <v>678</v>
      </c>
      <c r="D26" s="36" t="s">
        <v>2605</v>
      </c>
    </row>
    <row r="27" spans="1:4" x14ac:dyDescent="0.2">
      <c r="A27" s="37">
        <f t="shared" si="0"/>
        <v>24</v>
      </c>
      <c r="B27" s="36" t="s">
        <v>2606</v>
      </c>
      <c r="C27" s="36" t="s">
        <v>686</v>
      </c>
      <c r="D27" s="36" t="s">
        <v>2473</v>
      </c>
    </row>
    <row r="28" spans="1:4" x14ac:dyDescent="0.2">
      <c r="A28" s="37">
        <f t="shared" si="0"/>
        <v>25</v>
      </c>
      <c r="B28" s="36" t="s">
        <v>675</v>
      </c>
      <c r="C28" s="36" t="s">
        <v>676</v>
      </c>
      <c r="D28" s="36" t="s">
        <v>2441</v>
      </c>
    </row>
    <row r="29" spans="1:4" x14ac:dyDescent="0.2">
      <c r="A29" s="37">
        <f t="shared" si="0"/>
        <v>26</v>
      </c>
      <c r="B29" s="36" t="s">
        <v>659</v>
      </c>
      <c r="C29" s="36" t="s">
        <v>660</v>
      </c>
      <c r="D29" s="36" t="s">
        <v>2452</v>
      </c>
    </row>
    <row r="30" spans="1:4" x14ac:dyDescent="0.2">
      <c r="A30" s="37">
        <f t="shared" si="0"/>
        <v>27</v>
      </c>
      <c r="B30" s="36" t="s">
        <v>2607</v>
      </c>
      <c r="C30" s="36" t="s">
        <v>2608</v>
      </c>
      <c r="D30" s="36" t="s">
        <v>1961</v>
      </c>
    </row>
    <row r="31" spans="1:4" x14ac:dyDescent="0.2">
      <c r="A31" s="37">
        <f t="shared" si="0"/>
        <v>28</v>
      </c>
      <c r="B31" s="36" t="s">
        <v>691</v>
      </c>
      <c r="C31" s="36" t="s">
        <v>692</v>
      </c>
      <c r="D31" s="36" t="s">
        <v>2441</v>
      </c>
    </row>
    <row r="32" spans="1:4" x14ac:dyDescent="0.2">
      <c r="A32" s="37">
        <f t="shared" si="0"/>
        <v>29</v>
      </c>
      <c r="B32" s="36" t="s">
        <v>689</v>
      </c>
      <c r="C32" s="36" t="s">
        <v>690</v>
      </c>
      <c r="D32" s="36" t="s">
        <v>2463</v>
      </c>
    </row>
    <row r="33" spans="1:4" x14ac:dyDescent="0.2">
      <c r="A33" s="37">
        <f t="shared" si="0"/>
        <v>30</v>
      </c>
      <c r="B33" s="36" t="s">
        <v>614</v>
      </c>
      <c r="C33" s="36" t="s">
        <v>615</v>
      </c>
      <c r="D33" s="36" t="s">
        <v>2603</v>
      </c>
    </row>
    <row r="34" spans="1:4" x14ac:dyDescent="0.2">
      <c r="A34" s="37">
        <f t="shared" si="0"/>
        <v>31</v>
      </c>
      <c r="B34" s="36" t="s">
        <v>671</v>
      </c>
      <c r="C34" s="36" t="s">
        <v>672</v>
      </c>
      <c r="D34" s="36" t="s">
        <v>2476</v>
      </c>
    </row>
    <row r="35" spans="1:4" x14ac:dyDescent="0.2">
      <c r="A35" s="37">
        <f t="shared" si="0"/>
        <v>32</v>
      </c>
      <c r="B35" s="36" t="s">
        <v>703</v>
      </c>
      <c r="C35" s="36" t="s">
        <v>704</v>
      </c>
      <c r="D35" s="36" t="s">
        <v>2476</v>
      </c>
    </row>
    <row r="36" spans="1:4" x14ac:dyDescent="0.2">
      <c r="A36" s="37">
        <f t="shared" si="0"/>
        <v>33</v>
      </c>
      <c r="B36" s="36" t="s">
        <v>679</v>
      </c>
      <c r="C36" s="36" t="s">
        <v>680</v>
      </c>
      <c r="D36" s="36" t="s">
        <v>2452</v>
      </c>
    </row>
    <row r="37" spans="1:4" x14ac:dyDescent="0.2">
      <c r="A37" s="37">
        <f t="shared" si="0"/>
        <v>34</v>
      </c>
      <c r="B37" s="36" t="s">
        <v>693</v>
      </c>
      <c r="C37" s="36" t="s">
        <v>694</v>
      </c>
      <c r="D37" s="36" t="s">
        <v>2442</v>
      </c>
    </row>
    <row r="38" spans="1:4" x14ac:dyDescent="0.2">
      <c r="A38" s="37">
        <f t="shared" si="0"/>
        <v>35</v>
      </c>
      <c r="B38" s="36" t="s">
        <v>721</v>
      </c>
      <c r="C38" s="36" t="s">
        <v>722</v>
      </c>
      <c r="D38" s="36" t="s">
        <v>2443</v>
      </c>
    </row>
    <row r="39" spans="1:4" x14ac:dyDescent="0.2">
      <c r="A39" s="37">
        <f t="shared" si="0"/>
        <v>36</v>
      </c>
      <c r="B39" s="36" t="s">
        <v>687</v>
      </c>
      <c r="C39" s="36" t="s">
        <v>688</v>
      </c>
      <c r="D39" s="36" t="s">
        <v>2464</v>
      </c>
    </row>
    <row r="40" spans="1:4" x14ac:dyDescent="0.2">
      <c r="A40" s="37">
        <f t="shared" si="0"/>
        <v>37</v>
      </c>
      <c r="B40" s="36" t="s">
        <v>709</v>
      </c>
      <c r="C40" s="36" t="s">
        <v>710</v>
      </c>
      <c r="D40" s="36" t="s">
        <v>2476</v>
      </c>
    </row>
    <row r="41" spans="1:4" x14ac:dyDescent="0.2">
      <c r="A41" s="37">
        <f t="shared" si="0"/>
        <v>38</v>
      </c>
      <c r="B41" s="36" t="s">
        <v>723</v>
      </c>
      <c r="C41" s="36" t="s">
        <v>724</v>
      </c>
      <c r="D41" s="36" t="s">
        <v>2442</v>
      </c>
    </row>
    <row r="42" spans="1:4" x14ac:dyDescent="0.2">
      <c r="A42" s="37">
        <f t="shared" si="0"/>
        <v>39</v>
      </c>
      <c r="B42" s="36" t="s">
        <v>745</v>
      </c>
      <c r="C42" s="36" t="s">
        <v>746</v>
      </c>
      <c r="D42" s="36" t="s">
        <v>2448</v>
      </c>
    </row>
    <row r="43" spans="1:4" x14ac:dyDescent="0.2">
      <c r="A43" s="37">
        <f t="shared" si="0"/>
        <v>40</v>
      </c>
      <c r="B43" s="36" t="s">
        <v>749</v>
      </c>
      <c r="C43" s="36" t="s">
        <v>750</v>
      </c>
      <c r="D43" s="36" t="s">
        <v>2605</v>
      </c>
    </row>
    <row r="44" spans="1:4" x14ac:dyDescent="0.2">
      <c r="A44" s="37">
        <f t="shared" si="0"/>
        <v>41</v>
      </c>
      <c r="B44" s="36" t="s">
        <v>715</v>
      </c>
      <c r="C44" s="36" t="s">
        <v>716</v>
      </c>
      <c r="D44" s="36" t="s">
        <v>2464</v>
      </c>
    </row>
    <row r="45" spans="1:4" x14ac:dyDescent="0.2">
      <c r="A45" s="37">
        <f t="shared" si="0"/>
        <v>42</v>
      </c>
      <c r="B45" s="36" t="s">
        <v>759</v>
      </c>
      <c r="C45" s="36" t="s">
        <v>760</v>
      </c>
      <c r="D45" s="36" t="s">
        <v>2605</v>
      </c>
    </row>
    <row r="46" spans="1:4" x14ac:dyDescent="0.2">
      <c r="A46" s="37">
        <f t="shared" si="0"/>
        <v>43</v>
      </c>
      <c r="B46" s="36" t="s">
        <v>713</v>
      </c>
      <c r="C46" s="36" t="s">
        <v>714</v>
      </c>
      <c r="D46" s="36" t="s">
        <v>2442</v>
      </c>
    </row>
    <row r="47" spans="1:4" x14ac:dyDescent="0.2">
      <c r="A47" s="37">
        <f t="shared" si="0"/>
        <v>44</v>
      </c>
      <c r="B47" s="36" t="s">
        <v>719</v>
      </c>
      <c r="C47" s="36" t="s">
        <v>720</v>
      </c>
      <c r="D47" s="36" t="s">
        <v>2602</v>
      </c>
    </row>
    <row r="48" spans="1:4" x14ac:dyDescent="0.2">
      <c r="A48" s="37">
        <f t="shared" si="0"/>
        <v>45</v>
      </c>
      <c r="B48" s="36" t="s">
        <v>2609</v>
      </c>
      <c r="C48" s="36" t="s">
        <v>728</v>
      </c>
      <c r="D48" s="36" t="s">
        <v>2452</v>
      </c>
    </row>
    <row r="49" spans="1:4" x14ac:dyDescent="0.2">
      <c r="A49" s="37">
        <f t="shared" si="0"/>
        <v>46</v>
      </c>
      <c r="B49" s="36" t="s">
        <v>775</v>
      </c>
      <c r="C49" s="36" t="s">
        <v>776</v>
      </c>
      <c r="D49" s="36" t="s">
        <v>2441</v>
      </c>
    </row>
    <row r="50" spans="1:4" x14ac:dyDescent="0.2">
      <c r="A50" s="37">
        <f t="shared" si="0"/>
        <v>47</v>
      </c>
      <c r="B50" s="36" t="s">
        <v>751</v>
      </c>
      <c r="C50" s="36" t="s">
        <v>752</v>
      </c>
      <c r="D50" s="36" t="s">
        <v>2452</v>
      </c>
    </row>
    <row r="51" spans="1:4" x14ac:dyDescent="0.2">
      <c r="A51" s="37">
        <f t="shared" si="0"/>
        <v>48</v>
      </c>
      <c r="B51" s="36" t="s">
        <v>769</v>
      </c>
      <c r="C51" s="36" t="s">
        <v>770</v>
      </c>
      <c r="D51" s="36" t="s">
        <v>2442</v>
      </c>
    </row>
    <row r="52" spans="1:4" x14ac:dyDescent="0.2">
      <c r="A52" s="37">
        <f t="shared" si="0"/>
        <v>49</v>
      </c>
      <c r="B52" s="36" t="s">
        <v>725</v>
      </c>
      <c r="C52" s="36" t="s">
        <v>726</v>
      </c>
      <c r="D52" s="36" t="s">
        <v>2454</v>
      </c>
    </row>
    <row r="53" spans="1:4" x14ac:dyDescent="0.2">
      <c r="A53" s="37">
        <f t="shared" si="0"/>
        <v>50</v>
      </c>
      <c r="B53" s="36" t="s">
        <v>785</v>
      </c>
      <c r="C53" s="36" t="s">
        <v>786</v>
      </c>
      <c r="D53" s="36" t="s">
        <v>2458</v>
      </c>
    </row>
    <row r="54" spans="1:4" x14ac:dyDescent="0.2">
      <c r="A54" s="37">
        <f t="shared" si="0"/>
        <v>51</v>
      </c>
      <c r="B54" s="36" t="s">
        <v>735</v>
      </c>
      <c r="C54" s="36" t="s">
        <v>736</v>
      </c>
      <c r="D54" s="36" t="s">
        <v>2464</v>
      </c>
    </row>
    <row r="55" spans="1:4" x14ac:dyDescent="0.2">
      <c r="A55" s="37">
        <f t="shared" si="0"/>
        <v>52</v>
      </c>
      <c r="B55" s="36" t="s">
        <v>763</v>
      </c>
      <c r="C55" s="36" t="s">
        <v>2610</v>
      </c>
      <c r="D55" s="36" t="s">
        <v>2464</v>
      </c>
    </row>
    <row r="56" spans="1:4" x14ac:dyDescent="0.2">
      <c r="A56" s="37">
        <f t="shared" si="0"/>
        <v>53</v>
      </c>
      <c r="B56" s="36" t="s">
        <v>827</v>
      </c>
      <c r="C56" s="36" t="s">
        <v>828</v>
      </c>
      <c r="D56" s="36" t="s">
        <v>2452</v>
      </c>
    </row>
    <row r="57" spans="1:4" x14ac:dyDescent="0.2">
      <c r="A57" s="37">
        <f t="shared" si="0"/>
        <v>54</v>
      </c>
      <c r="B57" s="36" t="s">
        <v>787</v>
      </c>
      <c r="C57" s="36" t="s">
        <v>788</v>
      </c>
      <c r="D57" s="36" t="s">
        <v>2468</v>
      </c>
    </row>
    <row r="58" spans="1:4" x14ac:dyDescent="0.2">
      <c r="A58" s="37">
        <f t="shared" si="0"/>
        <v>55</v>
      </c>
      <c r="B58" s="36" t="s">
        <v>807</v>
      </c>
      <c r="C58" s="36" t="s">
        <v>808</v>
      </c>
      <c r="D58" s="36" t="s">
        <v>2468</v>
      </c>
    </row>
    <row r="59" spans="1:4" x14ac:dyDescent="0.2">
      <c r="A59" s="37">
        <f t="shared" si="0"/>
        <v>56</v>
      </c>
      <c r="B59" s="36" t="s">
        <v>805</v>
      </c>
      <c r="C59" s="36" t="s">
        <v>806</v>
      </c>
      <c r="D59" s="36" t="s">
        <v>2476</v>
      </c>
    </row>
    <row r="60" spans="1:4" x14ac:dyDescent="0.2">
      <c r="A60" s="37">
        <f t="shared" si="0"/>
        <v>57</v>
      </c>
      <c r="B60" s="36" t="s">
        <v>825</v>
      </c>
      <c r="C60" s="36" t="s">
        <v>826</v>
      </c>
      <c r="D60" s="36" t="s">
        <v>2443</v>
      </c>
    </row>
    <row r="61" spans="1:4" x14ac:dyDescent="0.2">
      <c r="A61" s="37">
        <f t="shared" si="0"/>
        <v>58</v>
      </c>
      <c r="B61" s="36" t="s">
        <v>2624</v>
      </c>
      <c r="C61" s="36" t="s">
        <v>824</v>
      </c>
      <c r="D61" s="36" t="s">
        <v>2441</v>
      </c>
    </row>
    <row r="62" spans="1:4" x14ac:dyDescent="0.2">
      <c r="A62" s="37">
        <f t="shared" si="0"/>
        <v>59</v>
      </c>
      <c r="B62" s="36" t="s">
        <v>783</v>
      </c>
      <c r="C62" s="36" t="s">
        <v>784</v>
      </c>
      <c r="D62" s="36" t="s">
        <v>2473</v>
      </c>
    </row>
    <row r="63" spans="1:4" x14ac:dyDescent="0.2">
      <c r="A63" s="37">
        <f t="shared" si="0"/>
        <v>60</v>
      </c>
      <c r="B63" s="36" t="s">
        <v>797</v>
      </c>
      <c r="C63" s="36" t="s">
        <v>798</v>
      </c>
      <c r="D63" s="36" t="s">
        <v>2458</v>
      </c>
    </row>
    <row r="64" spans="1:4" x14ac:dyDescent="0.2">
      <c r="A64" s="37">
        <f t="shared" si="0"/>
        <v>61</v>
      </c>
      <c r="B64" s="36" t="s">
        <v>887</v>
      </c>
      <c r="C64" s="36" t="s">
        <v>888</v>
      </c>
      <c r="D64" s="36" t="s">
        <v>2452</v>
      </c>
    </row>
    <row r="65" spans="1:4" x14ac:dyDescent="0.2">
      <c r="A65" s="37">
        <f t="shared" si="0"/>
        <v>62</v>
      </c>
      <c r="B65" s="36" t="s">
        <v>841</v>
      </c>
      <c r="C65" s="36" t="s">
        <v>842</v>
      </c>
      <c r="D65" s="36" t="s">
        <v>2443</v>
      </c>
    </row>
    <row r="66" spans="1:4" x14ac:dyDescent="0.2">
      <c r="A66" s="37">
        <f t="shared" si="0"/>
        <v>63</v>
      </c>
      <c r="B66" s="36" t="s">
        <v>853</v>
      </c>
      <c r="C66" s="36" t="s">
        <v>854</v>
      </c>
      <c r="D66" s="36" t="s">
        <v>2452</v>
      </c>
    </row>
    <row r="67" spans="1:4" x14ac:dyDescent="0.2">
      <c r="A67" s="37">
        <f t="shared" si="0"/>
        <v>64</v>
      </c>
      <c r="B67" s="36" t="s">
        <v>865</v>
      </c>
      <c r="C67" s="36" t="s">
        <v>866</v>
      </c>
      <c r="D67" s="36" t="s">
        <v>2476</v>
      </c>
    </row>
    <row r="68" spans="1:4" x14ac:dyDescent="0.2">
      <c r="A68" s="37">
        <f t="shared" si="0"/>
        <v>65</v>
      </c>
      <c r="B68" s="36" t="s">
        <v>875</v>
      </c>
      <c r="C68" s="36" t="s">
        <v>876</v>
      </c>
      <c r="D68" s="36" t="s">
        <v>2441</v>
      </c>
    </row>
    <row r="69" spans="1:4" x14ac:dyDescent="0.2">
      <c r="A69" s="37">
        <f t="shared" si="0"/>
        <v>66</v>
      </c>
      <c r="B69" s="36" t="s">
        <v>819</v>
      </c>
      <c r="C69" s="36" t="s">
        <v>820</v>
      </c>
      <c r="D69" s="36" t="s">
        <v>2611</v>
      </c>
    </row>
    <row r="70" spans="1:4" x14ac:dyDescent="0.2">
      <c r="A70" s="37">
        <f t="shared" ref="A70:A116" si="1">+A69+1</f>
        <v>67</v>
      </c>
      <c r="B70" s="36" t="s">
        <v>831</v>
      </c>
      <c r="C70" s="36" t="s">
        <v>832</v>
      </c>
      <c r="D70" s="36" t="s">
        <v>2476</v>
      </c>
    </row>
    <row r="71" spans="1:4" x14ac:dyDescent="0.2">
      <c r="A71" s="37">
        <f t="shared" si="1"/>
        <v>68</v>
      </c>
      <c r="B71" s="36" t="s">
        <v>895</v>
      </c>
      <c r="C71" s="36" t="s">
        <v>896</v>
      </c>
      <c r="D71" s="36" t="s">
        <v>2464</v>
      </c>
    </row>
    <row r="72" spans="1:4" x14ac:dyDescent="0.2">
      <c r="A72" s="37">
        <f t="shared" si="1"/>
        <v>69</v>
      </c>
      <c r="B72" s="36" t="s">
        <v>809</v>
      </c>
      <c r="C72" s="36" t="s">
        <v>810</v>
      </c>
      <c r="D72" s="36" t="s">
        <v>2464</v>
      </c>
    </row>
    <row r="73" spans="1:4" x14ac:dyDescent="0.2">
      <c r="A73" s="37">
        <f t="shared" si="1"/>
        <v>70</v>
      </c>
      <c r="B73" s="36" t="s">
        <v>861</v>
      </c>
      <c r="C73" s="36" t="s">
        <v>862</v>
      </c>
      <c r="D73" s="36" t="s">
        <v>2612</v>
      </c>
    </row>
    <row r="74" spans="1:4" x14ac:dyDescent="0.2">
      <c r="A74" s="37">
        <f t="shared" si="1"/>
        <v>71</v>
      </c>
      <c r="B74" s="36" t="s">
        <v>847</v>
      </c>
      <c r="C74" s="36" t="s">
        <v>848</v>
      </c>
      <c r="D74" s="36" t="s">
        <v>2613</v>
      </c>
    </row>
    <row r="75" spans="1:4" x14ac:dyDescent="0.2">
      <c r="A75" s="37">
        <f t="shared" si="1"/>
        <v>72</v>
      </c>
      <c r="B75" s="36" t="s">
        <v>885</v>
      </c>
      <c r="C75" s="36" t="s">
        <v>886</v>
      </c>
      <c r="D75" s="36" t="s">
        <v>2442</v>
      </c>
    </row>
    <row r="76" spans="1:4" x14ac:dyDescent="0.2">
      <c r="A76" s="37">
        <f t="shared" si="1"/>
        <v>73</v>
      </c>
      <c r="B76" s="36" t="s">
        <v>899</v>
      </c>
      <c r="C76" s="36" t="s">
        <v>900</v>
      </c>
      <c r="D76" s="36" t="s">
        <v>2464</v>
      </c>
    </row>
    <row r="77" spans="1:4" x14ac:dyDescent="0.2">
      <c r="A77" s="37">
        <f t="shared" si="1"/>
        <v>74</v>
      </c>
      <c r="B77" s="36" t="s">
        <v>837</v>
      </c>
      <c r="C77" s="36" t="s">
        <v>838</v>
      </c>
      <c r="D77" s="36" t="s">
        <v>2614</v>
      </c>
    </row>
    <row r="78" spans="1:4" x14ac:dyDescent="0.2">
      <c r="A78" s="37">
        <f t="shared" si="1"/>
        <v>75</v>
      </c>
      <c r="B78" s="36" t="s">
        <v>921</v>
      </c>
      <c r="C78" s="36" t="s">
        <v>922</v>
      </c>
      <c r="D78" s="36" t="s">
        <v>2464</v>
      </c>
    </row>
    <row r="79" spans="1:4" x14ac:dyDescent="0.2">
      <c r="A79" s="37">
        <f t="shared" si="1"/>
        <v>76</v>
      </c>
      <c r="B79" s="36" t="s">
        <v>907</v>
      </c>
      <c r="C79" s="36" t="s">
        <v>908</v>
      </c>
      <c r="D79" s="36" t="s">
        <v>2464</v>
      </c>
    </row>
    <row r="80" spans="1:4" x14ac:dyDescent="0.2">
      <c r="A80" s="37">
        <f t="shared" si="1"/>
        <v>77</v>
      </c>
      <c r="B80" s="36" t="s">
        <v>889</v>
      </c>
      <c r="C80" s="36" t="s">
        <v>2615</v>
      </c>
      <c r="D80" s="36" t="s">
        <v>2459</v>
      </c>
    </row>
    <row r="81" spans="1:4" x14ac:dyDescent="0.2">
      <c r="A81" s="37">
        <f t="shared" si="1"/>
        <v>78</v>
      </c>
      <c r="B81" s="36" t="s">
        <v>919</v>
      </c>
      <c r="C81" s="36" t="s">
        <v>920</v>
      </c>
      <c r="D81" s="36" t="s">
        <v>2441</v>
      </c>
    </row>
    <row r="82" spans="1:4" x14ac:dyDescent="0.2">
      <c r="A82" s="37">
        <f t="shared" si="1"/>
        <v>79</v>
      </c>
      <c r="B82" s="36" t="s">
        <v>927</v>
      </c>
      <c r="C82" s="36" t="s">
        <v>928</v>
      </c>
      <c r="D82" s="36" t="s">
        <v>2464</v>
      </c>
    </row>
    <row r="83" spans="1:4" x14ac:dyDescent="0.2">
      <c r="A83" s="37">
        <f t="shared" si="1"/>
        <v>80</v>
      </c>
      <c r="B83" s="36" t="s">
        <v>909</v>
      </c>
      <c r="C83" s="36" t="s">
        <v>910</v>
      </c>
      <c r="D83" s="36" t="s">
        <v>2459</v>
      </c>
    </row>
    <row r="84" spans="1:4" x14ac:dyDescent="0.2">
      <c r="A84" s="37">
        <f t="shared" si="1"/>
        <v>81</v>
      </c>
      <c r="B84" s="36" t="s">
        <v>945</v>
      </c>
      <c r="C84" s="36" t="s">
        <v>946</v>
      </c>
      <c r="D84" s="36" t="s">
        <v>2616</v>
      </c>
    </row>
    <row r="85" spans="1:4" x14ac:dyDescent="0.2">
      <c r="A85" s="37">
        <f t="shared" si="1"/>
        <v>82</v>
      </c>
      <c r="B85" s="36" t="s">
        <v>943</v>
      </c>
      <c r="C85" s="36" t="s">
        <v>944</v>
      </c>
      <c r="D85" s="36" t="s">
        <v>2476</v>
      </c>
    </row>
    <row r="86" spans="1:4" x14ac:dyDescent="0.2">
      <c r="A86" s="37">
        <f t="shared" si="1"/>
        <v>83</v>
      </c>
      <c r="B86" s="36" t="s">
        <v>2617</v>
      </c>
      <c r="C86" s="36" t="s">
        <v>2618</v>
      </c>
      <c r="D86" s="36" t="s">
        <v>2464</v>
      </c>
    </row>
    <row r="87" spans="1:4" x14ac:dyDescent="0.2">
      <c r="A87" s="37">
        <f t="shared" si="1"/>
        <v>84</v>
      </c>
      <c r="B87" s="36" t="s">
        <v>947</v>
      </c>
      <c r="C87" s="36" t="s">
        <v>948</v>
      </c>
      <c r="D87" s="36" t="s">
        <v>2464</v>
      </c>
    </row>
    <row r="88" spans="1:4" x14ac:dyDescent="0.2">
      <c r="A88" s="37">
        <f t="shared" si="1"/>
        <v>85</v>
      </c>
      <c r="B88" s="36" t="s">
        <v>957</v>
      </c>
      <c r="C88" s="36" t="s">
        <v>958</v>
      </c>
      <c r="D88" s="36" t="s">
        <v>2464</v>
      </c>
    </row>
    <row r="89" spans="1:4" x14ac:dyDescent="0.2">
      <c r="A89" s="37">
        <f t="shared" si="1"/>
        <v>86</v>
      </c>
      <c r="B89" s="36" t="s">
        <v>951</v>
      </c>
      <c r="C89" s="36" t="s">
        <v>952</v>
      </c>
      <c r="D89" s="36" t="s">
        <v>2464</v>
      </c>
    </row>
    <row r="90" spans="1:4" x14ac:dyDescent="0.2">
      <c r="A90" s="37">
        <f t="shared" si="1"/>
        <v>87</v>
      </c>
      <c r="B90" s="36" t="s">
        <v>965</v>
      </c>
      <c r="C90" s="36" t="s">
        <v>2619</v>
      </c>
      <c r="D90" s="36" t="s">
        <v>2464</v>
      </c>
    </row>
    <row r="91" spans="1:4" x14ac:dyDescent="0.2">
      <c r="A91" s="37">
        <f t="shared" si="1"/>
        <v>88</v>
      </c>
      <c r="B91" s="36" t="s">
        <v>2508</v>
      </c>
      <c r="C91" s="36" t="s">
        <v>2509</v>
      </c>
      <c r="D91" s="36" t="s">
        <v>2445</v>
      </c>
    </row>
    <row r="92" spans="1:4" x14ac:dyDescent="0.2">
      <c r="A92" s="37">
        <f t="shared" si="1"/>
        <v>89</v>
      </c>
      <c r="B92" s="36" t="s">
        <v>2244</v>
      </c>
      <c r="C92" s="36" t="s">
        <v>2245</v>
      </c>
      <c r="D92" s="36" t="s">
        <v>2448</v>
      </c>
    </row>
    <row r="93" spans="1:4" x14ac:dyDescent="0.2">
      <c r="A93" s="37">
        <f t="shared" si="1"/>
        <v>90</v>
      </c>
      <c r="B93" s="36" t="s">
        <v>2256</v>
      </c>
      <c r="C93" s="36" t="s">
        <v>2257</v>
      </c>
      <c r="D93" s="36" t="s">
        <v>2450</v>
      </c>
    </row>
    <row r="94" spans="1:4" x14ac:dyDescent="0.2">
      <c r="A94" s="37">
        <f t="shared" si="1"/>
        <v>91</v>
      </c>
      <c r="B94" s="36" t="s">
        <v>2254</v>
      </c>
      <c r="C94" s="36" t="s">
        <v>2255</v>
      </c>
      <c r="D94" s="36" t="s">
        <v>2447</v>
      </c>
    </row>
    <row r="95" spans="1:4" x14ac:dyDescent="0.2">
      <c r="A95" s="37">
        <f t="shared" si="1"/>
        <v>92</v>
      </c>
      <c r="B95" s="36" t="s">
        <v>2296</v>
      </c>
      <c r="C95" s="36" t="s">
        <v>2297</v>
      </c>
      <c r="D95" s="36" t="s">
        <v>2447</v>
      </c>
    </row>
    <row r="96" spans="1:4" x14ac:dyDescent="0.2">
      <c r="A96" s="37">
        <f t="shared" si="1"/>
        <v>93</v>
      </c>
      <c r="B96" s="36" t="s">
        <v>2308</v>
      </c>
      <c r="C96" s="36" t="s">
        <v>2309</v>
      </c>
      <c r="D96" s="36" t="s">
        <v>2454</v>
      </c>
    </row>
    <row r="97" spans="1:4" x14ac:dyDescent="0.2">
      <c r="A97" s="37">
        <f t="shared" si="1"/>
        <v>94</v>
      </c>
      <c r="B97" s="36" t="s">
        <v>2510</v>
      </c>
      <c r="C97" s="36" t="s">
        <v>2511</v>
      </c>
      <c r="D97" s="36" t="s">
        <v>2457</v>
      </c>
    </row>
    <row r="98" spans="1:4" x14ac:dyDescent="0.2">
      <c r="A98" s="37">
        <f t="shared" si="1"/>
        <v>95</v>
      </c>
      <c r="B98" s="36" t="s">
        <v>2344</v>
      </c>
      <c r="C98" s="36" t="s">
        <v>2345</v>
      </c>
      <c r="D98" s="36" t="s">
        <v>2460</v>
      </c>
    </row>
    <row r="99" spans="1:4" x14ac:dyDescent="0.2">
      <c r="A99" s="37">
        <f t="shared" si="1"/>
        <v>96</v>
      </c>
      <c r="B99" s="36" t="s">
        <v>2369</v>
      </c>
      <c r="C99" s="36" t="s">
        <v>2370</v>
      </c>
      <c r="D99" s="36" t="s">
        <v>2459</v>
      </c>
    </row>
    <row r="100" spans="1:4" x14ac:dyDescent="0.2">
      <c r="A100" s="37">
        <f t="shared" si="1"/>
        <v>97</v>
      </c>
      <c r="B100" s="36" t="s">
        <v>2371</v>
      </c>
      <c r="C100" s="36" t="s">
        <v>2372</v>
      </c>
      <c r="D100" s="36" t="s">
        <v>2472</v>
      </c>
    </row>
    <row r="101" spans="1:4" x14ac:dyDescent="0.2">
      <c r="A101" s="37">
        <f t="shared" si="1"/>
        <v>98</v>
      </c>
      <c r="B101" s="36" t="s">
        <v>2387</v>
      </c>
      <c r="C101" s="36" t="s">
        <v>2388</v>
      </c>
      <c r="D101" s="36" t="s">
        <v>2474</v>
      </c>
    </row>
    <row r="102" spans="1:4" x14ac:dyDescent="0.2">
      <c r="A102" s="37">
        <f t="shared" si="1"/>
        <v>99</v>
      </c>
      <c r="B102" s="36" t="s">
        <v>2391</v>
      </c>
      <c r="C102" s="36" t="s">
        <v>2392</v>
      </c>
      <c r="D102" s="36" t="s">
        <v>2443</v>
      </c>
    </row>
    <row r="103" spans="1:4" x14ac:dyDescent="0.2">
      <c r="A103" s="37">
        <f t="shared" si="1"/>
        <v>100</v>
      </c>
      <c r="B103" s="36" t="s">
        <v>2621</v>
      </c>
      <c r="C103" s="36" t="s">
        <v>2620</v>
      </c>
      <c r="D103" s="36" t="s">
        <v>2611</v>
      </c>
    </row>
    <row r="104" spans="1:4" x14ac:dyDescent="0.2">
      <c r="A104" s="37">
        <f t="shared" si="1"/>
        <v>101</v>
      </c>
      <c r="B104" s="36" t="s">
        <v>2411</v>
      </c>
      <c r="C104" s="36" t="s">
        <v>2412</v>
      </c>
      <c r="D104" s="36" t="s">
        <v>2474</v>
      </c>
    </row>
    <row r="105" spans="1:4" x14ac:dyDescent="0.2">
      <c r="A105" s="37">
        <f t="shared" si="1"/>
        <v>102</v>
      </c>
      <c r="B105" s="36" t="s">
        <v>2421</v>
      </c>
      <c r="C105" s="36" t="s">
        <v>2422</v>
      </c>
      <c r="D105" s="36" t="s">
        <v>2478</v>
      </c>
    </row>
    <row r="106" spans="1:4" x14ac:dyDescent="0.2">
      <c r="A106" s="37">
        <f t="shared" si="1"/>
        <v>103</v>
      </c>
      <c r="B106" s="36" t="s">
        <v>2433</v>
      </c>
      <c r="C106" s="36" t="s">
        <v>2434</v>
      </c>
      <c r="D106" s="36" t="s">
        <v>1961</v>
      </c>
    </row>
    <row r="107" spans="1:4" x14ac:dyDescent="0.2">
      <c r="A107" s="37">
        <f t="shared" si="1"/>
        <v>104</v>
      </c>
      <c r="B107" s="36" t="s">
        <v>2427</v>
      </c>
      <c r="C107" s="36" t="s">
        <v>2428</v>
      </c>
      <c r="D107" s="36" t="s">
        <v>2479</v>
      </c>
    </row>
    <row r="108" spans="1:4" x14ac:dyDescent="0.2">
      <c r="A108" s="37">
        <f t="shared" si="1"/>
        <v>105</v>
      </c>
      <c r="B108" s="36" t="s">
        <v>2431</v>
      </c>
      <c r="C108" s="36" t="s">
        <v>2432</v>
      </c>
      <c r="D108" s="36" t="s">
        <v>2460</v>
      </c>
    </row>
    <row r="109" spans="1:4" x14ac:dyDescent="0.2">
      <c r="A109" s="37">
        <f t="shared" si="1"/>
        <v>106</v>
      </c>
    </row>
    <row r="110" spans="1:4" x14ac:dyDescent="0.2">
      <c r="A110" s="37">
        <f t="shared" si="1"/>
        <v>107</v>
      </c>
    </row>
    <row r="111" spans="1:4" x14ac:dyDescent="0.2">
      <c r="A111" s="37">
        <f t="shared" si="1"/>
        <v>108</v>
      </c>
    </row>
    <row r="112" spans="1:4" x14ac:dyDescent="0.2">
      <c r="A112" s="37">
        <f t="shared" si="1"/>
        <v>109</v>
      </c>
    </row>
    <row r="113" spans="1:1" x14ac:dyDescent="0.2">
      <c r="A113" s="37">
        <f t="shared" si="1"/>
        <v>110</v>
      </c>
    </row>
    <row r="114" spans="1:1" x14ac:dyDescent="0.2">
      <c r="A114" s="37">
        <f t="shared" si="1"/>
        <v>111</v>
      </c>
    </row>
    <row r="115" spans="1:1" x14ac:dyDescent="0.2">
      <c r="A115" s="37">
        <f t="shared" si="1"/>
        <v>112</v>
      </c>
    </row>
    <row r="116" spans="1:1" x14ac:dyDescent="0.2">
      <c r="A116" s="37">
        <f t="shared" si="1"/>
        <v>113</v>
      </c>
    </row>
  </sheetData>
  <conditionalFormatting sqref="B4:B108">
    <cfRule type="duplicateValues" dxfId="0" priority="47"/>
  </conditionalFormatting>
  <hyperlinks>
    <hyperlink ref="A1" location="Main!A1" display="Main" xr:uid="{CEE6FC22-AECA-43FD-987B-51023C14EEA9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FE6BA2-10BE-47DD-8838-E262CC67ACEB}">
  <dimension ref="A1:CA135"/>
  <sheetViews>
    <sheetView zoomScale="200" zoomScaleNormal="200" workbookViewId="0">
      <pane ySplit="3" topLeftCell="A4" activePane="bottomLeft" state="frozen"/>
      <selection pane="bottomLeft" activeCell="B8" sqref="B8"/>
    </sheetView>
  </sheetViews>
  <sheetFormatPr defaultRowHeight="15" x14ac:dyDescent="0.25"/>
  <cols>
    <col min="1" max="1" width="5.140625" style="32" customWidth="1"/>
    <col min="2" max="2" width="29.5703125" style="32" customWidth="1"/>
    <col min="3" max="3" width="9.140625" style="32"/>
    <col min="4" max="4" width="19.42578125" style="32" bestFit="1" customWidth="1"/>
    <col min="5" max="79" width="9.140625" style="32"/>
  </cols>
  <sheetData>
    <row r="1" spans="1:79" s="4" customFormat="1" ht="13.5" x14ac:dyDescent="0.25">
      <c r="A1" s="1" t="s">
        <v>225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  <c r="AQ1" s="32"/>
      <c r="AR1" s="32"/>
      <c r="AS1" s="32"/>
      <c r="AT1" s="32"/>
      <c r="AU1" s="32"/>
      <c r="AV1" s="32"/>
      <c r="AW1" s="32"/>
      <c r="AX1" s="32"/>
      <c r="AY1" s="32"/>
      <c r="AZ1" s="32"/>
      <c r="BA1" s="32"/>
      <c r="BB1" s="32"/>
      <c r="BC1" s="32"/>
      <c r="BD1" s="32"/>
      <c r="BE1" s="32"/>
      <c r="BF1" s="32"/>
      <c r="BG1" s="32"/>
      <c r="BH1" s="32"/>
      <c r="BI1" s="32"/>
      <c r="BJ1" s="32"/>
      <c r="BK1" s="32"/>
      <c r="BL1" s="32"/>
      <c r="BM1" s="32"/>
      <c r="BN1" s="32"/>
      <c r="BO1" s="32"/>
      <c r="BP1" s="32"/>
      <c r="BQ1" s="32"/>
      <c r="BR1" s="32"/>
      <c r="BS1" s="32"/>
      <c r="BT1" s="32"/>
      <c r="BU1" s="32"/>
      <c r="BV1" s="32"/>
      <c r="BW1" s="32"/>
      <c r="BX1" s="32"/>
      <c r="BY1" s="32"/>
      <c r="BZ1" s="32"/>
      <c r="CA1" s="32"/>
    </row>
    <row r="2" spans="1:79" s="4" customFormat="1" ht="13.5" x14ac:dyDescent="0.25">
      <c r="A2" s="32" t="s">
        <v>1</v>
      </c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  <c r="AQ2" s="32"/>
      <c r="AR2" s="32"/>
      <c r="AS2" s="32"/>
      <c r="AT2" s="32"/>
      <c r="AU2" s="32"/>
      <c r="AV2" s="32"/>
      <c r="AW2" s="32"/>
      <c r="AX2" s="32"/>
      <c r="AY2" s="32"/>
      <c r="AZ2" s="32"/>
      <c r="BA2" s="32"/>
      <c r="BB2" s="32"/>
      <c r="BC2" s="32"/>
      <c r="BD2" s="32"/>
      <c r="BE2" s="32"/>
      <c r="BF2" s="32"/>
      <c r="BG2" s="32"/>
      <c r="BH2" s="32"/>
      <c r="BI2" s="32"/>
      <c r="BJ2" s="32"/>
      <c r="BK2" s="32"/>
      <c r="BL2" s="32"/>
      <c r="BM2" s="32"/>
      <c r="BN2" s="32"/>
      <c r="BO2" s="32"/>
      <c r="BP2" s="32"/>
      <c r="BQ2" s="32"/>
      <c r="BR2" s="32"/>
      <c r="BS2" s="32"/>
      <c r="BT2" s="32"/>
      <c r="BU2" s="32"/>
      <c r="BV2" s="32"/>
      <c r="BW2" s="32"/>
      <c r="BX2" s="32"/>
      <c r="BY2" s="32"/>
      <c r="BZ2" s="32"/>
      <c r="CA2" s="32"/>
    </row>
    <row r="3" spans="1:79" s="4" customFormat="1" ht="13.5" x14ac:dyDescent="0.25">
      <c r="A3" s="14" t="s">
        <v>224</v>
      </c>
      <c r="B3" s="15" t="s">
        <v>223</v>
      </c>
      <c r="C3" s="15" t="s">
        <v>222</v>
      </c>
      <c r="D3" s="15" t="s">
        <v>221</v>
      </c>
      <c r="E3" s="16" t="s">
        <v>415</v>
      </c>
      <c r="F3" s="16" t="s">
        <v>230</v>
      </c>
      <c r="G3" s="16" t="s">
        <v>231</v>
      </c>
      <c r="H3" s="16" t="s">
        <v>232</v>
      </c>
      <c r="I3" s="15" t="s">
        <v>416</v>
      </c>
      <c r="J3" s="15" t="s">
        <v>417</v>
      </c>
      <c r="K3" s="15"/>
      <c r="L3" s="15"/>
      <c r="M3" s="15"/>
      <c r="N3" s="15"/>
      <c r="O3" s="15"/>
      <c r="P3" s="15"/>
      <c r="Q3" s="15"/>
      <c r="R3" s="15"/>
      <c r="S3" s="15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  <c r="AQ3" s="32"/>
      <c r="AR3" s="32"/>
      <c r="AS3" s="32"/>
      <c r="AT3" s="32"/>
      <c r="AU3" s="32"/>
      <c r="AV3" s="32"/>
      <c r="AW3" s="32"/>
      <c r="AX3" s="32"/>
      <c r="AY3" s="32"/>
      <c r="AZ3" s="32"/>
      <c r="BA3" s="32"/>
      <c r="BB3" s="32"/>
      <c r="BC3" s="32"/>
      <c r="BD3" s="32"/>
      <c r="BE3" s="32"/>
      <c r="BF3" s="32"/>
      <c r="BG3" s="32"/>
      <c r="BH3" s="32"/>
      <c r="BI3" s="32"/>
      <c r="BJ3" s="32"/>
      <c r="BK3" s="32"/>
      <c r="BL3" s="32"/>
      <c r="BM3" s="32"/>
      <c r="BN3" s="32"/>
      <c r="BO3" s="32"/>
      <c r="BP3" s="32"/>
      <c r="BQ3" s="32"/>
      <c r="BR3" s="32"/>
      <c r="BS3" s="32"/>
      <c r="BT3" s="32"/>
      <c r="BU3" s="32"/>
      <c r="BV3" s="32"/>
      <c r="BW3" s="32"/>
      <c r="BX3" s="32"/>
      <c r="BY3" s="32"/>
      <c r="BZ3" s="32"/>
      <c r="CA3" s="32"/>
    </row>
    <row r="4" spans="1:79" x14ac:dyDescent="0.25">
      <c r="A4" s="33">
        <v>1</v>
      </c>
      <c r="B4" s="1" t="s">
        <v>2221</v>
      </c>
      <c r="C4" s="34" t="s">
        <v>2223</v>
      </c>
      <c r="D4" s="34" t="s">
        <v>2441</v>
      </c>
      <c r="E4" s="32">
        <f>+[39]Main!$H$2</f>
        <v>21.5</v>
      </c>
      <c r="F4" s="10">
        <f>+[39]Main!$H$4</f>
        <v>3042.9942225</v>
      </c>
      <c r="G4" s="10">
        <f>+[39]Main!$H$6-[39]Main!$H$5</f>
        <v>1628.3149999999998</v>
      </c>
      <c r="H4" s="10">
        <f>+F4+G4</f>
        <v>4671.3092225</v>
      </c>
      <c r="I4" s="35" t="s">
        <v>2218</v>
      </c>
    </row>
    <row r="5" spans="1:79" x14ac:dyDescent="0.25">
      <c r="A5" s="33">
        <f t="shared" ref="A5:A68" si="0">+A4+1</f>
        <v>2</v>
      </c>
      <c r="B5" s="1" t="s">
        <v>2220</v>
      </c>
      <c r="C5" s="34" t="s">
        <v>2222</v>
      </c>
      <c r="D5" s="34" t="s">
        <v>2441</v>
      </c>
      <c r="E5" s="32">
        <f>+[40]Main!$I$2</f>
        <v>20.58</v>
      </c>
      <c r="F5" s="10">
        <f>+[40]Main!$I$4</f>
        <v>2203.2937298399997</v>
      </c>
      <c r="G5" s="10">
        <f>+[40]Main!$I$6-[40]Main!$I$5</f>
        <v>889.94399999999996</v>
      </c>
      <c r="H5" s="10">
        <f>+F5+G5</f>
        <v>3093.2377298399997</v>
      </c>
      <c r="I5" s="35" t="s">
        <v>2218</v>
      </c>
    </row>
    <row r="6" spans="1:79" x14ac:dyDescent="0.25">
      <c r="A6" s="33">
        <f t="shared" si="0"/>
        <v>3</v>
      </c>
      <c r="B6" s="1" t="s">
        <v>420</v>
      </c>
      <c r="C6" s="34" t="s">
        <v>421</v>
      </c>
      <c r="D6" s="34" t="s">
        <v>2441</v>
      </c>
      <c r="F6" s="10"/>
      <c r="G6" s="10"/>
      <c r="H6" s="10"/>
    </row>
    <row r="7" spans="1:79" x14ac:dyDescent="0.25">
      <c r="A7" s="33">
        <f t="shared" si="0"/>
        <v>4</v>
      </c>
      <c r="B7" s="34" t="s">
        <v>2224</v>
      </c>
      <c r="C7" s="34" t="s">
        <v>2225</v>
      </c>
      <c r="D7" s="34" t="s">
        <v>2441</v>
      </c>
      <c r="F7" s="10"/>
      <c r="G7" s="10"/>
      <c r="H7" s="10"/>
    </row>
    <row r="8" spans="1:79" x14ac:dyDescent="0.25">
      <c r="A8" s="33">
        <f t="shared" si="0"/>
        <v>5</v>
      </c>
      <c r="B8" s="34" t="s">
        <v>2226</v>
      </c>
      <c r="C8" s="34" t="s">
        <v>2227</v>
      </c>
      <c r="D8" s="34" t="s">
        <v>2442</v>
      </c>
      <c r="F8" s="10"/>
      <c r="G8" s="10"/>
      <c r="H8" s="10"/>
    </row>
    <row r="9" spans="1:79" x14ac:dyDescent="0.25">
      <c r="A9" s="33">
        <f t="shared" si="0"/>
        <v>6</v>
      </c>
      <c r="B9" s="34" t="s">
        <v>424</v>
      </c>
      <c r="C9" s="34" t="s">
        <v>425</v>
      </c>
      <c r="D9" s="34" t="s">
        <v>2443</v>
      </c>
      <c r="F9" s="10"/>
      <c r="G9" s="10"/>
      <c r="H9" s="10"/>
    </row>
    <row r="10" spans="1:79" x14ac:dyDescent="0.25">
      <c r="A10" s="33">
        <f t="shared" si="0"/>
        <v>7</v>
      </c>
      <c r="B10" s="34" t="s">
        <v>2228</v>
      </c>
      <c r="C10" s="34" t="s">
        <v>2229</v>
      </c>
      <c r="D10" s="34" t="s">
        <v>2441</v>
      </c>
      <c r="F10" s="10"/>
      <c r="G10" s="10"/>
      <c r="H10" s="10"/>
    </row>
    <row r="11" spans="1:79" x14ac:dyDescent="0.25">
      <c r="A11" s="33">
        <f t="shared" si="0"/>
        <v>8</v>
      </c>
      <c r="B11" s="34" t="s">
        <v>428</v>
      </c>
      <c r="C11" s="34" t="s">
        <v>429</v>
      </c>
      <c r="D11" s="34" t="s">
        <v>2441</v>
      </c>
      <c r="F11" s="10"/>
      <c r="G11" s="10"/>
      <c r="H11" s="10"/>
    </row>
    <row r="12" spans="1:79" x14ac:dyDescent="0.25">
      <c r="A12" s="33">
        <f t="shared" si="0"/>
        <v>9</v>
      </c>
      <c r="B12" s="34" t="s">
        <v>430</v>
      </c>
      <c r="C12" s="34" t="s">
        <v>431</v>
      </c>
      <c r="D12" s="34" t="s">
        <v>2441</v>
      </c>
      <c r="F12" s="10"/>
      <c r="G12" s="10"/>
      <c r="H12" s="10"/>
    </row>
    <row r="13" spans="1:79" x14ac:dyDescent="0.25">
      <c r="A13" s="33">
        <f t="shared" si="0"/>
        <v>10</v>
      </c>
      <c r="B13" s="34" t="s">
        <v>434</v>
      </c>
      <c r="C13" s="34" t="s">
        <v>435</v>
      </c>
      <c r="D13" s="34" t="s">
        <v>2443</v>
      </c>
      <c r="F13" s="10"/>
      <c r="G13" s="10"/>
      <c r="H13" s="10"/>
    </row>
    <row r="14" spans="1:79" x14ac:dyDescent="0.25">
      <c r="A14" s="33">
        <f t="shared" si="0"/>
        <v>11</v>
      </c>
      <c r="B14" s="34" t="s">
        <v>2230</v>
      </c>
      <c r="C14" s="34" t="s">
        <v>2231</v>
      </c>
      <c r="D14" s="34" t="s">
        <v>2441</v>
      </c>
      <c r="F14" s="10"/>
      <c r="G14" s="10"/>
      <c r="H14" s="10"/>
    </row>
    <row r="15" spans="1:79" x14ac:dyDescent="0.25">
      <c r="A15" s="33">
        <f t="shared" si="0"/>
        <v>12</v>
      </c>
      <c r="B15" s="34" t="s">
        <v>2232</v>
      </c>
      <c r="C15" s="34" t="s">
        <v>2233</v>
      </c>
      <c r="D15" s="34" t="s">
        <v>2444</v>
      </c>
      <c r="F15" s="10"/>
      <c r="G15" s="10"/>
      <c r="H15" s="10"/>
    </row>
    <row r="16" spans="1:79" x14ac:dyDescent="0.25">
      <c r="A16" s="33">
        <f t="shared" si="0"/>
        <v>13</v>
      </c>
      <c r="B16" s="34" t="s">
        <v>2234</v>
      </c>
      <c r="C16" s="34" t="s">
        <v>2235</v>
      </c>
      <c r="D16" s="34" t="s">
        <v>2441</v>
      </c>
      <c r="F16" s="10"/>
      <c r="G16" s="10"/>
      <c r="H16" s="10"/>
    </row>
    <row r="17" spans="1:8" x14ac:dyDescent="0.25">
      <c r="A17" s="33">
        <f t="shared" si="0"/>
        <v>14</v>
      </c>
      <c r="B17" s="34" t="s">
        <v>2236</v>
      </c>
      <c r="C17" s="34" t="s">
        <v>2237</v>
      </c>
      <c r="D17" s="34" t="s">
        <v>2444</v>
      </c>
      <c r="F17" s="10"/>
      <c r="G17" s="10"/>
      <c r="H17" s="10"/>
    </row>
    <row r="18" spans="1:8" x14ac:dyDescent="0.25">
      <c r="A18" s="33">
        <f t="shared" si="0"/>
        <v>15</v>
      </c>
      <c r="B18" s="34" t="s">
        <v>2238</v>
      </c>
      <c r="C18" s="34" t="s">
        <v>2239</v>
      </c>
      <c r="D18" s="34" t="s">
        <v>2445</v>
      </c>
      <c r="F18" s="10"/>
      <c r="G18" s="10"/>
      <c r="H18" s="10"/>
    </row>
    <row r="19" spans="1:8" x14ac:dyDescent="0.25">
      <c r="A19" s="33">
        <f t="shared" si="0"/>
        <v>16</v>
      </c>
      <c r="B19" s="34" t="s">
        <v>2240</v>
      </c>
      <c r="C19" s="34" t="s">
        <v>2241</v>
      </c>
      <c r="D19" s="34" t="s">
        <v>2446</v>
      </c>
      <c r="F19" s="10"/>
      <c r="G19" s="10"/>
      <c r="H19" s="10"/>
    </row>
    <row r="20" spans="1:8" x14ac:dyDescent="0.25">
      <c r="A20" s="33">
        <f t="shared" si="0"/>
        <v>17</v>
      </c>
      <c r="B20" s="34" t="s">
        <v>2242</v>
      </c>
      <c r="C20" s="34" t="s">
        <v>2243</v>
      </c>
      <c r="D20" s="34" t="s">
        <v>2447</v>
      </c>
      <c r="F20" s="10"/>
      <c r="G20" s="10"/>
      <c r="H20" s="10"/>
    </row>
    <row r="21" spans="1:8" x14ac:dyDescent="0.25">
      <c r="A21" s="33">
        <f t="shared" si="0"/>
        <v>18</v>
      </c>
      <c r="B21" s="34" t="s">
        <v>2244</v>
      </c>
      <c r="C21" s="34" t="s">
        <v>2245</v>
      </c>
      <c r="D21" s="34" t="s">
        <v>2448</v>
      </c>
      <c r="F21" s="10"/>
      <c r="G21" s="10"/>
      <c r="H21" s="10"/>
    </row>
    <row r="22" spans="1:8" x14ac:dyDescent="0.25">
      <c r="A22" s="33">
        <f t="shared" si="0"/>
        <v>19</v>
      </c>
      <c r="B22" s="34" t="s">
        <v>460</v>
      </c>
      <c r="C22" s="34" t="s">
        <v>461</v>
      </c>
      <c r="D22" s="34" t="s">
        <v>2443</v>
      </c>
      <c r="F22" s="10"/>
      <c r="G22" s="10"/>
      <c r="H22" s="10"/>
    </row>
    <row r="23" spans="1:8" x14ac:dyDescent="0.25">
      <c r="A23" s="33">
        <f t="shared" si="0"/>
        <v>20</v>
      </c>
      <c r="B23" s="34" t="s">
        <v>2246</v>
      </c>
      <c r="C23" s="34" t="s">
        <v>2247</v>
      </c>
      <c r="D23" s="34" t="s">
        <v>2441</v>
      </c>
      <c r="F23" s="10"/>
      <c r="G23" s="10"/>
      <c r="H23" s="10"/>
    </row>
    <row r="24" spans="1:8" x14ac:dyDescent="0.25">
      <c r="A24" s="33">
        <f t="shared" si="0"/>
        <v>21</v>
      </c>
      <c r="B24" s="34" t="s">
        <v>2248</v>
      </c>
      <c r="C24" s="34" t="s">
        <v>2249</v>
      </c>
      <c r="D24" s="34" t="s">
        <v>2449</v>
      </c>
      <c r="F24" s="10"/>
      <c r="G24" s="10"/>
      <c r="H24" s="10"/>
    </row>
    <row r="25" spans="1:8" x14ac:dyDescent="0.25">
      <c r="A25" s="33">
        <f t="shared" si="0"/>
        <v>22</v>
      </c>
      <c r="B25" s="34" t="s">
        <v>2250</v>
      </c>
      <c r="C25" s="34" t="s">
        <v>2251</v>
      </c>
      <c r="D25" s="34" t="s">
        <v>2449</v>
      </c>
      <c r="F25" s="10"/>
      <c r="G25" s="10"/>
      <c r="H25" s="10"/>
    </row>
    <row r="26" spans="1:8" x14ac:dyDescent="0.25">
      <c r="A26" s="33">
        <f t="shared" si="0"/>
        <v>23</v>
      </c>
      <c r="B26" s="34" t="s">
        <v>2252</v>
      </c>
      <c r="C26" s="34" t="s">
        <v>2253</v>
      </c>
      <c r="D26" s="34" t="s">
        <v>2445</v>
      </c>
      <c r="F26" s="10"/>
      <c r="G26" s="10"/>
      <c r="H26" s="10"/>
    </row>
    <row r="27" spans="1:8" x14ac:dyDescent="0.25">
      <c r="A27" s="33">
        <f t="shared" si="0"/>
        <v>24</v>
      </c>
      <c r="B27" s="34" t="s">
        <v>2254</v>
      </c>
      <c r="C27" s="34" t="s">
        <v>2255</v>
      </c>
      <c r="D27" s="34" t="s">
        <v>2447</v>
      </c>
      <c r="F27" s="10"/>
      <c r="G27" s="10"/>
      <c r="H27" s="10"/>
    </row>
    <row r="28" spans="1:8" x14ac:dyDescent="0.25">
      <c r="A28" s="33">
        <f t="shared" si="0"/>
        <v>25</v>
      </c>
      <c r="B28" s="34" t="s">
        <v>2256</v>
      </c>
      <c r="C28" s="34" t="s">
        <v>2257</v>
      </c>
      <c r="D28" s="34" t="s">
        <v>2450</v>
      </c>
      <c r="F28" s="10"/>
      <c r="G28" s="10"/>
      <c r="H28" s="10"/>
    </row>
    <row r="29" spans="1:8" x14ac:dyDescent="0.25">
      <c r="A29" s="33">
        <f t="shared" si="0"/>
        <v>26</v>
      </c>
      <c r="B29" s="34" t="s">
        <v>504</v>
      </c>
      <c r="C29" s="34" t="s">
        <v>505</v>
      </c>
      <c r="D29" s="34" t="s">
        <v>2441</v>
      </c>
      <c r="F29" s="10"/>
      <c r="G29" s="10"/>
      <c r="H29" s="10"/>
    </row>
    <row r="30" spans="1:8" x14ac:dyDescent="0.25">
      <c r="A30" s="33">
        <f t="shared" si="0"/>
        <v>27</v>
      </c>
      <c r="B30" s="34" t="s">
        <v>2258</v>
      </c>
      <c r="C30" s="34" t="s">
        <v>2259</v>
      </c>
      <c r="D30" s="34" t="s">
        <v>2451</v>
      </c>
      <c r="F30" s="10"/>
      <c r="G30" s="10"/>
      <c r="H30" s="10"/>
    </row>
    <row r="31" spans="1:8" x14ac:dyDescent="0.25">
      <c r="A31" s="33">
        <f t="shared" si="0"/>
        <v>28</v>
      </c>
      <c r="B31" s="34" t="s">
        <v>2260</v>
      </c>
      <c r="C31" s="34" t="s">
        <v>2261</v>
      </c>
      <c r="D31" s="34" t="s">
        <v>2448</v>
      </c>
      <c r="F31" s="10"/>
      <c r="G31" s="10"/>
      <c r="H31" s="10"/>
    </row>
    <row r="32" spans="1:8" x14ac:dyDescent="0.25">
      <c r="A32" s="33">
        <f t="shared" si="0"/>
        <v>29</v>
      </c>
      <c r="B32" s="34" t="s">
        <v>2262</v>
      </c>
      <c r="C32" s="34" t="s">
        <v>2263</v>
      </c>
      <c r="D32" s="34" t="s">
        <v>2452</v>
      </c>
      <c r="F32" s="10"/>
      <c r="G32" s="10"/>
      <c r="H32" s="10"/>
    </row>
    <row r="33" spans="1:9" x14ac:dyDescent="0.25">
      <c r="A33" s="33">
        <f t="shared" si="0"/>
        <v>30</v>
      </c>
      <c r="B33" s="34" t="s">
        <v>2501</v>
      </c>
      <c r="C33" s="34" t="s">
        <v>2264</v>
      </c>
      <c r="D33" s="34" t="s">
        <v>2453</v>
      </c>
      <c r="F33" s="10"/>
      <c r="G33" s="10"/>
      <c r="H33" s="10"/>
    </row>
    <row r="34" spans="1:9" x14ac:dyDescent="0.25">
      <c r="A34" s="33">
        <f t="shared" si="0"/>
        <v>31</v>
      </c>
      <c r="B34" s="34" t="s">
        <v>2265</v>
      </c>
      <c r="C34" s="34" t="s">
        <v>2266</v>
      </c>
      <c r="D34" s="34" t="s">
        <v>2454</v>
      </c>
      <c r="F34" s="10"/>
      <c r="G34" s="10"/>
      <c r="H34" s="10"/>
    </row>
    <row r="35" spans="1:9" x14ac:dyDescent="0.25">
      <c r="A35" s="33">
        <f t="shared" si="0"/>
        <v>32</v>
      </c>
      <c r="B35" s="34" t="s">
        <v>2267</v>
      </c>
      <c r="C35" s="34" t="s">
        <v>2268</v>
      </c>
      <c r="D35" s="34" t="s">
        <v>2455</v>
      </c>
      <c r="F35" s="10"/>
      <c r="G35" s="10"/>
      <c r="H35" s="10"/>
    </row>
    <row r="36" spans="1:9" x14ac:dyDescent="0.25">
      <c r="A36" s="33">
        <f t="shared" si="0"/>
        <v>33</v>
      </c>
      <c r="B36" s="34" t="s">
        <v>490</v>
      </c>
      <c r="C36" s="34" t="s">
        <v>491</v>
      </c>
      <c r="D36" s="34" t="s">
        <v>2441</v>
      </c>
      <c r="F36" s="10"/>
      <c r="G36" s="10"/>
      <c r="H36" s="10"/>
    </row>
    <row r="37" spans="1:9" x14ac:dyDescent="0.25">
      <c r="A37" s="33">
        <f t="shared" si="0"/>
        <v>34</v>
      </c>
      <c r="B37" s="34" t="s">
        <v>2269</v>
      </c>
      <c r="C37" s="34" t="s">
        <v>2270</v>
      </c>
      <c r="D37" s="34" t="s">
        <v>2447</v>
      </c>
      <c r="F37" s="10"/>
      <c r="G37" s="10"/>
      <c r="H37" s="10"/>
    </row>
    <row r="38" spans="1:9" x14ac:dyDescent="0.25">
      <c r="A38" s="33">
        <f t="shared" si="0"/>
        <v>35</v>
      </c>
      <c r="B38" s="34" t="s">
        <v>2271</v>
      </c>
      <c r="C38" s="34" t="s">
        <v>2272</v>
      </c>
      <c r="D38" s="34" t="s">
        <v>2445</v>
      </c>
      <c r="F38" s="10"/>
      <c r="G38" s="10"/>
      <c r="H38" s="10"/>
    </row>
    <row r="39" spans="1:9" x14ac:dyDescent="0.25">
      <c r="A39" s="33">
        <f t="shared" si="0"/>
        <v>36</v>
      </c>
      <c r="B39" s="34" t="s">
        <v>2273</v>
      </c>
      <c r="C39" s="34" t="s">
        <v>2274</v>
      </c>
      <c r="D39" s="34" t="s">
        <v>2445</v>
      </c>
      <c r="F39" s="10"/>
      <c r="G39" s="10"/>
      <c r="H39" s="10"/>
    </row>
    <row r="40" spans="1:9" x14ac:dyDescent="0.25">
      <c r="A40" s="33">
        <f t="shared" si="0"/>
        <v>37</v>
      </c>
      <c r="B40" s="34" t="s">
        <v>2275</v>
      </c>
      <c r="C40" s="34" t="s">
        <v>2276</v>
      </c>
      <c r="D40" s="34" t="s">
        <v>2442</v>
      </c>
      <c r="F40" s="10"/>
      <c r="G40" s="10"/>
      <c r="H40" s="10"/>
    </row>
    <row r="41" spans="1:9" x14ac:dyDescent="0.25">
      <c r="A41" s="33">
        <f t="shared" si="0"/>
        <v>38</v>
      </c>
      <c r="B41" s="34" t="s">
        <v>2502</v>
      </c>
      <c r="C41" s="34" t="s">
        <v>2277</v>
      </c>
      <c r="D41" s="34" t="s">
        <v>2444</v>
      </c>
      <c r="F41" s="10"/>
      <c r="G41" s="10"/>
      <c r="H41" s="10"/>
    </row>
    <row r="42" spans="1:9" x14ac:dyDescent="0.25">
      <c r="A42" s="33">
        <f t="shared" si="0"/>
        <v>39</v>
      </c>
      <c r="B42" s="34" t="s">
        <v>2278</v>
      </c>
      <c r="C42" s="34" t="s">
        <v>2279</v>
      </c>
      <c r="D42" s="34" t="s">
        <v>2455</v>
      </c>
      <c r="F42" s="10"/>
      <c r="G42" s="10"/>
      <c r="H42" s="10"/>
    </row>
    <row r="43" spans="1:9" x14ac:dyDescent="0.25">
      <c r="A43" s="33">
        <f t="shared" si="0"/>
        <v>40</v>
      </c>
      <c r="B43" s="1" t="s">
        <v>2280</v>
      </c>
      <c r="C43" s="34" t="s">
        <v>2281</v>
      </c>
      <c r="D43" s="34" t="s">
        <v>2456</v>
      </c>
      <c r="E43" s="32">
        <f>+[41]Main!$J$2</f>
        <v>244.6</v>
      </c>
      <c r="F43" s="10">
        <f>+[41]Main!$J$4*FX!C10</f>
        <v>9687.4854262500012</v>
      </c>
      <c r="G43" s="10">
        <f>+([41]Main!$J$6-[41]Main!$J$5)*FX!C10</f>
        <v>1729.1160000000002</v>
      </c>
      <c r="H43" s="10">
        <f>+F43+G43</f>
        <v>11416.601426250001</v>
      </c>
      <c r="I43" s="32" t="s">
        <v>2598</v>
      </c>
    </row>
    <row r="44" spans="1:9" x14ac:dyDescent="0.25">
      <c r="A44" s="33">
        <f t="shared" si="0"/>
        <v>41</v>
      </c>
      <c r="B44" s="34" t="s">
        <v>2282</v>
      </c>
      <c r="C44" s="34" t="s">
        <v>2283</v>
      </c>
      <c r="D44" s="34" t="s">
        <v>2443</v>
      </c>
      <c r="F44" s="10"/>
      <c r="G44" s="10"/>
      <c r="H44" s="10"/>
    </row>
    <row r="45" spans="1:9" x14ac:dyDescent="0.25">
      <c r="A45" s="33">
        <f t="shared" si="0"/>
        <v>42</v>
      </c>
      <c r="B45" s="34" t="s">
        <v>2284</v>
      </c>
      <c r="C45" s="34" t="s">
        <v>2285</v>
      </c>
      <c r="D45" s="34" t="s">
        <v>2457</v>
      </c>
      <c r="F45" s="10"/>
      <c r="G45" s="10"/>
      <c r="H45" s="10"/>
    </row>
    <row r="46" spans="1:9" x14ac:dyDescent="0.25">
      <c r="A46" s="33">
        <f t="shared" si="0"/>
        <v>43</v>
      </c>
      <c r="B46" s="34" t="s">
        <v>548</v>
      </c>
      <c r="C46" s="34" t="s">
        <v>549</v>
      </c>
      <c r="D46" s="34" t="s">
        <v>2448</v>
      </c>
      <c r="F46" s="10"/>
      <c r="G46" s="10"/>
      <c r="H46" s="10"/>
    </row>
    <row r="47" spans="1:9" x14ac:dyDescent="0.25">
      <c r="A47" s="33">
        <f t="shared" si="0"/>
        <v>44</v>
      </c>
      <c r="B47" s="34" t="s">
        <v>2286</v>
      </c>
      <c r="C47" s="34" t="s">
        <v>2287</v>
      </c>
      <c r="D47" s="34" t="s">
        <v>2458</v>
      </c>
      <c r="F47" s="10"/>
      <c r="G47" s="10"/>
      <c r="H47" s="10"/>
    </row>
    <row r="48" spans="1:9" x14ac:dyDescent="0.25">
      <c r="A48" s="33">
        <f t="shared" si="0"/>
        <v>45</v>
      </c>
      <c r="B48" s="34" t="s">
        <v>2288</v>
      </c>
      <c r="C48" s="34" t="s">
        <v>2289</v>
      </c>
      <c r="D48" s="34" t="s">
        <v>2459</v>
      </c>
      <c r="F48" s="10"/>
      <c r="G48" s="10"/>
      <c r="H48" s="10"/>
    </row>
    <row r="49" spans="1:8" x14ac:dyDescent="0.25">
      <c r="A49" s="33">
        <f t="shared" si="0"/>
        <v>46</v>
      </c>
      <c r="B49" s="34" t="s">
        <v>2290</v>
      </c>
      <c r="C49" s="34" t="s">
        <v>2291</v>
      </c>
      <c r="D49" s="34" t="s">
        <v>2446</v>
      </c>
      <c r="F49" s="10"/>
      <c r="G49" s="10"/>
      <c r="H49" s="10"/>
    </row>
    <row r="50" spans="1:8" x14ac:dyDescent="0.25">
      <c r="A50" s="33">
        <f t="shared" si="0"/>
        <v>47</v>
      </c>
      <c r="B50" s="34" t="s">
        <v>2292</v>
      </c>
      <c r="C50" s="34" t="s">
        <v>2293</v>
      </c>
      <c r="D50" s="34" t="s">
        <v>2460</v>
      </c>
      <c r="F50" s="10"/>
      <c r="G50" s="10"/>
      <c r="H50" s="10"/>
    </row>
    <row r="51" spans="1:8" x14ac:dyDescent="0.25">
      <c r="A51" s="33">
        <f t="shared" si="0"/>
        <v>48</v>
      </c>
      <c r="B51" s="34" t="s">
        <v>2294</v>
      </c>
      <c r="C51" s="34" t="s">
        <v>2295</v>
      </c>
      <c r="D51" s="34" t="s">
        <v>2443</v>
      </c>
      <c r="F51" s="10"/>
      <c r="G51" s="10"/>
      <c r="H51" s="10"/>
    </row>
    <row r="52" spans="1:8" x14ac:dyDescent="0.25">
      <c r="A52" s="33">
        <f t="shared" si="0"/>
        <v>49</v>
      </c>
      <c r="B52" s="34" t="s">
        <v>2296</v>
      </c>
      <c r="C52" s="34" t="s">
        <v>2297</v>
      </c>
      <c r="D52" s="34" t="s">
        <v>2447</v>
      </c>
      <c r="F52" s="10"/>
      <c r="G52" s="10"/>
      <c r="H52" s="10"/>
    </row>
    <row r="53" spans="1:8" x14ac:dyDescent="0.25">
      <c r="A53" s="33">
        <f t="shared" si="0"/>
        <v>50</v>
      </c>
      <c r="B53" s="34" t="s">
        <v>2298</v>
      </c>
      <c r="C53" s="34" t="s">
        <v>2299</v>
      </c>
      <c r="D53" s="34" t="s">
        <v>2460</v>
      </c>
      <c r="F53" s="10"/>
      <c r="G53" s="10"/>
      <c r="H53" s="10"/>
    </row>
    <row r="54" spans="1:8" x14ac:dyDescent="0.25">
      <c r="A54" s="33">
        <f t="shared" si="0"/>
        <v>51</v>
      </c>
      <c r="B54" s="34" t="s">
        <v>2300</v>
      </c>
      <c r="C54" s="34" t="s">
        <v>2301</v>
      </c>
      <c r="D54" s="34" t="s">
        <v>2441</v>
      </c>
      <c r="F54" s="10"/>
      <c r="G54" s="10"/>
      <c r="H54" s="10"/>
    </row>
    <row r="55" spans="1:8" x14ac:dyDescent="0.25">
      <c r="A55" s="33">
        <f t="shared" si="0"/>
        <v>52</v>
      </c>
      <c r="B55" s="34" t="s">
        <v>2302</v>
      </c>
      <c r="C55" s="34" t="s">
        <v>2303</v>
      </c>
      <c r="D55" s="34" t="s">
        <v>2447</v>
      </c>
      <c r="F55" s="10"/>
      <c r="G55" s="10"/>
      <c r="H55" s="10"/>
    </row>
    <row r="56" spans="1:8" x14ac:dyDescent="0.25">
      <c r="A56" s="33">
        <f t="shared" si="0"/>
        <v>53</v>
      </c>
      <c r="B56" s="34" t="s">
        <v>2304</v>
      </c>
      <c r="C56" s="34" t="s">
        <v>2305</v>
      </c>
      <c r="D56" s="34" t="s">
        <v>2443</v>
      </c>
      <c r="F56" s="10"/>
      <c r="G56" s="10"/>
      <c r="H56" s="10"/>
    </row>
    <row r="57" spans="1:8" x14ac:dyDescent="0.25">
      <c r="A57" s="33">
        <f t="shared" si="0"/>
        <v>54</v>
      </c>
      <c r="B57" s="34" t="s">
        <v>2306</v>
      </c>
      <c r="C57" s="34" t="s">
        <v>2307</v>
      </c>
      <c r="D57" s="34" t="s">
        <v>2443</v>
      </c>
      <c r="F57" s="10"/>
      <c r="G57" s="10"/>
      <c r="H57" s="10"/>
    </row>
    <row r="58" spans="1:8" x14ac:dyDescent="0.25">
      <c r="A58" s="33">
        <f t="shared" si="0"/>
        <v>55</v>
      </c>
      <c r="B58" s="34" t="s">
        <v>2308</v>
      </c>
      <c r="C58" s="34" t="s">
        <v>2309</v>
      </c>
      <c r="D58" s="34" t="s">
        <v>2454</v>
      </c>
      <c r="F58" s="10"/>
      <c r="G58" s="10"/>
      <c r="H58" s="10"/>
    </row>
    <row r="59" spans="1:8" x14ac:dyDescent="0.25">
      <c r="A59" s="33">
        <f t="shared" si="0"/>
        <v>56</v>
      </c>
      <c r="B59" s="34" t="s">
        <v>2310</v>
      </c>
      <c r="C59" s="34" t="s">
        <v>2311</v>
      </c>
      <c r="D59" s="34" t="s">
        <v>2455</v>
      </c>
      <c r="F59" s="10"/>
      <c r="G59" s="10"/>
      <c r="H59" s="10"/>
    </row>
    <row r="60" spans="1:8" x14ac:dyDescent="0.25">
      <c r="A60" s="33">
        <f t="shared" si="0"/>
        <v>57</v>
      </c>
      <c r="B60" s="34" t="s">
        <v>2312</v>
      </c>
      <c r="C60" s="34" t="s">
        <v>2313</v>
      </c>
      <c r="D60" s="34" t="s">
        <v>2461</v>
      </c>
      <c r="F60" s="10"/>
      <c r="G60" s="10"/>
      <c r="H60" s="10"/>
    </row>
    <row r="61" spans="1:8" x14ac:dyDescent="0.25">
      <c r="A61" s="33">
        <f t="shared" si="0"/>
        <v>58</v>
      </c>
      <c r="B61" s="34" t="s">
        <v>2314</v>
      </c>
      <c r="C61" s="34" t="s">
        <v>2315</v>
      </c>
      <c r="D61" s="34" t="s">
        <v>2462</v>
      </c>
      <c r="F61" s="10"/>
      <c r="G61" s="10"/>
      <c r="H61" s="10"/>
    </row>
    <row r="62" spans="1:8" x14ac:dyDescent="0.25">
      <c r="A62" s="33">
        <f t="shared" si="0"/>
        <v>59</v>
      </c>
      <c r="B62" s="34" t="s">
        <v>2316</v>
      </c>
      <c r="C62" s="34" t="s">
        <v>2317</v>
      </c>
      <c r="D62" s="34" t="s">
        <v>2445</v>
      </c>
      <c r="F62" s="10"/>
      <c r="G62" s="10"/>
      <c r="H62" s="10"/>
    </row>
    <row r="63" spans="1:8" x14ac:dyDescent="0.25">
      <c r="A63" s="33">
        <f t="shared" si="0"/>
        <v>60</v>
      </c>
      <c r="B63" s="34" t="s">
        <v>2318</v>
      </c>
      <c r="C63" s="34" t="s">
        <v>2319</v>
      </c>
      <c r="D63" s="34" t="s">
        <v>2446</v>
      </c>
      <c r="F63" s="10"/>
      <c r="G63" s="10"/>
      <c r="H63" s="10"/>
    </row>
    <row r="64" spans="1:8" x14ac:dyDescent="0.25">
      <c r="A64" s="33">
        <f t="shared" si="0"/>
        <v>61</v>
      </c>
      <c r="B64" s="34" t="s">
        <v>580</v>
      </c>
      <c r="C64" s="34" t="s">
        <v>581</v>
      </c>
      <c r="D64" s="34" t="s">
        <v>2446</v>
      </c>
      <c r="F64" s="10"/>
      <c r="G64" s="10"/>
      <c r="H64" s="10"/>
    </row>
    <row r="65" spans="1:8" x14ac:dyDescent="0.25">
      <c r="A65" s="33">
        <f t="shared" si="0"/>
        <v>62</v>
      </c>
      <c r="B65" s="34" t="s">
        <v>2320</v>
      </c>
      <c r="C65" s="34" t="s">
        <v>2321</v>
      </c>
      <c r="D65" s="34" t="s">
        <v>2441</v>
      </c>
      <c r="F65" s="10"/>
      <c r="G65" s="10"/>
      <c r="H65" s="10"/>
    </row>
    <row r="66" spans="1:8" x14ac:dyDescent="0.25">
      <c r="A66" s="33">
        <f t="shared" si="0"/>
        <v>63</v>
      </c>
      <c r="B66" s="34" t="s">
        <v>2322</v>
      </c>
      <c r="C66" s="34" t="s">
        <v>2323</v>
      </c>
      <c r="D66" s="34" t="s">
        <v>2452</v>
      </c>
      <c r="F66" s="10"/>
      <c r="G66" s="10"/>
      <c r="H66" s="10"/>
    </row>
    <row r="67" spans="1:8" x14ac:dyDescent="0.25">
      <c r="A67" s="33">
        <f t="shared" si="0"/>
        <v>64</v>
      </c>
      <c r="B67" s="34" t="s">
        <v>2324</v>
      </c>
      <c r="C67" s="34" t="s">
        <v>2325</v>
      </c>
      <c r="D67" s="34" t="s">
        <v>2463</v>
      </c>
      <c r="F67" s="10"/>
      <c r="G67" s="10"/>
      <c r="H67" s="10"/>
    </row>
    <row r="68" spans="1:8" x14ac:dyDescent="0.25">
      <c r="A68" s="33">
        <f t="shared" si="0"/>
        <v>65</v>
      </c>
      <c r="B68" s="34" t="s">
        <v>2326</v>
      </c>
      <c r="C68" s="34" t="s">
        <v>2327</v>
      </c>
      <c r="D68" s="34" t="s">
        <v>2442</v>
      </c>
      <c r="F68" s="10"/>
      <c r="G68" s="10"/>
      <c r="H68" s="10"/>
    </row>
    <row r="69" spans="1:8" x14ac:dyDescent="0.25">
      <c r="A69" s="33">
        <f t="shared" ref="A69:A133" si="1">+A68+1</f>
        <v>66</v>
      </c>
      <c r="B69" s="34" t="s">
        <v>2503</v>
      </c>
      <c r="C69" s="34" t="s">
        <v>2328</v>
      </c>
      <c r="D69" s="34" t="s">
        <v>2444</v>
      </c>
      <c r="F69" s="10"/>
      <c r="G69" s="10"/>
      <c r="H69" s="10"/>
    </row>
    <row r="70" spans="1:8" x14ac:dyDescent="0.25">
      <c r="A70" s="33">
        <f t="shared" si="1"/>
        <v>67</v>
      </c>
      <c r="B70" s="34" t="s">
        <v>2329</v>
      </c>
      <c r="C70" s="34" t="s">
        <v>2330</v>
      </c>
      <c r="D70" s="34" t="s">
        <v>2448</v>
      </c>
      <c r="F70" s="10"/>
      <c r="G70" s="10"/>
      <c r="H70" s="10"/>
    </row>
    <row r="71" spans="1:8" x14ac:dyDescent="0.25">
      <c r="A71" s="33">
        <f t="shared" si="1"/>
        <v>68</v>
      </c>
      <c r="B71" s="34" t="s">
        <v>2331</v>
      </c>
      <c r="C71" s="34" t="s">
        <v>2332</v>
      </c>
      <c r="D71" s="34" t="s">
        <v>2443</v>
      </c>
      <c r="F71" s="10"/>
      <c r="G71" s="10"/>
      <c r="H71" s="10"/>
    </row>
    <row r="72" spans="1:8" x14ac:dyDescent="0.25">
      <c r="A72" s="33">
        <f t="shared" si="1"/>
        <v>69</v>
      </c>
      <c r="B72" s="34" t="s">
        <v>2333</v>
      </c>
      <c r="C72" s="34" t="s">
        <v>2334</v>
      </c>
      <c r="D72" s="34" t="s">
        <v>2464</v>
      </c>
      <c r="F72" s="10"/>
      <c r="G72" s="10"/>
      <c r="H72" s="10"/>
    </row>
    <row r="73" spans="1:8" x14ac:dyDescent="0.25">
      <c r="A73" s="33">
        <f t="shared" si="1"/>
        <v>70</v>
      </c>
      <c r="B73" s="34" t="s">
        <v>2335</v>
      </c>
      <c r="C73" s="34" t="s">
        <v>2336</v>
      </c>
      <c r="D73" s="34" t="s">
        <v>2465</v>
      </c>
      <c r="F73" s="10"/>
      <c r="G73" s="10"/>
      <c r="H73" s="10"/>
    </row>
    <row r="74" spans="1:8" x14ac:dyDescent="0.25">
      <c r="A74" s="33">
        <f t="shared" si="1"/>
        <v>71</v>
      </c>
      <c r="B74" s="34" t="s">
        <v>2337</v>
      </c>
      <c r="C74" s="34" t="s">
        <v>2338</v>
      </c>
      <c r="D74" s="34" t="s">
        <v>2444</v>
      </c>
      <c r="F74" s="10"/>
      <c r="G74" s="10"/>
      <c r="H74" s="10"/>
    </row>
    <row r="75" spans="1:8" x14ac:dyDescent="0.25">
      <c r="A75" s="33">
        <f t="shared" si="1"/>
        <v>72</v>
      </c>
      <c r="B75" s="34" t="s">
        <v>2339</v>
      </c>
      <c r="C75" s="34" t="s">
        <v>2340</v>
      </c>
      <c r="D75" s="34" t="s">
        <v>2466</v>
      </c>
      <c r="F75" s="10"/>
      <c r="G75" s="10"/>
      <c r="H75" s="10"/>
    </row>
    <row r="76" spans="1:8" x14ac:dyDescent="0.25">
      <c r="A76" s="33">
        <f t="shared" si="1"/>
        <v>73</v>
      </c>
      <c r="B76" s="34" t="s">
        <v>2504</v>
      </c>
      <c r="C76" s="34" t="s">
        <v>2341</v>
      </c>
      <c r="D76" s="34" t="s">
        <v>2467</v>
      </c>
      <c r="F76" s="10"/>
      <c r="G76" s="10"/>
      <c r="H76" s="10"/>
    </row>
    <row r="77" spans="1:8" x14ac:dyDescent="0.25">
      <c r="A77" s="33">
        <f t="shared" si="1"/>
        <v>74</v>
      </c>
      <c r="B77" s="34" t="s">
        <v>2342</v>
      </c>
      <c r="C77" s="34" t="s">
        <v>2343</v>
      </c>
      <c r="D77" s="34" t="s">
        <v>2442</v>
      </c>
      <c r="F77" s="10"/>
      <c r="G77" s="10"/>
      <c r="H77" s="10"/>
    </row>
    <row r="78" spans="1:8" x14ac:dyDescent="0.25">
      <c r="A78" s="33">
        <f t="shared" si="1"/>
        <v>75</v>
      </c>
      <c r="B78" s="34" t="s">
        <v>2344</v>
      </c>
      <c r="C78" s="34" t="s">
        <v>2345</v>
      </c>
      <c r="D78" s="34" t="s">
        <v>2460</v>
      </c>
      <c r="F78" s="10"/>
      <c r="G78" s="10"/>
      <c r="H78" s="10"/>
    </row>
    <row r="79" spans="1:8" x14ac:dyDescent="0.25">
      <c r="A79" s="33">
        <f t="shared" si="1"/>
        <v>76</v>
      </c>
      <c r="B79" s="34" t="s">
        <v>2346</v>
      </c>
      <c r="C79" s="34" t="s">
        <v>2347</v>
      </c>
      <c r="D79" s="34" t="s">
        <v>2443</v>
      </c>
      <c r="F79" s="10"/>
      <c r="G79" s="10"/>
      <c r="H79" s="10"/>
    </row>
    <row r="80" spans="1:8" x14ac:dyDescent="0.25">
      <c r="A80" s="33">
        <f t="shared" si="1"/>
        <v>77</v>
      </c>
      <c r="B80" s="34" t="s">
        <v>2348</v>
      </c>
      <c r="C80" s="34" t="s">
        <v>2349</v>
      </c>
      <c r="D80" s="34" t="s">
        <v>2468</v>
      </c>
      <c r="F80" s="10"/>
      <c r="G80" s="10"/>
      <c r="H80" s="10"/>
    </row>
    <row r="81" spans="1:8" x14ac:dyDescent="0.25">
      <c r="A81" s="33">
        <f t="shared" si="1"/>
        <v>78</v>
      </c>
      <c r="B81" s="34" t="s">
        <v>2350</v>
      </c>
      <c r="C81" s="34" t="s">
        <v>2351</v>
      </c>
      <c r="D81" s="34" t="s">
        <v>2443</v>
      </c>
      <c r="F81" s="10"/>
      <c r="G81" s="10"/>
      <c r="H81" s="10"/>
    </row>
    <row r="82" spans="1:8" x14ac:dyDescent="0.25">
      <c r="A82" s="33">
        <f t="shared" si="1"/>
        <v>79</v>
      </c>
      <c r="B82" s="34" t="s">
        <v>636</v>
      </c>
      <c r="C82" s="34" t="s">
        <v>637</v>
      </c>
      <c r="D82" s="34" t="s">
        <v>2451</v>
      </c>
      <c r="F82" s="10"/>
      <c r="G82" s="10"/>
      <c r="H82" s="10"/>
    </row>
    <row r="83" spans="1:8" x14ac:dyDescent="0.25">
      <c r="A83" s="33">
        <f t="shared" si="1"/>
        <v>80</v>
      </c>
      <c r="B83" s="34" t="s">
        <v>2352</v>
      </c>
      <c r="C83" s="34" t="s">
        <v>2353</v>
      </c>
      <c r="D83" s="34" t="s">
        <v>2446</v>
      </c>
      <c r="F83" s="10"/>
      <c r="G83" s="10"/>
      <c r="H83" s="10"/>
    </row>
    <row r="84" spans="1:8" x14ac:dyDescent="0.25">
      <c r="A84" s="33">
        <f t="shared" si="1"/>
        <v>81</v>
      </c>
      <c r="B84" s="34" t="s">
        <v>2506</v>
      </c>
      <c r="C84" s="34" t="s">
        <v>2507</v>
      </c>
      <c r="D84" s="34" t="s">
        <v>2463</v>
      </c>
      <c r="F84" s="10"/>
      <c r="G84" s="10"/>
      <c r="H84" s="10"/>
    </row>
    <row r="85" spans="1:8" x14ac:dyDescent="0.25">
      <c r="A85" s="33">
        <f t="shared" si="1"/>
        <v>82</v>
      </c>
      <c r="B85" s="34" t="s">
        <v>2354</v>
      </c>
      <c r="C85" s="34" t="s">
        <v>2355</v>
      </c>
      <c r="D85" s="34" t="s">
        <v>2442</v>
      </c>
      <c r="F85" s="10"/>
      <c r="G85" s="10"/>
      <c r="H85" s="10"/>
    </row>
    <row r="86" spans="1:8" x14ac:dyDescent="0.25">
      <c r="A86" s="33">
        <f t="shared" si="1"/>
        <v>83</v>
      </c>
      <c r="B86" s="34" t="s">
        <v>2356</v>
      </c>
      <c r="C86" s="34" t="s">
        <v>2357</v>
      </c>
      <c r="D86" s="34" t="s">
        <v>2442</v>
      </c>
      <c r="F86" s="10"/>
      <c r="G86" s="10"/>
      <c r="H86" s="10"/>
    </row>
    <row r="87" spans="1:8" x14ac:dyDescent="0.25">
      <c r="A87" s="33">
        <f t="shared" si="1"/>
        <v>84</v>
      </c>
      <c r="B87" s="34" t="s">
        <v>2505</v>
      </c>
      <c r="C87" s="34" t="s">
        <v>2358</v>
      </c>
      <c r="D87" s="34" t="s">
        <v>2453</v>
      </c>
      <c r="F87" s="10"/>
      <c r="G87" s="10"/>
      <c r="H87" s="10"/>
    </row>
    <row r="88" spans="1:8" x14ac:dyDescent="0.25">
      <c r="A88" s="33">
        <f t="shared" si="1"/>
        <v>85</v>
      </c>
      <c r="B88" s="34" t="s">
        <v>2359</v>
      </c>
      <c r="C88" s="34" t="s">
        <v>2360</v>
      </c>
      <c r="D88" s="34" t="s">
        <v>2469</v>
      </c>
      <c r="F88" s="10"/>
      <c r="G88" s="10"/>
      <c r="H88" s="10"/>
    </row>
    <row r="89" spans="1:8" x14ac:dyDescent="0.25">
      <c r="A89" s="33">
        <f t="shared" si="1"/>
        <v>86</v>
      </c>
      <c r="B89" s="34" t="s">
        <v>2361</v>
      </c>
      <c r="C89" s="34" t="s">
        <v>2362</v>
      </c>
      <c r="D89" s="34" t="s">
        <v>2470</v>
      </c>
      <c r="F89" s="10"/>
      <c r="G89" s="10"/>
      <c r="H89" s="10"/>
    </row>
    <row r="90" spans="1:8" x14ac:dyDescent="0.25">
      <c r="A90" s="33">
        <f t="shared" si="1"/>
        <v>87</v>
      </c>
      <c r="B90" s="34" t="s">
        <v>2363</v>
      </c>
      <c r="C90" s="34" t="s">
        <v>2364</v>
      </c>
      <c r="D90" s="34" t="s">
        <v>2471</v>
      </c>
      <c r="F90" s="10"/>
      <c r="G90" s="10"/>
      <c r="H90" s="10"/>
    </row>
    <row r="91" spans="1:8" x14ac:dyDescent="0.25">
      <c r="A91" s="33">
        <f t="shared" si="1"/>
        <v>88</v>
      </c>
      <c r="B91" s="34" t="s">
        <v>2365</v>
      </c>
      <c r="C91" s="34" t="s">
        <v>2366</v>
      </c>
      <c r="D91" s="34" t="s">
        <v>2442</v>
      </c>
      <c r="F91" s="10"/>
      <c r="G91" s="10"/>
      <c r="H91" s="10"/>
    </row>
    <row r="92" spans="1:8" x14ac:dyDescent="0.25">
      <c r="A92" s="33">
        <f t="shared" si="1"/>
        <v>89</v>
      </c>
      <c r="B92" s="34" t="s">
        <v>2367</v>
      </c>
      <c r="C92" s="34" t="s">
        <v>2368</v>
      </c>
      <c r="D92" s="34" t="s">
        <v>2441</v>
      </c>
      <c r="F92" s="10"/>
      <c r="G92" s="10"/>
      <c r="H92" s="10"/>
    </row>
    <row r="93" spans="1:8" x14ac:dyDescent="0.25">
      <c r="A93" s="33">
        <f t="shared" si="1"/>
        <v>90</v>
      </c>
      <c r="B93" s="34" t="s">
        <v>2369</v>
      </c>
      <c r="C93" s="34" t="s">
        <v>2370</v>
      </c>
      <c r="D93" s="34" t="s">
        <v>2441</v>
      </c>
      <c r="F93" s="10"/>
      <c r="G93" s="10"/>
      <c r="H93" s="10"/>
    </row>
    <row r="94" spans="1:8" x14ac:dyDescent="0.25">
      <c r="A94" s="33">
        <f t="shared" si="1"/>
        <v>91</v>
      </c>
      <c r="B94" s="34" t="s">
        <v>2371</v>
      </c>
      <c r="C94" s="34" t="s">
        <v>2372</v>
      </c>
      <c r="D94" s="34" t="s">
        <v>2459</v>
      </c>
      <c r="F94" s="10"/>
      <c r="G94" s="10"/>
      <c r="H94" s="10"/>
    </row>
    <row r="95" spans="1:8" x14ac:dyDescent="0.25">
      <c r="A95" s="33">
        <f t="shared" si="1"/>
        <v>92</v>
      </c>
      <c r="B95" s="34" t="s">
        <v>2373</v>
      </c>
      <c r="C95" s="34" t="s">
        <v>2374</v>
      </c>
      <c r="D95" s="34" t="s">
        <v>2472</v>
      </c>
      <c r="F95" s="10"/>
      <c r="G95" s="10"/>
      <c r="H95" s="10"/>
    </row>
    <row r="96" spans="1:8" x14ac:dyDescent="0.25">
      <c r="A96" s="33">
        <f t="shared" si="1"/>
        <v>93</v>
      </c>
      <c r="B96" s="34" t="s">
        <v>2375</v>
      </c>
      <c r="C96" s="34" t="s">
        <v>2376</v>
      </c>
      <c r="D96" s="34" t="s">
        <v>1961</v>
      </c>
      <c r="F96" s="10"/>
      <c r="G96" s="10"/>
      <c r="H96" s="10"/>
    </row>
    <row r="97" spans="1:8" x14ac:dyDescent="0.25">
      <c r="A97" s="33">
        <f t="shared" si="1"/>
        <v>94</v>
      </c>
      <c r="B97" s="34" t="s">
        <v>2377</v>
      </c>
      <c r="C97" s="34" t="s">
        <v>2378</v>
      </c>
      <c r="D97" s="34" t="s">
        <v>2441</v>
      </c>
      <c r="F97" s="10"/>
      <c r="G97" s="10"/>
      <c r="H97" s="10"/>
    </row>
    <row r="98" spans="1:8" x14ac:dyDescent="0.25">
      <c r="A98" s="33">
        <f t="shared" si="1"/>
        <v>95</v>
      </c>
      <c r="B98" s="34" t="s">
        <v>2379</v>
      </c>
      <c r="C98" s="34" t="s">
        <v>2380</v>
      </c>
      <c r="D98" s="34" t="s">
        <v>2441</v>
      </c>
      <c r="F98" s="10"/>
      <c r="G98" s="10"/>
      <c r="H98" s="10"/>
    </row>
    <row r="99" spans="1:8" x14ac:dyDescent="0.25">
      <c r="A99" s="33">
        <f t="shared" si="1"/>
        <v>96</v>
      </c>
      <c r="B99" s="34" t="s">
        <v>655</v>
      </c>
      <c r="C99" s="34" t="s">
        <v>656</v>
      </c>
      <c r="D99" s="34" t="s">
        <v>2447</v>
      </c>
      <c r="F99" s="10"/>
      <c r="G99" s="10"/>
      <c r="H99" s="10"/>
    </row>
    <row r="100" spans="1:8" x14ac:dyDescent="0.25">
      <c r="A100" s="33">
        <f t="shared" si="1"/>
        <v>97</v>
      </c>
      <c r="B100" s="34" t="s">
        <v>2381</v>
      </c>
      <c r="C100" s="34" t="s">
        <v>2382</v>
      </c>
      <c r="D100" s="34" t="s">
        <v>2451</v>
      </c>
      <c r="F100" s="10"/>
      <c r="G100" s="10"/>
      <c r="H100" s="10"/>
    </row>
    <row r="101" spans="1:8" x14ac:dyDescent="0.25">
      <c r="A101" s="33">
        <f t="shared" si="1"/>
        <v>98</v>
      </c>
      <c r="B101" s="34" t="s">
        <v>2383</v>
      </c>
      <c r="C101" s="34" t="s">
        <v>2384</v>
      </c>
      <c r="D101" s="34" t="s">
        <v>2459</v>
      </c>
      <c r="F101" s="10"/>
      <c r="G101" s="10"/>
      <c r="H101" s="10"/>
    </row>
    <row r="102" spans="1:8" x14ac:dyDescent="0.25">
      <c r="A102" s="33">
        <f t="shared" si="1"/>
        <v>99</v>
      </c>
      <c r="B102" s="34" t="s">
        <v>2385</v>
      </c>
      <c r="C102" s="34" t="s">
        <v>2386</v>
      </c>
      <c r="D102" s="34" t="s">
        <v>2473</v>
      </c>
      <c r="F102" s="10"/>
      <c r="G102" s="10"/>
      <c r="H102" s="10"/>
    </row>
    <row r="103" spans="1:8" x14ac:dyDescent="0.25">
      <c r="A103" s="33">
        <f t="shared" si="1"/>
        <v>100</v>
      </c>
      <c r="B103" s="34" t="s">
        <v>2387</v>
      </c>
      <c r="C103" s="34" t="s">
        <v>2388</v>
      </c>
      <c r="D103" s="34" t="s">
        <v>2446</v>
      </c>
      <c r="F103" s="10"/>
      <c r="G103" s="10"/>
      <c r="H103" s="10"/>
    </row>
    <row r="104" spans="1:8" x14ac:dyDescent="0.25">
      <c r="A104" s="33">
        <f t="shared" si="1"/>
        <v>101</v>
      </c>
      <c r="B104" s="34" t="s">
        <v>2389</v>
      </c>
      <c r="C104" s="34" t="s">
        <v>2390</v>
      </c>
      <c r="D104" s="34" t="s">
        <v>2474</v>
      </c>
      <c r="F104" s="10"/>
      <c r="G104" s="10"/>
      <c r="H104" s="10"/>
    </row>
    <row r="105" spans="1:8" x14ac:dyDescent="0.25">
      <c r="A105" s="33">
        <f t="shared" si="1"/>
        <v>102</v>
      </c>
      <c r="B105" s="34" t="s">
        <v>2391</v>
      </c>
      <c r="C105" s="34" t="s">
        <v>2392</v>
      </c>
      <c r="D105" s="34" t="s">
        <v>2463</v>
      </c>
      <c r="F105" s="10"/>
      <c r="G105" s="10"/>
      <c r="H105" s="10"/>
    </row>
    <row r="106" spans="1:8" x14ac:dyDescent="0.25">
      <c r="A106" s="33">
        <f t="shared" si="1"/>
        <v>103</v>
      </c>
      <c r="B106" s="34" t="s">
        <v>2393</v>
      </c>
      <c r="C106" s="34" t="s">
        <v>2394</v>
      </c>
      <c r="D106" s="34" t="s">
        <v>2443</v>
      </c>
      <c r="F106" s="10"/>
      <c r="G106" s="10"/>
      <c r="H106" s="10"/>
    </row>
    <row r="107" spans="1:8" x14ac:dyDescent="0.25">
      <c r="A107" s="33">
        <f t="shared" si="1"/>
        <v>104</v>
      </c>
      <c r="B107" s="34" t="s">
        <v>2395</v>
      </c>
      <c r="C107" s="34" t="s">
        <v>2396</v>
      </c>
      <c r="D107" s="34" t="s">
        <v>2441</v>
      </c>
      <c r="F107" s="10"/>
      <c r="G107" s="10"/>
      <c r="H107" s="10"/>
    </row>
    <row r="108" spans="1:8" x14ac:dyDescent="0.25">
      <c r="A108" s="33">
        <f t="shared" si="1"/>
        <v>105</v>
      </c>
      <c r="B108" s="34" t="s">
        <v>2397</v>
      </c>
      <c r="C108" s="34" t="s">
        <v>2398</v>
      </c>
      <c r="D108" s="34" t="s">
        <v>2475</v>
      </c>
      <c r="F108" s="10"/>
      <c r="G108" s="10"/>
      <c r="H108" s="10"/>
    </row>
    <row r="109" spans="1:8" x14ac:dyDescent="0.25">
      <c r="A109" s="33">
        <f t="shared" si="1"/>
        <v>106</v>
      </c>
      <c r="B109" s="34" t="s">
        <v>2399</v>
      </c>
      <c r="C109" s="34" t="s">
        <v>2400</v>
      </c>
      <c r="D109" s="34" t="s">
        <v>2476</v>
      </c>
      <c r="F109" s="10"/>
      <c r="G109" s="10"/>
      <c r="H109" s="10"/>
    </row>
    <row r="110" spans="1:8" x14ac:dyDescent="0.25">
      <c r="A110" s="33">
        <f t="shared" si="1"/>
        <v>107</v>
      </c>
      <c r="B110" s="34" t="s">
        <v>2401</v>
      </c>
      <c r="C110" s="34" t="s">
        <v>2402</v>
      </c>
      <c r="D110" s="34" t="s">
        <v>2468</v>
      </c>
      <c r="F110" s="10"/>
      <c r="G110" s="10"/>
      <c r="H110" s="10"/>
    </row>
    <row r="111" spans="1:8" x14ac:dyDescent="0.25">
      <c r="A111" s="33">
        <f t="shared" si="1"/>
        <v>108</v>
      </c>
      <c r="B111" s="34" t="s">
        <v>2403</v>
      </c>
      <c r="C111" s="34" t="s">
        <v>2404</v>
      </c>
      <c r="D111" s="34" t="s">
        <v>2473</v>
      </c>
      <c r="F111" s="10"/>
      <c r="G111" s="10"/>
      <c r="H111" s="10"/>
    </row>
    <row r="112" spans="1:8" x14ac:dyDescent="0.25">
      <c r="A112" s="33">
        <f t="shared" si="1"/>
        <v>109</v>
      </c>
      <c r="B112" s="34" t="s">
        <v>2405</v>
      </c>
      <c r="C112" s="34" t="s">
        <v>2406</v>
      </c>
      <c r="D112" s="34" t="s">
        <v>2464</v>
      </c>
      <c r="F112" s="10"/>
      <c r="G112" s="10"/>
      <c r="H112" s="10"/>
    </row>
    <row r="113" spans="1:8" x14ac:dyDescent="0.25">
      <c r="A113" s="33">
        <f t="shared" si="1"/>
        <v>110</v>
      </c>
      <c r="B113" s="34" t="s">
        <v>2407</v>
      </c>
      <c r="C113" s="34" t="s">
        <v>2408</v>
      </c>
      <c r="D113" s="34" t="s">
        <v>2477</v>
      </c>
      <c r="F113" s="10"/>
      <c r="G113" s="10"/>
      <c r="H113" s="10"/>
    </row>
    <row r="114" spans="1:8" x14ac:dyDescent="0.25">
      <c r="A114" s="33">
        <f t="shared" si="1"/>
        <v>111</v>
      </c>
      <c r="B114" s="34" t="s">
        <v>2409</v>
      </c>
      <c r="C114" s="34" t="s">
        <v>2410</v>
      </c>
      <c r="D114" s="34" t="s">
        <v>2463</v>
      </c>
      <c r="F114" s="10"/>
      <c r="G114" s="10"/>
      <c r="H114" s="10"/>
    </row>
    <row r="115" spans="1:8" x14ac:dyDescent="0.25">
      <c r="A115" s="33">
        <f t="shared" si="1"/>
        <v>112</v>
      </c>
      <c r="B115" s="34" t="s">
        <v>2411</v>
      </c>
      <c r="C115" s="34" t="s">
        <v>2412</v>
      </c>
      <c r="D115" s="34" t="s">
        <v>2448</v>
      </c>
      <c r="F115" s="10"/>
      <c r="G115" s="10"/>
      <c r="H115" s="10"/>
    </row>
    <row r="116" spans="1:8" x14ac:dyDescent="0.25">
      <c r="A116" s="33">
        <f t="shared" si="1"/>
        <v>113</v>
      </c>
      <c r="B116" s="34" t="s">
        <v>2413</v>
      </c>
      <c r="C116" s="34" t="s">
        <v>2414</v>
      </c>
      <c r="D116" s="34" t="s">
        <v>2474</v>
      </c>
      <c r="F116" s="10"/>
      <c r="G116" s="10"/>
      <c r="H116" s="10"/>
    </row>
    <row r="117" spans="1:8" x14ac:dyDescent="0.25">
      <c r="A117" s="33">
        <f t="shared" si="1"/>
        <v>114</v>
      </c>
      <c r="B117" s="34" t="s">
        <v>2415</v>
      </c>
      <c r="C117" s="34" t="s">
        <v>2416</v>
      </c>
      <c r="D117" s="34" t="s">
        <v>2441</v>
      </c>
      <c r="F117" s="10"/>
      <c r="G117" s="10"/>
      <c r="H117" s="10"/>
    </row>
    <row r="118" spans="1:8" x14ac:dyDescent="0.25">
      <c r="A118" s="33">
        <f t="shared" si="1"/>
        <v>115</v>
      </c>
      <c r="B118" s="34" t="s">
        <v>2417</v>
      </c>
      <c r="C118" s="34" t="s">
        <v>2418</v>
      </c>
      <c r="D118" s="34" t="s">
        <v>2449</v>
      </c>
      <c r="F118" s="10"/>
      <c r="G118" s="10"/>
      <c r="H118" s="10"/>
    </row>
    <row r="119" spans="1:8" x14ac:dyDescent="0.25">
      <c r="A119" s="33">
        <f t="shared" si="1"/>
        <v>116</v>
      </c>
      <c r="B119" s="34" t="s">
        <v>2419</v>
      </c>
      <c r="C119" s="34" t="s">
        <v>2420</v>
      </c>
      <c r="D119" s="34" t="s">
        <v>2449</v>
      </c>
      <c r="F119" s="10"/>
      <c r="G119" s="10"/>
      <c r="H119" s="10"/>
    </row>
    <row r="120" spans="1:8" x14ac:dyDescent="0.25">
      <c r="A120" s="33">
        <f t="shared" si="1"/>
        <v>117</v>
      </c>
      <c r="B120" s="34" t="s">
        <v>2421</v>
      </c>
      <c r="C120" s="34" t="s">
        <v>2422</v>
      </c>
      <c r="D120" s="34" t="s">
        <v>2446</v>
      </c>
      <c r="F120" s="10"/>
      <c r="G120" s="10"/>
      <c r="H120" s="10"/>
    </row>
    <row r="121" spans="1:8" x14ac:dyDescent="0.25">
      <c r="A121" s="33">
        <f t="shared" si="1"/>
        <v>118</v>
      </c>
      <c r="B121" s="34" t="s">
        <v>913</v>
      </c>
      <c r="C121" s="34" t="s">
        <v>914</v>
      </c>
      <c r="D121" s="34" t="s">
        <v>2478</v>
      </c>
      <c r="F121" s="10"/>
      <c r="G121" s="10"/>
      <c r="H121" s="10"/>
    </row>
    <row r="122" spans="1:8" x14ac:dyDescent="0.25">
      <c r="A122" s="33">
        <f t="shared" si="1"/>
        <v>119</v>
      </c>
      <c r="B122" s="34" t="s">
        <v>2423</v>
      </c>
      <c r="C122" s="34" t="s">
        <v>2424</v>
      </c>
      <c r="D122" s="34" t="s">
        <v>2453</v>
      </c>
      <c r="F122" s="10"/>
      <c r="G122" s="10"/>
      <c r="H122" s="10"/>
    </row>
    <row r="123" spans="1:8" x14ac:dyDescent="0.25">
      <c r="A123" s="33">
        <f t="shared" si="1"/>
        <v>120</v>
      </c>
      <c r="B123" s="34" t="s">
        <v>2425</v>
      </c>
      <c r="C123" s="34" t="s">
        <v>2426</v>
      </c>
      <c r="D123" s="34" t="s">
        <v>2445</v>
      </c>
      <c r="F123" s="10"/>
      <c r="G123" s="10"/>
      <c r="H123" s="10"/>
    </row>
    <row r="124" spans="1:8" x14ac:dyDescent="0.25">
      <c r="A124" s="33">
        <f t="shared" si="1"/>
        <v>121</v>
      </c>
      <c r="B124" s="34" t="s">
        <v>2427</v>
      </c>
      <c r="C124" s="34" t="s">
        <v>2428</v>
      </c>
      <c r="D124" s="34" t="s">
        <v>2459</v>
      </c>
      <c r="F124" s="10"/>
      <c r="G124" s="10"/>
      <c r="H124" s="10"/>
    </row>
    <row r="125" spans="1:8" x14ac:dyDescent="0.25">
      <c r="A125" s="33">
        <f t="shared" si="1"/>
        <v>122</v>
      </c>
      <c r="B125" s="34" t="s">
        <v>2429</v>
      </c>
      <c r="C125" s="34" t="s">
        <v>2430</v>
      </c>
      <c r="D125" s="34" t="s">
        <v>2479</v>
      </c>
      <c r="F125" s="10"/>
      <c r="G125" s="10"/>
      <c r="H125" s="10"/>
    </row>
    <row r="126" spans="1:8" x14ac:dyDescent="0.25">
      <c r="A126" s="33">
        <f t="shared" si="1"/>
        <v>123</v>
      </c>
      <c r="B126" s="34" t="s">
        <v>2431</v>
      </c>
      <c r="C126" s="34" t="s">
        <v>2432</v>
      </c>
      <c r="D126" s="34" t="s">
        <v>2476</v>
      </c>
      <c r="F126" s="10"/>
      <c r="G126" s="10"/>
      <c r="H126" s="10"/>
    </row>
    <row r="127" spans="1:8" x14ac:dyDescent="0.25">
      <c r="A127" s="33">
        <f t="shared" si="1"/>
        <v>124</v>
      </c>
      <c r="B127" s="34" t="s">
        <v>2433</v>
      </c>
      <c r="C127" s="34" t="s">
        <v>2434</v>
      </c>
      <c r="D127" s="34" t="s">
        <v>2460</v>
      </c>
      <c r="F127" s="10"/>
      <c r="G127" s="10"/>
      <c r="H127" s="10"/>
    </row>
    <row r="128" spans="1:8" x14ac:dyDescent="0.25">
      <c r="A128" s="33">
        <f t="shared" si="1"/>
        <v>125</v>
      </c>
      <c r="B128" s="34" t="s">
        <v>2435</v>
      </c>
      <c r="C128" s="34" t="s">
        <v>2436</v>
      </c>
      <c r="D128" s="34" t="s">
        <v>1961</v>
      </c>
      <c r="F128" s="10"/>
      <c r="G128" s="10"/>
      <c r="H128" s="10"/>
    </row>
    <row r="129" spans="1:8" x14ac:dyDescent="0.25">
      <c r="A129" s="33">
        <f t="shared" si="1"/>
        <v>126</v>
      </c>
      <c r="B129" s="34" t="s">
        <v>2437</v>
      </c>
      <c r="C129" s="34" t="s">
        <v>2438</v>
      </c>
      <c r="D129" s="34" t="s">
        <v>2480</v>
      </c>
      <c r="F129" s="10"/>
      <c r="G129" s="10"/>
      <c r="H129" s="10"/>
    </row>
    <row r="130" spans="1:8" x14ac:dyDescent="0.25">
      <c r="A130" s="33">
        <f t="shared" si="1"/>
        <v>127</v>
      </c>
      <c r="B130" s="34" t="s">
        <v>2439</v>
      </c>
      <c r="C130" s="34" t="s">
        <v>2440</v>
      </c>
      <c r="D130" s="34" t="s">
        <v>2474</v>
      </c>
      <c r="F130" s="10"/>
      <c r="G130" s="10"/>
      <c r="H130" s="10"/>
    </row>
    <row r="131" spans="1:8" x14ac:dyDescent="0.25">
      <c r="A131" s="33">
        <f t="shared" si="1"/>
        <v>128</v>
      </c>
      <c r="B131" s="34" t="s">
        <v>2508</v>
      </c>
      <c r="C131" s="34" t="s">
        <v>2509</v>
      </c>
      <c r="D131" s="34" t="s">
        <v>2445</v>
      </c>
      <c r="F131" s="10"/>
      <c r="G131" s="10"/>
      <c r="H131" s="10"/>
    </row>
    <row r="132" spans="1:8" x14ac:dyDescent="0.25">
      <c r="A132" s="33">
        <f t="shared" si="1"/>
        <v>129</v>
      </c>
      <c r="B132" s="34" t="s">
        <v>2510</v>
      </c>
      <c r="C132" s="34" t="s">
        <v>2511</v>
      </c>
      <c r="D132" s="34" t="s">
        <v>2457</v>
      </c>
      <c r="F132" s="10"/>
      <c r="G132" s="10"/>
      <c r="H132" s="10"/>
    </row>
    <row r="133" spans="1:8" x14ac:dyDescent="0.25">
      <c r="A133" s="33">
        <f t="shared" si="1"/>
        <v>130</v>
      </c>
      <c r="B133" s="34" t="s">
        <v>2512</v>
      </c>
      <c r="C133" s="34" t="s">
        <v>2268</v>
      </c>
      <c r="D133" s="34" t="s">
        <v>2455</v>
      </c>
      <c r="F133" s="10"/>
      <c r="G133" s="10"/>
      <c r="H133" s="10"/>
    </row>
    <row r="134" spans="1:8" x14ac:dyDescent="0.25">
      <c r="A134" s="33">
        <f t="shared" ref="A134:A135" si="2">+A133+1</f>
        <v>131</v>
      </c>
      <c r="F134" s="10"/>
      <c r="G134" s="10"/>
      <c r="H134" s="10"/>
    </row>
    <row r="135" spans="1:8" x14ac:dyDescent="0.25">
      <c r="A135" s="33">
        <f t="shared" si="2"/>
        <v>132</v>
      </c>
      <c r="F135" s="10"/>
      <c r="G135" s="10"/>
      <c r="H135" s="10"/>
    </row>
  </sheetData>
  <hyperlinks>
    <hyperlink ref="A1" location="Main!A1" display="Main " xr:uid="{A5374DA6-36BA-4794-9C84-6A7BC11F849A}"/>
    <hyperlink ref="B4" r:id="rId1" xr:uid="{494BFA84-1E86-468C-B2B4-C34E5FCB4CC3}"/>
    <hyperlink ref="B5" r:id="rId2" xr:uid="{3ABE9671-3E6B-48E5-963A-A64AF9E99100}"/>
    <hyperlink ref="B6" r:id="rId3" xr:uid="{C8E26E7E-6185-4291-8EC0-F9A30626F9B7}"/>
    <hyperlink ref="B43" r:id="rId4" xr:uid="{05D2FD27-9C9A-41F3-A018-7016A34AB6A8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2BDB4-531E-4509-AF05-6C2E9B67C26E}">
  <dimension ref="A1:E10"/>
  <sheetViews>
    <sheetView zoomScale="200" zoomScaleNormal="200" workbookViewId="0">
      <selection activeCell="B11" sqref="B11"/>
    </sheetView>
  </sheetViews>
  <sheetFormatPr defaultRowHeight="15" x14ac:dyDescent="0.25"/>
  <cols>
    <col min="1" max="1" width="5.42578125" bestFit="1" customWidth="1"/>
    <col min="2" max="2" width="15.5703125" customWidth="1"/>
  </cols>
  <sheetData>
    <row r="1" spans="1:5" x14ac:dyDescent="0.25">
      <c r="A1" s="1" t="s">
        <v>333</v>
      </c>
    </row>
    <row r="2" spans="1:5" x14ac:dyDescent="0.25">
      <c r="B2" s="3"/>
      <c r="C2" s="3"/>
      <c r="D2" s="3"/>
      <c r="E2" s="3"/>
    </row>
    <row r="3" spans="1:5" x14ac:dyDescent="0.25">
      <c r="B3" s="3" t="s">
        <v>334</v>
      </c>
      <c r="C3" s="3">
        <v>1.0900000000000001</v>
      </c>
      <c r="D3" s="3"/>
      <c r="E3" s="3"/>
    </row>
    <row r="4" spans="1:5" x14ac:dyDescent="0.25">
      <c r="B4" s="3" t="s">
        <v>335</v>
      </c>
      <c r="C4" s="3">
        <v>0.14000000000000001</v>
      </c>
      <c r="D4" s="3"/>
      <c r="E4" s="3"/>
    </row>
    <row r="5" spans="1:5" x14ac:dyDescent="0.25">
      <c r="B5" s="3" t="s">
        <v>336</v>
      </c>
      <c r="C5" s="3">
        <v>1.29</v>
      </c>
      <c r="D5" s="3"/>
      <c r="E5" s="3"/>
    </row>
    <row r="6" spans="1:5" x14ac:dyDescent="0.25">
      <c r="B6" s="3" t="s">
        <v>337</v>
      </c>
      <c r="C6" s="3">
        <v>6.6E-3</v>
      </c>
      <c r="D6" s="3"/>
      <c r="E6" s="3"/>
    </row>
    <row r="7" spans="1:5" x14ac:dyDescent="0.25">
      <c r="B7" s="3" t="s">
        <v>2197</v>
      </c>
      <c r="C7" s="3">
        <v>3.1E-2</v>
      </c>
      <c r="D7" s="3"/>
      <c r="E7" s="3"/>
    </row>
    <row r="8" spans="1:5" x14ac:dyDescent="0.25">
      <c r="B8" s="3" t="s">
        <v>2198</v>
      </c>
      <c r="C8" s="3">
        <v>6.9999999999999999E-4</v>
      </c>
      <c r="D8" s="3"/>
      <c r="E8" s="3"/>
    </row>
    <row r="9" spans="1:5" x14ac:dyDescent="0.25">
      <c r="B9" s="3" t="s">
        <v>2212</v>
      </c>
      <c r="C9" s="3">
        <v>0.72</v>
      </c>
      <c r="D9" s="3"/>
      <c r="E9" s="3"/>
    </row>
    <row r="10" spans="1:5" x14ac:dyDescent="0.25">
      <c r="B10" s="32" t="s">
        <v>2599</v>
      </c>
      <c r="C10" s="3">
        <v>1.29</v>
      </c>
      <c r="D10" s="3"/>
      <c r="E10" s="3"/>
    </row>
  </sheetData>
  <hyperlinks>
    <hyperlink ref="A1" location="Main!A1" display="Main" xr:uid="{5BD328DD-1E3C-4BA3-AD8A-212CEC0C5AF5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Main</vt:lpstr>
      <vt:lpstr>Automotive</vt:lpstr>
      <vt:lpstr>Manufacturing</vt:lpstr>
      <vt:lpstr>Transportation</vt:lpstr>
      <vt:lpstr>Defense</vt:lpstr>
      <vt:lpstr>Space</vt:lpstr>
      <vt:lpstr>Marine</vt:lpstr>
      <vt:lpstr>Infrastructure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2025-04-10T11:47:16Z</dcterms:created>
  <dcterms:modified xsi:type="dcterms:W3CDTF">2026-03-19T16:37:21Z</dcterms:modified>
</cp:coreProperties>
</file>