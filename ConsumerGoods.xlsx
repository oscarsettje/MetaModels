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129169B-0A58-4024-A1A1-89F2B3A94C3F}" xr6:coauthVersionLast="47" xr6:coauthVersionMax="47" xr10:uidLastSave="{00000000-0000-0000-0000-000000000000}"/>
  <bookViews>
    <workbookView xWindow="225" yWindow="2730" windowWidth="38175" windowHeight="15240" activeTab="3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3" l="1"/>
  <c r="F16" i="3"/>
  <c r="E16" i="3"/>
  <c r="H16" i="3" l="1"/>
  <c r="G17" i="4"/>
  <c r="F17" i="4"/>
  <c r="E17" i="4"/>
  <c r="G39" i="2"/>
  <c r="F39" i="2"/>
  <c r="E39" i="2"/>
  <c r="H17" i="4" l="1"/>
  <c r="H39" i="2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<sst xmlns="http://schemas.openxmlformats.org/spreadsheetml/2006/main" count="1671" uniqueCount="1175">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</sst>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7" fillId="0" borderId="0" applyFill="0" applyBorder="0" applyAlignment="0" applyProtection="0"/>
  </cellStyleXfs>
  <cellXfs count="44">
    <xf numFmtId="0" fontId="0" fillId="0" borderId="0" xfId="0"/>
    <xf numFmtId="164" fontId="0" fillId="0" borderId="0" xfId="0" applyNumberFormat="1"/>
    <xf numFmtId="0" fontId="14" fillId="0" borderId="0" xfId="0" applyFont="1"/>
    <xf numFmtId="0" fontId="15" fillId="0" borderId="0" xfId="0" applyFont="1"/>
    <xf numFmtId="0" fontId="11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right"/>
    </xf>
    <xf numFmtId="0" fontId="15" fillId="2" borderId="3" xfId="0" applyFont="1" applyFill="1" applyBorder="1"/>
    <xf numFmtId="0" fontId="11" fillId="0" borderId="0" xfId="0" applyFont="1" applyAlignment="1">
      <alignment horizontal="center"/>
    </xf>
    <xf numFmtId="0" fontId="16" fillId="0" borderId="0" xfId="0" applyFont="1"/>
    <xf numFmtId="167" fontId="17" fillId="0" borderId="0" xfId="1"/>
    <xf numFmtId="0" fontId="15" fillId="3" borderId="1" xfId="0" applyFont="1" applyFill="1" applyBorder="1" applyAlignment="1">
      <alignment horizontal="center"/>
    </xf>
    <xf numFmtId="0" fontId="15" fillId="3" borderId="2" xfId="0" applyFont="1" applyFill="1" applyBorder="1"/>
    <xf numFmtId="0" fontId="15" fillId="3" borderId="2" xfId="0" applyFont="1" applyFill="1" applyBorder="1" applyAlignment="1">
      <alignment horizontal="right"/>
    </xf>
    <xf numFmtId="0" fontId="15" fillId="3" borderId="3" xfId="0" applyFont="1" applyFill="1" applyBorder="1"/>
    <xf numFmtId="0" fontId="18" fillId="0" borderId="0" xfId="0" applyFont="1"/>
    <xf numFmtId="164" fontId="11" fillId="0" borderId="0" xfId="0" applyNumberFormat="1" applyFont="1"/>
    <xf numFmtId="0" fontId="11" fillId="0" borderId="0" xfId="0" applyFont="1" applyAlignment="1">
      <alignment horizontal="right"/>
    </xf>
    <xf numFmtId="2" fontId="11" fillId="0" borderId="0" xfId="0" applyNumberFormat="1" applyFont="1"/>
    <xf numFmtId="0" fontId="11" fillId="0" borderId="0" xfId="0" quotePrefix="1" applyFont="1"/>
    <xf numFmtId="9" fontId="11" fillId="0" borderId="0" xfId="0" applyNumberFormat="1" applyFont="1"/>
    <xf numFmtId="16" fontId="11" fillId="0" borderId="0" xfId="0" applyNumberFormat="1" applyFont="1" applyAlignment="1">
      <alignment horizontal="right"/>
    </xf>
    <xf numFmtId="9" fontId="11" fillId="0" borderId="0" xfId="0" applyNumberFormat="1" applyFont="1" applyAlignment="1">
      <alignment horizontal="right"/>
    </xf>
    <xf numFmtId="164" fontId="16" fillId="0" borderId="0" xfId="0" applyNumberFormat="1" applyFont="1"/>
    <xf numFmtId="0" fontId="15" fillId="2" borderId="2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5" fillId="2" borderId="3" xfId="0" applyFont="1" applyFill="1" applyBorder="1" applyAlignment="1">
      <alignment horizontal="right"/>
    </xf>
    <xf numFmtId="164" fontId="11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/>
    </xf>
    <xf numFmtId="165" fontId="11" fillId="0" borderId="0" xfId="0" applyNumberFormat="1" applyFont="1"/>
    <xf numFmtId="166" fontId="11" fillId="0" borderId="0" xfId="0" applyNumberFormat="1" applyFont="1"/>
    <xf numFmtId="0" fontId="10" fillId="0" borderId="0" xfId="0" applyFont="1" applyAlignment="1">
      <alignment horizontal="right"/>
    </xf>
    <xf numFmtId="0" fontId="9" fillId="0" borderId="0" xfId="0" applyFont="1"/>
    <xf numFmtId="0" fontId="8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165" fontId="6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65" fontId="3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SN.SW.xlsx" TargetMode="External"/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D.xlsx" TargetMode="External"/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L.xlsx" TargetMode="External"/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DLZ.xlsx" TargetMode="External"/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G.xlsx" TargetMode="External"/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N.PA.xlsx" TargetMode="External"/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HC.xlsx" TargetMode="External"/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YY.xlsx" TargetMode="External"/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S.xlsx" TargetMode="External"/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SY.xlsx" TargetMode="External"/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.xlsx" TargetMode="External"/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M.xlsx" TargetMode="External"/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KC.xlsx" TargetMode="External"/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RI.xlsx" TargetMode="External"/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VA.xlsx" TargetMode="External"/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PZ.xlsx" TargetMode="External"/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FM.xlsx" TargetMode="External"/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WI.OL.xlsx" TargetMode="External"/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AK.xlsx" TargetMode="External"/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MAD.xlsx" TargetMode="External"/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SF.OL.xlsx" TargetMode="External"/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BM.OL.xlsx" TargetMode="External"/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VA.OL.xlsx" TargetMode="External"/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O.xlsx" TargetMode="External"/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BUX.xlsx" TargetMode="External"/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Z.xlsx" TargetMode="External"/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M.xlsx" TargetMode="External"/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.xlsx" TargetMode="External"/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C.NS.xlsx" TargetMode="External"/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914.T.xlsx" TargetMode="External"/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MB.L.xlsx" TargetMode="External"/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33780.KS.xlsx" TargetMode="External"/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SP.JK.xlsx" TargetMode="External"/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B.xlsx" TargetMode="External"/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SPR.xlsx" TargetMode="External"/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95.4</v>
          </cell>
        </row>
        <row r="4">
          <cell r="H4">
            <v>649.92184920000011</v>
          </cell>
        </row>
        <row r="5">
          <cell r="H5">
            <v>116.907</v>
          </cell>
        </row>
        <row r="6">
          <cell r="H6">
            <v>12.127000000000001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182.31</v>
          </cell>
        </row>
        <row r="5">
          <cell r="K5">
            <v>283798.25404749002</v>
          </cell>
        </row>
        <row r="6">
          <cell r="K6">
            <v>4872</v>
          </cell>
        </row>
        <row r="7">
          <cell r="K7">
            <v>48835</v>
          </cell>
        </row>
      </sheetData>
      <sheetData sheetId="1"/>
      <sheetData sheetId="2"/>
      <sheetData sheetId="3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3">
          <cell r="M3">
            <v>66.25</v>
          </cell>
        </row>
        <row r="5">
          <cell r="M5">
            <v>111498.75</v>
          </cell>
        </row>
        <row r="6">
          <cell r="M6">
            <v>4474</v>
          </cell>
        </row>
        <row r="7">
          <cell r="M7">
            <v>25709</v>
          </cell>
        </row>
      </sheetData>
      <sheetData sheetId="1" refreshError="1"/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60.8</v>
          </cell>
        </row>
        <row r="5">
          <cell r="H5">
            <v>95703.12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5714</v>
          </cell>
        </row>
        <row r="4">
          <cell r="J4">
            <v>10144658.456</v>
          </cell>
        </row>
        <row r="5">
          <cell r="J5">
            <v>273923</v>
          </cell>
        </row>
        <row r="6">
          <cell r="J6">
            <v>679542</v>
          </cell>
        </row>
      </sheetData>
      <sheetData sheetId="1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32.61</v>
          </cell>
        </row>
        <row r="4">
          <cell r="I4">
            <v>26896.727999999999</v>
          </cell>
        </row>
        <row r="5">
          <cell r="I5">
            <v>1439</v>
          </cell>
        </row>
        <row r="6">
          <cell r="I6">
            <v>9594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66.2</v>
          </cell>
        </row>
        <row r="4">
          <cell r="J4">
            <v>5212.6541999999999</v>
          </cell>
        </row>
        <row r="5">
          <cell r="J5">
            <v>197.7</v>
          </cell>
        </row>
        <row r="6">
          <cell r="J6">
            <v>5080.6000000000004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topLeftCell="A206" zoomScale="200" zoomScaleNormal="200" workbookViewId="0">
      <selection activeCell="B206" sqref="B206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316.05</v>
      </c>
      <c r="F5" s="17">
        <f>+[2]Main!$H$4</f>
        <v>225076.38231750001</v>
      </c>
      <c r="G5" s="17">
        <f>+[2]Main!$H$6-[2]Main!$H$5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95.4</v>
      </c>
      <c r="F206" s="17">
        <f>+[23]Main!$H$4*FX!C8</f>
        <v>740.91090808800004</v>
      </c>
      <c r="G206" s="17">
        <f>+([23]Main!$H$6-[23]Main!$H$5)*FX!C8</f>
        <v>-119.44919999999999</v>
      </c>
      <c r="H206" s="17">
        <f>+F206+G206</f>
        <v>621.46170808800002</v>
      </c>
      <c r="I206" s="40" t="s">
        <v>1174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5" t="s">
        <v>1170</v>
      </c>
      <c r="D349" s="35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17" sqref="I1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70.05</v>
      </c>
      <c r="F4" s="17">
        <f>+[26]Main!$I$4</f>
        <v>301327.69959224999</v>
      </c>
      <c r="G4" s="17">
        <f>+[26]Main!$I$6-[26]Main!$I$5</f>
        <v>33524</v>
      </c>
      <c r="H4" s="17">
        <f>+F4+G4</f>
        <v>334851.69959224999</v>
      </c>
      <c r="I4" s="36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87.85</v>
      </c>
      <c r="F9" s="17">
        <f>+[27]Main!$J$4</f>
        <v>99859.095000000001</v>
      </c>
      <c r="G9" s="17">
        <f>+[27]Main!$J$6-[27]Main!$J$5</f>
        <v>12813.199999999997</v>
      </c>
      <c r="H9" s="17">
        <f>+F9+G9</f>
        <v>112672.295</v>
      </c>
      <c r="I9" s="36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+[28]Main!$I$2</f>
        <v>141.83000000000001</v>
      </c>
      <c r="F16" s="17">
        <f>+[28]Main!$I$4</f>
        <v>28675.237054880003</v>
      </c>
      <c r="G16" s="17">
        <f>+[28]Main!$I$6-[28]Main!$I$5</f>
        <v>10472.9</v>
      </c>
      <c r="H16" s="17">
        <f>+F16+G16</f>
        <v>39148.137054880004</v>
      </c>
      <c r="I16" s="36" t="s">
        <v>1173</v>
      </c>
      <c r="J16" s="4"/>
      <c r="K16" s="4"/>
      <c r="L16" s="4"/>
      <c r="M16" s="4"/>
      <c r="N16" s="37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tabSelected="1" zoomScale="200" zoomScaleNormal="200" workbookViewId="0">
      <selection activeCell="B8" sqref="B8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3" t="s">
        <v>722</v>
      </c>
      <c r="C4" s="4"/>
      <c r="D4" s="4"/>
      <c r="E4" s="18"/>
      <c r="F4" s="29">
        <f>SUM(F5:F23)</f>
        <v>718429.85656916746</v>
      </c>
      <c r="G4" s="29">
        <f>SUM(G5:G23)</f>
        <v>105570.36167799999</v>
      </c>
      <c r="H4" s="29">
        <f>SUM(H5:H23)</f>
        <v>815508.33824716776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+[29]Main!$K$3</f>
        <v>182.31</v>
      </c>
      <c r="F5" s="17">
        <f>+[29]Main!$K$5</f>
        <v>283798.25404749002</v>
      </c>
      <c r="G5" s="17">
        <f>+[29]Main!$K$7-[29]Main!$K$6</f>
        <v>43963</v>
      </c>
      <c r="H5" s="17">
        <f>+F5+G5</f>
        <v>327761.25404749002</v>
      </c>
      <c r="I5" s="38" t="s">
        <v>1174</v>
      </c>
      <c r="J5" s="22">
        <v>46134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+[30]Main!$M$3</f>
        <v>66.25</v>
      </c>
      <c r="F6" s="17">
        <f>+[30]Main!$M$5</f>
        <v>111498.75</v>
      </c>
      <c r="G6" s="17">
        <f>+[30]Main!$M$7-[30]Main!$M$6</f>
        <v>21235</v>
      </c>
      <c r="H6" s="17">
        <f>+F6+G6</f>
        <v>132733.75</v>
      </c>
      <c r="I6" s="43" t="s">
        <v>1174</v>
      </c>
      <c r="J6" s="22">
        <v>46142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+[31]Main!$H$2</f>
        <v>60.8</v>
      </c>
      <c r="F7" s="17">
        <f>+[31]Main!$H$5*FX!C3</f>
        <v>122499.9936</v>
      </c>
      <c r="G7" s="17">
        <f>+([30]Main!$M$7-[30]Main!$M$6)*FX!C3</f>
        <v>27180.799999999999</v>
      </c>
      <c r="H7" s="17">
        <f>F7+G7</f>
        <v>149680.7936</v>
      </c>
      <c r="I7" s="39" t="s">
        <v>1174</v>
      </c>
      <c r="J7" s="22">
        <v>46203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+[32]Main!$H$2</f>
        <v>485.4</v>
      </c>
      <c r="F8" s="17">
        <f>+[32]Main!$H$4*FX!C4</f>
        <v>72888.393927045603</v>
      </c>
      <c r="G8" s="17">
        <f>+([32]Main!$H$6-[32]Main!$H$5)*FX!C4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+[33]Main!$J$2</f>
        <v>5714</v>
      </c>
      <c r="F9" s="17">
        <f>+[33]Main!$J$4*FX!C5</f>
        <v>68983.677500799997</v>
      </c>
      <c r="G9" s="17">
        <f>+([33]Main!$J$6-[33]Main!$J$5)*FX!C5</f>
        <v>2758.2091999999998</v>
      </c>
      <c r="H9" s="17">
        <f t="shared" si="1"/>
        <v>71741.886700799994</v>
      </c>
      <c r="I9" s="43" t="s">
        <v>1174</v>
      </c>
      <c r="J9" s="22">
        <v>46150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+[34]Main!$I$2</f>
        <v>32.61</v>
      </c>
      <c r="F10" s="17">
        <f>+([34]Main!$I$4)*FX!C3</f>
        <v>34427.811840000002</v>
      </c>
      <c r="G10" s="17">
        <f>+([34]Main!$I$6-[34]Main!$I$5)*FX!C3</f>
        <v>10438.4</v>
      </c>
      <c r="H10" s="17">
        <f t="shared" si="1"/>
        <v>44866.211840000004</v>
      </c>
      <c r="I10" s="41" t="s">
        <v>1174</v>
      </c>
      <c r="J10" s="22">
        <v>46156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+[35]Main!$I$2</f>
        <v>107400</v>
      </c>
      <c r="F11" s="17">
        <f>+[35]Main!$I$4*FX!C6</f>
        <v>9270.9964935000007</v>
      </c>
      <c r="G11" s="17">
        <f>+([35]Main!$I$6-[35]Main!$I$5)*FX!C6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+[36]Main!$I$2</f>
        <v>590</v>
      </c>
      <c r="F12" s="17">
        <f>+[36]Main!$I$4*FX!C7</f>
        <v>4254.915253002001</v>
      </c>
      <c r="G12" s="17">
        <f>+([36]Main!$I$6-[36]Main!$I$5)*FX!C7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+[37]Main!$J$2</f>
        <v>66.2</v>
      </c>
      <c r="F17" s="17">
        <f>+[37]Main!$J$4*FX!C11</f>
        <v>834.02467200000001</v>
      </c>
      <c r="G17" s="17">
        <f>+([37]Main!$J$6-[37]Main!$J$5)*FX!C11</f>
        <v>781.26400000000012</v>
      </c>
      <c r="H17" s="17">
        <f t="shared" ref="H17" si="3">F17+G17</f>
        <v>1615.2886720000001</v>
      </c>
      <c r="I17" s="42" t="s">
        <v>1174</v>
      </c>
      <c r="J17" s="22">
        <v>46162</v>
      </c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0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+[38]Main!$I$3</f>
        <v>69.63</v>
      </c>
      <c r="F19" s="17">
        <f>+[38]Main!$I$5</f>
        <v>1232.2425974099999</v>
      </c>
      <c r="G19" s="17">
        <f>+[38]Main!$I$7-[38]Main!$I$6</f>
        <v>214.72500000000002</v>
      </c>
      <c r="H19" s="17">
        <f t="shared" ref="H19:H20" si="4">F19+G19</f>
        <v>1446.9675974100001</v>
      </c>
      <c r="I19" s="30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+[39]Main!$I$2</f>
        <v>4.3600000000000003</v>
      </c>
      <c r="F20" s="17">
        <f>+[39]Main!$I$4</f>
        <v>248.91663792000003</v>
      </c>
      <c r="G20" s="17">
        <f>+[39]Main!$I$6-[39]Main!$I$5</f>
        <v>-34.395385999999995</v>
      </c>
      <c r="H20" s="17">
        <f t="shared" si="4"/>
        <v>214.52125192000003</v>
      </c>
      <c r="I20" s="30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4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2026-03-07T14:44:26Z</dcterms:modified>
</cp:coreProperties>
</file>