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563EE87-0DB2-4DB5-8074-222A5635D8D5}" xr6:coauthVersionLast="47" xr6:coauthVersionMax="47" xr10:uidLastSave="{00000000-0000-0000-0000-000000000000}"/>
  <bookViews>
    <workbookView xWindow="225" yWindow="351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4" l="1"/>
  <c r="G17" i="4"/>
  <c r="F17" i="4"/>
  <c r="E17" i="4"/>
  <c r="G39" i="2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<sst xmlns="http://schemas.openxmlformats.org/spreadsheetml/2006/main" count="1666" uniqueCount="1169">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</sst>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1" fillId="0" borderId="0" applyFill="0" applyBorder="0" applyAlignment="0" applyProtection="0"/>
  </cellStyleXfs>
  <cellXfs count="38">
    <xf numFmtId="0" fontId="0" fillId="0" borderId="0" xfId="0"/>
    <xf numFmtId="164" fontId="0" fillId="0" borderId="0" xfId="0" applyNumberFormat="1"/>
    <xf numFmtId="0" fontId="8" fillId="0" borderId="0" xfId="0" applyFont="1"/>
    <xf numFmtId="0" fontId="9" fillId="0" borderId="0" xfId="0" applyFont="1"/>
    <xf numFmtId="0" fontId="5" fillId="0" borderId="0" xfId="0" applyFont="1"/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right"/>
    </xf>
    <xf numFmtId="0" fontId="9" fillId="2" borderId="3" xfId="0" applyFont="1" applyFill="1" applyBorder="1"/>
    <xf numFmtId="0" fontId="5" fillId="0" borderId="0" xfId="0" applyFont="1" applyAlignment="1">
      <alignment horizontal="center"/>
    </xf>
    <xf numFmtId="0" fontId="10" fillId="0" borderId="0" xfId="0" applyFont="1"/>
    <xf numFmtId="167" fontId="11" fillId="0" borderId="0" xfId="1"/>
    <xf numFmtId="0" fontId="9" fillId="3" borderId="1" xfId="0" applyFont="1" applyFill="1" applyBorder="1" applyAlignment="1">
      <alignment horizontal="center"/>
    </xf>
    <xf numFmtId="0" fontId="9" fillId="3" borderId="2" xfId="0" applyFont="1" applyFill="1" applyBorder="1"/>
    <xf numFmtId="0" fontId="9" fillId="3" borderId="2" xfId="0" applyFont="1" applyFill="1" applyBorder="1" applyAlignment="1">
      <alignment horizontal="right"/>
    </xf>
    <xf numFmtId="0" fontId="9" fillId="3" borderId="3" xfId="0" applyFont="1" applyFill="1" applyBorder="1"/>
    <xf numFmtId="0" fontId="12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2" fontId="5" fillId="0" borderId="0" xfId="0" applyNumberFormat="1" applyFont="1"/>
    <xf numFmtId="0" fontId="5" fillId="0" borderId="0" xfId="0" quotePrefix="1" applyFont="1"/>
    <xf numFmtId="9" fontId="5" fillId="0" borderId="0" xfId="0" applyNumberFormat="1" applyFont="1"/>
    <xf numFmtId="16" fontId="5" fillId="0" borderId="0" xfId="0" applyNumberFormat="1" applyFont="1" applyAlignment="1">
      <alignment horizontal="right"/>
    </xf>
    <xf numFmtId="9" fontId="5" fillId="0" borderId="0" xfId="0" applyNumberFormat="1" applyFont="1" applyAlignment="1">
      <alignment horizontal="right"/>
    </xf>
    <xf numFmtId="164" fontId="10" fillId="0" borderId="0" xfId="0" applyNumberFormat="1" applyFont="1"/>
    <xf numFmtId="0" fontId="9" fillId="2" borderId="2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9" fillId="2" borderId="3" xfId="0" applyFont="1" applyFill="1" applyBorder="1" applyAlignment="1">
      <alignment horizontal="right"/>
    </xf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5" fontId="5" fillId="0" borderId="0" xfId="0" applyNumberFormat="1" applyFont="1"/>
    <xf numFmtId="166" fontId="5" fillId="0" borderId="0" xfId="0" applyNumberFormat="1" applyFont="1"/>
    <xf numFmtId="0" fontId="4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1" fillId="0" borderId="0" xfId="0" applyFont="1"/>
    <xf numFmtId="165" fontId="1" fillId="0" borderId="0" xfId="0" applyNumberFormat="1" applyFont="1"/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calcChain" Target="calcChain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haredStrings" Target="sharedString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315.08</v>
          </cell>
        </row>
        <row r="4">
          <cell r="H4">
            <v>224842.48506471998</v>
          </cell>
        </row>
        <row r="5">
          <cell r="H5">
            <v>1876</v>
          </cell>
        </row>
        <row r="6">
          <cell r="H6">
            <v>41403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71.89</v>
          </cell>
        </row>
        <row r="4">
          <cell r="I4">
            <v>309198.91839655</v>
          </cell>
        </row>
        <row r="5">
          <cell r="I5">
            <v>14571</v>
          </cell>
        </row>
        <row r="6">
          <cell r="I6">
            <v>43023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97.02</v>
          </cell>
        </row>
        <row r="4">
          <cell r="J4">
            <v>110205.01800000001</v>
          </cell>
        </row>
        <row r="5">
          <cell r="J5">
            <v>3957.2000000000003</v>
          </cell>
        </row>
        <row r="6">
          <cell r="J6">
            <v>15561.400000000001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165.35</v>
          </cell>
        </row>
        <row r="5">
          <cell r="K5">
            <v>257382.04687294998</v>
          </cell>
        </row>
        <row r="6">
          <cell r="K6">
            <v>4138</v>
          </cell>
        </row>
        <row r="7">
          <cell r="K7">
            <v>44971</v>
          </cell>
        </row>
      </sheetData>
      <sheetData sheetId="1"/>
      <sheetData sheetId="2"/>
      <sheetData sheetId="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32.01</v>
          </cell>
        </row>
        <row r="4">
          <cell r="I4">
            <v>26894.802</v>
          </cell>
        </row>
        <row r="5">
          <cell r="I5">
            <v>142</v>
          </cell>
        </row>
        <row r="6">
          <cell r="I6">
            <v>10501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86.5</v>
          </cell>
        </row>
        <row r="4">
          <cell r="J4">
            <v>6820.9575000000004</v>
          </cell>
        </row>
        <row r="5">
          <cell r="J5">
            <v>67.900000000000006</v>
          </cell>
        </row>
        <row r="6">
          <cell r="J6">
            <v>5226.3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32" sqref="B32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315.08</v>
      </c>
      <c r="F5" s="17">
        <f>+[2]Main!$H$4</f>
        <v>224842.48506471998</v>
      </c>
      <c r="G5" s="17">
        <f>+[2]Main!$H$6-[2]Main!$H$5</f>
        <v>39527</v>
      </c>
      <c r="H5" s="17">
        <f>+F5+G5</f>
        <v>264369.48506471998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1167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B20" sqref="B20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71.89</v>
      </c>
      <c r="F4" s="17">
        <f>+[26]Main!$I$4</f>
        <v>309198.91839655</v>
      </c>
      <c r="G4" s="17">
        <f>+[26]Main!$I$6-[26]Main!$I$5</f>
        <v>28452</v>
      </c>
      <c r="H4" s="17">
        <f>+F4+G4</f>
        <v>337650.91839655</v>
      </c>
      <c r="I4" s="18" t="s">
        <v>491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97.02</v>
      </c>
      <c r="F9" s="17">
        <f>+[27]Main!$J$4</f>
        <v>110205.01800000001</v>
      </c>
      <c r="G9" s="17">
        <f>+[27]Main!$J$6-[27]Main!$J$5</f>
        <v>11604.2</v>
      </c>
      <c r="H9" s="17">
        <f>+F9+G9</f>
        <v>121809.21800000001</v>
      </c>
      <c r="I9" s="18" t="s">
        <v>491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4" t="s">
        <v>505</v>
      </c>
      <c r="C16" s="4" t="s">
        <v>506</v>
      </c>
      <c r="D16" s="4" t="s">
        <v>27</v>
      </c>
      <c r="E16" s="4"/>
      <c r="F16" s="17"/>
      <c r="G16" s="17"/>
      <c r="H16" s="17"/>
      <c r="I16" s="1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I18" sqref="I1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672460.42801322811</v>
      </c>
      <c r="G4" s="29">
        <f>SUM(G5:G23)</f>
        <v>112735.278878</v>
      </c>
      <c r="H4" s="29">
        <f>SUM(H5:H23)</f>
        <v>776703.82689122832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+[28]Main!$K$3</f>
        <v>165.35</v>
      </c>
      <c r="F5" s="17">
        <f>+[28]Main!$K$5</f>
        <v>257382.04687294998</v>
      </c>
      <c r="G5" s="17">
        <f>+[28]Main!$K$7-[28]Main!$K$6</f>
        <v>40833</v>
      </c>
      <c r="H5" s="17">
        <f>+F5+G5</f>
        <v>298215.04687294998</v>
      </c>
      <c r="I5" s="34" t="s">
        <v>1167</v>
      </c>
      <c r="J5" s="22">
        <v>45951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+[29]Main!$M$3</f>
        <v>66.430000000000007</v>
      </c>
      <c r="F6" s="17">
        <f>+[29]Main!$M$5</f>
        <v>111595.15600779002</v>
      </c>
      <c r="G6" s="17">
        <f>+[29]Main!$M$7-[29]Main!$M$6</f>
        <v>23433</v>
      </c>
      <c r="H6" s="17">
        <f>+F6+G6</f>
        <v>135028.15600779001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+[30]Main!$H$2</f>
        <v>38.49</v>
      </c>
      <c r="F7" s="17">
        <f>+[30]Main!$H$5*FX!C3</f>
        <v>114298.62400000001</v>
      </c>
      <c r="G7" s="17">
        <f>+([29]Main!$M$7-[29]Main!$M$6)*FX!C3</f>
        <v>29994.240000000002</v>
      </c>
      <c r="H7" s="17">
        <f>F7+G7</f>
        <v>144292.864</v>
      </c>
      <c r="I7" s="30" t="s">
        <v>1167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+[32]Main!$J$2</f>
        <v>4744</v>
      </c>
      <c r="F9" s="17">
        <f>+[32]Main!$J$4*FX!C5</f>
        <v>57280.556463610665</v>
      </c>
      <c r="G9" s="17">
        <f>+([32]Main!$J$6-[32]Main!$J$5)*FX!C5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+[33]Main!$I$2</f>
        <v>32.01</v>
      </c>
      <c r="F10" s="17">
        <f>+([33]Main!$I$4)*FX!C3</f>
        <v>34425.346559999998</v>
      </c>
      <c r="G10" s="17">
        <f>+([33]Main!$I$6-[33]Main!$I$5)*FX!C3</f>
        <v>13259.52</v>
      </c>
      <c r="H10" s="17">
        <f t="shared" si="1"/>
        <v>47684.866559999995</v>
      </c>
      <c r="I10" s="35" t="s">
        <v>1167</v>
      </c>
      <c r="J10" s="22">
        <v>45979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+[38]Main!$J$2</f>
        <v>86.5</v>
      </c>
      <c r="F17" s="17">
        <f>+[38]Main!$J$4*FX!C11</f>
        <v>1091.3532</v>
      </c>
      <c r="G17" s="17">
        <f>+([38]Main!$J$6-[38]Main!$J$5)*FX!C11</f>
        <v>825.34400000000005</v>
      </c>
      <c r="H17" s="17">
        <f t="shared" ref="H17" si="3">F17+G17</f>
        <v>1916.6972000000001</v>
      </c>
      <c r="I17" s="37" t="s">
        <v>1167</v>
      </c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+[36]Main!$I$3</f>
        <v>69.63</v>
      </c>
      <c r="F19" s="17">
        <f>+[36]Main!$I$5</f>
        <v>1232.2425974099999</v>
      </c>
      <c r="G19" s="17">
        <f>+[36]Main!$I$7-[36]Main!$I$6</f>
        <v>214.72500000000002</v>
      </c>
      <c r="H19" s="17">
        <f t="shared" ref="H19:H20" si="4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+[37]Main!$I$2</f>
        <v>4.3600000000000003</v>
      </c>
      <c r="F20" s="17">
        <f>+[37]Main!$I$4</f>
        <v>248.91663792000003</v>
      </c>
      <c r="G20" s="17">
        <f>+[37]Main!$I$6-[37]Main!$I$5</f>
        <v>-34.395385999999995</v>
      </c>
      <c r="H20" s="17">
        <f t="shared" si="4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2025-11-07T15:48:28Z</dcterms:modified>
</cp:coreProperties>
</file>