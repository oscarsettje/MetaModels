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0198C46-0224-49AA-A1C9-A3844830795D}" xr6:coauthVersionLast="47" xr6:coauthVersionMax="47" xr10:uidLastSave="{00000000-0000-0000-0000-000000000000}"/>
  <bookViews>
    <workbookView xWindow="225" yWindow="3855" windowWidth="38175" windowHeight="15240" activeTab="2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3" l="1"/>
  <c r="G16" i="3"/>
  <c r="F16" i="3"/>
  <c r="E16" i="3"/>
  <c r="G17" i="4" l="1"/>
  <c r="F17" i="4"/>
  <c r="H17" i="4" s="1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<sst xmlns="http://schemas.openxmlformats.org/spreadsheetml/2006/main" count="1671" uniqueCount="1174">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</sst>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4" fillId="0" borderId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11" fillId="0" borderId="0" xfId="0" applyFont="1"/>
    <xf numFmtId="0" fontId="12" fillId="0" borderId="0" xfId="0" applyFont="1"/>
    <xf numFmtId="0" fontId="8" fillId="0" borderId="0" xfId="0" applyFont="1"/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2" fillId="2" borderId="3" xfId="0" applyFont="1" applyFill="1" applyBorder="1"/>
    <xf numFmtId="0" fontId="8" fillId="0" borderId="0" xfId="0" applyFont="1" applyAlignment="1">
      <alignment horizontal="center"/>
    </xf>
    <xf numFmtId="0" fontId="13" fillId="0" borderId="0" xfId="0" applyFont="1"/>
    <xf numFmtId="167" fontId="14" fillId="0" borderId="0" xfId="1"/>
    <xf numFmtId="0" fontId="12" fillId="3" borderId="1" xfId="0" applyFont="1" applyFill="1" applyBorder="1" applyAlignment="1">
      <alignment horizontal="center"/>
    </xf>
    <xf numFmtId="0" fontId="12" fillId="3" borderId="2" xfId="0" applyFont="1" applyFill="1" applyBorder="1"/>
    <xf numFmtId="0" fontId="12" fillId="3" borderId="2" xfId="0" applyFont="1" applyFill="1" applyBorder="1" applyAlignment="1">
      <alignment horizontal="right"/>
    </xf>
    <xf numFmtId="0" fontId="12" fillId="3" borderId="3" xfId="0" applyFont="1" applyFill="1" applyBorder="1"/>
    <xf numFmtId="0" fontId="15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2" fontId="8" fillId="0" borderId="0" xfId="0" applyNumberFormat="1" applyFont="1"/>
    <xf numFmtId="0" fontId="8" fillId="0" borderId="0" xfId="0" quotePrefix="1" applyFont="1"/>
    <xf numFmtId="9" fontId="8" fillId="0" borderId="0" xfId="0" applyNumberFormat="1" applyFont="1"/>
    <xf numFmtId="16" fontId="8" fillId="0" borderId="0" xfId="0" applyNumberFormat="1" applyFont="1" applyAlignment="1">
      <alignment horizontal="right"/>
    </xf>
    <xf numFmtId="9" fontId="8" fillId="0" borderId="0" xfId="0" applyNumberFormat="1" applyFont="1" applyAlignment="1">
      <alignment horizontal="right"/>
    </xf>
    <xf numFmtId="164" fontId="13" fillId="0" borderId="0" xfId="0" applyNumberFormat="1" applyFont="1"/>
    <xf numFmtId="0" fontId="12" fillId="2" borderId="2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right"/>
    </xf>
    <xf numFmtId="0" fontId="12" fillId="2" borderId="3" xfId="0" applyFont="1" applyFill="1" applyBorder="1" applyAlignment="1">
      <alignment horizontal="right"/>
    </xf>
    <xf numFmtId="164" fontId="8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8" fillId="0" borderId="0" xfId="0" applyNumberFormat="1" applyFont="1"/>
    <xf numFmtId="166" fontId="8" fillId="0" borderId="0" xfId="0" applyNumberFormat="1" applyFont="1"/>
    <xf numFmtId="0" fontId="7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0" fontId="4" fillId="0" borderId="0" xfId="0" applyFont="1"/>
    <xf numFmtId="165" fontId="4" fillId="0" borderId="0" xfId="0" applyNumberFormat="1" applyFont="1"/>
    <xf numFmtId="0" fontId="3" fillId="0" borderId="0" xfId="0" applyFont="1"/>
    <xf numFmtId="165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157.97999999999999</v>
          </cell>
        </row>
        <row r="5">
          <cell r="K5">
            <v>245917.78956701997</v>
          </cell>
        </row>
        <row r="6">
          <cell r="K6">
            <v>4037</v>
          </cell>
        </row>
        <row r="7">
          <cell r="K7">
            <v>50082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1167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8" t="s">
        <v>1170</v>
      </c>
      <c r="D349" s="38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tabSelected="1"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40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40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+[39]Main!$I$2</f>
        <v>141.83000000000001</v>
      </c>
      <c r="F16" s="17">
        <f>+[39]Main!$I$4</f>
        <v>28675.237054880003</v>
      </c>
      <c r="G16" s="17">
        <f>+[39]Main!$I$6-[39]Main!$I$5</f>
        <v>10472.9</v>
      </c>
      <c r="H16" s="17">
        <f>+F16+G16</f>
        <v>39148.137054880004</v>
      </c>
      <c r="I16" s="40" t="s">
        <v>1173</v>
      </c>
      <c r="J16" s="4"/>
      <c r="K16" s="4"/>
      <c r="L16" s="4"/>
      <c r="M16" s="4"/>
      <c r="N16" s="41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I6" sqref="I6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660996.44750729809</v>
      </c>
      <c r="G4" s="29">
        <f>SUM(G5:G23)</f>
        <v>117923.11887799999</v>
      </c>
      <c r="H4" s="29">
        <f>SUM(H5:H23)</f>
        <v>770427.68638529826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157.97999999999999</v>
      </c>
      <c r="F5" s="17">
        <f>+[28]Main!$K$5</f>
        <v>245917.78956701997</v>
      </c>
      <c r="G5" s="17">
        <f>+[28]Main!$K$7-[28]Main!$K$6</f>
        <v>46045</v>
      </c>
      <c r="H5" s="17">
        <f>+F5+G5</f>
        <v>291962.78956701997</v>
      </c>
      <c r="I5" s="39" t="s">
        <v>1171</v>
      </c>
      <c r="J5" s="22">
        <v>45951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66.430000000000007</v>
      </c>
      <c r="F6" s="17">
        <f>+[29]Main!$M$5</f>
        <v>111595.15600779002</v>
      </c>
      <c r="G6" s="17">
        <f>+[29]Main!$M$7-[29]Main!$M$6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29994.240000000002</v>
      </c>
      <c r="H7" s="17">
        <f>F7+G7</f>
        <v>144292.864</v>
      </c>
      <c r="I7" s="30" t="s">
        <v>1167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4744</v>
      </c>
      <c r="F9" s="17">
        <f>+[32]Main!$J$4*FX!C5</f>
        <v>57280.556463610665</v>
      </c>
      <c r="G9" s="17">
        <f>+([32]Main!$J$6-[32]Main!$J$5)*FX!C5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32.01</v>
      </c>
      <c r="F10" s="17">
        <f>+([33]Main!$I$4)*FX!C3</f>
        <v>34425.346559999998</v>
      </c>
      <c r="G10" s="17">
        <f>+([33]Main!$I$6-[33]Main!$I$5)*FX!C3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+[36]Main!$J$2</f>
        <v>86.5</v>
      </c>
      <c r="F17" s="17">
        <f>+[36]Main!$J$4*FX!C11</f>
        <v>1091.6300000000001</v>
      </c>
      <c r="G17" s="17">
        <f>+([36]Main!$J$6-[36]Main!$J$5)*FX!C11</f>
        <v>801.18399999999997</v>
      </c>
      <c r="H17" s="17">
        <f t="shared" ref="H17" si="3">F17+G17</f>
        <v>1892.8140000000001</v>
      </c>
      <c r="I17" s="37" t="s">
        <v>1167</v>
      </c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+[37]Main!$I$3</f>
        <v>69.63</v>
      </c>
      <c r="F19" s="17">
        <f>+[37]Main!$I$5</f>
        <v>1232.2425974099999</v>
      </c>
      <c r="G19" s="17">
        <f>+[37]Main!$I$7-[37]Main!$I$6</f>
        <v>214.72500000000002</v>
      </c>
      <c r="H19" s="17">
        <f t="shared" ref="H19:H20" si="4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+[38]Main!$I$2</f>
        <v>4.3600000000000003</v>
      </c>
      <c r="F20" s="17">
        <f>+[38]Main!$I$4</f>
        <v>248.91663792000003</v>
      </c>
      <c r="G20" s="17">
        <f>+[38]Main!$I$6-[38]Main!$I$5</f>
        <v>-34.395385999999995</v>
      </c>
      <c r="H20" s="17">
        <f t="shared" si="4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2025-12-22T17:43:12Z</dcterms:modified>
</cp:coreProperties>
</file>