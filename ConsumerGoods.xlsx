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304AA5F-FB46-4BF0-BD72-7823357364CE}" xr6:coauthVersionLast="47" xr6:coauthVersionMax="47" xr10:uidLastSave="{00000000-0000-0000-0000-000000000000}"/>
  <bookViews>
    <workbookView xWindow="225" yWindow="2730" windowWidth="38175" windowHeight="15240" activeTab="4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<sst xmlns="http://schemas.openxmlformats.org/spreadsheetml/2006/main" count="1671" uniqueCount="1175">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</sst>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7" fillId="0" borderId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4" fillId="0" borderId="0" xfId="0" applyFont="1"/>
    <xf numFmtId="0" fontId="15" fillId="0" borderId="0" xfId="0" applyFont="1"/>
    <xf numFmtId="0" fontId="11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3" xfId="0" applyFont="1" applyFill="1" applyBorder="1"/>
    <xf numFmtId="0" fontId="11" fillId="0" borderId="0" xfId="0" applyFont="1" applyAlignment="1">
      <alignment horizontal="center"/>
    </xf>
    <xf numFmtId="0" fontId="16" fillId="0" borderId="0" xfId="0" applyFont="1"/>
    <xf numFmtId="167" fontId="17" fillId="0" borderId="0" xfId="1"/>
    <xf numFmtId="0" fontId="15" fillId="3" borderId="1" xfId="0" applyFont="1" applyFill="1" applyBorder="1" applyAlignment="1">
      <alignment horizontal="center"/>
    </xf>
    <xf numFmtId="0" fontId="15" fillId="3" borderId="2" xfId="0" applyFont="1" applyFill="1" applyBorder="1"/>
    <xf numFmtId="0" fontId="15" fillId="3" borderId="2" xfId="0" applyFont="1" applyFill="1" applyBorder="1" applyAlignment="1">
      <alignment horizontal="right"/>
    </xf>
    <xf numFmtId="0" fontId="15" fillId="3" borderId="3" xfId="0" applyFont="1" applyFill="1" applyBorder="1"/>
    <xf numFmtId="0" fontId="18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2" fontId="11" fillId="0" borderId="0" xfId="0" applyNumberFormat="1" applyFont="1"/>
    <xf numFmtId="0" fontId="11" fillId="0" borderId="0" xfId="0" quotePrefix="1" applyFont="1"/>
    <xf numFmtId="9" fontId="11" fillId="0" borderId="0" xfId="0" applyNumberFormat="1" applyFont="1"/>
    <xf numFmtId="16" fontId="11" fillId="0" borderId="0" xfId="0" applyNumberFormat="1" applyFont="1" applyAlignment="1">
      <alignment horizontal="right"/>
    </xf>
    <xf numFmtId="9" fontId="11" fillId="0" borderId="0" xfId="0" applyNumberFormat="1" applyFont="1" applyAlignment="1">
      <alignment horizontal="right"/>
    </xf>
    <xf numFmtId="164" fontId="16" fillId="0" borderId="0" xfId="0" applyNumberFormat="1" applyFont="1"/>
    <xf numFmtId="0" fontId="15" fillId="2" borderId="2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5" fillId="2" borderId="3" xfId="0" applyFont="1" applyFill="1" applyBorder="1" applyAlignment="1">
      <alignment horizontal="right"/>
    </xf>
    <xf numFmtId="164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11" fillId="0" borderId="0" xfId="0" applyNumberFormat="1" applyFont="1"/>
    <xf numFmtId="166" fontId="11" fillId="0" borderId="0" xfId="0" applyNumberFormat="1" applyFont="1"/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0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B8" sqref="B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718429.85656916746</v>
      </c>
      <c r="G4" s="29">
        <f>SUM(G5:G23)</f>
        <v>105570.36167799999</v>
      </c>
      <c r="H4" s="29">
        <f>SUM(H5:H23)</f>
        <v>815508.33824716776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38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66.25</v>
      </c>
      <c r="F6" s="17">
        <f>+[30]Main!$M$5</f>
        <v>111498.75</v>
      </c>
      <c r="G6" s="17">
        <f>+[30]Main!$M$7-[30]Main!$M$6</f>
        <v>21235</v>
      </c>
      <c r="H6" s="17">
        <f>+F6+G6</f>
        <v>132733.75</v>
      </c>
      <c r="I6" s="43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27180.799999999999</v>
      </c>
      <c r="H7" s="17">
        <f>F7+G7</f>
        <v>149680.7936</v>
      </c>
      <c r="I7" s="39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5714</v>
      </c>
      <c r="F9" s="17">
        <f>+[33]Main!$J$4*FX!C5</f>
        <v>68983.677500799997</v>
      </c>
      <c r="G9" s="17">
        <f>+([33]Main!$J$6-[33]Main!$J$5)*FX!C5</f>
        <v>2758.2091999999998</v>
      </c>
      <c r="H9" s="17">
        <f t="shared" si="1"/>
        <v>71741.886700799994</v>
      </c>
      <c r="I9" s="43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1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66.2</v>
      </c>
      <c r="F17" s="17">
        <f>+[37]Main!$J$4*FX!C11</f>
        <v>834.02467200000001</v>
      </c>
      <c r="G17" s="17">
        <f>+([37]Main!$J$6-[37]Main!$J$5)*FX!C11</f>
        <v>781.26400000000012</v>
      </c>
      <c r="H17" s="17">
        <f t="shared" ref="H17" si="3">F17+G17</f>
        <v>1615.2886720000001</v>
      </c>
      <c r="I17" s="42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tabSelected="1"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2026-03-11T15:45:38Z</dcterms:modified>
</cp:coreProperties>
</file>