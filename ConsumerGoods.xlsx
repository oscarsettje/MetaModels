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797C565-7395-48A1-B40B-616FBA0F0929}" xr6:coauthVersionLast="47" xr6:coauthVersionMax="47" xr10:uidLastSave="{00000000-0000-0000-0000-000000000000}"/>
  <bookViews>
    <workbookView xWindow="-120" yWindow="-120" windowWidth="38640" windowHeight="2106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H6" i="3" s="1"/>
  <c r="E6" i="3"/>
  <c r="G16" i="3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44" i="2" l="1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<sst xmlns="http://schemas.openxmlformats.org/spreadsheetml/2006/main" count="1672" uniqueCount="1176">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</sst>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192</v>
          </cell>
        </row>
        <row r="5">
          <cell r="K5">
            <v>299243.29843199998</v>
          </cell>
        </row>
        <row r="6">
          <cell r="K6">
            <v>5450</v>
          </cell>
        </row>
        <row r="7">
          <cell r="K7">
            <v>49501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90.75</v>
          </cell>
        </row>
        <row r="5">
          <cell r="I5">
            <v>1757.6037105</v>
          </cell>
        </row>
        <row r="6">
          <cell r="I6">
            <v>192.43899999999999</v>
          </cell>
        </row>
        <row r="7">
          <cell r="I7">
            <v>293.88499999999999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+[12]Main!$H$2</f>
        <v>77.62</v>
      </c>
      <c r="F4" s="17">
        <f>+[12]Main!$H$4*FX!C9</f>
        <v>250138.21200000003</v>
      </c>
      <c r="G4" s="17">
        <f>+([12]Main!$H$6-[12]Main!$H$5)*FX!C9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+[13]Main!$H$2</f>
        <v>316.05</v>
      </c>
      <c r="F5" s="17">
        <f>+[13]Main!$H$4</f>
        <v>225076.38231750001</v>
      </c>
      <c r="G5" s="17">
        <f>+[13]Main!$H$6-[13]Main!$H$5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+[14]Main!$I$2</f>
        <v>47.255000000000003</v>
      </c>
      <c r="F6" s="17">
        <f>+[14]Main!$I$4*FX!C3</f>
        <v>151881.35040000002</v>
      </c>
      <c r="G6" s="17">
        <f>+([14]Main!$I$6-[14]Main!$I$5)*FX!C3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+[15]Main!$H$2</f>
        <v>68.88</v>
      </c>
      <c r="F7" s="17">
        <f>+[15]Main!$H$4</f>
        <v>89186.882892239984</v>
      </c>
      <c r="G7" s="17">
        <f>+[15]Main!$H$6-[15]Main!$H$5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+[16]Main!$H$2</f>
        <v>56.28</v>
      </c>
      <c r="F8" s="17">
        <f>+[16]Main!$H$4</f>
        <v>76686.73404000001</v>
      </c>
      <c r="G8" s="17">
        <f>+[16]Main!$H$6-[16]Main!$H$5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+[17]Main!$G$3</f>
        <v>267.60000000000002</v>
      </c>
      <c r="F10" s="17">
        <f>+[17]Main!$G$5</f>
        <v>114317.33704320001</v>
      </c>
      <c r="G10" s="17">
        <f>+[17]Main!$G$7-[17]Main!$G$6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+[18]Main!$H$2</f>
        <v>72.48</v>
      </c>
      <c r="F12" s="17">
        <f>+[18]Main!$H$4*FX!C8</f>
        <v>52897.667876179192</v>
      </c>
      <c r="G12" s="17">
        <f>+([18]Main!$H$6-[18]Main!$H$5)*FX!C8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+[19]Main!$H$2</f>
        <v>26.72</v>
      </c>
      <c r="F13" s="17">
        <f>+[19]Main!$H$4</f>
        <v>31624.244938719999</v>
      </c>
      <c r="G13" s="17">
        <f>+[19]Main!$H$6-[19]Main!$H$5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+[20]Main!$H$2</f>
        <v>75.650000000000006</v>
      </c>
      <c r="F14" s="17">
        <f>+[20]Main!$H$4</f>
        <v>37161.254464999998</v>
      </c>
      <c r="G14" s="17">
        <f>+[20]Main!$H$6-[20]Main!$H$5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+[21]Main!$J$2</f>
        <v>52.07</v>
      </c>
      <c r="F15" s="17">
        <f>+[21]Main!$J$4</f>
        <v>28244.199404300001</v>
      </c>
      <c r="G15" s="17">
        <f>+[21]Main!$J$6-[21]Main!$J$5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+[22]Main!$J$2</f>
        <v>164.97</v>
      </c>
      <c r="F16" s="17">
        <f>+[22]Main!$J$4</f>
        <v>33423.547236300001</v>
      </c>
      <c r="G16" s="17">
        <f>+[22]Main!$J$6-[22]Main!$J$5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+[23]Main!$I$2</f>
        <v>81.52</v>
      </c>
      <c r="F22" s="17">
        <f>+[23]Main!$I$4</f>
        <v>28099.772318880001</v>
      </c>
      <c r="G22" s="17">
        <f>+[23]Main!$I$6-[23]Main!$I$5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+[24]Main!$I$2</f>
        <v>51.28</v>
      </c>
      <c r="F26" s="17">
        <f>+[24]Main!$I$4</f>
        <v>24539.198905600002</v>
      </c>
      <c r="G26" s="17">
        <f>+[24]Main!$I$6-[24]Main!$I$5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+[25]Main!$J$2</f>
        <v>76.930000000000007</v>
      </c>
      <c r="F30" s="17">
        <f>+[25]Main!$J$4</f>
        <v>20629.107760310002</v>
      </c>
      <c r="G30" s="17">
        <f>+[25]Main!$J$6-[25]Main!$J$5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+[26]Main!$I$2</f>
        <v>192.3</v>
      </c>
      <c r="F31" s="17">
        <f>+[26]Main!$I$4</f>
        <v>22527.326947800004</v>
      </c>
      <c r="G31" s="17">
        <f>+[26]Main!$I$6-[26]Main!$I$5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+[27]Main!$I$2</f>
        <v>90.6</v>
      </c>
      <c r="F39" s="17">
        <f>+[27]Main!$I$4</f>
        <v>10478.7931914</v>
      </c>
      <c r="G39" s="17">
        <f>+[27]Main!$I$6-[27]Main!$I$5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+[28]Main!$J$2</f>
        <v>480.97</v>
      </c>
      <c r="F40" s="17">
        <f>+[28]Main!$J$4</f>
        <v>16328.412533369999</v>
      </c>
      <c r="G40" s="17">
        <f>+[28]Main!$J$6-[28]Main!$J$5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+[29]Main!$I$2</f>
        <v>164.28</v>
      </c>
      <c r="F44" s="17">
        <f>+[29]Main!$I$4</f>
        <v>16076.2140936</v>
      </c>
      <c r="G44" s="17">
        <f>+[29]Main!$I$6-[29]Main!$I$5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+[30]Main!$J$2</f>
        <v>190.5</v>
      </c>
      <c r="F66" s="17">
        <f>+[30]Main!$J$4*FX!C10</f>
        <v>9653.9469578789995</v>
      </c>
      <c r="G66" s="17">
        <f>+([30]Main!$J$6-[30]Main!$J$5)*FX!C10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+[31]Main!$J$2</f>
        <v>137.83000000000001</v>
      </c>
      <c r="F72" s="17">
        <f>+[31]Main!$J$4</f>
        <v>5880.7446451600008</v>
      </c>
      <c r="G72" s="17">
        <f>+[31]Main!$J$6-[31]Main!$J$5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+[32]Main!$I$2</f>
        <v>15.7</v>
      </c>
      <c r="F128" s="17">
        <f>+[32]Main!$I$4*FX!C3</f>
        <v>3243.4944</v>
      </c>
      <c r="G128" s="17">
        <f>+([32]Main!$I$6-[32]Main!$I$5)*FX!C3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+[33]Main!$J$2</f>
        <v>70.25</v>
      </c>
      <c r="F203" s="17">
        <f>+[33]Main!$J$4*FX!C10</f>
        <v>772.74349442850007</v>
      </c>
      <c r="G203" s="17">
        <f>+([33]Main!$J$6-[33]Main!$J$5)*FX!C10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+[34]Main!$H$2</f>
        <v>95.4</v>
      </c>
      <c r="F206" s="17">
        <f>+[34]Main!$H$4*FX!C8</f>
        <v>740.91090808800004</v>
      </c>
      <c r="G206" s="17">
        <f>+([34]Main!$H$6-[34]Main!$H$5)*FX!C8</f>
        <v>-119.44919999999999</v>
      </c>
      <c r="H206" s="17">
        <f>+F206+G206</f>
        <v>621.46170808800002</v>
      </c>
      <c r="I206" s="39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+[35]Main!$J$2</f>
        <v>58.4</v>
      </c>
      <c r="F259" s="17">
        <f>+[35]Main!$J$4*FX!C10</f>
        <v>501.81546996000003</v>
      </c>
      <c r="G259" s="17">
        <f>+([35]Main!$J$6-[35]Main!$J$5)*FX!C10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+[36]Main!$I$2</f>
        <v>85</v>
      </c>
      <c r="F348" s="17">
        <f>+[36]Main!$I$4*FX!C10</f>
        <v>302.45397000000003</v>
      </c>
      <c r="G348" s="17">
        <f>+([36]Main!$I$6-[36]Main!$I$5)*FX!C10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+[37]Main!$I$2</f>
        <v>70.05</v>
      </c>
      <c r="F4" s="17">
        <f>+[37]Main!$I$4</f>
        <v>301327.69959224999</v>
      </c>
      <c r="G4" s="17">
        <f>+[37]Main!$I$6-[37]Main!$I$5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+[38]Main!$I$2</f>
        <v>153.69</v>
      </c>
      <c r="F6" s="17">
        <f>+[38]Main!$I$4</f>
        <v>210040.29295557001</v>
      </c>
      <c r="G6" s="17">
        <f>+[38]Main!$I$6-[38]Main!$I$5</f>
        <v>39652</v>
      </c>
      <c r="H6" s="17">
        <f>+F6+G6</f>
        <v>249692.29295557001</v>
      </c>
      <c r="I6" s="43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+[39]Main!$J$2</f>
        <v>87.85</v>
      </c>
      <c r="F9" s="17">
        <f>+[39]Main!$J$4</f>
        <v>99859.095000000001</v>
      </c>
      <c r="G9" s="17">
        <f>+[39]Main!$J$6-[39]Main!$J$5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+[40]Main!$I$2</f>
        <v>141.83000000000001</v>
      </c>
      <c r="F16" s="17">
        <f>+[40]Main!$I$4</f>
        <v>28675.237054880003</v>
      </c>
      <c r="G16" s="17">
        <f>+[40]Main!$I$6-[40]Main!$I$5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J20" sqref="J20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734400.26206676755</v>
      </c>
      <c r="G4" s="29">
        <f>SUM(G5:G23)</f>
        <v>105545.08267799998</v>
      </c>
      <c r="H4" s="29">
        <f>SUM(H5:H23)</f>
        <v>831453.46474476776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+[1]Main!$K$3</f>
        <v>192</v>
      </c>
      <c r="F5" s="17">
        <f>+[1]Main!$K$5</f>
        <v>299243.29843199998</v>
      </c>
      <c r="G5" s="17">
        <f>+[1]Main!$K$7-[1]Main!$K$6</f>
        <v>44051</v>
      </c>
      <c r="H5" s="17">
        <f>+F5+G5</f>
        <v>343294.29843199998</v>
      </c>
      <c r="I5" s="44" t="s">
        <v>1175</v>
      </c>
      <c r="J5" s="22"/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+[2]Main!$M$3</f>
        <v>66.25</v>
      </c>
      <c r="F6" s="17">
        <f>+[2]Main!$M$5</f>
        <v>111498.75</v>
      </c>
      <c r="G6" s="17">
        <f>+[2]Main!$M$7-[2]Main!$M$6</f>
        <v>21235</v>
      </c>
      <c r="H6" s="17">
        <f>+F6+G6</f>
        <v>132733.75</v>
      </c>
      <c r="I6" s="42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+[3]Main!$H$2</f>
        <v>60.8</v>
      </c>
      <c r="F7" s="17">
        <f>+[3]Main!$H$5*FX!C3</f>
        <v>122499.9936</v>
      </c>
      <c r="G7" s="17">
        <f>+([2]Main!$M$7-[2]Main!$M$6)*FX!C3</f>
        <v>27180.799999999999</v>
      </c>
      <c r="H7" s="17">
        <f>F7+G7</f>
        <v>149680.7936</v>
      </c>
      <c r="I7" s="38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+[4]Main!$H$2</f>
        <v>485.4</v>
      </c>
      <c r="F8" s="17">
        <f>+[4]Main!$H$4*FX!C4</f>
        <v>72888.393927045603</v>
      </c>
      <c r="G8" s="17">
        <f>+([4]Main!$H$6-[4]Main!$H$5)*FX!C4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+[5]Main!$J$2</f>
        <v>5714</v>
      </c>
      <c r="F9" s="17">
        <f>+[5]Main!$J$4*FX!C5</f>
        <v>68983.677500799997</v>
      </c>
      <c r="G9" s="17">
        <f>+([5]Main!$J$6-[5]Main!$J$5)*FX!C5</f>
        <v>2758.2091999999998</v>
      </c>
      <c r="H9" s="17">
        <f t="shared" si="1"/>
        <v>71741.886700799994</v>
      </c>
      <c r="I9" s="42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+[6]Main!$I$2</f>
        <v>32.61</v>
      </c>
      <c r="F10" s="17">
        <f>+([6]Main!$I$4)*FX!C3</f>
        <v>34427.811840000002</v>
      </c>
      <c r="G10" s="17">
        <f>+([6]Main!$I$6-[6]Main!$I$5)*FX!C3</f>
        <v>10438.4</v>
      </c>
      <c r="H10" s="17">
        <f t="shared" si="1"/>
        <v>44866.211840000004</v>
      </c>
      <c r="I10" s="40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+[7]Main!$I$2</f>
        <v>107400</v>
      </c>
      <c r="F11" s="17">
        <f>+[7]Main!$I$4*FX!C6</f>
        <v>9270.9964935000007</v>
      </c>
      <c r="G11" s="17">
        <f>+([7]Main!$I$6-[7]Main!$I$5)*FX!C6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+[8]Main!$I$2</f>
        <v>590</v>
      </c>
      <c r="F12" s="17">
        <f>+[8]Main!$I$4*FX!C7</f>
        <v>4254.915253002001</v>
      </c>
      <c r="G12" s="17">
        <f>+([8]Main!$I$6-[8]Main!$I$5)*FX!C7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+[9]Main!$J$2</f>
        <v>66.2</v>
      </c>
      <c r="F17" s="17">
        <f>+[9]Main!$J$4*FX!C11</f>
        <v>834.02467200000001</v>
      </c>
      <c r="G17" s="17">
        <f>+([9]Main!$J$6-[9]Main!$J$5)*FX!C11</f>
        <v>781.26400000000012</v>
      </c>
      <c r="H17" s="17">
        <f t="shared" ref="H17" si="3">F17+G17</f>
        <v>1615.2886720000001</v>
      </c>
      <c r="I17" s="41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+[10]Main!$I$3</f>
        <v>90.75</v>
      </c>
      <c r="F19" s="17">
        <f>+[10]Main!$I$5</f>
        <v>1757.6037105</v>
      </c>
      <c r="G19" s="17">
        <f>+[10]Main!$I$7-[10]Main!$I$6</f>
        <v>101.446</v>
      </c>
      <c r="H19" s="17">
        <f t="shared" ref="H19:H20" si="4">F19+G19</f>
        <v>1859.0497104999999</v>
      </c>
      <c r="I19" s="44" t="s">
        <v>1175</v>
      </c>
      <c r="J19" s="22"/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+[11]Main!$I$2</f>
        <v>4.3600000000000003</v>
      </c>
      <c r="F20" s="17">
        <f>+[11]Main!$I$4</f>
        <v>248.91663792000003</v>
      </c>
      <c r="G20" s="17">
        <f>+[11]Main!$I$6-[11]Main!$I$5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2026-05-15T12:55:20Z</dcterms:modified>
</cp:coreProperties>
</file>