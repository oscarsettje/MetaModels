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3F78F06-7CC9-4DE7-88A7-629A57885A7C}" xr6:coauthVersionLast="47" xr6:coauthVersionMax="47" xr10:uidLastSave="{00000000-0000-0000-0000-000000000000}"/>
  <bookViews>
    <workbookView xWindow="225" yWindow="273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E16" i="3"/>
  <c r="H16" i="3" l="1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<sst xmlns="http://schemas.openxmlformats.org/spreadsheetml/2006/main" count="1671" uniqueCount="1175">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</sst>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0" fontId="8" fillId="0" borderId="0" xfId="0" applyFont="1"/>
    <xf numFmtId="0" fontId="7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68.67</v>
          </cell>
        </row>
        <row r="5">
          <cell r="M5">
            <v>116097.73488747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100.6</v>
          </cell>
        </row>
        <row r="4">
          <cell r="J4">
            <v>7921.3445999999994</v>
          </cell>
        </row>
        <row r="5">
          <cell r="J5">
            <v>197.7</v>
          </cell>
        </row>
        <row r="6">
          <cell r="J6">
            <v>5080.6000000000004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opLeftCell="A206" zoomScale="200" zoomScaleNormal="200" workbookViewId="0">
      <selection activeCell="B206" sqref="B206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95.4</v>
      </c>
      <c r="F206" s="17">
        <f>+[23]Main!$H$4*FX!C8</f>
        <v>740.91090808800004</v>
      </c>
      <c r="G206" s="17">
        <f>+([23]Main!$H$6-[23]Main!$H$5)*FX!C8</f>
        <v>-119.44919999999999</v>
      </c>
      <c r="H206" s="17">
        <f>+F206+G206</f>
        <v>621.46170808800002</v>
      </c>
      <c r="I206" s="42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7" t="s">
        <v>1170</v>
      </c>
      <c r="D349" s="37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8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8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8" t="s">
        <v>1173</v>
      </c>
      <c r="J16" s="4"/>
      <c r="K16" s="4"/>
      <c r="L16" s="4"/>
      <c r="M16" s="4"/>
      <c r="N16" s="39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topLeftCell="A8" zoomScale="200" zoomScaleNormal="200" workbookViewId="0">
      <selection activeCell="J18" sqref="J1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711759.11088344804</v>
      </c>
      <c r="G4" s="29">
        <f>SUM(G5:G23)</f>
        <v>113000.07887799999</v>
      </c>
      <c r="H4" s="29">
        <f>SUM(H5:H23)</f>
        <v>816267.3097614483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40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68.67</v>
      </c>
      <c r="F6" s="17">
        <f>+[30]Main!$M$5</f>
        <v>116097.73488747</v>
      </c>
      <c r="G6" s="17">
        <f>+[30]Main!$M$7-[30]Main!$M$6</f>
        <v>23433</v>
      </c>
      <c r="H6" s="17">
        <f>+F6+G6</f>
        <v>139530.73488747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29994.240000000002</v>
      </c>
      <c r="H7" s="17">
        <f>F7+G7</f>
        <v>152494.23360000001</v>
      </c>
      <c r="I7" s="41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4744</v>
      </c>
      <c r="F9" s="17">
        <f>+[33]Main!$J$4*FX!C5</f>
        <v>57280.556463610665</v>
      </c>
      <c r="G9" s="17">
        <f>+([33]Main!$J$6-[33]Main!$J$5)*FX!C5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32.61</v>
      </c>
      <c r="F10" s="17">
        <f>+([34]Main!$I$4)*FX!C3</f>
        <v>34427.811840000002</v>
      </c>
      <c r="G10" s="17">
        <f>+([34]Main!$I$6-[34]Main!$I$5)*FX!C3</f>
        <v>10438.4</v>
      </c>
      <c r="H10" s="17">
        <f t="shared" si="1"/>
        <v>44866.211840000004</v>
      </c>
      <c r="I10" s="43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100.6</v>
      </c>
      <c r="F17" s="17">
        <f>+[37]Main!$J$4*FX!C11</f>
        <v>1267.4151359999998</v>
      </c>
      <c r="G17" s="17">
        <f>+([37]Main!$J$6-[37]Main!$J$5)*FX!C11</f>
        <v>781.26400000000012</v>
      </c>
      <c r="H17" s="17">
        <f t="shared" ref="H17" si="3">F17+G17</f>
        <v>2048.6791359999997</v>
      </c>
      <c r="I17" s="44" t="s">
        <v>1174</v>
      </c>
      <c r="J17" s="22">
        <v>46162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0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2026-03-04T17:52:57Z</dcterms:modified>
</cp:coreProperties>
</file>