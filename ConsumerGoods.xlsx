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24A12CF4-1A8D-4263-9CE2-864C19E98B5D}" xr6:coauthVersionLast="47" xr6:coauthVersionMax="47" xr10:uidLastSave="{00000000-0000-0000-0000-000000000000}"/>
  <bookViews>
    <workbookView xWindow="225" yWindow="39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F16" i="3"/>
  <c r="H16" i="3" s="1"/>
  <c r="E16" i="3"/>
  <c r="G17" i="4" l="1"/>
  <c r="F17" i="4"/>
  <c r="H17" i="4" s="1"/>
  <c r="E17" i="4"/>
  <c r="G39" i="2"/>
  <c r="F39" i="2"/>
  <c r="E39" i="2"/>
  <c r="H39" i="2" l="1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<sst xmlns="http://schemas.openxmlformats.org/spreadsheetml/2006/main" count="1671" uniqueCount="1175">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</sst>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4" fillId="0" borderId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0" fontId="11" fillId="0" borderId="0" xfId="0" applyFont="1"/>
    <xf numFmtId="0" fontId="12" fillId="0" borderId="0" xfId="0" applyFont="1"/>
    <xf numFmtId="0" fontId="8" fillId="0" borderId="0" xfId="0" applyFont="1"/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2" fillId="2" borderId="3" xfId="0" applyFont="1" applyFill="1" applyBorder="1"/>
    <xf numFmtId="0" fontId="8" fillId="0" borderId="0" xfId="0" applyFont="1" applyAlignment="1">
      <alignment horizontal="center"/>
    </xf>
    <xf numFmtId="0" fontId="13" fillId="0" borderId="0" xfId="0" applyFont="1"/>
    <xf numFmtId="167" fontId="14" fillId="0" borderId="0" xfId="1"/>
    <xf numFmtId="0" fontId="12" fillId="3" borderId="1" xfId="0" applyFont="1" applyFill="1" applyBorder="1" applyAlignment="1">
      <alignment horizontal="center"/>
    </xf>
    <xf numFmtId="0" fontId="12" fillId="3" borderId="2" xfId="0" applyFont="1" applyFill="1" applyBorder="1"/>
    <xf numFmtId="0" fontId="12" fillId="3" borderId="2" xfId="0" applyFont="1" applyFill="1" applyBorder="1" applyAlignment="1">
      <alignment horizontal="right"/>
    </xf>
    <xf numFmtId="0" fontId="12" fillId="3" borderId="3" xfId="0" applyFont="1" applyFill="1" applyBorder="1"/>
    <xf numFmtId="0" fontId="15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right"/>
    </xf>
    <xf numFmtId="2" fontId="8" fillId="0" borderId="0" xfId="0" applyNumberFormat="1" applyFont="1"/>
    <xf numFmtId="0" fontId="8" fillId="0" borderId="0" xfId="0" quotePrefix="1" applyFont="1"/>
    <xf numFmtId="9" fontId="8" fillId="0" borderId="0" xfId="0" applyNumberFormat="1" applyFont="1"/>
    <xf numFmtId="16" fontId="8" fillId="0" borderId="0" xfId="0" applyNumberFormat="1" applyFont="1" applyAlignment="1">
      <alignment horizontal="right"/>
    </xf>
    <xf numFmtId="9" fontId="8" fillId="0" borderId="0" xfId="0" applyNumberFormat="1" applyFont="1" applyAlignment="1">
      <alignment horizontal="right"/>
    </xf>
    <xf numFmtId="164" fontId="13" fillId="0" borderId="0" xfId="0" applyNumberFormat="1" applyFont="1"/>
    <xf numFmtId="0" fontId="12" fillId="2" borderId="2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0" fontId="12" fillId="2" borderId="3" xfId="0" applyFont="1" applyFill="1" applyBorder="1" applyAlignment="1">
      <alignment horizontal="right"/>
    </xf>
    <xf numFmtId="164" fontId="8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8" fillId="0" borderId="0" xfId="0" applyNumberFormat="1" applyFont="1"/>
    <xf numFmtId="166" fontId="8" fillId="0" borderId="0" xfId="0" applyNumberFormat="1" applyFont="1"/>
    <xf numFmtId="0" fontId="7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0" fontId="4" fillId="0" borderId="0" xfId="0" applyFont="1"/>
    <xf numFmtId="165" fontId="4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right"/>
    </xf>
    <xf numFmtId="0" fontId="2" fillId="0" borderId="0" xfId="0" applyFont="1"/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66.430000000000007</v>
          </cell>
        </row>
        <row r="5">
          <cell r="M5">
            <v>111595.15600779002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/>
      <sheetData sheetId="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32.01</v>
          </cell>
        </row>
        <row r="4">
          <cell r="I4">
            <v>26894.802</v>
          </cell>
        </row>
        <row r="5">
          <cell r="I5">
            <v>142</v>
          </cell>
        </row>
        <row r="6">
          <cell r="I6">
            <v>10501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86.5</v>
          </cell>
        </row>
        <row r="4">
          <cell r="J4">
            <v>6822.6875</v>
          </cell>
        </row>
        <row r="5">
          <cell r="J5">
            <v>97.5</v>
          </cell>
        </row>
        <row r="6">
          <cell r="J6">
            <v>5104.8999999999996</v>
          </cell>
        </row>
      </sheetData>
      <sheetData sheetId="1"/>
      <sheetData sheetId="2"/>
      <sheetData sheetId="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1167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8" t="s">
        <v>1170</v>
      </c>
      <c r="D349" s="38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17" sqref="I1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9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39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+[28]Main!$I$2</f>
        <v>141.83000000000001</v>
      </c>
      <c r="F16" s="17">
        <f>+[28]Main!$I$4</f>
        <v>28675.237054880003</v>
      </c>
      <c r="G16" s="17">
        <f>+[28]Main!$I$6-[28]Main!$I$5</f>
        <v>10472.9</v>
      </c>
      <c r="H16" s="17">
        <f>+F16+G16</f>
        <v>39148.137054880004</v>
      </c>
      <c r="I16" s="39" t="s">
        <v>1173</v>
      </c>
      <c r="J16" s="4"/>
      <c r="K16" s="4"/>
      <c r="L16" s="4"/>
      <c r="M16" s="4"/>
      <c r="N16" s="40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zoomScale="200" zoomScaleNormal="200" workbookViewId="0">
      <selection activeCell="J6" sqref="J6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698876.91198776814</v>
      </c>
      <c r="G4" s="29">
        <f>SUM(G5:G23)</f>
        <v>115841.11887799999</v>
      </c>
      <c r="H4" s="29">
        <f>SUM(H5:H23)</f>
        <v>806226.15086576832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+[29]Main!$K$3</f>
        <v>182.31</v>
      </c>
      <c r="F5" s="17">
        <f>+[29]Main!$K$5</f>
        <v>283798.25404749002</v>
      </c>
      <c r="G5" s="17">
        <f>+[29]Main!$K$7-[29]Main!$K$6</f>
        <v>43963</v>
      </c>
      <c r="H5" s="17">
        <f>+F5+G5</f>
        <v>327761.25404749002</v>
      </c>
      <c r="I5" s="41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+[30]Main!$M$3</f>
        <v>66.430000000000007</v>
      </c>
      <c r="F6" s="17">
        <f>+[30]Main!$M$5</f>
        <v>111595.15600779002</v>
      </c>
      <c r="G6" s="17">
        <f>+[30]Main!$M$7-[30]Main!$M$6</f>
        <v>23433</v>
      </c>
      <c r="H6" s="17">
        <f>+F6+G6</f>
        <v>135028.15600779001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+[31]Main!$H$2</f>
        <v>38.49</v>
      </c>
      <c r="F7" s="17">
        <f>+[31]Main!$H$5*FX!C3</f>
        <v>114298.62400000001</v>
      </c>
      <c r="G7" s="17">
        <f>+([30]Main!$M$7-[30]Main!$M$6)*FX!C3</f>
        <v>29994.240000000002</v>
      </c>
      <c r="H7" s="17">
        <f>F7+G7</f>
        <v>144292.864</v>
      </c>
      <c r="I7" s="30" t="s">
        <v>1167</v>
      </c>
      <c r="J7" s="22">
        <v>46065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+[32]Main!$H$2</f>
        <v>485.4</v>
      </c>
      <c r="F8" s="17">
        <f>+[32]Main!$H$4*FX!C4</f>
        <v>72888.393927045603</v>
      </c>
      <c r="G8" s="17">
        <f>+([32]Main!$H$6-[32]Main!$H$5)*FX!C4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+[33]Main!$J$2</f>
        <v>4744</v>
      </c>
      <c r="F9" s="17">
        <f>+[33]Main!$J$4*FX!C5</f>
        <v>57280.556463610665</v>
      </c>
      <c r="G9" s="17">
        <f>+([33]Main!$J$6-[33]Main!$J$5)*FX!C5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+[34]Main!$I$2</f>
        <v>32.01</v>
      </c>
      <c r="F10" s="17">
        <f>+([34]Main!$I$4)*FX!C3</f>
        <v>34425.346559999998</v>
      </c>
      <c r="G10" s="17">
        <f>+([34]Main!$I$6-[34]Main!$I$5)*FX!C3</f>
        <v>13259.52</v>
      </c>
      <c r="H10" s="17">
        <f t="shared" si="1"/>
        <v>47684.866559999995</v>
      </c>
      <c r="I10" s="35" t="s">
        <v>1167</v>
      </c>
      <c r="J10" s="22">
        <v>45979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+[35]Main!$I$2</f>
        <v>107400</v>
      </c>
      <c r="F11" s="17">
        <f>+[35]Main!$I$4*FX!C6</f>
        <v>9270.9964935000007</v>
      </c>
      <c r="G11" s="17">
        <f>+([35]Main!$I$6-[35]Main!$I$5)*FX!C6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+[36]Main!$I$2</f>
        <v>590</v>
      </c>
      <c r="F12" s="17">
        <f>+[36]Main!$I$4*FX!C7</f>
        <v>4254.915253002001</v>
      </c>
      <c r="G12" s="17">
        <f>+([36]Main!$I$6-[36]Main!$I$5)*FX!C7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+[37]Main!$J$2</f>
        <v>86.5</v>
      </c>
      <c r="F17" s="17">
        <f>+[37]Main!$J$4*FX!C11</f>
        <v>1091.6300000000001</v>
      </c>
      <c r="G17" s="17">
        <f>+([37]Main!$J$6-[37]Main!$J$5)*FX!C11</f>
        <v>801.18399999999997</v>
      </c>
      <c r="H17" s="17">
        <f t="shared" ref="H17" si="3">F17+G17</f>
        <v>1892.8140000000001</v>
      </c>
      <c r="I17" s="37" t="s">
        <v>1167</v>
      </c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+[38]Main!$I$3</f>
        <v>69.63</v>
      </c>
      <c r="F19" s="17">
        <f>+[38]Main!$I$5</f>
        <v>1232.2425974099999</v>
      </c>
      <c r="G19" s="17">
        <f>+[38]Main!$I$7-[38]Main!$I$6</f>
        <v>214.72500000000002</v>
      </c>
      <c r="H19" s="17">
        <f t="shared" ref="H19:H20" si="4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+[39]Main!$I$2</f>
        <v>4.3600000000000003</v>
      </c>
      <c r="F20" s="17">
        <f>+[39]Main!$I$4</f>
        <v>248.91663792000003</v>
      </c>
      <c r="G20" s="17">
        <f>+[39]Main!$I$6-[39]Main!$I$5</f>
        <v>-34.395385999999995</v>
      </c>
      <c r="H20" s="17">
        <f t="shared" si="4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6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2026-02-09T15:11:16Z</dcterms:modified>
</cp:coreProperties>
</file>