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33584A8-A3D2-4477-BB21-3F8BF2BBB744}" xr6:coauthVersionLast="47" xr6:coauthVersionMax="47" xr10:uidLastSave="{00000000-0000-0000-0000-000000000000}"/>
  <bookViews>
    <workbookView xWindow="-120" yWindow="-120" windowWidth="38640" windowHeight="2106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" i="2" l="1"/>
  <c r="F39" i="2"/>
  <c r="E39" i="2"/>
  <c r="H39" i="2" l="1"/>
  <c r="G16" i="2"/>
  <c r="F16" i="2"/>
  <c r="H16" i="2" s="1"/>
  <c r="E16" i="2"/>
  <c r="G15" i="2"/>
  <c r="F15" i="2"/>
  <c r="E15" i="2"/>
  <c r="G40" i="2"/>
  <c r="F40" i="2"/>
  <c r="E40" i="2"/>
  <c r="H15" i="2" l="1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<sst xmlns="http://schemas.openxmlformats.org/spreadsheetml/2006/main" count="1664" uniqueCount="1169">
  <si>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</si>
  <si>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</si>
  <si>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</si>
  <si>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</si>
  <si>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</si>
  <si>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</si>
  <si>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</si>
  <si>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</si>
  <si>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</si>
  <si>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</si>
  <si>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</si>
  <si>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</si>
  <si>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</si>
  <si>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</si>
  <si>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</si>
  <si>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</si>
  <si>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</si>
  <si>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</si>
  <si>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</si>
  <si>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</si>
  <si>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</si>
  <si>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</si>
  <si>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</si>
  <si>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</si>
  <si>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</si>
  <si>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</si>
  <si>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</si>
  <si>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</si>
  <si>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</si>
  <si>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</si>
  <si>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</si>
  <si>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</si>
  <si>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</si>
  <si>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</si>
  <si>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</si>
  <si>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</si>
  <si>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</si>
  <si>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</si>
  <si>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</si>
  <si>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</si>
  <si>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</si>
  <si>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</si>
  <si>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</si>
  <si>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</si>
  <si>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</si>
  <si>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</si>
  <si>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</si>
  <si>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</si>
  <si>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</si>
  <si>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</si>
  <si>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</si>
  <si>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</si>
  <si>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</si>
  <si>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</si>
  <si>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</si>
  <si>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</si>
  <si>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</si>
  <si>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</si>
  <si>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</si>
  <si>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</si>
  <si>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</si>
  <si>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</si>
  <si>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</si>
  <si>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</si>
  <si>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</si>
  <si>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</si>
  <si>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</si>
  <si>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</si>
  <si>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</si>
  <si>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</si>
  <si>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</si>
  <si>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</si>
  <si>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</si>
  <si>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</si>
  <si>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</si>
  <si>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</si>
  <si>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</si>
  <si>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</si>
  <si>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</si>
  <si>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</si>
  <si>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</si>
  <si>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</si>
  <si>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</si>
  <si>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</si>
  <si>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</si>
  <si>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</si>
  <si>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</si>
  <si>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</si>
  <si>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</si>
  <si>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</si>
  <si>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</si>
  <si>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</si>
  <si>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</si>
  <si>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</si>
  <si>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</si>
  <si>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</si>
  <si>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</si>
  <si>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</si>
  <si>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</si>
  <si>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</si>
  <si>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</si>
  <si>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</si>
  <si>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</si>
  <si>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</si>
  <si>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</si>
  <si>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</si>
  <si>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</si>
  <si>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</si>
  <si>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</si>
  <si>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</si>
  <si>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</si>
  <si>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</si>
  <si>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</si>
  <si>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</si>
  <si>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</si>
  <si>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</si>
  <si>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</si>
  <si>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</si>
  <si>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</si>
  <si>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</si>
  <si>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</si>
  <si>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</si>
  <si>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</si>
  <si>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</si>
  <si>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</si>
  <si>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</si>
  <si>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</si>
  <si>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</si>
  <si>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</si>
  <si>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</si>
  <si>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</si>
  <si>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</si>
  <si>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</si>
  <si>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</si>
  <si>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</si>
  <si>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</si>
  <si>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</si>
  <si>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</si>
  <si>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</si>
  <si>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</si>
  <si>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</si>
  <si>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</si>
  <si>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</si>
  <si>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</si>
  <si>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</si>
  <si>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</si>
  <si>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</si>
  <si>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</si>
  <si>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</si>
  <si>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</si>
  <si>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</si>
  <si>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</si>
  <si>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</si>
  <si>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</si>
  <si>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</si>
  <si>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</si>
  <si>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</si>
  <si>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</si>
  <si>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</si>
  <si>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</si>
  <si>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</si>
  <si>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</si>
  <si>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</si>
  <si>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</si>
  <si>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</si>
  <si>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</si>
  <si>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</si>
  <si>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</si>
  <si>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</si>
  <si>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</si>
  <si>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</si>
  <si>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</si>
  <si>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</si>
  <si>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</si>
  <si>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</si>
  <si>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</si>
  <si>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</si>
  <si>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</si>
  <si>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</si>
  <si>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</si>
  <si>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</si>
  <si>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</si>
  <si>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</si>
  <si>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</si>
  <si>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</si>
  <si>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</si>
  <si>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</si>
  <si>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</si>
  <si>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</si>
  <si>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</si>
  <si>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</si>
  <si>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</si>
  <si>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</si>
  <si>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</si>
  <si>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</si>
  <si>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</si>
  <si>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</si>
  <si>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</si>
  <si>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</si>
  <si>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</si>
  <si>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</si>
  <si>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</si>
  <si>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</si>
  <si>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</si>
  <si>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</si>
  <si>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</si>
  <si>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</si>
  <si>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</si>
  <si>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</si>
  <si>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</si>
  <si>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</si>
  <si>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</si>
  <si>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</si>
  <si>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</si>
  <si>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</si>
  <si>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</si>
  <si>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</si>
  <si>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</si>
  <si>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</si>
  <si>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</si>
  <si>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</si>
  <si>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</si>
  <si>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</si>
  <si>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</si>
  <si>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</si>
  <si>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</si>
  <si>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</si>
  <si>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</si>
  <si>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</si>
  <si>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</si>
  <si>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</si>
  <si>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</si>
  <si>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</si>
  <si>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</si>
  <si>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</si>
  <si>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</si>
  <si>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</si>
  <si>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</si>
  <si>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</si>
  <si>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</si>
  <si>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</si>
  <si>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</si>
  <si>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</si>
  <si>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</si>
  <si>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</si>
  <si>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</si>
  <si>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</si>
  <si>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</si>
  <si>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</si>
  <si>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</si>
  <si>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</si>
  <si>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</si>
  <si>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</si>
  <si>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</si>
  <si>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</si>
  <si>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</si>
  <si>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</si>
  <si>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</si>
  <si>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</si>
  <si>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</si>
  <si>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</si>
  <si>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</si>
  <si>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</si>
  <si>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</si>
  <si>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</si>
  <si>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</si>
  <si>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</si>
  <si>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</si>
  <si>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</si>
  <si>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</si>
  <si>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</si>
  <si>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</si>
  <si>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</si>
  <si>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</si>
  <si>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</si>
  <si>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</si>
  <si>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</si>
  <si>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</si>
  <si>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</si>
  <si>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</si>
  <si>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</si>
  <si>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</si>
  <si>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</si>
  <si>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</si>
  <si>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</si>
  <si>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</si>
  <si>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</si>
  <si>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</si>
  <si>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</si>
  <si>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</si>
  <si>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</si>
  <si>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</si>
  <si>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</si>
  <si>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</si>
  <si>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</si>
  <si>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</si>
  <si>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</si>
  <si>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</si>
  <si>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</si>
  <si>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</si>
  <si>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</si>
  <si>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</si>
  <si>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</si>
  <si>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</si>
  <si>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</si>
  <si>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</si>
  <si>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</si>
  <si>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</si>
  <si>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</si>
  <si>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</si>
  <si>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</si>
  <si>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</si>
  <si>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</si>
  <si>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</si>
  <si>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</si>
  <si>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</si>
  <si>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</si>
  <si>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</si>
  <si>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</si>
  <si>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</si>
  <si>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</si>
  <si>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</si>
  <si>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</si>
  <si>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</si>
  <si>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</si>
  <si>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</si>
  <si>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</si>
  <si>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</si>
  <si>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</si>
  <si>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</si>
  <si>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</si>
  <si>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</si>
  <si>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</si>
  <si>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</si>
  <si>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</si>
  <si>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</si>
  <si>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</si>
  <si>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</si>
  <si>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</si>
  <si>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</si>
  <si>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</si>
  <si>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</si>
  <si>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</si>
  <si>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</si>
  <si>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</si>
  <si>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</si>
  <si>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</si>
  <si>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</si>
  <si>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</si>
  <si>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</si>
  <si>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</si>
  <si>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</si>
  <si>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</si>
  <si>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</si>
  <si>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</si>
  <si>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</si>
  <si>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</si>
  <si>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</si>
  <si>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</si>
  <si>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</si>
  <si>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</si>
  <si>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</si>
  <si>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</si>
  <si>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</si>
  <si>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</si>
  <si>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</si>
  <si>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</si>
  <si>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</si>
  <si>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</si>
  <si>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</si>
  <si>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</si>
  <si>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</si>
  <si>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</si>
  <si>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</si>
  <si>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</si>
  <si>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</si>
  <si>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</si>
  <si>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</si>
  <si>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</si>
  <si>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</si>
  <si>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</si>
  <si>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</si>
  <si>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</si>
  <si>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</si>
  <si>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</si>
  <si>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</si>
  <si>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</si>
  <si>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</si>
  <si>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</si>
  <si>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</si>
  <si>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</si>
  <si>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</si>
  <si>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</si>
  <si>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</si>
  <si>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</si>
  <si>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</si>
  <si>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</si>
  <si>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</si>
  <si>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</si>
  <si>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</si>
  <si>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</si>
  <si>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</si>
  <si>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</si>
  <si>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</si>
  <si>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</si>
  <si>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</si>
  <si>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</si>
  <si>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</si>
  <si>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</si>
  <si>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</si>
  <si>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</si>
  <si>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</si>
  <si>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</si>
  <si>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</si>
  <si>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</si>
  <si>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</si>
  <si>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</si>
  <si>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</si>
  <si>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</si>
  <si>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</si>
  <si>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</si>
  <si>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</si>
  <si>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</si>
  <si>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</si>
  <si>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</si>
  <si>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</si>
  <si>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</si>
  <si>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</si>
  <si>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</si>
  <si>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</si>
  <si>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</si>
  <si>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</si>
  <si>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</si>
  <si>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</si>
  <si>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</si>
  <si>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</si>
  <si>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</si>
  <si>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</si>
  <si>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</si>
  <si>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</si>
  <si>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</si>
  <si>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</si>
  <si>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</si>
  <si>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</si>
  <si>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</si>
  <si>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</si>
  <si>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</si>
  <si>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</si>
  <si>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</si>
  <si>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</si>
  <si>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</si>
  <si>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</si>
  <si>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</si>
  <si>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</si>
  <si>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</si>
  <si>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</si>
  <si>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</si>
  <si>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</si>
  <si>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</si>
  <si>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</si>
  <si>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</si>
  <si>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</si>
  <si>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</si>
  <si>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</si>
  <si>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</si>
  <si>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</si>
  <si>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</si>
  <si>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</si>
  <si>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</si>
  <si>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</si>
  <si>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</si>
  <si>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</si>
  <si>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</si>
  <si>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</si>
  <si>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</si>
  <si>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</si>
  <si>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</si>
  <si>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</si>
  <si>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</si>
  <si>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</si>
  <si>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</si>
  <si>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</si>
  <si>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</si>
  <si>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</si>
  <si>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</si>
  <si>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</si>
  <si>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</si>
  <si>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</si>
  <si>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</si>
  <si>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</si>
  <si>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</si>
  <si>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</si>
  <si>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</si>
  <si>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</si>
  <si>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</si>
  <si>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</si>
  <si>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</si>
  <si>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</si>
  <si>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</si>
  <si>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</si>
  <si>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</si>
  <si>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</si>
  <si>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</si>
  <si>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</si>
  <si>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</si>
  <si>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</si>
  <si>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</si>
  <si>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</si>
  <si>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</si>
  <si>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</si>
  <si>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</si>
  <si>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</si>
  <si>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</si>
  <si>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</si>
  <si>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</si>
  <si>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</si>
  <si>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</si>
  <si>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</si>
  <si>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</si>
  <si>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</si>
  <si>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</si>
  <si>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</si>
  <si>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</si>
  <si>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</si>
  <si>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</si>
  <si>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</si>
  <si>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</si>
  <si>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</si>
  <si>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</si>
  <si>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</si>
  <si>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</si>
  <si>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</si>
  <si>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</si>
  <si>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</si>
  <si>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</si>
  <si>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</si>
  <si>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</si>
  <si>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</si>
  <si>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</si>
  <si>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</si>
  <si>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</si>
  <si>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</si>
  <si>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</si>
  <si>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</si>
  <si>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</si>
  <si>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</si>
  <si>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</si>
  <si>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</si>
  <si>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</si>
  <si>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</si>
  <si>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</si>
  <si>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</si>
  <si>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</si>
  <si>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</si>
  <si>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</si>
  <si>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</si>
  <si>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</si>
  <si>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</si>
  <si>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</si>
  <si>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</si>
  <si>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</si>
  <si>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</si>
  <si>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</si>
  <si>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</si>
  <si>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</si>
  <si>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</si>
  <si>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</si>
  <si>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</si>
  <si>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</si>
  <si>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</si>
  <si>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</si>
  <si>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</si>
  <si>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</si>
  <si>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</si>
  <si>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</si>
  <si>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</si>
  <si>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</si>
  <si>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</si>
  <si>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</si>
  <si>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</si>
  <si>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</si>
  <si>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</si>
  <si>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</si>
  <si>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</si>
  <si>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</si>
  <si>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</si>
  <si>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</si>
  <si>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</si>
  <si>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</si>
  <si>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</si>
  <si>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</si>
  <si>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</si>
  <si>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</si>
  <si>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</si>
  <si>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</si>
  <si>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</si>
  <si>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</si>
  <si>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</si>
  <si>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</si>
  <si>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</si>
  <si>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</si>
  <si>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</si>
  <si>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</si>
  <si>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</si>
  <si>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</si>
  <si>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</si>
  <si>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</si>
  <si>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</si>
  <si>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</si>
  <si>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</si>
  <si>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</si>
  <si>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</si>
  <si>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</si>
  <si>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</si>
  <si>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</si>
  <si>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</si>
  <si>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</si>
  <si>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</si>
  <si>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</si>
  <si>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</si>
  <si>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</si>
  <si>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</si>
  <si>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</si>
  <si>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</si>
  <si>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</si>
  <si>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</si>
  <si>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</si>
  <si>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</si>
  <si>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</si>
  <si>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</si>
  <si>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</si>
  <si>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</si>
  <si>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</si>
  <si>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</si>
  <si>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</si>
  <si>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</si>
  <si>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</si>
  <si>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</si>
  <si>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</si>
  <si>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</si>
  <si>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</si>
  <si>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</si>
  <si>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</si>
  <si>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</si>
  <si>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</si>
  <si>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</si>
  <si>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</si>
  <si>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</si>
  <si>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</si>
  <si>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</si>
  <si>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</si>
  <si>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</si>
  <si>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</si>
  <si>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</si>
  <si>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</si>
  <si>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</si>
  <si>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</si>
  <si>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</si>
  <si>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</si>
  <si>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</si>
  <si>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</si>
  <si>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</si>
  <si>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</si>
  <si>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</si>
  <si>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</si>
  <si>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</si>
  <si>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</si>
  <si>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</si>
  <si>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</si>
  <si>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</si>
  <si>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</si>
  <si>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</si>
  <si>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</si>
  <si>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</si>
  <si>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</si>
  <si>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</si>
  <si>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</si>
  <si>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</si>
  <si>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</si>
  <si>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</si>
  <si>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</si>
  <si>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</si>
  <si>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</si>
  <si>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</si>
  <si>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</si>
  <si>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</si>
  <si>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</si>
  <si>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</si>
  <si>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</si>
  <si>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</si>
  <si>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</si>
  <si>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</si>
  <si>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</si>
  <si>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</si>
  <si>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</si>
  <si>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</si>
  <si>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</si>
  <si>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</si>
  <si>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</si>
  <si>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</si>
  <si>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</si>
  <si>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</si>
  <si>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</si>
  <si>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</si>
  <si>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</si>
  <si>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</si>
  <si>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</si>
  <si>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</si>
  <si>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</si>
  <si>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</si>
  <si>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</si>
  <si>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</si>
  <si>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</si>
  <si>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</si>
  <si>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</si>
  <si>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</si>
  <si>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</si>
  <si>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</si>
  <si>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</si>
  <si>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</si>
  <si>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</si>
  <si>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</si>
  <si>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</si>
  <si>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</si>
  <si>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</si>
  <si>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</si>
  <si>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</si>
  <si>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</si>
  <si>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</si>
  <si>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</si>
  <si>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</si>
  <si>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</si>
  <si>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</si>
  <si>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</si>
  <si>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</si>
  <si>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</si>
  <si>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</si>
  <si>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</si>
  <si>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H224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</si>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</sst>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9" fillId="0" borderId="0" applyFill="0" applyBorder="0" applyAlignment="0" applyProtection="0"/>
  </cellStyleXfs>
  <cellXfs count="35">
    <xf numFmtId="0" fontId="0" fillId="0" borderId="0" xfId="0"/>
    <xf numFmtId="164" fontId="0" fillId="0" borderId="0" xfId="0" applyNumberFormat="1"/>
    <xf numFmtId="0" fontId="6" fillId="0" borderId="0" xfId="0" applyFont="1"/>
    <xf numFmtId="0" fontId="7" fillId="0" borderId="0" xfId="0" applyFont="1"/>
    <xf numFmtId="0" fontId="3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right"/>
    </xf>
    <xf numFmtId="0" fontId="7" fillId="2" borderId="3" xfId="0" applyFont="1" applyFill="1" applyBorder="1"/>
    <xf numFmtId="0" fontId="3" fillId="0" borderId="0" xfId="0" applyFont="1" applyAlignment="1">
      <alignment horizontal="center"/>
    </xf>
    <xf numFmtId="0" fontId="8" fillId="0" borderId="0" xfId="0" applyFont="1"/>
    <xf numFmtId="167" fontId="9" fillId="0" borderId="0" xfId="1" applyFont="1"/>
    <xf numFmtId="0" fontId="7" fillId="3" borderId="1" xfId="0" applyFont="1" applyFill="1" applyBorder="1" applyAlignment="1">
      <alignment horizontal="center"/>
    </xf>
    <xf numFmtId="0" fontId="7" fillId="3" borderId="2" xfId="0" applyFont="1" applyFill="1" applyBorder="1"/>
    <xf numFmtId="0" fontId="7" fillId="3" borderId="2" xfId="0" applyFont="1" applyFill="1" applyBorder="1" applyAlignment="1">
      <alignment horizontal="right"/>
    </xf>
    <xf numFmtId="0" fontId="7" fillId="3" borderId="3" xfId="0" applyFont="1" applyFill="1" applyBorder="1"/>
    <xf numFmtId="0" fontId="10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2" fontId="3" fillId="0" borderId="0" xfId="0" applyNumberFormat="1" applyFont="1"/>
    <xf numFmtId="0" fontId="3" fillId="0" borderId="0" xfId="0" quotePrefix="1" applyFont="1"/>
    <xf numFmtId="9" fontId="3" fillId="0" borderId="0" xfId="0" applyNumberFormat="1" applyFont="1"/>
    <xf numFmtId="16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164" fontId="8" fillId="0" borderId="0" xfId="0" applyNumberFormat="1" applyFont="1"/>
    <xf numFmtId="0" fontId="7" fillId="2" borderId="2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0" fontId="7" fillId="2" borderId="3" xfId="0" applyFont="1" applyFill="1" applyBorder="1" applyAlignment="1">
      <alignment horizontal="right"/>
    </xf>
    <xf numFmtId="164" fontId="3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165" fontId="3" fillId="0" borderId="0" xfId="0" applyNumberFormat="1" applyFont="1"/>
    <xf numFmtId="166" fontId="3" fillId="0" borderId="0" xfId="0" applyNumberFormat="1" applyFont="1"/>
    <xf numFmtId="0" fontId="2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theme" Target="theme/theme1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315.08</v>
          </cell>
        </row>
        <row r="4">
          <cell r="H4">
            <v>224842.48506471998</v>
          </cell>
        </row>
        <row r="5">
          <cell r="H5">
            <v>1876</v>
          </cell>
        </row>
        <row r="6">
          <cell r="H6">
            <v>41403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71.89</v>
          </cell>
        </row>
        <row r="4">
          <cell r="I4">
            <v>309198.91839655</v>
          </cell>
        </row>
        <row r="5">
          <cell r="I5">
            <v>14571</v>
          </cell>
        </row>
        <row r="6">
          <cell r="I6">
            <v>43023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97.02</v>
          </cell>
        </row>
        <row r="4">
          <cell r="J4">
            <v>110205.01800000001</v>
          </cell>
        </row>
        <row r="5">
          <cell r="J5">
            <v>3957.2000000000003</v>
          </cell>
        </row>
        <row r="6">
          <cell r="J6">
            <v>15561.400000000001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165.35</v>
          </cell>
        </row>
        <row r="5">
          <cell r="K5">
            <v>257382.04687294998</v>
          </cell>
        </row>
        <row r="6">
          <cell r="K6">
            <v>4138</v>
          </cell>
        </row>
        <row r="7">
          <cell r="K7">
            <v>44971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66.430000000000007</v>
          </cell>
        </row>
        <row r="5">
          <cell r="M5">
            <v>111595.15600779002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 refreshError="1"/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38.49</v>
          </cell>
        </row>
        <row r="5">
          <cell r="H5">
            <v>89295.8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4080</v>
          </cell>
        </row>
        <row r="4">
          <cell r="J4">
            <v>7244589.7719575036</v>
          </cell>
        </row>
        <row r="5">
          <cell r="J5">
            <v>1098839</v>
          </cell>
        </row>
        <row r="6">
          <cell r="J6">
            <v>1227407</v>
          </cell>
        </row>
      </sheetData>
      <sheetData sheetId="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25.6</v>
          </cell>
        </row>
        <row r="4">
          <cell r="I4">
            <v>22246.400000000001</v>
          </cell>
        </row>
        <row r="5">
          <cell r="I5">
            <v>1078</v>
          </cell>
        </row>
        <row r="6">
          <cell r="I6">
            <v>8797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comments" Target="../comments1.x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781</v>
      </c>
      <c r="C4" s="4" t="s">
        <v>782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783</v>
      </c>
      <c r="C5" s="4" t="s">
        <v>784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785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786</v>
      </c>
      <c r="C7" s="4" t="s">
        <v>787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788</v>
      </c>
      <c r="C9" s="4" t="s">
        <v>789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790</v>
      </c>
      <c r="C10" s="4" t="s">
        <v>791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792</v>
      </c>
      <c r="C11" s="4" t="s">
        <v>793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794</v>
      </c>
      <c r="C12" s="4" t="s">
        <v>795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796</v>
      </c>
      <c r="C13" s="4" t="s">
        <v>797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798</v>
      </c>
      <c r="C14" s="4" t="s">
        <v>799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800</v>
      </c>
      <c r="C15" s="4" t="s">
        <v>801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802</v>
      </c>
      <c r="C16" s="4" t="s">
        <v>803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804</v>
      </c>
      <c r="C17" s="4" t="s">
        <v>805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806</v>
      </c>
      <c r="C18" s="4" t="s">
        <v>807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808</v>
      </c>
      <c r="C19" s="4" t="s">
        <v>809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810</v>
      </c>
      <c r="C20" s="4" t="s">
        <v>811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812</v>
      </c>
      <c r="C21" s="4" t="s">
        <v>813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814</v>
      </c>
      <c r="C22" s="4" t="s">
        <v>815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816</v>
      </c>
      <c r="C23" s="4" t="s">
        <v>817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818</v>
      </c>
      <c r="C24" s="4" t="s">
        <v>819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820</v>
      </c>
      <c r="C25" s="4" t="s">
        <v>821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870</v>
      </c>
      <c r="C26" s="4" t="s">
        <v>871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822</v>
      </c>
      <c r="C27" s="4" t="s">
        <v>823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824</v>
      </c>
      <c r="C28" s="4" t="s">
        <v>825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826</v>
      </c>
      <c r="C29" s="4" t="s">
        <v>827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828</v>
      </c>
      <c r="C30" s="4" t="s">
        <v>829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830</v>
      </c>
      <c r="C31" s="4" t="s">
        <v>831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872</v>
      </c>
      <c r="C32" s="4" t="s">
        <v>873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832</v>
      </c>
      <c r="C34" s="4" t="s">
        <v>833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834</v>
      </c>
      <c r="C35" s="4" t="s">
        <v>835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836</v>
      </c>
      <c r="C36" s="4" t="s">
        <v>837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838</v>
      </c>
      <c r="C37" s="4" t="s">
        <v>839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840</v>
      </c>
      <c r="C38" s="4" t="s">
        <v>841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842</v>
      </c>
      <c r="C39" s="4" t="s">
        <v>843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844</v>
      </c>
      <c r="C40" s="4" t="s">
        <v>845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846</v>
      </c>
      <c r="C41" s="4" t="s">
        <v>847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848</v>
      </c>
      <c r="C42" s="4" t="s">
        <v>849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850</v>
      </c>
      <c r="C43" s="4" t="s">
        <v>851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852</v>
      </c>
      <c r="C44" s="4" t="s">
        <v>853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854</v>
      </c>
      <c r="C45" s="4" t="s">
        <v>855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856</v>
      </c>
      <c r="C46" s="4" t="s">
        <v>857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858</v>
      </c>
      <c r="C47" s="4" t="s">
        <v>859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860</v>
      </c>
      <c r="C48" s="4" t="s">
        <v>861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862</v>
      </c>
      <c r="C49" s="4" t="s">
        <v>863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864</v>
      </c>
      <c r="C50" s="4" t="s">
        <v>865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866</v>
      </c>
      <c r="C51" s="4" t="s">
        <v>867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868</v>
      </c>
      <c r="C52" s="4" t="s">
        <v>869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I6" sqref="I6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315.08</v>
      </c>
      <c r="F5" s="17">
        <f>+[2]Main!$H$4</f>
        <v>224842.48506471998</v>
      </c>
      <c r="G5" s="17">
        <f>+[2]Main!$H$6-[2]Main!$H$5</f>
        <v>39527</v>
      </c>
      <c r="H5" s="17">
        <f>+F5+G5</f>
        <v>264369.48506471998</v>
      </c>
      <c r="I5" s="33" t="s">
        <v>1168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172.39</v>
      </c>
      <c r="F10" s="17">
        <f>+[6]Main!$G$5</f>
        <v>71610.157641209997</v>
      </c>
      <c r="G10" s="17">
        <f>+[6]Main!$G$7-[6]Main!$G$6</f>
        <v>-4078</v>
      </c>
      <c r="H10" s="17">
        <f>+F10+G10</f>
        <v>67532.157641209997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1167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1168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1166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1168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874</v>
      </c>
      <c r="C207" s="4" t="s">
        <v>875</v>
      </c>
      <c r="D207" s="4" t="s">
        <v>876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877</v>
      </c>
      <c r="C208" s="4" t="s">
        <v>460</v>
      </c>
      <c r="D208" s="4" t="s">
        <v>876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1160</v>
      </c>
      <c r="C209" s="4" t="s">
        <v>1161</v>
      </c>
      <c r="D209" s="4" t="s">
        <v>896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878</v>
      </c>
      <c r="C210" s="4" t="s">
        <v>439</v>
      </c>
      <c r="D210" s="4" t="s">
        <v>879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880</v>
      </c>
      <c r="C211" s="4" t="s">
        <v>441</v>
      </c>
      <c r="D211" s="4" t="s">
        <v>881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882</v>
      </c>
      <c r="C212" s="4" t="s">
        <v>437</v>
      </c>
      <c r="D212" s="4" t="s">
        <v>879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883</v>
      </c>
      <c r="C213" s="4" t="s">
        <v>884</v>
      </c>
      <c r="D213" s="4" t="s">
        <v>885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886</v>
      </c>
      <c r="C214" s="4" t="s">
        <v>887</v>
      </c>
      <c r="D214" s="4" t="s">
        <v>876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888</v>
      </c>
      <c r="C215" s="4" t="s">
        <v>464</v>
      </c>
      <c r="D215" s="4" t="s">
        <v>889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890</v>
      </c>
      <c r="C216" s="4" t="s">
        <v>891</v>
      </c>
      <c r="D216" s="4" t="s">
        <v>892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893</v>
      </c>
      <c r="C217" s="4" t="s">
        <v>456</v>
      </c>
      <c r="D217" s="4" t="s">
        <v>889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889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889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894</v>
      </c>
      <c r="C220" s="4" t="s">
        <v>895</v>
      </c>
      <c r="D220" s="4" t="s">
        <v>896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897</v>
      </c>
      <c r="C221" s="4" t="s">
        <v>898</v>
      </c>
      <c r="D221" s="4" t="s">
        <v>876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899</v>
      </c>
      <c r="C222" s="4" t="s">
        <v>900</v>
      </c>
      <c r="D222" s="4" t="s">
        <v>901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902</v>
      </c>
      <c r="C223" s="4" t="s">
        <v>903</v>
      </c>
      <c r="D223" s="4" t="s">
        <v>889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904</v>
      </c>
      <c r="C224" s="4" t="s">
        <v>905</v>
      </c>
      <c r="D224" s="4" t="s">
        <v>889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906</v>
      </c>
      <c r="C225" s="4" t="s">
        <v>470</v>
      </c>
      <c r="D225" s="4" t="s">
        <v>907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908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909</v>
      </c>
      <c r="C227" s="4" t="s">
        <v>910</v>
      </c>
      <c r="D227" s="4" t="s">
        <v>911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912</v>
      </c>
      <c r="C228" s="4" t="s">
        <v>913</v>
      </c>
      <c r="D228" s="4" t="s">
        <v>876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914</v>
      </c>
      <c r="C229" s="4" t="s">
        <v>915</v>
      </c>
      <c r="D229" s="4" t="s">
        <v>916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917</v>
      </c>
      <c r="C230" s="4" t="s">
        <v>918</v>
      </c>
      <c r="D230" s="4" t="s">
        <v>879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919</v>
      </c>
      <c r="C231" s="4" t="s">
        <v>435</v>
      </c>
      <c r="D231" s="4" t="s">
        <v>889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920</v>
      </c>
      <c r="C232" s="4" t="s">
        <v>446</v>
      </c>
      <c r="D232" s="4" t="s">
        <v>889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921</v>
      </c>
      <c r="C233" s="4" t="s">
        <v>922</v>
      </c>
      <c r="D233" s="4" t="s">
        <v>876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923</v>
      </c>
      <c r="C234" s="4" t="s">
        <v>924</v>
      </c>
      <c r="D234" s="4" t="s">
        <v>889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926</v>
      </c>
      <c r="C235" s="4" t="s">
        <v>927</v>
      </c>
      <c r="D235" s="4" t="s">
        <v>928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929</v>
      </c>
      <c r="C236" s="4" t="s">
        <v>930</v>
      </c>
      <c r="D236" s="4" t="s">
        <v>931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932</v>
      </c>
      <c r="C237" s="4" t="s">
        <v>933</v>
      </c>
      <c r="D237" s="4" t="s">
        <v>876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934</v>
      </c>
      <c r="C238" s="4" t="s">
        <v>935</v>
      </c>
      <c r="D238" s="4" t="s">
        <v>876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936</v>
      </c>
      <c r="C239" s="4" t="s">
        <v>937</v>
      </c>
      <c r="D239" s="4" t="s">
        <v>938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856</v>
      </c>
      <c r="C240" s="4" t="s">
        <v>857</v>
      </c>
      <c r="D240" s="4" t="s">
        <v>939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940</v>
      </c>
      <c r="C241" s="4" t="s">
        <v>941</v>
      </c>
      <c r="D241" s="4" t="s">
        <v>916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942</v>
      </c>
      <c r="C242" s="4" t="s">
        <v>943</v>
      </c>
      <c r="D242" s="4" t="s">
        <v>908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944</v>
      </c>
      <c r="C243" s="4" t="s">
        <v>945</v>
      </c>
      <c r="D243" s="4" t="s">
        <v>876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946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947</v>
      </c>
      <c r="C245" s="4" t="s">
        <v>948</v>
      </c>
      <c r="D245" s="4" t="s">
        <v>949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950</v>
      </c>
      <c r="C246" s="4" t="s">
        <v>951</v>
      </c>
      <c r="D246" s="4" t="s">
        <v>879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952</v>
      </c>
      <c r="C247" s="4" t="s">
        <v>953</v>
      </c>
      <c r="D247" s="4" t="s">
        <v>916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954</v>
      </c>
      <c r="C248" s="4" t="s">
        <v>955</v>
      </c>
      <c r="D248" s="4" t="s">
        <v>956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957</v>
      </c>
      <c r="C249" s="4" t="s">
        <v>958</v>
      </c>
      <c r="D249" s="4" t="s">
        <v>916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889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908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959</v>
      </c>
      <c r="C252" s="4" t="s">
        <v>960</v>
      </c>
      <c r="D252" s="4" t="s">
        <v>879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961</v>
      </c>
      <c r="C253" s="4" t="s">
        <v>962</v>
      </c>
      <c r="D253" s="4" t="s">
        <v>916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963</v>
      </c>
      <c r="C254" s="4" t="s">
        <v>964</v>
      </c>
      <c r="D254" s="4" t="s">
        <v>965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966</v>
      </c>
      <c r="C255" s="4" t="s">
        <v>967</v>
      </c>
      <c r="D255" s="4" t="s">
        <v>876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968</v>
      </c>
      <c r="C256" s="4" t="s">
        <v>969</v>
      </c>
      <c r="D256" s="4" t="s">
        <v>970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971</v>
      </c>
      <c r="C257" s="4" t="s">
        <v>972</v>
      </c>
      <c r="D257" s="4" t="s">
        <v>889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973</v>
      </c>
      <c r="C258" s="4" t="s">
        <v>974</v>
      </c>
      <c r="D258" s="4" t="s">
        <v>939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975</v>
      </c>
      <c r="C259" s="4" t="s">
        <v>976</v>
      </c>
      <c r="D259" s="4" t="s">
        <v>925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977</v>
      </c>
      <c r="C260" s="4" t="s">
        <v>978</v>
      </c>
      <c r="D260" s="4" t="s">
        <v>889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979</v>
      </c>
      <c r="C261" s="4" t="s">
        <v>980</v>
      </c>
      <c r="D261" s="4" t="s">
        <v>981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982</v>
      </c>
      <c r="C262" s="4" t="s">
        <v>983</v>
      </c>
      <c r="D262" s="4" t="s">
        <v>879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984</v>
      </c>
      <c r="C263" s="4" t="s">
        <v>985</v>
      </c>
      <c r="D263" s="4" t="s">
        <v>889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986</v>
      </c>
      <c r="C264" s="4" t="s">
        <v>987</v>
      </c>
      <c r="D264" s="4" t="s">
        <v>908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988</v>
      </c>
      <c r="C265" s="4" t="s">
        <v>989</v>
      </c>
      <c r="D265" s="4" t="s">
        <v>879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990</v>
      </c>
      <c r="C266" s="4" t="s">
        <v>991</v>
      </c>
      <c r="D266" s="4" t="s">
        <v>992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993</v>
      </c>
      <c r="C267" s="4" t="s">
        <v>994</v>
      </c>
      <c r="D267" s="4" t="s">
        <v>876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995</v>
      </c>
      <c r="C268" s="4" t="s">
        <v>996</v>
      </c>
      <c r="D268" s="4" t="s">
        <v>908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997</v>
      </c>
      <c r="C269" s="4" t="s">
        <v>998</v>
      </c>
      <c r="D269" s="4" t="s">
        <v>889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999</v>
      </c>
      <c r="C270" s="4" t="s">
        <v>1000</v>
      </c>
      <c r="D270" s="4" t="s">
        <v>992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1001</v>
      </c>
      <c r="C271" s="4" t="s">
        <v>1002</v>
      </c>
      <c r="D271" s="4" t="s">
        <v>1003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1004</v>
      </c>
      <c r="C272" s="4" t="s">
        <v>1005</v>
      </c>
      <c r="D272" s="4" t="s">
        <v>939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1006</v>
      </c>
      <c r="C273" s="4" t="s">
        <v>1007</v>
      </c>
      <c r="D273" s="4" t="s">
        <v>889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1008</v>
      </c>
      <c r="C274" s="4" t="s">
        <v>1009</v>
      </c>
      <c r="D274" s="4" t="s">
        <v>889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1010</v>
      </c>
      <c r="C275" s="4" t="s">
        <v>1011</v>
      </c>
      <c r="D275" s="4" t="s">
        <v>896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1012</v>
      </c>
      <c r="C276" s="4" t="s">
        <v>1013</v>
      </c>
      <c r="D276" s="4" t="s">
        <v>885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1014</v>
      </c>
      <c r="C277" s="4" t="s">
        <v>1015</v>
      </c>
      <c r="D277" s="4" t="s">
        <v>949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1016</v>
      </c>
      <c r="C278" s="4" t="s">
        <v>1017</v>
      </c>
      <c r="D278" s="4" t="s">
        <v>889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1018</v>
      </c>
      <c r="C279" s="4" t="s">
        <v>1019</v>
      </c>
      <c r="D279" s="4" t="s">
        <v>889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1020</v>
      </c>
      <c r="C280" s="4" t="s">
        <v>1021</v>
      </c>
      <c r="D280" s="4" t="s">
        <v>1022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1023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1024</v>
      </c>
      <c r="C282" s="4" t="s">
        <v>1025</v>
      </c>
      <c r="D282" s="4" t="s">
        <v>949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1026</v>
      </c>
      <c r="C283" s="4" t="s">
        <v>1027</v>
      </c>
      <c r="D283" s="4" t="s">
        <v>1028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1029</v>
      </c>
      <c r="C284" s="4" t="s">
        <v>1030</v>
      </c>
      <c r="D284" s="4" t="s">
        <v>965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1031</v>
      </c>
      <c r="C285" s="4" t="s">
        <v>1032</v>
      </c>
      <c r="D285" s="4" t="s">
        <v>1033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1034</v>
      </c>
      <c r="C286" s="4" t="s">
        <v>1035</v>
      </c>
      <c r="D286" s="4" t="s">
        <v>889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889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1036</v>
      </c>
      <c r="C288" s="4" t="s">
        <v>1037</v>
      </c>
      <c r="D288" s="4" t="s">
        <v>889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1038</v>
      </c>
      <c r="C289" s="4" t="s">
        <v>1039</v>
      </c>
      <c r="D289" s="4" t="s">
        <v>879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1040</v>
      </c>
      <c r="C290" s="4" t="s">
        <v>1041</v>
      </c>
      <c r="D290" s="4" t="s">
        <v>992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1042</v>
      </c>
      <c r="C291" s="4" t="s">
        <v>1043</v>
      </c>
      <c r="D291" s="4" t="s">
        <v>879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1044</v>
      </c>
      <c r="C292" s="4" t="s">
        <v>1045</v>
      </c>
      <c r="D292" s="4" t="s">
        <v>1033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1046</v>
      </c>
      <c r="C293" s="4" t="s">
        <v>1047</v>
      </c>
      <c r="D293" s="4" t="s">
        <v>1048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1049</v>
      </c>
      <c r="C294" s="4" t="s">
        <v>1050</v>
      </c>
      <c r="D294" s="4" t="s">
        <v>889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1051</v>
      </c>
      <c r="C295" s="4" t="s">
        <v>1052</v>
      </c>
      <c r="D295" s="4" t="s">
        <v>889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1053</v>
      </c>
      <c r="C296" s="4" t="s">
        <v>1054</v>
      </c>
      <c r="D296" s="4" t="s">
        <v>879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1055</v>
      </c>
      <c r="C297" s="4" t="s">
        <v>1056</v>
      </c>
      <c r="D297" s="4" t="s">
        <v>908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1057</v>
      </c>
      <c r="C298" s="4" t="s">
        <v>1058</v>
      </c>
      <c r="D298" s="4" t="s">
        <v>1059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1060</v>
      </c>
      <c r="C299" s="4" t="s">
        <v>1061</v>
      </c>
      <c r="D299" s="4" t="s">
        <v>879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1062</v>
      </c>
      <c r="C300" s="4" t="s">
        <v>1063</v>
      </c>
      <c r="D300" s="4" t="s">
        <v>949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1064</v>
      </c>
      <c r="C301" s="4" t="s">
        <v>1065</v>
      </c>
      <c r="D301" s="4" t="s">
        <v>1048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1066</v>
      </c>
      <c r="C302" s="4" t="s">
        <v>1067</v>
      </c>
      <c r="D302" s="4" t="s">
        <v>1068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1069</v>
      </c>
      <c r="C303" s="4" t="s">
        <v>1070</v>
      </c>
      <c r="D303" s="4" t="s">
        <v>896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1071</v>
      </c>
      <c r="C304" s="4" t="s">
        <v>1072</v>
      </c>
      <c r="D304" s="4" t="s">
        <v>992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1073</v>
      </c>
      <c r="C305" s="4" t="s">
        <v>1074</v>
      </c>
      <c r="D305" s="4" t="s">
        <v>911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1075</v>
      </c>
      <c r="C306" s="4" t="s">
        <v>1076</v>
      </c>
      <c r="D306" s="4" t="s">
        <v>1077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1078</v>
      </c>
      <c r="C307" s="4" t="s">
        <v>1079</v>
      </c>
      <c r="D307" s="4" t="s">
        <v>1080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1081</v>
      </c>
      <c r="C308" s="4" t="s">
        <v>1082</v>
      </c>
      <c r="D308" s="4" t="s">
        <v>965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1083</v>
      </c>
      <c r="C309" s="4" t="s">
        <v>1084</v>
      </c>
      <c r="D309" s="4" t="s">
        <v>889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1085</v>
      </c>
      <c r="C310" s="4" t="s">
        <v>1086</v>
      </c>
      <c r="D310" s="4" t="s">
        <v>1080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1087</v>
      </c>
      <c r="C311" s="4" t="s">
        <v>1088</v>
      </c>
      <c r="D311" s="4" t="s">
        <v>949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1089</v>
      </c>
      <c r="C312" s="4" t="s">
        <v>1090</v>
      </c>
      <c r="D312" s="4" t="s">
        <v>896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1091</v>
      </c>
      <c r="C313" s="4" t="s">
        <v>1092</v>
      </c>
      <c r="D313" s="4" t="s">
        <v>879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1093</v>
      </c>
      <c r="C314" s="4" t="s">
        <v>1094</v>
      </c>
      <c r="D314" s="4" t="s">
        <v>938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1095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1096</v>
      </c>
      <c r="C316" s="4" t="s">
        <v>1097</v>
      </c>
      <c r="D316" s="4" t="s">
        <v>1080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1098</v>
      </c>
      <c r="C317" s="4" t="s">
        <v>1099</v>
      </c>
      <c r="D317" s="4" t="s">
        <v>896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1100</v>
      </c>
      <c r="C318" s="4" t="s">
        <v>1101</v>
      </c>
      <c r="D318" s="4" t="s">
        <v>949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1102</v>
      </c>
      <c r="C319" s="4" t="s">
        <v>1103</v>
      </c>
      <c r="D319" s="4" t="s">
        <v>956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1104</v>
      </c>
      <c r="C320" s="4" t="s">
        <v>1105</v>
      </c>
      <c r="D320" s="4" t="s">
        <v>879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1106</v>
      </c>
      <c r="C321" s="4" t="s">
        <v>1107</v>
      </c>
      <c r="D321" s="4" t="s">
        <v>889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1108</v>
      </c>
      <c r="C322" s="4" t="s">
        <v>1109</v>
      </c>
      <c r="D322" s="4" t="s">
        <v>908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1110</v>
      </c>
      <c r="C323" s="4" t="s">
        <v>1111</v>
      </c>
      <c r="D323" s="4" t="s">
        <v>889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1112</v>
      </c>
      <c r="C324" s="4" t="s">
        <v>1113</v>
      </c>
      <c r="D324" s="4" t="s">
        <v>889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1114</v>
      </c>
      <c r="C325" s="4" t="s">
        <v>1115</v>
      </c>
      <c r="D325" s="4" t="s">
        <v>925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1116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1117</v>
      </c>
      <c r="C327" s="4" t="s">
        <v>1118</v>
      </c>
      <c r="D327" s="4" t="s">
        <v>889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1119</v>
      </c>
      <c r="C328" s="4" t="s">
        <v>1120</v>
      </c>
      <c r="D328" s="4" t="s">
        <v>889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1121</v>
      </c>
      <c r="C329" s="4" t="s">
        <v>1122</v>
      </c>
      <c r="D329" s="4" t="s">
        <v>889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1123</v>
      </c>
      <c r="C330" s="4" t="s">
        <v>1124</v>
      </c>
      <c r="D330" s="4" t="s">
        <v>907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1125</v>
      </c>
      <c r="C331" s="4" t="s">
        <v>1126</v>
      </c>
      <c r="D331" s="4" t="s">
        <v>896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1127</v>
      </c>
      <c r="C332" s="4" t="s">
        <v>1128</v>
      </c>
      <c r="D332" s="4" t="s">
        <v>1129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1130</v>
      </c>
      <c r="C333" s="4" t="s">
        <v>1131</v>
      </c>
      <c r="D333" s="4" t="s">
        <v>956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1132</v>
      </c>
      <c r="C334" s="4" t="s">
        <v>1133</v>
      </c>
      <c r="D334" s="4" t="s">
        <v>949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1134</v>
      </c>
      <c r="C335" s="4" t="s">
        <v>1135</v>
      </c>
      <c r="D335" s="4" t="s">
        <v>1077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1136</v>
      </c>
      <c r="C336" s="4" t="s">
        <v>1137</v>
      </c>
      <c r="D336" s="4" t="s">
        <v>889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1164</v>
      </c>
      <c r="C337" s="4" t="s">
        <v>1138</v>
      </c>
      <c r="D337" s="4" t="s">
        <v>992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1139</v>
      </c>
      <c r="C338" s="4" t="s">
        <v>1140</v>
      </c>
      <c r="D338" s="4" t="s">
        <v>907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1141</v>
      </c>
      <c r="C339" s="4" t="s">
        <v>1142</v>
      </c>
      <c r="D339" s="4" t="s">
        <v>1143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1144</v>
      </c>
      <c r="C340" s="4" t="s">
        <v>1145</v>
      </c>
      <c r="D340" s="4" t="s">
        <v>956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1146</v>
      </c>
      <c r="C341" s="4" t="s">
        <v>1147</v>
      </c>
      <c r="D341" s="4" t="s">
        <v>938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1148</v>
      </c>
      <c r="C342" s="4" t="s">
        <v>1149</v>
      </c>
      <c r="D342" s="4" t="s">
        <v>889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1150</v>
      </c>
      <c r="C343" s="4" t="s">
        <v>1151</v>
      </c>
      <c r="D343" s="4" t="s">
        <v>889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1152</v>
      </c>
      <c r="C344" s="4" t="s">
        <v>1153</v>
      </c>
      <c r="D344" s="4" t="s">
        <v>889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1154</v>
      </c>
      <c r="C345" s="4" t="s">
        <v>1155</v>
      </c>
      <c r="D345" s="4" t="s">
        <v>956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1156</v>
      </c>
      <c r="C346" s="4" t="s">
        <v>1157</v>
      </c>
      <c r="D346" s="4" t="s">
        <v>925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1158</v>
      </c>
      <c r="C347" s="4" t="s">
        <v>1159</v>
      </c>
      <c r="D347" s="4" t="s">
        <v>931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1163</v>
      </c>
      <c r="C348" s="4" t="s">
        <v>1162</v>
      </c>
      <c r="D348" s="4" t="s">
        <v>925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71.89</v>
      </c>
      <c r="F4" s="17">
        <f>+[26]Main!$I$4</f>
        <v>309198.91839655</v>
      </c>
      <c r="G4" s="17">
        <f>+[26]Main!$I$6-[26]Main!$I$5</f>
        <v>28452</v>
      </c>
      <c r="H4" s="17">
        <f>+F4+G4</f>
        <v>337650.91839655</v>
      </c>
      <c r="I4" s="18" t="s">
        <v>491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97.02</v>
      </c>
      <c r="F9" s="17">
        <f>+[27]Main!$J$4</f>
        <v>110205.01800000001</v>
      </c>
      <c r="G9" s="17">
        <f>+[27]Main!$J$6-[27]Main!$J$5</f>
        <v>11604.2</v>
      </c>
      <c r="H9" s="17">
        <f>+F9+G9</f>
        <v>121809.21800000001</v>
      </c>
      <c r="I9" s="18" t="s">
        <v>491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4" t="s">
        <v>505</v>
      </c>
      <c r="C16" s="4" t="s">
        <v>506</v>
      </c>
      <c r="D16" s="4" t="s">
        <v>27</v>
      </c>
      <c r="E16" s="4"/>
      <c r="F16" s="17"/>
      <c r="G16" s="17"/>
      <c r="H16" s="17"/>
      <c r="I16" s="1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zoomScale="200" zoomScaleNormal="200" workbookViewId="0">
      <selection activeCell="B9" sqref="B9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658601.77423892857</v>
      </c>
      <c r="G4" s="29">
        <f>SUM(G5:G23)</f>
        <v>104228.510878</v>
      </c>
      <c r="H4" s="29">
        <f>SUM(H5:H23)</f>
        <v>753138.40511692874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+[28]Main!$K$3</f>
        <v>165.35</v>
      </c>
      <c r="F5" s="17">
        <f>+[28]Main!$K$5</f>
        <v>257382.04687294998</v>
      </c>
      <c r="G5" s="17">
        <f>+[28]Main!$K$7-[28]Main!$K$6</f>
        <v>40833</v>
      </c>
      <c r="H5" s="17">
        <f>+F5+G5</f>
        <v>298215.04687294998</v>
      </c>
      <c r="I5" s="34" t="s">
        <v>1168</v>
      </c>
      <c r="J5" s="22">
        <v>45951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+[29]Main!$M$3</f>
        <v>66.430000000000007</v>
      </c>
      <c r="F6" s="17">
        <f>+[29]Main!$M$5</f>
        <v>111595.15600779002</v>
      </c>
      <c r="G6" s="17">
        <f>+[29]Main!$M$7-[29]Main!$M$6</f>
        <v>23433</v>
      </c>
      <c r="H6" s="17">
        <f>+F6+G6</f>
        <v>135028.15600779001</v>
      </c>
      <c r="I6" s="34" t="s">
        <v>1168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+[30]Main!$H$2</f>
        <v>38.49</v>
      </c>
      <c r="F7" s="17">
        <f>+[30]Main!$H$5*FX!C3</f>
        <v>114298.62400000001</v>
      </c>
      <c r="G7" s="17">
        <f>+([29]Main!$M$7-[29]Main!$M$6)*FX!C3</f>
        <v>29994.240000000002</v>
      </c>
      <c r="H7" s="17">
        <f>F7+G7</f>
        <v>144292.864</v>
      </c>
      <c r="I7" s="30" t="s">
        <v>1168</v>
      </c>
      <c r="J7" s="22">
        <v>46065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+[31]Main!$H$2</f>
        <v>485.4</v>
      </c>
      <c r="F8" s="17">
        <f>+[31]Main!$H$4*FX!C4</f>
        <v>72888.393927045603</v>
      </c>
      <c r="G8" s="17">
        <f>+([31]Main!$H$6-[31]Main!$H$5)*FX!C4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+[32]Main!$J$2</f>
        <v>4080</v>
      </c>
      <c r="F9" s="17">
        <f>+[32]Main!$J$4*FX!C5</f>
        <v>49263.210449311024</v>
      </c>
      <c r="G9" s="17">
        <f>+([32]Main!$J$6-[32]Main!$J$5)*FX!C5</f>
        <v>874.26239999999996</v>
      </c>
      <c r="H9" s="17">
        <f t="shared" si="1"/>
        <v>50137.472849311023</v>
      </c>
      <c r="I9" s="30" t="s">
        <v>24</v>
      </c>
      <c r="J9" s="22">
        <v>45784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+[33]Main!$I$2</f>
        <v>25.6</v>
      </c>
      <c r="F10" s="17">
        <f>+([33]Main!$I$4)*FX!C3</f>
        <v>28475.392000000003</v>
      </c>
      <c r="G10" s="17">
        <f>+([33]Main!$I$6-[33]Main!$I$5)*FX!C3</f>
        <v>9880.32</v>
      </c>
      <c r="H10" s="17">
        <f t="shared" si="1"/>
        <v>38355.712</v>
      </c>
      <c r="I10" s="30" t="s">
        <v>738</v>
      </c>
      <c r="J10" s="22">
        <v>45615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739</v>
      </c>
      <c r="C11" s="20" t="s">
        <v>740</v>
      </c>
      <c r="D11" s="4" t="s">
        <v>617</v>
      </c>
      <c r="E11" s="17">
        <f>+[34]Main!$I$2</f>
        <v>107400</v>
      </c>
      <c r="F11" s="17">
        <f>+[34]Main!$I$4*FX!C6</f>
        <v>9270.9964935000007</v>
      </c>
      <c r="G11" s="17">
        <f>+([34]Main!$I$6-[34]Main!$I$5)*FX!C6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741</v>
      </c>
      <c r="C12" s="4" t="s">
        <v>742</v>
      </c>
      <c r="D12" s="4" t="s">
        <v>240</v>
      </c>
      <c r="E12" s="17">
        <f>+[35]Main!$I$2</f>
        <v>590</v>
      </c>
      <c r="F12" s="17">
        <f>+[35]Main!$I$4*FX!C7</f>
        <v>4254.915253002001</v>
      </c>
      <c r="G12" s="17">
        <f>+([35]Main!$I$6-[35]Main!$I$5)*FX!C7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743</v>
      </c>
      <c r="C13" s="4" t="s">
        <v>744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745</v>
      </c>
      <c r="C14" s="4" t="s">
        <v>746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747</v>
      </c>
      <c r="C15" s="4" t="s">
        <v>748</v>
      </c>
      <c r="D15" s="4" t="s">
        <v>749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750</v>
      </c>
      <c r="C16" s="4" t="s">
        <v>751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4" t="s">
        <v>752</v>
      </c>
      <c r="C17" s="4" t="s">
        <v>753</v>
      </c>
      <c r="D17" s="4" t="s">
        <v>527</v>
      </c>
      <c r="E17" s="31"/>
      <c r="F17" s="17">
        <v>1200</v>
      </c>
      <c r="G17" s="17"/>
      <c r="H17" s="17"/>
      <c r="I17" s="31"/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754</v>
      </c>
      <c r="C18" s="4" t="s">
        <v>755</v>
      </c>
      <c r="D18" s="4" t="s">
        <v>756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757</v>
      </c>
      <c r="C19" s="4" t="s">
        <v>758</v>
      </c>
      <c r="D19" s="4" t="s">
        <v>27</v>
      </c>
      <c r="E19" s="31">
        <f>+[36]Main!$I$3</f>
        <v>69.63</v>
      </c>
      <c r="F19" s="17">
        <f>+[36]Main!$I$5</f>
        <v>1232.2425974099999</v>
      </c>
      <c r="G19" s="17">
        <f>+[36]Main!$I$7-[36]Main!$I$6</f>
        <v>214.72500000000002</v>
      </c>
      <c r="H19" s="17">
        <f t="shared" ref="H19:H20" si="3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759</v>
      </c>
      <c r="C20" s="4" t="s">
        <v>760</v>
      </c>
      <c r="D20" s="4" t="s">
        <v>27</v>
      </c>
      <c r="E20" s="31">
        <f>+[37]Main!$I$2</f>
        <v>4.3600000000000003</v>
      </c>
      <c r="F20" s="17">
        <f>+[37]Main!$I$4</f>
        <v>248.91663792000003</v>
      </c>
      <c r="G20" s="17">
        <f>+[37]Main!$I$6-[37]Main!$I$5</f>
        <v>-34.395385999999995</v>
      </c>
      <c r="H20" s="17">
        <f t="shared" si="3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761</v>
      </c>
      <c r="C21" s="4" t="s">
        <v>762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763</v>
      </c>
      <c r="C22" s="4" t="s">
        <v>764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765</v>
      </c>
      <c r="C23" s="4" t="s">
        <v>766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767</v>
      </c>
      <c r="C24" s="4" t="s">
        <v>768</v>
      </c>
      <c r="D24" s="4" t="s">
        <v>27</v>
      </c>
      <c r="E24" s="31" t="s">
        <v>769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770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771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772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773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</hyperlinks>
  <pageMargins left="0.7" right="0.7" top="0.75" bottom="0.75" header="0.3" footer="0.3"/>
  <legacyDrawing r:id="rId1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A3" sqref="A3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777</v>
      </c>
      <c r="C3" s="32">
        <v>1.28</v>
      </c>
    </row>
    <row r="4" spans="1:3" x14ac:dyDescent="0.25">
      <c r="A4" s="4"/>
      <c r="B4" s="4" t="s">
        <v>779</v>
      </c>
      <c r="C4" s="32">
        <v>1.2E-2</v>
      </c>
    </row>
    <row r="5" spans="1:3" x14ac:dyDescent="0.25">
      <c r="A5" s="4"/>
      <c r="B5" s="4" t="s">
        <v>778</v>
      </c>
      <c r="C5" s="32">
        <v>6.7999999999999996E-3</v>
      </c>
    </row>
    <row r="6" spans="1:3" x14ac:dyDescent="0.25">
      <c r="A6" s="4"/>
      <c r="B6" s="4" t="s">
        <v>774</v>
      </c>
      <c r="C6" s="32">
        <v>7.5000000000000002E-4</v>
      </c>
    </row>
    <row r="7" spans="1:3" x14ac:dyDescent="0.25">
      <c r="A7" s="4"/>
      <c r="B7" s="4" t="s">
        <v>775</v>
      </c>
      <c r="C7" s="32">
        <v>6.2000000000000003E-5</v>
      </c>
    </row>
    <row r="8" spans="1:3" x14ac:dyDescent="0.25">
      <c r="A8" s="4"/>
      <c r="B8" s="4" t="s">
        <v>776</v>
      </c>
      <c r="C8" s="32">
        <v>1.1399999999999999</v>
      </c>
    </row>
    <row r="9" spans="1:3" x14ac:dyDescent="0.25">
      <c r="A9" s="4"/>
      <c r="B9" s="4" t="s">
        <v>780</v>
      </c>
      <c r="C9" s="32">
        <v>1.23</v>
      </c>
    </row>
    <row r="10" spans="1:3" x14ac:dyDescent="0.25">
      <c r="A10" s="4"/>
      <c r="B10" s="4" t="s">
        <v>1165</v>
      </c>
      <c r="C10" s="32">
        <v>9.8000000000000004E-2</v>
      </c>
    </row>
    <row r="11" spans="1:3" x14ac:dyDescent="0.25">
      <c r="A11" s="4"/>
      <c r="B11" s="4"/>
      <c r="C11" s="4"/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2025-09-11T12:54:19Z</dcterms:modified>
</cp:coreProperties>
</file>