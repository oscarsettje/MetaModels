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F8FF1B6-3FAC-4716-95EE-3D4601A243A7}" xr6:coauthVersionLast="47" xr6:coauthVersionMax="47" xr10:uidLastSave="{00000000-0000-0000-0000-000000000000}"/>
  <bookViews>
    <workbookView xWindow="-120" yWindow="-120" windowWidth="38640" windowHeight="21060" activeTab="2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G6" i="3"/>
  <c r="F6" i="3"/>
  <c r="E6" i="3"/>
  <c r="G16" i="3"/>
  <c r="F16" i="3"/>
  <c r="E16" i="3"/>
  <c r="H16" i="3" l="1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<sst xmlns="http://schemas.openxmlformats.org/spreadsheetml/2006/main" count="1672" uniqueCount="1175">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</sst>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8" fillId="0" borderId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0" applyFont="1"/>
    <xf numFmtId="167" fontId="18" fillId="0" borderId="0" xfId="1"/>
    <xf numFmtId="0" fontId="16" fillId="3" borderId="1" xfId="0" applyFont="1" applyFill="1" applyBorder="1" applyAlignment="1">
      <alignment horizontal="center"/>
    </xf>
    <xf numFmtId="0" fontId="16" fillId="3" borderId="2" xfId="0" applyFont="1" applyFill="1" applyBorder="1"/>
    <xf numFmtId="0" fontId="16" fillId="3" borderId="2" xfId="0" applyFont="1" applyFill="1" applyBorder="1" applyAlignment="1">
      <alignment horizontal="right"/>
    </xf>
    <xf numFmtId="0" fontId="16" fillId="3" borderId="3" xfId="0" applyFont="1" applyFill="1" applyBorder="1"/>
    <xf numFmtId="0" fontId="19" fillId="0" borderId="0" xfId="0" applyFont="1"/>
    <xf numFmtId="164" fontId="12" fillId="0" borderId="0" xfId="0" applyNumberFormat="1" applyFont="1"/>
    <xf numFmtId="0" fontId="12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0" quotePrefix="1" applyFont="1"/>
    <xf numFmtId="9" fontId="12" fillId="0" borderId="0" xfId="0" applyNumberFormat="1" applyFont="1"/>
    <xf numFmtId="16" fontId="12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164" fontId="17" fillId="0" borderId="0" xfId="0" applyNumberFormat="1" applyFont="1"/>
    <xf numFmtId="0" fontId="16" fillId="2" borderId="2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6" fillId="2" borderId="3" xfId="0" applyFont="1" applyFill="1" applyBorder="1" applyAlignment="1">
      <alignment horizontal="right"/>
    </xf>
    <xf numFmtId="164" fontId="12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2" fillId="0" borderId="0" xfId="0" applyNumberFormat="1" applyFont="1"/>
    <xf numFmtId="166" fontId="12" fillId="0" borderId="0" xfId="0" applyNumberFormat="1" applyFont="1"/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165" fontId="7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externalLink" Target="externalLinks/externalLink4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EP.xlsx" TargetMode="External"/><Relationship Id="rId2" Type="http://schemas.openxmlformats.org/officeDocument/2006/relationships/externalLinkPath" Target="file:///E:\1.Finance\Anaylsen\Models\PEP.xlsx" TargetMode="External"/><Relationship Id="rId1" Type="http://schemas.openxmlformats.org/officeDocument/2006/relationships/externalLinkPath" Target="/1.Finance/Anaylsen/Models/PE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182.31</v>
          </cell>
        </row>
        <row r="5">
          <cell r="K5">
            <v>283798.25404749002</v>
          </cell>
        </row>
        <row r="6">
          <cell r="K6">
            <v>4872</v>
          </cell>
        </row>
        <row r="7">
          <cell r="K7">
            <v>48835</v>
          </cell>
        </row>
      </sheetData>
      <sheetData sheetId="1"/>
      <sheetData sheetId="2"/>
      <sheetData sheetId="3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/>
      <sheetData sheetId="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66.2</v>
          </cell>
        </row>
        <row r="4">
          <cell r="J4">
            <v>5212.6541999999999</v>
          </cell>
        </row>
        <row r="5">
          <cell r="J5">
            <v>197.7</v>
          </cell>
        </row>
        <row r="6">
          <cell r="J6">
            <v>5080.6000000000004</v>
          </cell>
        </row>
      </sheetData>
      <sheetData sheetId="1"/>
      <sheetData sheetId="2"/>
      <sheetData sheetId="3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153.69</v>
          </cell>
        </row>
        <row r="4">
          <cell r="I4">
            <v>210040.29295557001</v>
          </cell>
        </row>
        <row r="5">
          <cell r="I5">
            <v>9530</v>
          </cell>
        </row>
        <row r="6">
          <cell r="I6">
            <v>49182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Relationship Id="rId4" Type="http://schemas.openxmlformats.org/officeDocument/2006/relationships/hyperlink" Target="..\Models\PEP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95.4</v>
      </c>
      <c r="F206" s="17">
        <f>+[23]Main!$H$4*FX!C8</f>
        <v>740.91090808800004</v>
      </c>
      <c r="G206" s="17">
        <f>+([23]Main!$H$6-[23]Main!$H$5)*FX!C8</f>
        <v>-119.44919999999999</v>
      </c>
      <c r="H206" s="17">
        <f>+F206+G206</f>
        <v>621.46170808800002</v>
      </c>
      <c r="I206" s="40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tabSelected="1" zoomScale="200" zoomScaleNormal="200" workbookViewId="0">
      <selection activeCell="I7" sqref="I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11" t="s">
        <v>483</v>
      </c>
      <c r="C6" s="4" t="s">
        <v>484</v>
      </c>
      <c r="D6" s="4" t="s">
        <v>27</v>
      </c>
      <c r="E6" s="4">
        <f>+[40]Main!$I$2</f>
        <v>153.69</v>
      </c>
      <c r="F6" s="17">
        <f>+[40]Main!$I$4</f>
        <v>210040.29295557001</v>
      </c>
      <c r="G6" s="17">
        <f>+[40]Main!$I$6-[40]Main!$I$5</f>
        <v>39652</v>
      </c>
      <c r="H6" s="17">
        <f>+F6+G6</f>
        <v>249692.29295557001</v>
      </c>
      <c r="I6" s="44" t="s">
        <v>1174</v>
      </c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87.85</v>
      </c>
      <c r="F9" s="17">
        <f>+[27]Main!$J$4</f>
        <v>99859.095000000001</v>
      </c>
      <c r="G9" s="17">
        <f>+[27]Main!$J$6-[27]Main!$J$5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+[28]Main!$I$2</f>
        <v>141.83000000000001</v>
      </c>
      <c r="F16" s="17">
        <f>+[28]Main!$I$4</f>
        <v>28675.237054880003</v>
      </c>
      <c r="G16" s="17">
        <f>+[28]Main!$I$6-[28]Main!$I$5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  <hyperlink ref="B6" r:id="rId4" xr:uid="{B3B2B78B-9DED-4B0F-8795-872EEA424C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B8" sqref="B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718429.85656916746</v>
      </c>
      <c r="G4" s="29">
        <f>SUM(G5:G23)</f>
        <v>105570.36167799999</v>
      </c>
      <c r="H4" s="29">
        <f>SUM(H5:H23)</f>
        <v>815508.33824716776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+[29]Main!$K$3</f>
        <v>182.31</v>
      </c>
      <c r="F5" s="17">
        <f>+[29]Main!$K$5</f>
        <v>283798.25404749002</v>
      </c>
      <c r="G5" s="17">
        <f>+[29]Main!$K$7-[29]Main!$K$6</f>
        <v>43963</v>
      </c>
      <c r="H5" s="17">
        <f>+F5+G5</f>
        <v>327761.25404749002</v>
      </c>
      <c r="I5" s="38" t="s">
        <v>1174</v>
      </c>
      <c r="J5" s="22">
        <v>46134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+[30]Main!$M$3</f>
        <v>66.25</v>
      </c>
      <c r="F6" s="17">
        <f>+[30]Main!$M$5</f>
        <v>111498.75</v>
      </c>
      <c r="G6" s="17">
        <f>+[30]Main!$M$7-[30]Main!$M$6</f>
        <v>21235</v>
      </c>
      <c r="H6" s="17">
        <f>+F6+G6</f>
        <v>132733.75</v>
      </c>
      <c r="I6" s="43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+[31]Main!$H$2</f>
        <v>60.8</v>
      </c>
      <c r="F7" s="17">
        <f>+[31]Main!$H$5*FX!C3</f>
        <v>122499.9936</v>
      </c>
      <c r="G7" s="17">
        <f>+([30]Main!$M$7-[30]Main!$M$6)*FX!C3</f>
        <v>27180.799999999999</v>
      </c>
      <c r="H7" s="17">
        <f>F7+G7</f>
        <v>149680.7936</v>
      </c>
      <c r="I7" s="39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+[32]Main!$H$2</f>
        <v>485.4</v>
      </c>
      <c r="F8" s="17">
        <f>+[32]Main!$H$4*FX!C4</f>
        <v>72888.393927045603</v>
      </c>
      <c r="G8" s="17">
        <f>+([32]Main!$H$6-[32]Main!$H$5)*FX!C4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+[33]Main!$J$2</f>
        <v>5714</v>
      </c>
      <c r="F9" s="17">
        <f>+[33]Main!$J$4*FX!C5</f>
        <v>68983.677500799997</v>
      </c>
      <c r="G9" s="17">
        <f>+([33]Main!$J$6-[33]Main!$J$5)*FX!C5</f>
        <v>2758.2091999999998</v>
      </c>
      <c r="H9" s="17">
        <f t="shared" si="1"/>
        <v>71741.886700799994</v>
      </c>
      <c r="I9" s="43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+[34]Main!$I$2</f>
        <v>32.61</v>
      </c>
      <c r="F10" s="17">
        <f>+([34]Main!$I$4)*FX!C3</f>
        <v>34427.811840000002</v>
      </c>
      <c r="G10" s="17">
        <f>+([34]Main!$I$6-[34]Main!$I$5)*FX!C3</f>
        <v>10438.4</v>
      </c>
      <c r="H10" s="17">
        <f t="shared" si="1"/>
        <v>44866.211840000004</v>
      </c>
      <c r="I10" s="41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+[35]Main!$I$2</f>
        <v>107400</v>
      </c>
      <c r="F11" s="17">
        <f>+[35]Main!$I$4*FX!C6</f>
        <v>9270.9964935000007</v>
      </c>
      <c r="G11" s="17">
        <f>+([35]Main!$I$6-[35]Main!$I$5)*FX!C6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+[36]Main!$I$2</f>
        <v>590</v>
      </c>
      <c r="F12" s="17">
        <f>+[36]Main!$I$4*FX!C7</f>
        <v>4254.915253002001</v>
      </c>
      <c r="G12" s="17">
        <f>+([36]Main!$I$6-[36]Main!$I$5)*FX!C7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+[37]Main!$J$2</f>
        <v>66.2</v>
      </c>
      <c r="F17" s="17">
        <f>+[37]Main!$J$4*FX!C11</f>
        <v>834.02467200000001</v>
      </c>
      <c r="G17" s="17">
        <f>+([37]Main!$J$6-[37]Main!$J$5)*FX!C11</f>
        <v>781.26400000000012</v>
      </c>
      <c r="H17" s="17">
        <f t="shared" ref="H17" si="3">F17+G17</f>
        <v>1615.2886720000001</v>
      </c>
      <c r="I17" s="42" t="s">
        <v>1174</v>
      </c>
      <c r="J17" s="22">
        <v>46162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+[38]Main!$I$3</f>
        <v>69.63</v>
      </c>
      <c r="F19" s="17">
        <f>+[38]Main!$I$5</f>
        <v>1232.2425974099999</v>
      </c>
      <c r="G19" s="17">
        <f>+[38]Main!$I$7-[38]Main!$I$6</f>
        <v>214.72500000000002</v>
      </c>
      <c r="H19" s="17">
        <f t="shared" ref="H19:H20" si="4">F19+G19</f>
        <v>1446.9675974100001</v>
      </c>
      <c r="I19" s="30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+[39]Main!$I$2</f>
        <v>4.3600000000000003</v>
      </c>
      <c r="F20" s="17">
        <f>+[39]Main!$I$4</f>
        <v>248.91663792000003</v>
      </c>
      <c r="G20" s="17">
        <f>+[39]Main!$I$6-[39]Main!$I$5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2026-03-19T09:41:44Z</dcterms:modified>
</cp:coreProperties>
</file>