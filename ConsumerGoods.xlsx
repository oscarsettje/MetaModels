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2387926-6F80-4DFD-9000-C90A3EE3DF67}" xr6:coauthVersionLast="47" xr6:coauthVersionMax="47" xr10:uidLastSave="{00000000-0000-0000-0000-000000000000}"/>
  <bookViews>
    <workbookView xWindow="-120" yWindow="-120" windowWidth="38640" windowHeight="21060" activeTab="1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H16" i="3" s="1"/>
  <c r="E16" i="3"/>
  <c r="G17" i="4" l="1"/>
  <c r="F17" i="4"/>
  <c r="H17" i="4" s="1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<sst xmlns="http://schemas.openxmlformats.org/spreadsheetml/2006/main" count="1671" uniqueCount="1175">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</sst>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6" fillId="0" borderId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right"/>
    </xf>
    <xf numFmtId="0" fontId="14" fillId="2" borderId="3" xfId="0" applyFont="1" applyFill="1" applyBorder="1"/>
    <xf numFmtId="0" fontId="10" fillId="0" borderId="0" xfId="0" applyFont="1" applyAlignment="1">
      <alignment horizontal="center"/>
    </xf>
    <xf numFmtId="0" fontId="15" fillId="0" borderId="0" xfId="0" applyFont="1"/>
    <xf numFmtId="167" fontId="16" fillId="0" borderId="0" xfId="1"/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/>
    <xf numFmtId="0" fontId="14" fillId="3" borderId="2" xfId="0" applyFont="1" applyFill="1" applyBorder="1" applyAlignment="1">
      <alignment horizontal="right"/>
    </xf>
    <xf numFmtId="0" fontId="14" fillId="3" borderId="3" xfId="0" applyFont="1" applyFill="1" applyBorder="1"/>
    <xf numFmtId="0" fontId="17" fillId="0" borderId="0" xfId="0" applyFont="1"/>
    <xf numFmtId="164" fontId="10" fillId="0" borderId="0" xfId="0" applyNumberFormat="1" applyFont="1"/>
    <xf numFmtId="0" fontId="10" fillId="0" borderId="0" xfId="0" applyFont="1" applyAlignment="1">
      <alignment horizontal="right"/>
    </xf>
    <xf numFmtId="2" fontId="10" fillId="0" borderId="0" xfId="0" applyNumberFormat="1" applyFont="1"/>
    <xf numFmtId="0" fontId="10" fillId="0" borderId="0" xfId="0" quotePrefix="1" applyFont="1"/>
    <xf numFmtId="9" fontId="10" fillId="0" borderId="0" xfId="0" applyNumberFormat="1" applyFont="1"/>
    <xf numFmtId="16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164" fontId="15" fillId="0" borderId="0" xfId="0" applyNumberFormat="1" applyFont="1"/>
    <xf numFmtId="0" fontId="14" fillId="2" borderId="2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4" fillId="2" borderId="3" xfId="0" applyFont="1" applyFill="1" applyBorder="1" applyAlignment="1">
      <alignment horizontal="right"/>
    </xf>
    <xf numFmtId="164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65" fontId="10" fillId="0" borderId="0" xfId="0" applyNumberFormat="1" applyFont="1"/>
    <xf numFmtId="166" fontId="10" fillId="0" borderId="0" xfId="0" applyNumberFormat="1" applyFont="1"/>
    <xf numFmtId="0" fontId="9" fillId="0" borderId="0" xfId="0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6" fillId="0" borderId="0" xfId="0" applyFont="1"/>
    <xf numFmtId="165" fontId="6" fillId="0" borderId="0" xfId="0" applyNumberFormat="1" applyFont="1"/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/>
      <sheetData sheetId="2"/>
      <sheetData sheetId="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abSelected="1" topLeftCell="A206" zoomScale="200" zoomScaleNormal="200" workbookViewId="0">
      <selection activeCell="B206" sqref="B20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95.4</v>
      </c>
      <c r="F206" s="17">
        <f>+[23]Main!$H$4*FX!C8</f>
        <v>740.91090808800004</v>
      </c>
      <c r="G206" s="17">
        <f>+([23]Main!$H$6-[23]Main!$H$5)*FX!C8</f>
        <v>-119.44919999999999</v>
      </c>
      <c r="H206" s="17">
        <f>+F206+G206</f>
        <v>621.46170808800002</v>
      </c>
      <c r="I206" s="43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8" t="s">
        <v>1170</v>
      </c>
      <c r="D349" s="38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9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9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9" t="s">
        <v>1173</v>
      </c>
      <c r="J16" s="4"/>
      <c r="K16" s="4"/>
      <c r="L16" s="4"/>
      <c r="M16" s="4"/>
      <c r="N16" s="40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J8" sqref="J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707078.28158776811</v>
      </c>
      <c r="G4" s="29">
        <f>SUM(G5:G23)</f>
        <v>115841.11887799999</v>
      </c>
      <c r="H4" s="29">
        <f>SUM(H5:H23)</f>
        <v>814427.52046576829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41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66.430000000000007</v>
      </c>
      <c r="F6" s="17">
        <f>+[30]Main!$M$5</f>
        <v>111595.15600779002</v>
      </c>
      <c r="G6" s="17">
        <f>+[30]Main!$M$7-[30]Main!$M$6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29994.240000000002</v>
      </c>
      <c r="H7" s="17">
        <f>F7+G7</f>
        <v>152494.23360000001</v>
      </c>
      <c r="I7" s="42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4744</v>
      </c>
      <c r="F9" s="17">
        <f>+[33]Main!$J$4*FX!C5</f>
        <v>57280.556463610665</v>
      </c>
      <c r="G9" s="17">
        <f>+([33]Main!$J$6-[33]Main!$J$5)*FX!C5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32.01</v>
      </c>
      <c r="F10" s="17">
        <f>+([34]Main!$I$4)*FX!C3</f>
        <v>34425.346559999998</v>
      </c>
      <c r="G10" s="17">
        <f>+([34]Main!$I$6-[34]Main!$I$5)*FX!C3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86.5</v>
      </c>
      <c r="F17" s="17">
        <f>+[37]Main!$J$4*FX!C11</f>
        <v>1091.6300000000001</v>
      </c>
      <c r="G17" s="17">
        <f>+([37]Main!$J$6-[37]Main!$J$5)*FX!C11</f>
        <v>801.18399999999997</v>
      </c>
      <c r="H17" s="17">
        <f t="shared" ref="H17" si="3">F17+G17</f>
        <v>1892.8140000000001</v>
      </c>
      <c r="I17" s="37" t="s">
        <v>1167</v>
      </c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2026-02-13T10:36:36Z</dcterms:modified>
</cp:coreProperties>
</file>