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02E1EBF-8DE2-4923-90F2-276B38983B20}" xr6:coauthVersionLast="47" xr6:coauthVersionMax="47" xr10:uidLastSave="{00000000-0000-0000-0000-000000000000}"/>
  <bookViews>
    <workbookView xWindow="225" yWindow="1950" windowWidth="38175" windowHeight="15240" xr2:uid="{99A4F583-0E14-4765-AB16-7E206A98D14D}"/>
  </bookViews>
  <sheets>
    <sheet name="Main" sheetId="1" r:id="rId1"/>
    <sheet name="Semiconductors" sheetId="4" r:id="rId2"/>
    <sheet name="Telecom" sheetId="9" r:id="rId3"/>
    <sheet name="Fintech" sheetId="3" r:id="rId4"/>
    <sheet name="E-Commerce" sheetId="7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02" i="1" l="1"/>
  <c r="A41" i="4"/>
  <c r="A23" i="6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<sst xmlns="http://schemas.openxmlformats.org/spreadsheetml/2006/main" count="5083" uniqueCount="3157">
  <si>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</si>
  <si>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</si>
  <si>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</si>
  <si>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</si>
  <si>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</si>
  <si>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</si>
  <si>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</si>
  <si>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</si>
  <si>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</si>
  <si>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</si>
  <si>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</si>
  <si>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</si>
  <si>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</si>
  <si>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</si>
  <si>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</si>
  <si>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</si>
  <si>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</si>
  <si>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</si>
  <si>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</si>
  <si>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</si>
  <si>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</si>
  <si>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</si>
  <si>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</si>
  <si>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</si>
  <si>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</si>
  <si>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</si>
  <si>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</si>
  <si>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</si>
  <si>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</si>
  <si>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</si>
  <si>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</si>
  <si>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</si>
  <si>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</si>
  <si>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</si>
  <si>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</si>
  <si>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</si>
  <si>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</si>
  <si>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</si>
  <si>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</si>
  <si>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</si>
  <si>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</si>
  <si>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</si>
  <si>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</si>
  <si>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</si>
  <si>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</si>
  <si>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</si>
  <si>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</si>
  <si>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</si>
  <si>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</si>
  <si>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</si>
  <si>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</si>
  <si>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</si>
  <si>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</si>
  <si>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</si>
  <si>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</si>
  <si>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</si>
  <si>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</si>
  <si>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</si>
  <si>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</si>
  <si>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</si>
  <si>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</si>
  <si>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</si>
  <si>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</si>
  <si>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</si>
  <si>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</si>
  <si>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</si>
  <si>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</si>
  <si>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</si>
  <si>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</si>
  <si>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</si>
  <si>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</si>
  <si>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</si>
  <si>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</si>
  <si>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</si>
  <si>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</si>
  <si>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</si>
  <si>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</si>
  <si>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</si>
  <si>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</si>
  <si>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</si>
  <si>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</si>
  <si>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</si>
  <si>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</si>
  <si>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</si>
  <si>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</si>
  <si>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</si>
  <si>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</si>
  <si>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</si>
  <si>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</si>
  <si>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</si>
  <si>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</si>
  <si>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</si>
  <si>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</si>
  <si>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</si>
  <si>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</si>
  <si>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</si>
  <si>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</si>
  <si>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</si>
  <si>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</si>
  <si>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</si>
  <si>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</si>
  <si>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</si>
  <si>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</si>
  <si>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</si>
  <si>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</si>
  <si>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</si>
  <si>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</si>
  <si>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</si>
  <si>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</si>
  <si>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</si>
  <si>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</si>
  <si>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</si>
  <si>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</si>
  <si>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</si>
  <si>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</si>
  <si>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</si>
  <si>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</si>
  <si>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</si>
  <si>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</si>
  <si>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</si>
  <si>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</si>
  <si>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</si>
  <si>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</si>
  <si>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</si>
  <si>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</si>
  <si>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</si>
  <si>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</si>
  <si>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</si>
  <si>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</si>
  <si>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</si>
  <si>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</si>
  <si>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</si>
  <si>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</si>
  <si>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</si>
  <si>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</si>
  <si>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</si>
  <si>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</si>
  <si>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</si>
  <si>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</si>
  <si>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</si>
  <si>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</si>
  <si>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</si>
  <si>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</si>
  <si>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</si>
  <si>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</si>
  <si>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</si>
  <si>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</si>
  <si>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</si>
  <si>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</si>
  <si>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</si>
  <si>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</si>
  <si>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</si>
  <si>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</si>
  <si>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</si>
  <si>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</si>
  <si>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</si>
  <si>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</si>
  <si>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</si>
  <si>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</si>
  <si>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</si>
  <si>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</si>
  <si>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</si>
  <si>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</si>
  <si>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</si>
  <si>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</si>
  <si>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</si>
  <si>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</si>
  <si>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</si>
  <si>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</si>
  <si>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</si>
  <si>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</si>
  <si>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</si>
  <si>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</si>
  <si>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</si>
  <si>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</si>
  <si>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</si>
  <si>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</si>
  <si>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</si>
  <si>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</si>
  <si>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</si>
  <si>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</si>
  <si>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</si>
  <si>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</si>
  <si>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</si>
  <si>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</si>
  <si>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</si>
  <si>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</si>
  <si>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</si>
  <si>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</si>
  <si>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</si>
  <si>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</si>
  <si>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</si>
  <si>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</si>
  <si>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</si>
  <si>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</si>
  <si>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</si>
  <si>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</si>
  <si>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</si>
  <si>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</si>
  <si>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</si>
  <si>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</si>
  <si>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</si>
  <si>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</si>
  <si>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</si>
  <si>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</si>
  <si>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</si>
  <si>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</si>
  <si>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</si>
  <si>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</si>
  <si>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</si>
  <si>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</si>
  <si>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</si>
  <si>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</si>
  <si>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</si>
  <si>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</si>
  <si>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</si>
  <si>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</si>
  <si>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</si>
  <si>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</si>
  <si>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</si>
  <si>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</si>
  <si>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</si>
  <si>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</si>
  <si>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</si>
  <si>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</si>
  <si>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</si>
  <si>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</si>
  <si>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</si>
  <si>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</si>
  <si>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</si>
  <si>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</si>
  <si>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</si>
  <si>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</si>
  <si>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</si>
  <si>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</si>
  <si>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</si>
  <si>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</si>
  <si>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</si>
  <si>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</si>
  <si>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</si>
  <si>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</si>
  <si>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</si>
  <si>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</si>
  <si>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</si>
  <si>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</si>
  <si>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</si>
  <si>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</si>
  <si>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</si>
  <si>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</si>
  <si>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</si>
  <si>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</si>
  <si>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</si>
  <si>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</si>
  <si>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</si>
  <si>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</si>
  <si>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</si>
  <si>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</si>
  <si>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</si>
  <si>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</si>
  <si>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</si>
  <si>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</si>
  <si>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</si>
  <si>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</si>
  <si>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</si>
  <si>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</si>
  <si>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</si>
  <si>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</si>
  <si>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</si>
  <si>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</si>
  <si>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</si>
  <si>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</si>
  <si>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</si>
  <si>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</si>
  <si>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</si>
  <si>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</si>
  <si>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</si>
  <si>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</si>
  <si>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</si>
  <si>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</si>
  <si>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</si>
  <si>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</si>
  <si>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</si>
  <si>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</si>
  <si>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</si>
  <si>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</si>
  <si>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</si>
  <si>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</si>
  <si>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</si>
  <si>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</si>
  <si>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</si>
  <si>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</si>
  <si>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</si>
  <si>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</si>
  <si>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</si>
  <si>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</si>
  <si>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</si>
  <si>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</si>
  <si>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</si>
  <si>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</si>
  <si>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</si>
  <si>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</si>
  <si>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</si>
  <si>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</si>
  <si>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</si>
  <si>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</si>
  <si>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</si>
  <si>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</si>
  <si>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</si>
  <si>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</si>
  <si>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</si>
  <si>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</si>
  <si>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</si>
  <si>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</si>
  <si>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</si>
  <si>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</si>
  <si>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</si>
  <si>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</si>
  <si>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</si>
  <si>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</si>
  <si>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</si>
  <si>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</si>
  <si>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</si>
  <si>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</si>
  <si>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</si>
  <si>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</si>
  <si>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</si>
  <si>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</si>
  <si>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</si>
  <si>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</si>
  <si>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</si>
  <si>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</si>
  <si>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</si>
  <si>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</si>
  <si>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</si>
  <si>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</si>
  <si>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</si>
  <si>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</si>
  <si>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</si>
  <si>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</si>
  <si>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</si>
  <si>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</si>
  <si>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</si>
  <si>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</si>
  <si>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</si>
  <si>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</si>
  <si>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</si>
  <si>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</si>
  <si>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</si>
  <si>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</si>
  <si>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</si>
  <si>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</si>
  <si>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</si>
  <si>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</si>
  <si>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</si>
  <si>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</si>
  <si>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</si>
  <si>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</si>
  <si>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</si>
  <si>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</si>
  <si>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</si>
  <si>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</si>
  <si>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</si>
  <si>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</si>
  <si>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</si>
  <si>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</si>
  <si>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</si>
  <si>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</si>
  <si>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</si>
  <si>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</si>
  <si>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</si>
  <si>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</si>
  <si>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</si>
  <si>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</si>
  <si>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</si>
  <si>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</si>
  <si>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</si>
  <si>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</si>
  <si>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</si>
  <si>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</si>
  <si>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</si>
  <si>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</si>
  <si>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</si>
  <si>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</si>
  <si>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</si>
  <si>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</si>
  <si>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</si>
  <si>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</si>
  <si>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</si>
  <si>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</si>
  <si>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</si>
  <si>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</si>
  <si>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</si>
  <si>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</si>
  <si>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</si>
  <si>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</si>
  <si>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</si>
  <si>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</si>
  <si>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</si>
  <si>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</si>
  <si>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</si>
  <si>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</si>
  <si>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</si>
  <si>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</si>
  <si>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</si>
  <si>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</si>
  <si>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</si>
  <si>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</si>
  <si>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</si>
  <si>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</si>
  <si>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</si>
  <si>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</si>
  <si>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</si>
  <si>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</si>
  <si>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</si>
  <si>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</si>
  <si>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</si>
  <si>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</si>
  <si>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</si>
  <si>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</si>
  <si>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</si>
  <si>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</si>
  <si>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</si>
  <si>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</si>
  <si>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</si>
  <si>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</si>
  <si>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</si>
  <si>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</si>
  <si>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</si>
  <si>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</si>
  <si>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</si>
  <si>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</si>
  <si>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</si>
  <si>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</si>
  <si>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</si>
  <si>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</si>
  <si>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</si>
  <si>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</si>
  <si>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</si>
  <si>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</si>
  <si>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</si>
  <si>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</si>
  <si>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</si>
  <si>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</si>
  <si>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</si>
  <si>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</si>
  <si>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</si>
  <si>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</si>
  <si>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</si>
  <si>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</si>
  <si>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</si>
  <si>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</si>
  <si>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</si>
  <si>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</si>
  <si>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</si>
  <si>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</si>
  <si>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</si>
  <si>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</si>
  <si>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</si>
  <si>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</si>
  <si>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</si>
  <si>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</si>
  <si>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</si>
  <si>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</si>
  <si>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</si>
  <si>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</si>
  <si>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</si>
  <si>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</si>
  <si>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</si>
  <si>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</si>
  <si>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</si>
  <si>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</si>
  <si>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</si>
  <si>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</si>
  <si>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</si>
  <si>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</si>
  <si>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</si>
  <si>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</si>
  <si>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</si>
  <si>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</si>
  <si>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</si>
  <si>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</si>
  <si>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</si>
  <si>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</si>
  <si>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</si>
  <si>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</si>
  <si>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</si>
  <si>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</si>
  <si>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</si>
  <si>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</si>
  <si>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</si>
  <si>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</si>
  <si>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</si>
  <si>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</si>
  <si>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</si>
  <si>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</si>
  <si>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</si>
  <si>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</si>
  <si>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</si>
  <si>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</si>
  <si>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</si>
  <si>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</si>
  <si>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</si>
  <si>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</si>
  <si>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</si>
  <si>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</si>
  <si>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</si>
  <si>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</si>
  <si>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</si>
  <si>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</si>
  <si>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</si>
  <si>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</si>
  <si>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</si>
  <si>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</si>
  <si>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</si>
  <si>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</si>
  <si>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</si>
  <si>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</si>
  <si>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</si>
  <si>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</si>
  <si>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</si>
  <si>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</si>
  <si>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</si>
  <si>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</si>
  <si>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</si>
  <si>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</si>
  <si>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</si>
  <si>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</si>
  <si>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</si>
  <si>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</si>
  <si>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</si>
  <si>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</si>
  <si>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</si>
  <si>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</si>
  <si>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</si>
  <si>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</si>
  <si>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</si>
  <si>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</si>
  <si>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</si>
  <si>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</si>
  <si>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</si>
  <si>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</si>
  <si>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</si>
  <si>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</si>
  <si>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</si>
  <si>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</si>
  <si>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</si>
  <si>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</si>
  <si>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</si>
  <si>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</si>
  <si>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</si>
  <si>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</si>
  <si>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</si>
  <si>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</si>
  <si>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</si>
  <si>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</si>
  <si>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</si>
  <si>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</si>
  <si>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</si>
  <si>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</si>
  <si>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</si>
  <si>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</si>
  <si>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</si>
  <si>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</si>
  <si>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</si>
  <si>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</si>
  <si>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</si>
  <si>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</si>
  <si>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</si>
  <si>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</si>
  <si>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</si>
  <si>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</si>
  <si>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</si>
  <si>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</si>
  <si>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</si>
  <si>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</si>
  <si>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</si>
  <si>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</si>
  <si>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</si>
  <si>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</si>
  <si>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</si>
  <si>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</si>
  <si>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</si>
  <si>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</si>
  <si>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</si>
  <si>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</si>
  <si>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</si>
  <si>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</si>
  <si>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</si>
  <si>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</si>
  <si>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</si>
  <si>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</si>
  <si>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</si>
  <si>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</si>
  <si>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</si>
  <si>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</si>
  <si>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</si>
  <si>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</si>
  <si>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</si>
  <si>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</si>
  <si>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</si>
  <si>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</si>
  <si>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</si>
  <si>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</si>
  <si>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</si>
  <si>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</si>
  <si>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</si>
  <si>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</si>
  <si>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</si>
  <si>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</si>
  <si>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</si>
  <si>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</si>
  <si>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</si>
  <si>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</si>
  <si>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</si>
  <si>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</si>
  <si>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</si>
  <si>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</si>
  <si>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</si>
  <si>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</si>
  <si>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</si>
  <si>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</si>
  <si>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</si>
  <si>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</si>
  <si>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</si>
  <si>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</si>
  <si>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</si>
  <si>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</si>
  <si>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</si>
  <si>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</si>
  <si>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</si>
  <si>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</si>
  <si>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</si>
  <si>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</si>
  <si>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</si>
  <si>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</si>
  <si>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</si>
  <si>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</si>
  <si>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</si>
  <si>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</si>
  <si>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</si>
  <si>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</si>
  <si>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</si>
  <si>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</si>
  <si>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</si>
  <si>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</si>
  <si>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</si>
  <si>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</si>
  <si>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</si>
  <si>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</si>
  <si>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</si>
  <si>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</si>
  <si>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</si>
  <si>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</si>
  <si>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</si>
  <si>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</si>
  <si>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</si>
  <si>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</si>
  <si>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</si>
  <si>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</si>
  <si>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</si>
  <si>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</si>
  <si>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</si>
  <si>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</si>
  <si>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</si>
  <si>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</si>
  <si>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</si>
  <si>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</si>
  <si>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</si>
  <si>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</si>
  <si>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</si>
  <si>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</si>
  <si>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</si>
  <si>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</si>
  <si>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</si>
  <si>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</si>
  <si>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</si>
  <si>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</si>
  <si>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</si>
  <si>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</si>
  <si>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</si>
  <si>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</si>
  <si>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</si>
  <si>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</si>
  <si>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</si>
  <si>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</si>
  <si>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</si>
  <si>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</si>
  <si>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</si>
  <si>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</si>
  <si>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</si>
  <si>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</si>
  <si>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</si>
  <si>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</si>
  <si>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</si>
  <si>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</si>
  <si>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</si>
  <si>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</si>
  <si>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</si>
  <si>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</si>
  <si>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</si>
  <si>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</si>
  <si>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</si>
  <si>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</si>
  <si>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</si>
  <si>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</si>
  <si>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</si>
  <si>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</si>
  <si>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</si>
  <si>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</si>
  <si>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</si>
  <si>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</si>
  <si>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</si>
  <si>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</si>
  <si>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</si>
  <si>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</si>
  <si>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</si>
  <si>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</si>
  <si>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</si>
  <si>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</si>
  <si>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</si>
  <si>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</si>
  <si>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</si>
  <si>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</si>
  <si>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</si>
  <si>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</si>
  <si>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</si>
  <si>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</si>
  <si>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</si>
  <si>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</si>
  <si>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</si>
  <si>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</si>
  <si>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</si>
  <si>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</si>
  <si>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</si>
  <si>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</si>
  <si>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</si>
  <si>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</si>
  <si>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</si>
  <si>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</si>
  <si>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</si>
  <si>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</si>
  <si>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</si>
  <si>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</si>
  <si>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</si>
  <si>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</si>
  <si>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</si>
  <si>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</si>
  <si>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</si>
  <si>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</si>
  <si>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</si>
  <si>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</si>
  <si>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</si>
  <si>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</si>
  <si>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</si>
  <si>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</si>
  <si>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</si>
  <si>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</si>
  <si>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</si>
  <si>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</si>
  <si>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</si>
  <si>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</si>
  <si>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</si>
  <si>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</si>
  <si>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</si>
  <si>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</si>
  <si>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</si>
  <si>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</si>
  <si>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</si>
  <si>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</si>
  <si>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</si>
  <si>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</si>
  <si>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</si>
  <si>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</si>
  <si>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</si>
  <si>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</si>
  <si>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</si>
  <si>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</si>
  <si>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</si>
  <si>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</si>
  <si>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</si>
  <si>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</si>
  <si>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</si>
  <si>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</si>
  <si>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</si>
  <si>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</si>
  <si>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</si>
  <si>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</si>
  <si>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</si>
  <si>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</si>
  <si>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</si>
  <si>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</si>
  <si>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</si>
  <si>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</si>
  <si>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</si>
  <si>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</si>
  <si>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</si>
  <si>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</si>
  <si>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</si>
  <si>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</si>
  <si>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</si>
  <si>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</si>
  <si>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</si>
  <si>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</si>
  <si>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</si>
  <si>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</si>
  <si>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</si>
  <si>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</si>
  <si>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</si>
  <si>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</si>
  <si>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</si>
  <si>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</si>
  <si>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</si>
  <si>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</si>
  <si>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</si>
  <si>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</si>
  <si>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</si>
  <si>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</si>
  <si>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</si>
  <si>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</si>
  <si>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</si>
  <si>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</si>
  <si>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</si>
  <si>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</si>
  <si>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</si>
  <si>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</si>
  <si>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</si>
  <si>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</si>
  <si>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</si>
  <si>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</si>
  <si>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</si>
  <si>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</si>
  <si>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</si>
  <si>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</si>
  <si>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</si>
  <si>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</si>
  <si>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</si>
  <si>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</si>
  <si>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</si>
  <si>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</si>
  <si>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</si>
  <si>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</si>
  <si>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</si>
  <si>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</si>
  <si>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</si>
  <si>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</si>
  <si>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</si>
  <si>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</si>
  <si>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</si>
  <si>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</si>
  <si>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</si>
  <si>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</si>
  <si>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</si>
  <si>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</si>
  <si>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</si>
  <si>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</si>
  <si>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</si>
  <si>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</si>
  <si>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</si>
  <si>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</si>
  <si>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</si>
  <si>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</si>
  <si>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</si>
  <si>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</si>
  <si>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</si>
  <si>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</si>
  <si>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</si>
  <si>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</si>
  <si>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</si>
  <si>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</si>
  <si>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</si>
  <si>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</si>
  <si>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</si>
  <si>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</si>
  <si>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</si>
  <si>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</si>
  <si>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</si>
  <si>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</si>
  <si>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</si>
  <si>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</si>
  <si>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</si>
  <si>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</si>
  <si>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</si>
  <si>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</si>
  <si>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</si>
  <si>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</si>
  <si>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</si>
  <si>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</si>
  <si>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</si>
  <si>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</si>
  <si>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</si>
  <si>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</si>
  <si>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</si>
  <si>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</si>
  <si>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</si>
  <si>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</si>
  <si>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</si>
  <si>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</si>
  <si>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</si>
  <si>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</si>
  <si>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</si>
  <si>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</si>
  <si>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</si>
  <si>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</si>
  <si>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</si>
  <si>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</si>
  <si>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</si>
  <si>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</si>
  <si>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</si>
  <si>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</si>
  <si>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</si>
  <si>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</si>
  <si>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</si>
  <si>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</si>
  <si>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</si>
  <si>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</si>
  <si>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</si>
  <si>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</si>
  <si>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</si>
  <si>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</si>
  <si>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</si>
  <si>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</si>
  <si>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</si>
  <si>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</si>
  <si>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</si>
  <si>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</si>
  <si>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</si>
  <si>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</si>
  <si>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</si>
  <si>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</si>
  <si>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</si>
  <si>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</si>
  <si>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</si>
  <si>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</si>
  <si>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</si>
  <si>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</si>
  <si>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</si>
  <si>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</si>
  <si>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</si>
  <si>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</si>
  <si>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</si>
  <si>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</si>
  <si>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</si>
  <si>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</si>
  <si>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</si>
  <si>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</si>
  <si>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</si>
  <si>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</si>
  <si>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</si>
  <si>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</si>
  <si>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</si>
  <si>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</si>
  <si>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</si>
  <si>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</si>
  <si>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</si>
  <si>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</si>
  <si>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</si>
  <si>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</si>
  <si>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</si>
  <si>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</si>
  <si>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</si>
  <si>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</si>
  <si>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</si>
  <si>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</si>
  <si>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</si>
  <si>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</si>
  <si>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</si>
  <si>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</si>
  <si>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</si>
  <si>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</si>
  <si>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</si>
  <si>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</si>
  <si>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</si>
  <si>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</si>
  <si>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</si>
  <si>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</si>
  <si>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</si>
  <si>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</si>
  <si>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</si>
  <si>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</si>
  <si>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</si>
  <si>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</si>
  <si>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</si>
  <si>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</si>
  <si>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</si>
  <si>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</si>
  <si>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</si>
  <si>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</si>
  <si>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</si>
  <si>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</si>
  <si>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</si>
  <si>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</si>
  <si>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</si>
  <si>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</si>
  <si>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</si>
  <si>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</si>
  <si>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</si>
  <si>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</si>
  <si>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</si>
  <si>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</si>
  <si>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</si>
  <si>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</si>
  <si>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</si>
  <si>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</si>
  <si>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</si>
  <si>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</si>
  <si>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</si>
  <si>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</si>
  <si>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</si>
  <si>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</si>
  <si>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</si>
  <si>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</si>
  <si>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</si>
  <si>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</si>
  <si>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</si>
  <si>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</si>
  <si>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</si>
  <si>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</si>
  <si>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</si>
  <si>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</si>
  <si>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</si>
  <si>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</si>
  <si>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</si>
  <si>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</si>
  <si>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</si>
  <si>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</si>
  <si>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</si>
  <si>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</si>
  <si>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</si>
  <si>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</si>
  <si>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</si>
  <si>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</si>
  <si>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</si>
  <si>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</si>
  <si>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</si>
  <si>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</si>
  <si>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</si>
  <si>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</si>
  <si>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</si>
  <si>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</si>
  <si>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</si>
  <si>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</si>
  <si>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</si>
  <si>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</si>
  <si>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</si>
  <si>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</si>
  <si>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</si>
  <si>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</si>
  <si>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</si>
  <si>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</si>
  <si>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</si>
  <si>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</si>
  <si>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</si>
  <si>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</si>
  <si>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</si>
  <si>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</si>
  <si>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</si>
  <si>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</si>
  <si>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</si>
  <si>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</si>
  <si>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</si>
  <si>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</si>
  <si>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</si>
  <si>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</si>
  <si>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</si>
  <si>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</si>
  <si>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</si>
  <si>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</si>
  <si>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</si>
  <si>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</si>
  <si>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</si>
  <si>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</si>
  <si>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</si>
  <si>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</si>
  <si>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</si>
  <si>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</si>
  <si>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</si>
  <si>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</si>
  <si>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</si>
  <si>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</si>
  <si>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</si>
  <si>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</si>
  <si>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</si>
  <si>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</si>
  <si>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</si>
  <si>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</si>
  <si>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</si>
  <si>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</si>
  <si>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</si>
  <si>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</si>
  <si>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</si>
  <si>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</si>
  <si>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</si>
  <si>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</si>
  <si>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</si>
  <si>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</si>
  <si>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</si>
  <si>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</si>
  <si>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</si>
  <si>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</si>
  <si>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</si>
  <si>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</si>
  <si>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</si>
  <si>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</si>
  <si>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</si>
  <si>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</si>
  <si>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</si>
  <si>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</si>
  <si>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</si>
  <si>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</si>
  <si>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</si>
  <si>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</si>
  <si>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</si>
  <si>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</si>
  <si>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</si>
  <si>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</si>
  <si>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</si>
  <si>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</si>
  <si>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</si>
  <si>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</si>
  <si>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</si>
  <si>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</si>
  <si>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</si>
  <si>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</si>
  <si>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</si>
  <si>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</si>
  <si>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</si>
  <si>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</si>
  <si>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</si>
  <si>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</si>
  <si>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</si>
  <si>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</si>
  <si>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</si>
  <si>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</si>
  <si>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</si>
  <si>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</si>
  <si>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</si>
  <si>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</si>
  <si>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</si>
  <si>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</si>
  <si>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</si>
  <si>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</si>
  <si>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</si>
  <si>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</si>
  <si>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</si>
  <si>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</si>
  <si>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</si>
  <si>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</si>
  <si>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</si>
  <si>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</si>
  <si>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</si>
  <si>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</si>
  <si>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</si>
  <si>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</si>
  <si>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</si>
  <si>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</si>
  <si>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</si>
  <si>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</si>
  <si>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</si>
  <si>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</si>
  <si>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</si>
  <si>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</si>
  <si>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</si>
  <si>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</si>
  <si>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</si>
  <si>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</si>
  <si>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</si>
  <si>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</si>
  <si>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</si>
  <si>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</si>
  <si>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</si>
  <si>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</si>
  <si>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</si>
  <si>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</si>
  <si>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</si>
  <si>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</si>
  <si>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</si>
  <si>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</si>
  <si>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</si>
  <si>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</si>
  <si>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</si>
  <si>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</si>
  <si>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</si>
  <si>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</si>
  <si>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</si>
  <si>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</si>
  <si>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</si>
  <si>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</si>
  <si>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</si>
  <si>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</si>
  <si>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</si>
  <si>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</si>
  <si>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</si>
  <si>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</si>
  <si>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</si>
  <si>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</si>
  <si>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</si>
  <si>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</si>
  <si>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</si>
  <si>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</si>
  <si>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</si>
  <si>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</si>
  <si>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</si>
  <si>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</si>
  <si>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</si>
  <si>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</si>
  <si>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</si>
  <si>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</si>
  <si>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</si>
  <si>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</si>
  <si>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</si>
  <si>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</si>
  <si>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</si>
  <si>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</si>
  <si>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</si>
  <si>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</si>
  <si>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</si>
  <si>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</si>
  <si>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</si>
  <si>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</si>
  <si>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</si>
  <si>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</si>
  <si>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</si>
  <si>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</si>
  <si>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</si>
  <si>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</si>
  <si>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</si>
  <si>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</si>
  <si>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</si>
  <si>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</si>
  <si>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</si>
  <si>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</si>
  <si>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</si>
  <si>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</si>
  <si>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</si>
  <si>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</si>
  <si>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</si>
  <si>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</si>
  <si>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</si>
  <si>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</si>
  <si>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</si>
  <si>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</si>
  <si>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</si>
  <si>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</si>
  <si>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</si>
  <si>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</si>
  <si>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</si>
  <si>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</si>
  <si>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</si>
  <si>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</si>
  <si>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</si>
  <si>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</si>
  <si>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</si>
  <si>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</si>
  <si>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</si>
  <si>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</si>
  <si>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</si>
  <si>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</si>
  <si>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</si>
  <si>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</si>
  <si>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</si>
  <si>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</si>
  <si>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</si>
  <si>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</si>
  <si>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</si>
  <si>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</si>
  <si>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</si>
  <si>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</si>
  <si>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</si>
  <si>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</si>
  <si>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</si>
  <si>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</si>
  <si>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</si>
  <si>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</si>
  <si>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</si>
  <si>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</si>
  <si>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</si>
  <si>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</si>
  <si>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</si>
  <si>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</si>
  <si>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</si>
  <si>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</si>
  <si>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</si>
  <si>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</si>
  <si>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</si>
  <si>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</si>
  <si>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</si>
  <si>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</si>
  <si>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</si>
  <si>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</si>
  <si>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</si>
  <si>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</si>
  <si>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</si>
  <si>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</si>
  <si>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</si>
  <si>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</si>
  <si>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</si>
  <si>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</si>
  <si>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</si>
  <si>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</si>
  <si>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</si>
  <si>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</si>
  <si>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</si>
  <si>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</si>
  <si>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</si>
  <si>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</si>
  <si>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</si>
  <si>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</si>
  <si>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</si>
  <si>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</si>
  <si>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</si>
  <si>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</si>
  <si>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</si>
  <si>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</si>
  <si>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</si>
  <si>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</si>
  <si>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</si>
  <si>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</si>
  <si>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</si>
  <si>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</si>
  <si>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</si>
  <si>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</si>
  <si>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</si>
  <si>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</si>
  <si>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</si>
  <si>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</si>
  <si>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</si>
  <si>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</si>
  <si>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</si>
  <si>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</si>
  <si>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</si>
  <si>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</si>
  <si>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</si>
  <si>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</si>
  <si>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</si>
  <si>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</si>
  <si>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</si>
  <si>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</si>
  <si>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</si>
  <si>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</si>
  <si>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</si>
  <si>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</si>
  <si>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</si>
  <si>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</si>
  <si>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</si>
  <si>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</si>
  <si>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</si>
  <si>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</si>
  <si>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</si>
  <si>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</si>
  <si>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</si>
  <si>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</si>
  <si>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</si>
  <si>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</si>
  <si>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</si>
  <si>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</si>
  <si>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</si>
  <si>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</si>
  <si>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</si>
  <si>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</si>
  <si>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</si>
  <si>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</si>
  <si>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</si>
  <si>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</si>
  <si>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</si>
  <si>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</si>
  <si>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</si>
  <si>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</si>
  <si>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</si>
  <si>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</si>
  <si>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</si>
  <si>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</si>
  <si>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</si>
  <si>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</si>
  <si>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</si>
  <si>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</si>
  <si>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</si>
  <si>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</si>
  <si>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</si>
  <si>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</si>
  <si>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</si>
  <si>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</si>
  <si>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</si>
  <si>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</si>
  <si>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</si>
  <si>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</si>
  <si>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</si>
  <si>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</si>
  <si>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</si>
  <si>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</si>
  <si>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</si>
  <si>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</si>
  <si>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</si>
  <si>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</si>
  <si>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</si>
  <si>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</si>
  <si>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</si>
  <si>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</si>
  <si>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</si>
  <si>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</si>
  <si>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</si>
  <si>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</si>
  <si>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</si>
  <si>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</si>
  <si>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</si>
  <si>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</si>
  <si>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</si>
  <si>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</si>
  <si>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</si>
  <si>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</si>
  <si>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</si>
  <si>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</si>
  <si>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</si>
  <si>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</si>
  <si>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</si>
  <si>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</si>
  <si>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</si>
  <si>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</si>
  <si>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</si>
  <si>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</si>
  <si>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</si>
  <si>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</si>
  <si>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</si>
  <si>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</si>
  <si>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</si>
  <si>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</si>
  <si>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</si>
  <si>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</si>
  <si>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</si>
  <si>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</si>
  <si>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</si>
  <si>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</si>
  <si>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</si>
  <si>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</si>
  <si>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</si>
  <si>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</si>
  <si>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</si>
  <si>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</si>
  <si>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</si>
  <si>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</si>
  <si>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</si>
  <si>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</si>
  <si>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</si>
  <si>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</si>
  <si>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</si>
  <si>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</si>
  <si>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</si>
  <si>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</si>
  <si>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</si>
  <si>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</si>
  <si>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</si>
  <si>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</si>
  <si>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</si>
  <si>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</si>
  <si>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</si>
  <si>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</si>
  <si>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</si>
  <si>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</si>
  <si>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</si>
  <si>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</si>
  <si>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</si>
  <si>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</si>
  <si>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</si>
  <si>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</si>
  <si>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</si>
  <si>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</si>
  <si>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</si>
  <si>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</si>
  <si>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</si>
  <si>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</si>
  <si>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</si>
  <si>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</si>
  <si>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</si>
  <si>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</si>
  <si>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</si>
  <si>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</si>
  <si>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</si>
  <si>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</si>
  <si>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</si>
  <si>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</si>
  <si>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</si>
  <si>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</si>
  <si>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</si>
  <si>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</si>
  <si>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</si>
  <si>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</si>
  <si>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</si>
  <si>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</si>
  <si>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</si>
  <si>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</si>
  <si>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</si>
  <si>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</si>
  <si>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</si>
  <si>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</si>
  <si>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</si>
  <si>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</si>
  <si>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</si>
  <si>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</si>
  <si>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</si>
  <si>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</si>
  <si>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</si>
  <si>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</si>
  <si>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</si>
  <si>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</si>
  <si>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</si>
  <si>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</si>
  <si>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</si>
  <si>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</si>
  <si>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</si>
  <si>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</si>
  <si>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</si>
  <si>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</si>
  <si>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</si>
  <si>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</si>
  <si>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</si>
  <si>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</si>
  <si>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</si>
  <si>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</si>
  <si>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</si>
  <si>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</si>
  <si>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</si>
  <si>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</si>
  <si>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</si>
  <si>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</si>
  <si>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</si>
  <si>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</si>
  <si>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</si>
  <si>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</si>
  <si>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</si>
  <si>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</si>
  <si>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</si>
  <si>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</si>
  <si>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</si>
  <si>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</si>
  <si>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</si>
  <si>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</si>
  <si>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</si>
  <si>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</si>
  <si>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</si>
  <si>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</si>
  <si>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</si>
  <si>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</si>
  <si>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</si>
  <si>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</si>
  <si>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</si>
  <si>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</si>
  <si>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</si>
  <si>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</si>
  <si>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</si>
  <si>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</si>
  <si>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</si>
  <si>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</si>
  <si>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</si>
  <si>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</si>
  <si>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</si>
  <si>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</si>
  <si>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</si>
  <si>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</si>
  <si>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</si>
  <si>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</si>
  <si>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</si>
  <si>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</si>
  <si>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</si>
  <si>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</si>
  <si>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</si>
  <si>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</si>
  <si>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</si>
  <si>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</si>
  <si>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</si>
  <si>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</si>
  <si>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</si>
  <si>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</si>
  <si>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</si>
  <si>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</si>
  <si>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</si>
  <si>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</si>
  <si>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</si>
  <si>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</si>
  <si>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</si>
  <si>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</si>
  <si>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</si>
  <si>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</si>
  <si>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</si>
  <si>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</si>
  <si>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</si>
  <si>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</si>
  <si>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</si>
  <si>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</si>
  <si>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</si>
  <si>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</si>
  <si>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</si>
  <si>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</si>
  <si>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</si>
  <si>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</si>
  <si>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</si>
  <si>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</si>
  <si>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</si>
  <si>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</si>
  <si>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</si>
  <si>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</si>
  <si>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</si>
  <si>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</si>
  <si>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</si>
  <si>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</si>
  <si>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</si>
  <si>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</si>
  <si>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</si>
  <si>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</si>
  <si>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</si>
  <si>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</si>
  <si>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</si>
  <si>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</si>
  <si>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</si>
  <si>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</si>
  <si>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</si>
  <si>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</si>
  <si>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</si>
  <si>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</si>
  <si>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</si>
  <si>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</si>
  <si>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</si>
  <si>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</si>
  <si>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</si>
  <si>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</si>
  <si>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</si>
  <si>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</si>
  <si>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</si>
  <si>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</si>
  <si>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</si>
  <si>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</si>
  <si>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</si>
  <si>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</si>
  <si>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</si>
  <si>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</si>
  <si>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</si>
  <si>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</si>
  <si>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</si>
  <si>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</si>
  <si>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</si>
  <si>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</si>
  <si>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</si>
  <si>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</si>
  <si>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</si>
  <si>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</si>
  <si>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</si>
  <si>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</si>
  <si>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</si>
  <si>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</si>
  <si>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</si>
  <si>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</si>
  <si>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</si>
  <si>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</si>
  <si>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</si>
  <si>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</si>
  <si>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</si>
  <si>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</si>
  <si>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</si>
  <si>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</si>
  <si>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</si>
  <si>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</si>
  <si>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</si>
  <si>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</si>
  <si>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</si>
  <si>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</si>
  <si>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</si>
  <si>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</si>
  <si>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</si>
  <si>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</si>
  <si>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</si>
  <si>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</si>
  <si>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</si>
  <si>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</si>
  <si>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</si>
  <si>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</si>
  <si>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</si>
  <si>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</si>
  <si>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</si>
  <si>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</si>
  <si>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</si>
  <si>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</si>
  <si>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</si>
  <si>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</si>
  <si>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</si>
  <si>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</si>
  <si>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</si>
  <si>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</si>
  <si>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</si>
  <si>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</si>
  <si>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</si>
  <si>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</si>
  <si>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</si>
  <si>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</si>
  <si>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</si>
  <si>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</si>
  <si>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</si>
  <si>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</si>
  <si>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</si>
  <si>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</si>
  <si>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</si>
  <si>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</si>
  <si>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</si>
  <si>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</si>
  <si>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</si>
  <si>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</si>
  <si>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</si>
  <si>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</si>
  <si>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</si>
  <si>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</si>
  <si>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</si>
  <si>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</si>
  <si>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</si>
  <si>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</si>
  <si>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</si>
  <si>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</si>
  <si>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</si>
  <si>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</si>
  <si>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</si>
  <si>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</si>
  <si>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</si>
  <si>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</si>
  <si>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</si>
  <si>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</si>
  <si>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</si>
  <si>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</si>
  <si>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</si>
  <si>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</si>
  <si>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</si>
  <si>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</si>
  <si>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</si>
  <si>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</si>
  <si>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</si>
  <si>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</si>
  <si>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</si>
  <si>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</si>
  <si>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</si>
  <si>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</si>
  <si>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</si>
  <si>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</si>
  <si>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</si>
  <si>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</si>
  <si>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</si>
  <si>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</si>
  <si>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</si>
  <si>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</si>
  <si>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</si>
  <si>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</si>
  <si>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</si>
  <si>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</si>
  <si>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</si>
  <si>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</si>
  <si>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</si>
  <si>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</si>
  <si>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</si>
  <si>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</si>
  <si>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</si>
  <si>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</si>
  <si>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</si>
  <si>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</si>
  <si>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</si>
  <si>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</si>
  <si>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</si>
  <si>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</si>
  <si>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</si>
  <si>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</si>
  <si>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</si>
  <si>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</si>
  <si>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</si>
  <si>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</si>
  <si>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</si>
  <si>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</si>
  <si>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</si>
  <si>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</si>
  <si>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</si>
  <si>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</si>
  <si>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</si>
  <si>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</si>
  <si>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</si>
  <si>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</si>
  <si>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</si>
  <si>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</si>
  <si>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</si>
  <si>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</si>
  <si>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</si>
  <si>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</si>
  <si>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</si>
  <si>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</si>
  <si>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</si>
  <si>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</si>
  <si>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</si>
  <si>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</si>
  <si>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</si>
  <si>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</si>
  <si>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</si>
  <si>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</si>
  <si>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</si>
  <si>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</si>
  <si>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</si>
  <si>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</si>
  <si>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</si>
  <si>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</si>
  <si>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</si>
  <si>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</si>
  <si>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</si>
  <si>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</si>
  <si>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</si>
  <si>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</si>
  <si>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</si>
  <si>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</si>
  <si>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</si>
  <si>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</si>
  <si>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</si>
  <si>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</si>
  <si>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</si>
  <si>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</si>
  <si>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</si>
  <si>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</si>
  <si>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</si>
  <si>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</si>
  <si>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</si>
  <si>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</si>
  <si>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</si>
  <si>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</si>
  <si>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</si>
  <si>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</si>
  <si>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</si>
  <si>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</si>
  <si>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</si>
  <si>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</si>
  <si>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</si>
  <si>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</si>
  <si>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</si>
  <si>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</si>
  <si>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</si>
  <si>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</si>
  <si>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</si>
  <si>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</si>
  <si>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</si>
  <si>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</si>
  <si>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</si>
  <si>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</si>
  <si>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</si>
  <si>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</si>
  <si>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</si>
  <si>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</si>
  <si>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</si>
  <si>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</si>
  <si>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</si>
  <si>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</si>
  <si>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</si>
  <si>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</si>
  <si>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</si>
  <si>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</si>
  <si>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</si>
  <si>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</si>
  <si>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</si>
  <si>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</si>
  <si>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</si>
  <si>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</si>
  <si>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</si>
  <si>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</si>
  <si>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</si>
  <si>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</si>
  <si>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</si>
  <si>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</si>
  <si>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</si>
  <si>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</si>
  <si>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</si>
  <si>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</si>
  <si>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</si>
  <si>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</si>
  <si>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</si>
  <si>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</si>
  <si>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</si>
  <si>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</si>
  <si>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</si>
  <si>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</si>
  <si>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</si>
  <si>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</si>
  <si>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</si>
  <si>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</si>
  <si>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</si>
  <si>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</si>
  <si>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</si>
  <si>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</si>
  <si>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</si>
  <si>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</si>
  <si>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</si>
  <si>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</si>
  <si>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</si>
  <si>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</si>
  <si>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</si>
  <si>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</si>
  <si>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</si>
  <si>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</si>
  <si>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</si>
  <si>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</si>
  <si>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</si>
  <si>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</si>
  <si>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</si>
  <si>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</si>
  <si>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</si>
  <si>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</si>
  <si>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</si>
  <si>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</si>
  <si>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</si>
  <si>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</si>
  <si>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</si>
  <si>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</si>
  <si>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</si>
  <si>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</si>
  <si>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</si>
  <si>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</si>
  <si>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</si>
  <si>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</si>
  <si>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</si>
  <si>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</si>
  <si>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</si>
  <si>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</si>
  <si>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</si>
  <si>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</si>
  <si>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</si>
  <si>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</si>
  <si>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</si>
  <si>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</si>
  <si>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</si>
  <si>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</si>
  <si>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</si>
  <si>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</si>
  <si>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</si>
  <si>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</si>
  <si>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</si>
  <si>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</si>
  <si>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</si>
  <si>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</si>
  <si>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</si>
  <si>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</si>
  <si>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</si>
  <si>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</si>
  <si>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</si>
  <si>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</si>
  <si>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</si>
  <si>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</si>
  <si>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</si>
  <si>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</si>
  <si>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</si>
  <si>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</si>
  <si>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</si>
  <si>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</si>
  <si>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</si>
  <si>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</si>
  <si>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</si>
  <si>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</si>
  <si>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</si>
  <si>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</si>
  <si>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</si>
  <si>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</si>
  <si>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</si>
  <si>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</si>
  <si>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</si>
  <si>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</si>
  <si>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</si>
  <si>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</si>
  <si>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</si>
  <si>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</si>
  <si>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</si>
  <si>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</si>
  <si>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</si>
  <si>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</si>
  <si>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</si>
  <si>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</si>
  <si>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</si>
  <si>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</si>
  <si>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</si>
  <si>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</si>
  <si>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</si>
  <si>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</si>
  <si>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</si>
  <si>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</si>
  <si>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</si>
  <si>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</si>
  <si>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</si>
  <si>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</si>
  <si>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</si>
  <si>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</si>
  <si>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</si>
  <si>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</si>
  <si>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</si>
  <si>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</si>
  <si>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</si>
  <si>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</si>
  <si>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</si>
  <si>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</si>
  <si>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</si>
  <si>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</si>
  <si>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</si>
  <si>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</si>
  <si>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</si>
  <si>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</si>
  <si>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</si>
  <si>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</si>
  <si>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</si>
  <si>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</si>
  <si>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</si>
  <si>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</si>
  <si>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</si>
  <si>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</si>
  <si>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</si>
  <si>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</si>
  <si>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</si>
  <si>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</si>
  <si>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</si>
  <si>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</si>
  <si>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</si>
  <si>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</si>
  <si>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</si>
  <si>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</si>
  <si>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</si>
  <si>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</si>
  <si>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</si>
  <si>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</si>
  <si>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</si>
  <si>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</si>
  <si>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</si>
  <si>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</si>
  <si>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</si>
  <si>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</si>
  <si>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</si>
  <si>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</si>
  <si>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</si>
  <si>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</si>
  <si>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</si>
  <si>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</si>
  <si>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</si>
  <si>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</si>
  <si>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</si>
  <si>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</si>
  <si>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</si>
  <si>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</si>
  <si>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</si>
  <si>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</si>
  <si>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</si>
  <si>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</si>
  <si>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</si>
  <si>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</si>
  <si>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</si>
  <si>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</si>
  <si>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</si>
  <si>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</si>
  <si>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</si>
  <si>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</si>
  <si>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</si>
  <si>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</si>
  <si>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</si>
  <si>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</si>
  <si>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</si>
  <si>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</si>
  <si>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</si>
  <si>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</si>
  <si>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</si>
  <si>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</si>
  <si>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</si>
  <si>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</si>
  <si>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</si>
  <si>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</si>
  <si>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</si>
  <si>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</si>
  <si>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</si>
  <si>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</si>
  <si>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</si>
  <si>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</si>
  <si>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</si>
  <si>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</si>
  <si>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</si>
  <si>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</si>
  <si>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</si>
  <si>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</si>
  <si>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</si>
  <si>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</si>
  <si>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</si>
  <si>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</si>
  <si>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</si>
  <si>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</si>
  <si>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</si>
  <si>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</si>
  <si>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</si>
  <si>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</si>
  <si>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</si>
  <si>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</si>
  <si>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</si>
  <si>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</si>
  <si>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</si>
  <si>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</si>
  <si>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</si>
  <si>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</si>
  <si>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</si>
  <si>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</si>
  <si>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</si>
  <si>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</si>
  <si>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</si>
  <si>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</si>
  <si>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</si>
  <si>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</si>
  <si>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</si>
  <si>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</si>
  <si>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</si>
  <si>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</si>
  <si>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</si>
  <si>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</si>
  <si>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</si>
  <si>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</si>
  <si>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</si>
  <si>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</si>
  <si>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</si>
  <si>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</si>
  <si>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</si>
  <si>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</si>
  <si>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</si>
  <si>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</si>
  <si>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</si>
  <si>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</si>
  <si>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</si>
  <si>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</si>
  <si>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</si>
  <si>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</si>
  <si>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</si>
  <si>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</si>
  <si>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</si>
  <si>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</si>
  <si>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</si>
  <si>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</si>
  <si>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</si>
  <si>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</si>
  <si>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</si>
  <si>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</si>
  <si>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</si>
  <si>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</si>
  <si>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</si>
  <si>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</si>
  <si>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</si>
  <si>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</si>
  <si>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</si>
  <si>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</si>
  <si>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</si>
  <si>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</si>
  <si>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</si>
  <si>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</si>
  <si>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</si>
  <si>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</si>
  <si>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</si>
  <si>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</si>
  <si>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</si>
  <si>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</si>
  <si>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</si>
  <si>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</si>
  <si>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</si>
  <si>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</si>
  <si>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</si>
  <si>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</si>
  <si>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</si>
  <si>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</si>
  <si>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</si>
  <si>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</si>
  <si>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</si>
  <si>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</si>
  <si>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</si>
  <si>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</si>
  <si>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</si>
  <si>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</si>
  <si>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</si>
  <si>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</si>
  <si>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</si>
  <si>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</si>
  <si>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</si>
  <si>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</si>
  <si>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</si>
  <si>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</si>
  <si>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</si>
  <si>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</si>
  <si>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</si>
  <si>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</si>
  <si>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</si>
  <si>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</si>
  <si>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</si>
  <si>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</si>
  <si>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</si>
  <si>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</si>
  <si>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</si>
  <si>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</si>
  <si>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</si>
  <si>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</si>
  <si>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</si>
  <si>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</si>
  <si>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</si>
  <si>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</si>
  <si>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</si>
  <si>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</si>
  <si>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</si>
  <si>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</si>
  <si>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</si>
  <si>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</si>
  <si>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</si>
  <si>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</si>
  <si>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</si>
  <si>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</si>
  <si>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</si>
  <si>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</si>
  <si>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</si>
  <si>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</si>
  <si>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</si>
  <si>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</si>
  <si>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</si>
  <si>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</si>
  <si>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</si>
  <si>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</si>
  <si>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</si>
  <si>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</si>
  <si>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</si>
  <si>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</si>
  <si>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</si>
  <si>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</si>
  <si>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</si>
  <si>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</si>
  <si>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</si>
  <si>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</si>
  <si>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</si>
  <si>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</si>
  <si>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</si>
  <si>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</si>
  <si>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</si>
  <si>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</si>
  <si>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</si>
  <si>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</si>
  <si>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</si>
  <si>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</si>
  <si>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</si>
  <si>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</si>
  <si>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</si>
  <si>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</si>
  <si>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</si>
  <si>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</si>
  <si>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</si>
  <si>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</si>
  <si>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</si>
  <si>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</si>
  <si>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</si>
  <si>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</si>
  <si>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</si>
  <si>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</si>
  <si>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</si>
  <si>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</si>
  <si>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</si>
  <si>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</si>
  <si>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</si>
  <si>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</si>
  <si>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</si>
  <si>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</si>
  <si>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</si>
  <si>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</si>
  <si>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</si>
  <si>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</si>
  <si>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</si>
  <si>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</si>
  <si>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</si>
  <si>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</si>
  <si>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</si>
  <si>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</si>
  <si>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</si>
  <si>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</si>
  <si>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</si>
  <si>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</si>
  <si>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</si>
  <si>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</si>
  <si>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</si>
  <si>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</si>
  <si>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</si>
  <si>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</si>
  <si>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</si>
  <si>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</si>
  <si>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</si>
  <si>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</si>
  <si>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</si>
  <si>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</si>
  <si>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</si>
  <si>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</si>
  <si>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</si>
  <si>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</si>
  <si>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</si>
  <si>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</si>
  <si>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</si>
  <si>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</si>
  <si>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</si>
  <si>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</si>
  <si>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</si>
  <si>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</si>
  <si>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</si>
  <si>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</si>
  <si>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</si>
  <si>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</si>
  <si>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</si>
  <si>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</si>
  <si>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</si>
  <si>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</si>
  <si>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</si>
  <si>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</si>
  <si>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</si>
  <si>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</si>
  <si>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</si>
  <si>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</si>
  <si>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</si>
  <si>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</si>
  <si>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</si>
  <si>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</si>
  <si>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</si>
  <si>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</si>
  <si>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</si>
  <si>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</si>
  <si>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</si>
  <si>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</si>
  <si>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</si>
  <si>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</si>
  <si>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</si>
  <si>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</si>
  <si>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</si>
  <si>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</si>
  <si>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</si>
  <si>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</si>
  <si>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</si>
  <si>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</si>
  <si>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</si>
  <si>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</si>
  <si>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</si>
  <si>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</si>
  <si>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</si>
  <si>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</si>
  <si>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</si>
  <si>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</si>
  <si>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</si>
  <si>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</si>
  <si>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</si>
  <si>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</si>
  <si>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</si>
  <si>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</si>
  <si>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</si>
  <si>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</si>
  <si>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</si>
  <si>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</si>
  <si>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</si>
  <si>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</si>
  <si>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</si>
  <si>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</si>
  <si>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</si>
  <si>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</si>
  <si>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</si>
  <si>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</si>
  <si>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</si>
  <si>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</si>
  <si>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</si>
  <si>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</si>
  <si>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</si>
  <si>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</si>
  <si>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</si>
  <si>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</si>
  <si>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</si>
  <si>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</si>
  <si>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</si>
  <si>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</si>
  <si>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</si>
  <si>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</si>
  <si>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</si>
  <si>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</si>
  <si>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</si>
  <si>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</si>
  <si>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</si>
  <si>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</si>
  <si>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</si>
  <si>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</si>
  <si>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</si>
  <si>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</si>
  <si>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</si>
  <si>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</si>
  <si>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</si>
  <si>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</si>
  <si>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</si>
  <si>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</si>
  <si>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</si>
  <si>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</si>
  <si>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</si>
  <si>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</si>
  <si>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</si>
  <si>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</si>
  <si>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</si>
  <si>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</si>
  <si>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</si>
  <si>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</si>
  <si>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</si>
  <si>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</si>
  <si>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</si>
  <si>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</si>
  <si>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</si>
  <si>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</si>
  <si>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</si>
  <si>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</si>
  <si>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</si>
  <si>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</si>
  <si>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</si>
  <si>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</si>
  <si>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</si>
  <si>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</si>
  <si>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</si>
  <si>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</si>
  <si>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</si>
  <si>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</si>
  <si>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</si>
  <si>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</si>
  <si>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</si>
  <si>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</si>
  <si>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</si>
  <si>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</si>
  <si>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</si>
  <si>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</si>
  <si>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</si>
  <si>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</si>
  <si>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</si>
  <si>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</si>
  <si>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</si>
  <si>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</si>
  <si>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</si>
  <si>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</si>
  <si>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</si>
  <si>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</si>
  <si>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</si>
  <si>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</si>
  <si>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</si>
  <si>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</si>
  <si>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</si>
  <si>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</si>
  <si>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</si>
  <si>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</si>
  <si>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</si>
  <si>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</si>
  <si>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</si>
  <si>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</si>
  <si>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</si>
  <si>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</si>
  <si>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</si>
  <si>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</si>
  <si>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</si>
  <si>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</si>
  <si>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</si>
  <si>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</si>
  <si>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</si>
  <si>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</si>
  <si>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</si>
  <si>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</si>
  <si>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</si>
  <si>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</si>
  <si>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</si>
  <si>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</si>
  <si>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</si>
  <si>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</si>
  <si>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</si>
  <si>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</si>
  <si>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</si>
  <si>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</si>
  <si>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</si>
  <si>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</si>
  <si>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</si>
  <si>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</si>
  <si>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</si>
  <si>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</si>
  <si>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</si>
  <si>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</si>
  <si>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</si>
  <si>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</si>
  <si>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</si>
  <si>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</si>
  <si>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</si>
  <si>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</si>
  <si>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</si>
  <si>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</si>
  <si>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</si>
  <si>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</si>
  <si>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</si>
  <si>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</si>
  <si>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</si>
  <si>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</si>
  <si>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</si>
  <si>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</si>
  <si>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</si>
  <si>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</si>
  <si>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</si>
  <si>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</si>
  <si>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</si>
  <si>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</si>
  <si>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</si>
  <si>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</si>
  <si>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</si>
  <si>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</si>
  <si>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</si>
  <si>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</si>
  <si>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</si>
  <si>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</si>
  <si>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</si>
  <si>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</si>
  <si>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</si>
  <si>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</si>
  <si>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</si>
  <si>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</si>
  <si>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</si>
  <si>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</si>
  <si>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</si>
  <si>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</si>
  <si>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</si>
  <si>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</si>
  <si>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</si>
  <si>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</si>
  <si>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</si>
  <si>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</si>
  <si>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</si>
  <si>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</si>
  <si>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</si>
  <si>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</si>
  <si>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</si>
  <si>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</si>
  <si>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</si>
  <si>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</si>
  <si>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</si>
  <si>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</si>
  <si>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</si>
  <si>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</si>
  <si>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</si>
  <si>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</si>
  <si>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</si>
  <si>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</si>
  <si>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</si>
  <si>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</si>
  <si>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</si>
  <si>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</si>
  <si>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</si>
  <si>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</si>
  <si>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</si>
  <si>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</si>
  <si>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</si>
  <si>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</si>
  <si>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</si>
  <si>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</si>
  <si>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</si>
  <si>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</si>
  <si>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</si>
  <si>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</si>
  <si>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</si>
  <si>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</si>
  <si>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</si>
  <si>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</si>
  <si>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</si>
  <si>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</si>
  <si>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</si>
  <si>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</si>
  <si>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</si>
  <si>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</si>
  <si>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</si>
  <si>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</si>
  <si>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</si>
  <si>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</si>
  <si>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</si>
  <si>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</si>
  <si>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</si>
  <si>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</si>
  <si>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</si>
  <si>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</si>
  <si>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</si>
  <si>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</si>
  <si>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</si>
  <si>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</si>
  <si>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</si>
  <si>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</si>
  <si>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</si>
  <si>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</si>
  <si>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</si>
  <si>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</si>
  <si>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</si>
  <si>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</si>
  <si>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</si>
  <si>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</si>
  <si>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</si>
  <si>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</si>
  <si>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</si>
  <si>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</si>
  <si>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</si>
  <si>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</si>
  <si>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</si>
  <si>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</si>
  <si>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</si>
  <si>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</si>
  <si>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</si>
  <si>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</si>
  <si>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</si>
  <si>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</si>
  <si>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</si>
  <si>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</si>
  <si>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</si>
  <si>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</si>
  <si>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</si>
  <si>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</si>
  <si>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</si>
  <si>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</si>
  <si>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</si>
  <si>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</si>
  <si>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</si>
  <si>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</si>
  <si>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</si>
  <si>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</si>
  <si>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</si>
  <si>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</si>
  <si>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</si>
  <si>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</si>
  <si>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</si>
  <si>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</si>
  <si>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</si>
  <si>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</si>
  <si>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</si>
  <si>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</si>
  <si>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</si>
  <si>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</si>
  <si>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</si>
  <si>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</si>
  <si>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</si>
  <si>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</si>
  <si>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</si>
  <si>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</si>
  <si>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</si>
  <si>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</si>
  <si>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</si>
  <si>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</si>
  <si>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</si>
  <si>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</si>
  <si>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</si>
  <si>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</si>
  <si>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</si>
  <si>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</si>
  <si>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</si>
  <si>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</si>
  <si>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</si>
  <si>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</si>
  <si>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</si>
  <si>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</si>
  <si>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</si>
  <si>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</si>
  <si>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</si>
  <si>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</si>
  <si>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</si>
  <si>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</si>
  <si>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</si>
  <si>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</si>
  <si>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</si>
  <si>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</si>
  <si>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</si>
  <si>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</si>
  <si>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</si>
  <si>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</si>
  <si>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</si>
  <si>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</si>
  <si>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</si>
  <si>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</si>
  <si>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</si>
  <si>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</si>
  <si>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</si>
  <si>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</si>
  <si>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</si>
  <si>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</si>
  <si>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</si>
  <si>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</si>
  <si>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</si>
  <si>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</si>
  <si>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</si>
  <si>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</si>
  <si>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</si>
  <si>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</si>
  <si>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</si>
  <si>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</si>
  <si>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</si>
  <si>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</si>
  <si>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</si>
  <si>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</si>
  <si>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</si>
  <si>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</si>
  <si>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</si>
  <si>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</si>
  <si>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</si>
  <si>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</si>
  <si>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</si>
  <si>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</si>
  <si>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</si>
  <si>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</si>
  <si>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</si>
  <si>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</si>
  <si>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</si>
  <si>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</si>
  <si>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</si>
  <si>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</si>
  <si>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</si>
  <si>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</si>
  <si>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</si>
  <si>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</si>
  <si>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</si>
  <si>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</si>
  <si>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</si>
  <si>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</si>
  <si>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</si>
  <si>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</si>
  <si>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</si>
  <si>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</si>
  <si>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</si>
  <si>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</si>
  <si>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</si>
  <si>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</si>
  <si>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</si>
  <si>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</si>
  <si>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</si>
  <si>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</si>
  <si>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</si>
  <si>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</si>
  <si>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</si>
  <si>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</si>
  <si>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</si>
  <si>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</si>
  <si>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</si>
  <si>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</si>
  <si>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</si>
  <si>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</si>
  <si>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</si>
  <si>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</si>
  <si>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</si>
  <si>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</si>
  <si>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</si>
  <si>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</si>
  <si>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</si>
  <si>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</si>
  <si>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</si>
  <si>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</si>
  <si>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</si>
  <si>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</si>
  <si>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</si>
  <si>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</si>
  <si>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</si>
  <si>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</si>
  <si>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</si>
  <si>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</si>
  <si>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</si>
  <si>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</si>
  <si>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</si>
  <si>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</si>
  <si>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</si>
  <si>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</si>
  <si>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</si>
  <si>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</si>
  <si>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</si>
  <si>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</si>
  <si>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</si>
  <si>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</si>
  <si>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</si>
  <si>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</si>
  <si>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</si>
  <si>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</si>
  <si>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</si>
  <si>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</si>
  <si>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</si>
  <si>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</si>
  <si>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</si>
  <si>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</si>
  <si>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</si>
  <si>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</si>
  <si>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</si>
  <si>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</si>
  <si>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</si>
  <si>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</si>
  <si>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</si>
  <si>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</si>
  <si>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</si>
  <si>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</si>
  <si>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</si>
  <si>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</si>
  <si>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</si>
  <si>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</si>
  <si>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</si>
  <si>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</si>
  <si>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</si>
  <si>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</si>
  <si>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</si>
  <si>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</si>
  <si>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</si>
  <si>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</si>
  <si>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</si>
  <si>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</si>
  <si>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</si>
  <si>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</si>
  <si>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</si>
  <si>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</si>
  <si>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</si>
  <si>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</si>
  <si>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</si>
  <si>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</si>
  <si>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</si>
  <si>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</si>
  <si>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</si>
  <si>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</si>
  <si>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</si>
  <si>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</si>
  <si>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</si>
  <si>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</si>
  <si>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</si>
  <si>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</si>
  <si>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</si>
  <si>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</si>
  <si>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</si>
  <si>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</si>
  <si>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</si>
  <si>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</si>
  <si>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</si>
  <si>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</si>
  <si>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</si>
  <si>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</si>
  <si>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</si>
  <si>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</si>
  <si>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</si>
  <si>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</si>
  <si>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</si>
  <si>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</si>
  <si>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</si>
  <si>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</si>
  <si>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</si>
  <si>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</si>
  <si>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</si>
  <si>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</si>
  <si>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</si>
  <si>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</si>
  <si>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</si>
  <si>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</si>
  <si>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</si>
  <si>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</si>
  <si>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</si>
  <si>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</si>
  <si>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</si>
  <si>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</si>
  <si>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</si>
  <si>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</si>
  <si>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</si>
  <si>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</si>
  <si>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</si>
  <si>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</si>
  <si>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</si>
  <si>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</si>
  <si>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</si>
  <si>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</si>
  <si>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</si>
  <si>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</si>
  <si>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</si>
  <si>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</si>
  <si>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</si>
  <si>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</si>
  <si>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</si>
  <si>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</si>
  <si>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</si>
  <si>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</si>
  <si>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</si>
  <si>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</si>
  <si>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</si>
  <si>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</si>
  <si>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</si>
  <si>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</si>
  <si>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</si>
  <si>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</si>
  <si>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</si>
  <si>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</si>
  <si>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</si>
  <si>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</si>
  <si>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</si>
  <si>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</si>
  <si>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</si>
  <si>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</si>
  <si>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</si>
  <si>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</si>
  <si>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</si>
  <si>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</si>
  <si>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</si>
  <si>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</si>
  <si>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</si>
  <si>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</si>
  <si>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</si>
  <si>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</si>
  <si>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</si>
  <si>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</si>
  <si>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</si>
  <si>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</si>
  <si>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</si>
  <si>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</si>
  <si>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</si>
  <si>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</si>
  <si>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</si>
  <si>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</si>
  <si>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</si>
  <si>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</si>
  <si>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</si>
  <si>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</si>
  <si>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</si>
  <si>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</si>
  <si>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</si>
  <si>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</si>
  <si>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</si>
  <si>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</si>
  <si>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</si>
  <si>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</si>
  <si>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</si>
  <si>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</si>
  <si>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</si>
  <si>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</si>
  <si>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</si>
  <si>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</si>
  <si>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</si>
  <si>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</si>
  <si>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</si>
  <si>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</si>
  <si>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</si>
  <si>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</si>
  <si>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</si>
  <si>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</si>
  <si>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</si>
  <si>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</si>
  <si>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</si>
  <si>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</si>
  <si>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</si>
  <si>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</si>
  <si>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</si>
  <si>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</si>
  <si>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</si>
  <si>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</si>
  <si>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</si>
  <si>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</si>
  <si>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</si>
  <si>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</si>
  <si>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</si>
  <si>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</si>
  <si>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</si>
  <si>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</si>
  <si>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</si>
  <si>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</si>
  <si>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</si>
  <si>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</si>
  <si>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</si>
  <si>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</si>
  <si>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</si>
  <si>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</si>
  <si>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</si>
  <si>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</si>
  <si>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</si>
  <si>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</si>
  <si>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</si>
  <si>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</si>
  <si>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</si>
  <si>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</si>
  <si>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</si>
  <si>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</si>
  <si>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</si>
  <si>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</si>
  <si>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</si>
  <si>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</si>
  <si>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</si>
  <si>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</si>
  <si>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</si>
  <si>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</si>
  <si>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</si>
  <si>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</si>
  <si>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</si>
  <si>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</si>
  <si>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</si>
  <si>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</si>
  <si>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</si>
  <si>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</si>
  <si>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</si>
  <si>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</si>
  <si>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</si>
  <si>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</si>
  <si>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</si>
  <si>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</si>
  <si>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</si>
  <si>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</si>
  <si>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</si>
  <si>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</si>
  <si>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</si>
  <si>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</si>
  <si>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</si>
  <si>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</si>
  <si>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</si>
  <si>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</si>
  <si>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</si>
  <si>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</si>
  <si>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</si>
  <si>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</si>
  <si>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</si>
  <si>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</si>
  <si>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</si>
  <si>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</si>
  <si>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</si>
  <si>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</si>
  <si>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</si>
  <si>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</si>
  <si>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</si>
  <si>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</si>
  <si>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</si>
  <si>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</si>
  <si>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</si>
  <si>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</si>
  <si>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</si>
  <si>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</si>
  <si>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</si>
  <si>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</si>
  <si>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</si>
  <si>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</si>
  <si>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</si>
  <si>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</si>
  <si>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</si>
  <si>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</si>
  <si>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</si>
  <si>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</si>
  <si>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</si>
  <si>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</si>
  <si>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</si>
  <si>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</si>
  <si>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</si>
  <si>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</si>
  <si>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</si>
  <si>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</si>
  <si>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</si>
  <si>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</si>
  <si>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</si>
  <si>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</si>
  <si>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</si>
  <si>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</si>
  <si>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</si>
  <si>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</si>
  <si>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</si>
  <si>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</si>
  <si>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</si>
  <si>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</si>
  <si>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</si>
  <si>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</si>
  <si>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</si>
  <si>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</si>
  <si>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</si>
  <si>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</si>
  <si>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</si>
  <si>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</si>
  <si>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</si>
  <si>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</si>
  <si>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</si>
  <si>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</si>
  <si>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</si>
  <si>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</si>
  <si>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</si>
  <si>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</si>
  <si>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</si>
  <si>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</si>
  <si>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</si>
  <si>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</si>
  <si>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</si>
  <si>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</si>
  <si>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</si>
  <si>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</si>
  <si>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</si>
  <si>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</si>
  <si>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</si>
  <si>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</si>
  <si>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</si>
  <si>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</si>
  <si>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</si>
  <si>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</si>
  <si>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</si>
  <si>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</si>
  <si>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</si>
  <si>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</si>
  <si>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</si>
  <si>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</si>
  <si>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</si>
  <si>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</si>
  <si>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</si>
  <si>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</si>
  <si>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</si>
  <si>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</si>
  <si>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</si>
  <si>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</si>
  <si>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</si>
  <si>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</si>
  <si>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</si>
  <si>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</si>
  <si>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</si>
  <si>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</si>
  <si>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</si>
  <si>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</si>
  <si>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</si>
  <si>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</si>
  <si>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</si>
  <si>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</si>
  <si>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</si>
  <si>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</si>
  <si>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</si>
  <si>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</si>
  <si>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</si>
  <si>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</si>
  <si>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</si>
  <si>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</si>
  <si>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</si>
  <si>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</si>
  <si>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</si>
  <si>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</si>
  <si>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</si>
  <si>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</si>
  <si>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</si>
  <si>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</si>
  <si>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</si>
  <si>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</si>
  <si>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</si>
  <si>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</si>
  <si>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</si>
  <si>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</si>
  <si>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</si>
  <si>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</si>
  <si>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</si>
  <si>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</si>
  <si>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</si>
  <si>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</si>
  <si>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</si>
  <si>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</si>
  <si>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</si>
  <si>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</si>
  <si>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</si>
  <si>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</si>
  <si>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</si>
  <si>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</si>
  <si>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</si>
  <si>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</si>
  <si>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</si>
  <si>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</si>
  <si>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</si>
  <si>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</si>
  <si>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</si>
  <si>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</si>
  <si>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</si>
  <si>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</si>
  <si>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</si>
  <si>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</si>
  <si>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</si>
  <si>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</si>
  <si>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</si>
  <si>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Q426</t>
  </si>
  <si>
    <t>CBRS</t>
  </si>
  <si>
    <t>Shares</t>
  </si>
  <si>
    <t>Q326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</si>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</sst>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6" fillId="0" borderId="0" applyFill="0" applyBorder="0" applyAlignment="0" applyProtection="0"/>
    <xf numFmtId="0" fontId="39" fillId="0" borderId="0" applyNumberFormat="0" applyFill="0" applyBorder="0" applyAlignment="0" applyProtection="0"/>
    <xf numFmtId="0" fontId="40" fillId="0" borderId="4" applyNumberFormat="0" applyFill="0" applyAlignment="0" applyProtection="0"/>
    <xf numFmtId="0" fontId="41" fillId="0" borderId="5" applyNumberFormat="0" applyFill="0" applyAlignment="0" applyProtection="0"/>
    <xf numFmtId="0" fontId="42" fillId="0" borderId="6" applyNumberFormat="0" applyFill="0" applyAlignment="0" applyProtection="0"/>
    <xf numFmtId="0" fontId="42" fillId="0" borderId="0" applyNumberFormat="0" applyFill="0" applyBorder="0" applyAlignment="0" applyProtection="0"/>
    <xf numFmtId="0" fontId="43" fillId="3" borderId="0" applyNumberFormat="0" applyBorder="0" applyAlignment="0" applyProtection="0"/>
    <xf numFmtId="0" fontId="44" fillId="4" borderId="0" applyNumberFormat="0" applyBorder="0" applyAlignment="0" applyProtection="0"/>
    <xf numFmtId="0" fontId="45" fillId="5" borderId="0" applyNumberFormat="0" applyBorder="0" applyAlignment="0" applyProtection="0"/>
    <xf numFmtId="0" fontId="46" fillId="6" borderId="7" applyNumberFormat="0" applyAlignment="0" applyProtection="0"/>
    <xf numFmtId="0" fontId="47" fillId="7" borderId="8" applyNumberFormat="0" applyAlignment="0" applyProtection="0"/>
    <xf numFmtId="0" fontId="48" fillId="7" borderId="7" applyNumberFormat="0" applyAlignment="0" applyProtection="0"/>
    <xf numFmtId="0" fontId="49" fillId="0" borderId="9" applyNumberFormat="0" applyFill="0" applyAlignment="0" applyProtection="0"/>
    <xf numFmtId="0" fontId="50" fillId="8" borderId="10" applyNumberFormat="0" applyAlignment="0" applyProtection="0"/>
    <xf numFmtId="0" fontId="51" fillId="0" borderId="0" applyNumberFormat="0" applyFill="0" applyBorder="0" applyAlignment="0" applyProtection="0"/>
    <xf numFmtId="0" fontId="38" fillId="9" borderId="11" applyNumberFormat="0" applyFont="0" applyAlignment="0" applyProtection="0"/>
    <xf numFmtId="0" fontId="52" fillId="0" borderId="0" applyNumberFormat="0" applyFill="0" applyBorder="0" applyAlignment="0" applyProtection="0"/>
    <xf numFmtId="0" fontId="34" fillId="0" borderId="12" applyNumberFormat="0" applyFill="0" applyAlignment="0" applyProtection="0"/>
    <xf numFmtId="0" fontId="53" fillId="10" borderId="0" applyNumberFormat="0" applyBorder="0" applyAlignment="0" applyProtection="0"/>
    <xf numFmtId="0" fontId="38" fillId="11" borderId="0" applyNumberFormat="0" applyBorder="0" applyAlignment="0" applyProtection="0"/>
    <xf numFmtId="0" fontId="38" fillId="12" borderId="0" applyNumberFormat="0" applyBorder="0" applyAlignment="0" applyProtection="0"/>
    <xf numFmtId="0" fontId="38" fillId="13" borderId="0" applyNumberFormat="0" applyBorder="0" applyAlignment="0" applyProtection="0"/>
    <xf numFmtId="0" fontId="53" fillId="14" borderId="0" applyNumberFormat="0" applyBorder="0" applyAlignment="0" applyProtection="0"/>
    <xf numFmtId="0" fontId="38" fillId="15" borderId="0" applyNumberFormat="0" applyBorder="0" applyAlignment="0" applyProtection="0"/>
    <xf numFmtId="0" fontId="38" fillId="16" borderId="0" applyNumberFormat="0" applyBorder="0" applyAlignment="0" applyProtection="0"/>
    <xf numFmtId="0" fontId="38" fillId="17" borderId="0" applyNumberFormat="0" applyBorder="0" applyAlignment="0" applyProtection="0"/>
    <xf numFmtId="0" fontId="53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38" fillId="21" borderId="0" applyNumberFormat="0" applyBorder="0" applyAlignment="0" applyProtection="0"/>
    <xf numFmtId="0" fontId="53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38" fillId="25" borderId="0" applyNumberFormat="0" applyBorder="0" applyAlignment="0" applyProtection="0"/>
    <xf numFmtId="0" fontId="53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29" borderId="0" applyNumberFormat="0" applyBorder="0" applyAlignment="0" applyProtection="0"/>
    <xf numFmtId="0" fontId="53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3" borderId="0" applyNumberFormat="0" applyBorder="0" applyAlignment="0" applyProtection="0"/>
  </cellStyleXfs>
  <cellXfs count="58">
    <xf numFmtId="0" fontId="0" fillId="0" borderId="0" xfId="0"/>
    <xf numFmtId="0" fontId="35" fillId="0" borderId="0" xfId="0" applyFont="1"/>
    <xf numFmtId="0" fontId="36" fillId="0" borderId="0" xfId="0" applyFont="1"/>
    <xf numFmtId="0" fontId="37" fillId="0" borderId="0" xfId="0" applyFont="1"/>
    <xf numFmtId="0" fontId="54" fillId="0" borderId="0" xfId="0" applyFont="1"/>
    <xf numFmtId="0" fontId="33" fillId="0" borderId="0" xfId="0" applyFont="1"/>
    <xf numFmtId="0" fontId="33" fillId="0" borderId="0" xfId="0" applyFont="1" applyAlignment="1">
      <alignment horizontal="right"/>
    </xf>
    <xf numFmtId="0" fontId="55" fillId="0" borderId="0" xfId="0" applyFont="1"/>
    <xf numFmtId="0" fontId="36" fillId="2" borderId="1" xfId="0" applyFont="1" applyFill="1" applyBorder="1" applyAlignment="1">
      <alignment horizontal="center"/>
    </xf>
    <xf numFmtId="0" fontId="36" fillId="2" borderId="2" xfId="0" applyFont="1" applyFill="1" applyBorder="1"/>
    <xf numFmtId="0" fontId="36" fillId="2" borderId="2" xfId="0" applyFont="1" applyFill="1" applyBorder="1" applyAlignment="1">
      <alignment horizontal="center"/>
    </xf>
    <xf numFmtId="0" fontId="36" fillId="2" borderId="2" xfId="0" applyFont="1" applyFill="1" applyBorder="1" applyAlignment="1">
      <alignment horizontal="right"/>
    </xf>
    <xf numFmtId="0" fontId="33" fillId="2" borderId="3" xfId="0" applyFont="1" applyFill="1" applyBorder="1"/>
    <xf numFmtId="0" fontId="33" fillId="0" borderId="0" xfId="0" applyFont="1" applyAlignment="1">
      <alignment horizontal="center"/>
    </xf>
    <xf numFmtId="0" fontId="56" fillId="0" borderId="0" xfId="1"/>
    <xf numFmtId="164" fontId="33" fillId="0" borderId="0" xfId="0" applyNumberFormat="1" applyFont="1"/>
    <xf numFmtId="16" fontId="33" fillId="0" borderId="0" xfId="0" applyNumberFormat="1" applyFont="1"/>
    <xf numFmtId="0" fontId="57" fillId="0" borderId="0" xfId="0" applyFont="1"/>
    <xf numFmtId="0" fontId="33" fillId="0" borderId="0" xfId="0" quotePrefix="1" applyFont="1"/>
    <xf numFmtId="0" fontId="55" fillId="0" borderId="0" xfId="0" applyFont="1" applyAlignment="1">
      <alignment horizontal="right"/>
    </xf>
    <xf numFmtId="0" fontId="33" fillId="2" borderId="2" xfId="0" applyFont="1" applyFill="1" applyBorder="1"/>
    <xf numFmtId="0" fontId="36" fillId="2" borderId="3" xfId="0" applyFont="1" applyFill="1" applyBorder="1"/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/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164" fontId="24" fillId="0" borderId="0" xfId="0" applyNumberFormat="1" applyFont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I1" sqref="I1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2580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45" t="s">
        <v>3152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405.1</v>
      </c>
      <c r="F5" s="15">
        <f>+[2]Main!$H$4</f>
        <v>3009258.8985904003</v>
      </c>
      <c r="G5" s="15">
        <f>+[2]Main!$H$6-[2]Main!$H$5</f>
        <v>-38010</v>
      </c>
      <c r="H5" s="15">
        <f>F5+G5</f>
        <v>2971248.8985904003</v>
      </c>
      <c r="I5" s="55" t="s">
        <v>3155</v>
      </c>
      <c r="J5" s="16"/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283.95999999999998</v>
      </c>
      <c r="F6" s="15">
        <f>+[3]Main!$H$5</f>
        <v>4170621.6097599994</v>
      </c>
      <c r="G6" s="15">
        <f>+[3]Main!$H$6-[3]Main!$H$7</f>
        <v>-14207</v>
      </c>
      <c r="H6" s="15">
        <f t="shared" ref="H6:H14" si="0">F6+G6</f>
        <v>4156414.6097599994</v>
      </c>
      <c r="I6" s="56" t="s">
        <v>3156</v>
      </c>
      <c r="J6" s="16"/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372.9</v>
      </c>
      <c r="F7" s="15">
        <f>+[4]Main!$I$4</f>
        <v>4518056.3999999994</v>
      </c>
      <c r="G7" s="15">
        <f>+[4]Main!$I$6-[4]Main!$I$5</f>
        <v>-49339</v>
      </c>
      <c r="H7" s="15">
        <f t="shared" si="0"/>
        <v>4468717.3999999994</v>
      </c>
      <c r="I7" s="55" t="s">
        <v>3144</v>
      </c>
      <c r="J7" s="16"/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257.5</v>
      </c>
      <c r="F8" s="15">
        <f>+[5]Main!$I$5</f>
        <v>2769955.6797700003</v>
      </c>
      <c r="G8" s="15">
        <f>+[5]Main!$I$7-[5]Main!$I$6</f>
        <v>-24015</v>
      </c>
      <c r="H8" s="15">
        <f t="shared" si="0"/>
        <v>2745940.6797700003</v>
      </c>
      <c r="I8" s="55" t="s">
        <v>3144</v>
      </c>
      <c r="J8" s="16"/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606.92999999999995</v>
      </c>
      <c r="F9" s="15">
        <f>+[6]Main!$I$4</f>
        <v>1540645.2558967199</v>
      </c>
      <c r="G9" s="15">
        <f>+[6]Main!$I$6-[6]Main!$I$5</f>
        <v>-22432</v>
      </c>
      <c r="H9" s="15">
        <f t="shared" si="0"/>
        <v>1518213.2558967199</v>
      </c>
      <c r="I9" s="55" t="s">
        <v>3144</v>
      </c>
      <c r="J9" s="16"/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373.72</v>
      </c>
      <c r="F10" s="15">
        <f>+[7]Main!$K$4</f>
        <v>1403589.1250701202</v>
      </c>
      <c r="G10" s="15">
        <f>+[7]Main!$K$6-[7]Main!$K$5</f>
        <v>-35514</v>
      </c>
      <c r="H10" s="15">
        <f t="shared" si="0"/>
        <v>1368075.1250701202</v>
      </c>
      <c r="I10" s="53" t="s">
        <v>3144</v>
      </c>
      <c r="J10" s="16">
        <v>46225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323.43</v>
      </c>
      <c r="F11" s="15">
        <f>+[8]Main!$G$5</f>
        <v>1531333.73075112</v>
      </c>
      <c r="G11" s="15">
        <f>+[8]Main!$G$7-[8]Main!$G$6</f>
        <v>51883</v>
      </c>
      <c r="H11" s="15">
        <f t="shared" si="0"/>
        <v>1583216.73075112</v>
      </c>
      <c r="I11" s="48" t="s">
        <v>3144</v>
      </c>
      <c r="J11" s="16">
        <v>46177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2" t="s">
        <v>3151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1126</v>
      </c>
      <c r="E13" s="15">
        <f>+[10]Main!$H$2</f>
        <v>2030</v>
      </c>
      <c r="F13" s="15">
        <f>+[10]Main!$H$4*FX!C2</f>
        <v>1579197.9</v>
      </c>
      <c r="G13" s="15">
        <f>+([10]Main!$H$6-[10]Main!$H$5)*FX!C2</f>
        <v>-71019.989999999991</v>
      </c>
      <c r="H13" s="15">
        <f t="shared" si="0"/>
        <v>1508177.91</v>
      </c>
      <c r="I13" s="51" t="s">
        <v>3144</v>
      </c>
      <c r="J13" s="16">
        <v>46219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722248.25400000019</v>
      </c>
      <c r="G14" s="15">
        <f>+([11]Main!$G$7-[11]Main!$G$6)*FX!C3</f>
        <v>-18653.460000000003</v>
      </c>
      <c r="H14" s="15">
        <f t="shared" si="0"/>
        <v>703594.79400000023</v>
      </c>
      <c r="I14" s="49" t="s">
        <v>2708</v>
      </c>
      <c r="J14" s="16">
        <v>46099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1250.8</v>
      </c>
      <c r="F15" s="15">
        <f>+[12]Main!$H$4*FX!C4</f>
        <v>491699.48639999994</v>
      </c>
      <c r="G15" s="15">
        <f>+([12]Main!$H$6-[12]Main!$H$5)*FX!C4</f>
        <v>-5784.1139999999987</v>
      </c>
      <c r="H15" s="15">
        <f t="shared" ref="H15:H19" si="3">F15+G15</f>
        <v>485915.37239999993</v>
      </c>
      <c r="I15" s="49" t="s">
        <v>3147</v>
      </c>
      <c r="J15" s="16">
        <v>46218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4" t="s">
        <v>2583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97.5</v>
      </c>
      <c r="F17" s="15">
        <f>+[14]Main!$I$5</f>
        <v>411721.73250000004</v>
      </c>
      <c r="G17" s="15">
        <f>+[14]Main!$I$7-[14]Main!$I$6</f>
        <v>2072.0659999999989</v>
      </c>
      <c r="H17" s="15">
        <f t="shared" si="3"/>
        <v>413793.79850000003</v>
      </c>
      <c r="I17" s="51" t="s">
        <v>3144</v>
      </c>
      <c r="J17" s="16"/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46" t="s">
        <v>3147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3144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4" t="s">
        <v>2583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7" t="s">
        <v>2583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+[19]Main!$K$2</f>
        <v>196.4</v>
      </c>
      <c r="F22" s="15">
        <f>+[19]Main!$K$4</f>
        <v>320212.68956520001</v>
      </c>
      <c r="G22" s="15">
        <f>+[19]Main!$K$6-[19]Main!$K$5</f>
        <v>-4023</v>
      </c>
      <c r="H22" s="15">
        <f t="shared" si="4"/>
        <v>316189.68956520001</v>
      </c>
      <c r="I22" s="49" t="s">
        <v>3147</v>
      </c>
      <c r="J22" s="1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8" t="s">
        <v>2708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4" t="s">
        <v>2707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39" t="s">
        <v>2583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0" t="s">
        <v>2583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4" t="s">
        <v>3145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122.04</v>
      </c>
      <c r="F28" s="15">
        <f>+[25]Main!$I$4</f>
        <v>159153.75196092</v>
      </c>
      <c r="G28" s="15">
        <f>+[25]Main!$I$6-[25]Main!$I$5</f>
        <v>-4901</v>
      </c>
      <c r="H28" s="15">
        <f>+F28+G28</f>
        <v>154252.75196092</v>
      </c>
      <c r="I28" s="50" t="s">
        <v>3147</v>
      </c>
      <c r="J28" s="16">
        <v>46149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3" t="s">
        <v>2583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8" t="s">
        <v>2583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8" t="s">
        <v>3147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8" t="s">
        <v>3145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75.69</v>
      </c>
      <c r="F33" s="15">
        <f>+[30]Main!$H$4</f>
        <v>155778.79875327001</v>
      </c>
      <c r="G33" s="15">
        <f>+[30]Main!$H$6-[30]Main!$H$5</f>
        <v>2888</v>
      </c>
      <c r="H33" s="15">
        <f>F33+G33</f>
        <v>158666.79875327001</v>
      </c>
      <c r="I33" s="47" t="s">
        <v>2708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2588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8" t="s">
        <v>2583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29" t="s">
        <v>2583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959</v>
      </c>
      <c r="C39" s="5" t="s">
        <v>85</v>
      </c>
      <c r="D39" s="5" t="s">
        <v>45</v>
      </c>
      <c r="E39" s="15">
        <f>+[34]Main!$I$2</f>
        <v>133.80000000000001</v>
      </c>
      <c r="F39" s="15">
        <f>+[34]Main!$I$4</f>
        <v>168492.342366</v>
      </c>
      <c r="G39" s="15">
        <f>+[34]Main!$I$6-[34]Main!$I$5</f>
        <v>-10106.200000000001</v>
      </c>
      <c r="H39" s="15">
        <f>F39+G39</f>
        <v>158386.14236599999</v>
      </c>
      <c r="I39" s="49" t="s">
        <v>2708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3" t="s">
        <v>2583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0" t="s">
        <v>2583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82.72</v>
      </c>
      <c r="F51" s="15">
        <f>+[45]Main!$K$4</f>
        <v>85340</v>
      </c>
      <c r="G51" s="15">
        <f>+[45]Main!$K$6-[45]Main!$K$5</f>
        <v>12242</v>
      </c>
      <c r="H51" s="15">
        <f t="shared" si="5"/>
        <v>97582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2582</v>
      </c>
      <c r="C55" s="5" t="s">
        <v>119</v>
      </c>
      <c r="D55" s="5" t="s">
        <v>1126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3" t="s">
        <v>2583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45.76</v>
      </c>
      <c r="F58" s="15">
        <f>+[49]Main!$I$4</f>
        <v>40365.147359679999</v>
      </c>
      <c r="G58" s="15">
        <f>+[49]Main!$I$6-[49]Main!$I$5</f>
        <v>67</v>
      </c>
      <c r="H58" s="15">
        <f t="shared" si="6"/>
        <v>40432.147359679999</v>
      </c>
      <c r="I58" s="57" t="s">
        <v>3144</v>
      </c>
      <c r="J58" s="16"/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2583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1126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0" t="s">
        <v>2583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2583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7" t="s">
        <v>3146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1126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44" t="s">
        <v>3147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1126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2583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1126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1126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2583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1126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2583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5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6" t="s">
        <v>2583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1126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1126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1126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2584</v>
      </c>
      <c r="C248" s="5" t="s">
        <v>2585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1126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1126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1126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1126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1126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1126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6" t="s">
        <v>2583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1126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1126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1132</v>
      </c>
      <c r="C326" s="5" t="s">
        <v>1133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1134</v>
      </c>
      <c r="C327" s="5" t="s">
        <v>1135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1136</v>
      </c>
      <c r="C328" s="5" t="s">
        <v>1137</v>
      </c>
      <c r="D328" s="5" t="s">
        <v>1125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859</v>
      </c>
      <c r="C329" s="5" t="s">
        <v>860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1138</v>
      </c>
      <c r="C330" s="5" t="s">
        <v>1139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1140</v>
      </c>
      <c r="C331" s="5" t="s">
        <v>1141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1142</v>
      </c>
      <c r="C332" s="5" t="s">
        <v>1143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1144</v>
      </c>
      <c r="C333" s="5" t="s">
        <v>1145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1146</v>
      </c>
      <c r="C334" s="5" t="s">
        <v>1147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1148</v>
      </c>
      <c r="C335" s="5" t="s">
        <v>1149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1150</v>
      </c>
      <c r="C336" s="5" t="s">
        <v>1151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1152</v>
      </c>
      <c r="C337" s="5" t="s">
        <v>1153</v>
      </c>
      <c r="D337" s="5" t="s">
        <v>2569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1154</v>
      </c>
      <c r="C338" s="5" t="s">
        <v>1155</v>
      </c>
      <c r="D338" s="5" t="s">
        <v>1125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852</v>
      </c>
      <c r="C339" s="5" t="s">
        <v>853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1156</v>
      </c>
      <c r="C340" s="5" t="s">
        <v>1157</v>
      </c>
      <c r="D340" s="5" t="s">
        <v>1130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1158</v>
      </c>
      <c r="C341" s="5" t="s">
        <v>1159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1160</v>
      </c>
      <c r="C342" s="5" t="s">
        <v>1161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1162</v>
      </c>
      <c r="C343" s="5" t="s">
        <v>1163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1164</v>
      </c>
      <c r="C344" s="5" t="s">
        <v>866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1165</v>
      </c>
      <c r="C345" s="5" t="s">
        <v>1166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1167</v>
      </c>
      <c r="C346" s="5" t="s">
        <v>1168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1169</v>
      </c>
      <c r="C347" s="5" t="s">
        <v>1170</v>
      </c>
      <c r="D347" s="5" t="s">
        <v>2572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1171</v>
      </c>
      <c r="C348" s="5" t="s">
        <v>1172</v>
      </c>
      <c r="D348" s="5" t="s">
        <v>1130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1173</v>
      </c>
      <c r="C349" s="5" t="s">
        <v>1174</v>
      </c>
      <c r="D349" s="5" t="s">
        <v>1123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1175</v>
      </c>
      <c r="C350" s="5" t="s">
        <v>872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1176</v>
      </c>
      <c r="C351" s="5" t="s">
        <v>1177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1178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841</v>
      </c>
      <c r="C353" s="5" t="s">
        <v>842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1179</v>
      </c>
      <c r="C354" s="5" t="s">
        <v>1180</v>
      </c>
      <c r="D354" s="5" t="s">
        <v>1126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974</v>
      </c>
      <c r="C355" s="5" t="s">
        <v>975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1181</v>
      </c>
      <c r="C356" s="5" t="s">
        <v>1182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1183</v>
      </c>
      <c r="C357" s="5" t="s">
        <v>1184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1185</v>
      </c>
      <c r="C358" s="5" t="s">
        <v>1186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1187</v>
      </c>
      <c r="C359" s="5" t="s">
        <v>1188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875</v>
      </c>
      <c r="C360" s="5" t="s">
        <v>876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1189</v>
      </c>
      <c r="C361" s="5" t="s">
        <v>1190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1191</v>
      </c>
      <c r="C362" s="5" t="s">
        <v>1192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1193</v>
      </c>
      <c r="C363" s="5" t="s">
        <v>1194</v>
      </c>
      <c r="D363" s="5" t="s">
        <v>2571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1195</v>
      </c>
      <c r="C364" s="5" t="s">
        <v>1196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1197</v>
      </c>
      <c r="C365" s="5" t="s">
        <v>1198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869</v>
      </c>
      <c r="C366" s="5" t="s">
        <v>870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1199</v>
      </c>
      <c r="C367" s="5" t="s">
        <v>1200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1201</v>
      </c>
      <c r="C368" s="5" t="s">
        <v>1202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1203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1204</v>
      </c>
      <c r="C370" s="5" t="s">
        <v>1205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1206</v>
      </c>
      <c r="C371" s="5" t="s">
        <v>1207</v>
      </c>
      <c r="D371" s="5" t="s">
        <v>955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1208</v>
      </c>
      <c r="C372" s="5" t="s">
        <v>1209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1210</v>
      </c>
      <c r="C373" s="5" t="s">
        <v>1211</v>
      </c>
      <c r="D373" s="5" t="s">
        <v>1124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1212</v>
      </c>
      <c r="C374" s="5" t="s">
        <v>1213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1214</v>
      </c>
      <c r="C375" s="5" t="s">
        <v>1215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1216</v>
      </c>
      <c r="C376" s="5" t="s">
        <v>1217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978</v>
      </c>
      <c r="C377" s="5" t="s">
        <v>979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933</v>
      </c>
      <c r="C378" s="5" t="s">
        <v>1218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980</v>
      </c>
      <c r="C379" s="5" t="s">
        <v>981</v>
      </c>
      <c r="D379" s="5" t="s">
        <v>1126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1219</v>
      </c>
      <c r="C380" s="5" t="s">
        <v>1220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1221</v>
      </c>
      <c r="C381" s="5" t="s">
        <v>1222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1223</v>
      </c>
      <c r="C382" s="5" t="s">
        <v>752</v>
      </c>
      <c r="D382" s="5" t="s">
        <v>1224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1225</v>
      </c>
      <c r="C383" s="5" t="s">
        <v>1226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1227</v>
      </c>
      <c r="C384" s="5" t="s">
        <v>1228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1229</v>
      </c>
      <c r="C385" s="5" t="s">
        <v>1230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1231</v>
      </c>
      <c r="C386" s="5" t="s">
        <v>1232</v>
      </c>
      <c r="D386" s="5" t="s">
        <v>1124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1233</v>
      </c>
      <c r="C387" s="5" t="s">
        <v>1234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1235</v>
      </c>
      <c r="C388" s="5" t="s">
        <v>1236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1237</v>
      </c>
      <c r="C389" s="5" t="s">
        <v>1238</v>
      </c>
      <c r="D389" s="5" t="s">
        <v>1125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1239</v>
      </c>
      <c r="C390" s="5" t="s">
        <v>1240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1241</v>
      </c>
      <c r="C391" s="5" t="s">
        <v>1242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1243</v>
      </c>
      <c r="C392" s="5" t="s">
        <v>1244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1245</v>
      </c>
      <c r="C393" s="5" t="s">
        <v>1246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1247</v>
      </c>
      <c r="C394" s="5" t="s">
        <v>1248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1249</v>
      </c>
      <c r="C395" s="5" t="s">
        <v>1250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1251</v>
      </c>
      <c r="C396" s="5" t="s">
        <v>1252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1253</v>
      </c>
      <c r="C397" s="5" t="s">
        <v>1254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1255</v>
      </c>
      <c r="C398" s="5" t="s">
        <v>1256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1257</v>
      </c>
      <c r="C399" s="5" t="s">
        <v>1258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1259</v>
      </c>
      <c r="C400" s="5" t="s">
        <v>1260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1261</v>
      </c>
      <c r="C401" s="5" t="s">
        <v>1262</v>
      </c>
      <c r="D401" s="5" t="s">
        <v>1123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1263</v>
      </c>
      <c r="C402" s="5" t="s">
        <v>1264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1265</v>
      </c>
      <c r="C403" s="5" t="s">
        <v>1266</v>
      </c>
      <c r="D403" s="5" t="s">
        <v>2576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857</v>
      </c>
      <c r="C404" s="5" t="s">
        <v>1267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1268</v>
      </c>
      <c r="C405" s="5" t="s">
        <v>1269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1270</v>
      </c>
      <c r="C406" s="5" t="s">
        <v>1271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1272</v>
      </c>
      <c r="C407" s="5" t="s">
        <v>1273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1274</v>
      </c>
      <c r="C408" s="5" t="s">
        <v>1275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1276</v>
      </c>
      <c r="C409" s="5" t="s">
        <v>1277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1278</v>
      </c>
      <c r="C410" s="5" t="s">
        <v>1279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1280</v>
      </c>
      <c r="C411" s="5" t="s">
        <v>1281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1282</v>
      </c>
      <c r="C412" s="5" t="s">
        <v>1283</v>
      </c>
      <c r="D412" s="5" t="s">
        <v>955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877</v>
      </c>
      <c r="C413" s="5" t="s">
        <v>878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1284</v>
      </c>
      <c r="C414" s="5" t="s">
        <v>1285</v>
      </c>
      <c r="D414" s="5" t="s">
        <v>1125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1286</v>
      </c>
      <c r="C415" s="5" t="s">
        <v>1287</v>
      </c>
      <c r="D415" s="5" t="s">
        <v>1126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1288</v>
      </c>
      <c r="C416" s="5" t="s">
        <v>1289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1290</v>
      </c>
      <c r="C417" s="5" t="s">
        <v>1291</v>
      </c>
      <c r="D417" s="5" t="s">
        <v>1130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821</v>
      </c>
      <c r="C418" s="5" t="s">
        <v>822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1292</v>
      </c>
      <c r="C419" s="5" t="s">
        <v>1293</v>
      </c>
      <c r="D419" s="5" t="s">
        <v>1127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1294</v>
      </c>
      <c r="C420" s="5" t="s">
        <v>1295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1296</v>
      </c>
      <c r="C421" s="5" t="s">
        <v>1297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1298</v>
      </c>
      <c r="C422" s="5" t="s">
        <v>1299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901</v>
      </c>
      <c r="C423" s="5" t="s">
        <v>902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1300</v>
      </c>
      <c r="C424" s="5" t="s">
        <v>1301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1302</v>
      </c>
      <c r="C425" s="5" t="s">
        <v>1303</v>
      </c>
      <c r="D425" s="5" t="s">
        <v>1130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1304</v>
      </c>
      <c r="C426" s="5" t="s">
        <v>1305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1306</v>
      </c>
      <c r="C427" s="5" t="s">
        <v>1307</v>
      </c>
      <c r="D427" s="5" t="s">
        <v>1123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1308</v>
      </c>
      <c r="C428" s="5" t="s">
        <v>1309</v>
      </c>
      <c r="D428" s="5" t="s">
        <v>1124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1310</v>
      </c>
      <c r="C429" s="5" t="s">
        <v>1311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1312</v>
      </c>
      <c r="C430" s="5" t="s">
        <v>1313</v>
      </c>
      <c r="D430" s="5" t="s">
        <v>1125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1314</v>
      </c>
      <c r="C431" s="5" t="s">
        <v>1315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1316</v>
      </c>
      <c r="C432" s="5" t="s">
        <v>1317</v>
      </c>
      <c r="D432" s="5" t="s">
        <v>1126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1318</v>
      </c>
      <c r="C433" s="5" t="s">
        <v>1319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1320</v>
      </c>
      <c r="C434" s="5" t="s">
        <v>1321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1322</v>
      </c>
      <c r="C435" s="5" t="s">
        <v>1323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1324</v>
      </c>
      <c r="C436" s="5" t="s">
        <v>1325</v>
      </c>
      <c r="D436" s="5" t="s">
        <v>1130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1326</v>
      </c>
      <c r="C437" s="5" t="s">
        <v>1327</v>
      </c>
      <c r="D437" s="5" t="s">
        <v>1126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844</v>
      </c>
      <c r="C438" s="5" t="s">
        <v>845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1328</v>
      </c>
      <c r="C439" s="5" t="s">
        <v>1329</v>
      </c>
      <c r="D439" s="5" t="s">
        <v>1130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1330</v>
      </c>
      <c r="C440" s="5" t="s">
        <v>1331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1332</v>
      </c>
      <c r="C441" s="5" t="s">
        <v>1333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1334</v>
      </c>
      <c r="C442" s="5" t="s">
        <v>1335</v>
      </c>
      <c r="D442" s="5" t="s">
        <v>1130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1336</v>
      </c>
      <c r="C443" s="5" t="s">
        <v>1337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1338</v>
      </c>
      <c r="C444" s="5" t="s">
        <v>1339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1340</v>
      </c>
      <c r="C445" s="5" t="s">
        <v>1341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1342</v>
      </c>
      <c r="C446" s="5" t="s">
        <v>1343</v>
      </c>
      <c r="D446" s="5" t="s">
        <v>1126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1344</v>
      </c>
      <c r="C447" s="5" t="s">
        <v>1345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1346</v>
      </c>
      <c r="C448" s="5" t="s">
        <v>1347</v>
      </c>
      <c r="D448" s="5" t="s">
        <v>2571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1348</v>
      </c>
      <c r="C449" s="5" t="s">
        <v>1349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1350</v>
      </c>
      <c r="C450" s="5" t="s">
        <v>1351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1352</v>
      </c>
      <c r="C451" s="5" t="s">
        <v>1353</v>
      </c>
      <c r="D451" s="5" t="s">
        <v>2577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1354</v>
      </c>
      <c r="C452" s="5" t="s">
        <v>1355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1356</v>
      </c>
      <c r="C453" s="5" t="s">
        <v>1357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1358</v>
      </c>
      <c r="C454" s="5" t="s">
        <v>1359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1360</v>
      </c>
      <c r="C455" s="5" t="s">
        <v>1361</v>
      </c>
      <c r="D455" s="5" t="s">
        <v>1129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1362</v>
      </c>
      <c r="C456" s="5" t="s">
        <v>1363</v>
      </c>
      <c r="D456" s="5" t="s">
        <v>1130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1364</v>
      </c>
      <c r="C457" s="5" t="s">
        <v>1365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1366</v>
      </c>
      <c r="C458" s="5" t="s">
        <v>1367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1368</v>
      </c>
      <c r="C459" s="5" t="s">
        <v>1369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1370</v>
      </c>
      <c r="C460" s="5" t="s">
        <v>1371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1372</v>
      </c>
      <c r="C461" s="5" t="s">
        <v>1373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1374</v>
      </c>
      <c r="C462" s="5" t="s">
        <v>1375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1376</v>
      </c>
      <c r="C463" s="5" t="s">
        <v>1377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1378</v>
      </c>
      <c r="C464" s="5" t="s">
        <v>1379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1380</v>
      </c>
      <c r="C465" s="5" t="s">
        <v>1381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1382</v>
      </c>
      <c r="C466" s="5" t="s">
        <v>1383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1384</v>
      </c>
      <c r="C467" s="5" t="s">
        <v>1385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1386</v>
      </c>
      <c r="C468" s="5" t="s">
        <v>1387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1388</v>
      </c>
      <c r="C469" s="5" t="s">
        <v>1389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1390</v>
      </c>
      <c r="C470" s="5" t="s">
        <v>1391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1392</v>
      </c>
      <c r="C471" s="5" t="s">
        <v>1393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982</v>
      </c>
      <c r="C472" s="5" t="s">
        <v>983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1394</v>
      </c>
      <c r="C473" s="5" t="s">
        <v>1395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1396</v>
      </c>
      <c r="C474" s="5" t="s">
        <v>1397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1398</v>
      </c>
      <c r="C475" s="5" t="s">
        <v>1399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1400</v>
      </c>
      <c r="C476" s="5" t="s">
        <v>1401</v>
      </c>
      <c r="D476" s="5" t="s">
        <v>1125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1402</v>
      </c>
      <c r="C477" s="5" t="s">
        <v>1403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1404</v>
      </c>
      <c r="C478" s="5" t="s">
        <v>1405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984</v>
      </c>
      <c r="C479" s="5" t="s">
        <v>985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1406</v>
      </c>
      <c r="C480" s="5" t="s">
        <v>1407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1408</v>
      </c>
      <c r="C481" s="5" t="s">
        <v>1409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1410</v>
      </c>
      <c r="C482" s="5" t="s">
        <v>1411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1412</v>
      </c>
      <c r="C483" s="5" t="s">
        <v>1413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1414</v>
      </c>
      <c r="C484" s="5" t="s">
        <v>1415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1416</v>
      </c>
      <c r="C485" s="5" t="s">
        <v>1417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1418</v>
      </c>
      <c r="C486" s="5" t="s">
        <v>1419</v>
      </c>
      <c r="D486" s="5" t="s">
        <v>1130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1420</v>
      </c>
      <c r="C487" s="5" t="s">
        <v>1421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1422</v>
      </c>
      <c r="C488" s="5" t="s">
        <v>1423</v>
      </c>
      <c r="D488" s="5" t="s">
        <v>955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1424</v>
      </c>
      <c r="C489" s="5" t="s">
        <v>1425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1426</v>
      </c>
      <c r="C490" s="5" t="s">
        <v>1427</v>
      </c>
      <c r="D490" s="5" t="s">
        <v>1124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1428</v>
      </c>
      <c r="C491" s="5" t="s">
        <v>1429</v>
      </c>
      <c r="D491" s="5" t="s">
        <v>1125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1430</v>
      </c>
      <c r="C492" s="5" t="s">
        <v>1431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1432</v>
      </c>
      <c r="C493" s="5" t="s">
        <v>1433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1434</v>
      </c>
      <c r="C494" s="5" t="s">
        <v>1435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1436</v>
      </c>
      <c r="C495" s="5" t="s">
        <v>1437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1438</v>
      </c>
      <c r="C496" s="5" t="s">
        <v>1439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988</v>
      </c>
      <c r="C497" s="5" t="s">
        <v>989</v>
      </c>
      <c r="D497" s="5" t="s">
        <v>1123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1440</v>
      </c>
      <c r="C498" s="5" t="s">
        <v>1441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1442</v>
      </c>
      <c r="C499" s="5" t="s">
        <v>1443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1444</v>
      </c>
      <c r="C500" s="5" t="s">
        <v>1445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1446</v>
      </c>
      <c r="C501" s="5" t="s">
        <v>1447</v>
      </c>
      <c r="D501" s="5" t="s">
        <v>1129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1448</v>
      </c>
      <c r="C502" s="5" t="s">
        <v>1449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1450</v>
      </c>
      <c r="C503" s="5" t="s">
        <v>1451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1452</v>
      </c>
      <c r="C504" s="5" t="s">
        <v>1453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1454</v>
      </c>
      <c r="C505" s="5" t="s">
        <v>1455</v>
      </c>
      <c r="D505" s="5" t="s">
        <v>2571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1456</v>
      </c>
      <c r="C506" s="5" t="s">
        <v>1457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1458</v>
      </c>
      <c r="C507" s="5" t="s">
        <v>1459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1460</v>
      </c>
      <c r="C508" s="5" t="s">
        <v>1461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1462</v>
      </c>
      <c r="C509" s="5" t="s">
        <v>1463</v>
      </c>
      <c r="D509" s="5" t="s">
        <v>1129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1464</v>
      </c>
      <c r="C510" s="5" t="s">
        <v>1465</v>
      </c>
      <c r="D510" s="5" t="s">
        <v>1123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1466</v>
      </c>
      <c r="C511" s="5" t="s">
        <v>1467</v>
      </c>
      <c r="D511" s="5" t="s">
        <v>1129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1468</v>
      </c>
      <c r="C512" s="5" t="s">
        <v>1469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1470</v>
      </c>
      <c r="C513" s="5" t="s">
        <v>1471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1472</v>
      </c>
      <c r="C514" s="5" t="s">
        <v>1473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1474</v>
      </c>
      <c r="C515" s="5" t="s">
        <v>1475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1476</v>
      </c>
      <c r="C516" s="5" t="s">
        <v>1477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1478</v>
      </c>
      <c r="C517" s="5" t="s">
        <v>1479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1480</v>
      </c>
      <c r="C518" s="5" t="s">
        <v>1481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1482</v>
      </c>
      <c r="C519" s="5" t="s">
        <v>1483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1484</v>
      </c>
      <c r="C520" s="5" t="s">
        <v>1485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1486</v>
      </c>
      <c r="C521" s="5" t="s">
        <v>1487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1488</v>
      </c>
      <c r="C522" s="5" t="s">
        <v>1489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1490</v>
      </c>
      <c r="C523" s="5" t="s">
        <v>1491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1492</v>
      </c>
      <c r="C524" s="5" t="s">
        <v>1493</v>
      </c>
      <c r="D524" s="5" t="s">
        <v>1130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1494</v>
      </c>
      <c r="C525" s="5" t="s">
        <v>1495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1496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1497</v>
      </c>
      <c r="C527" s="5" t="s">
        <v>1498</v>
      </c>
      <c r="D527" s="5" t="s">
        <v>1126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1499</v>
      </c>
      <c r="C528" s="5" t="s">
        <v>1500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1501</v>
      </c>
      <c r="C529" s="5" t="s">
        <v>1502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990</v>
      </c>
      <c r="C530" s="5" t="s">
        <v>991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1505</v>
      </c>
      <c r="C531" s="5" t="s">
        <v>1506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1507</v>
      </c>
      <c r="C532" s="5" t="s">
        <v>1508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1509</v>
      </c>
      <c r="C533" s="5" t="s">
        <v>1510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1511</v>
      </c>
      <c r="C534" s="5" t="s">
        <v>1512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1513</v>
      </c>
      <c r="C535" s="5" t="s">
        <v>1514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1515</v>
      </c>
      <c r="C536" s="5" t="s">
        <v>1516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1517</v>
      </c>
      <c r="C537" s="5" t="s">
        <v>1518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1519</v>
      </c>
      <c r="C538" s="5" t="s">
        <v>1520</v>
      </c>
      <c r="D538" s="5" t="s">
        <v>1126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1521</v>
      </c>
      <c r="C539" s="5" t="s">
        <v>1522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1523</v>
      </c>
      <c r="C540" s="5" t="s">
        <v>1524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1525</v>
      </c>
      <c r="C541" s="5" t="s">
        <v>1526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1527</v>
      </c>
      <c r="C542" s="5" t="s">
        <v>1528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1529</v>
      </c>
      <c r="C543" s="5" t="s">
        <v>1530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1531</v>
      </c>
      <c r="C544" s="5" t="s">
        <v>1532</v>
      </c>
      <c r="D544" s="5" t="s">
        <v>1129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1533</v>
      </c>
      <c r="C545" s="5" t="s">
        <v>1534</v>
      </c>
      <c r="D545" s="5" t="s">
        <v>1129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1535</v>
      </c>
      <c r="C546" s="5" t="s">
        <v>1536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1537</v>
      </c>
      <c r="C547" s="5" t="s">
        <v>1538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1539</v>
      </c>
      <c r="C548" s="5" t="s">
        <v>1540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992</v>
      </c>
      <c r="C549" s="5" t="s">
        <v>993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1541</v>
      </c>
      <c r="C550" s="5" t="s">
        <v>1542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1543</v>
      </c>
      <c r="C551" s="5" t="s">
        <v>1544</v>
      </c>
      <c r="D551" s="5" t="s">
        <v>1123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1545</v>
      </c>
      <c r="C552" s="5" t="s">
        <v>1546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1547</v>
      </c>
      <c r="C553" s="5" t="s">
        <v>1548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994</v>
      </c>
      <c r="C554" s="5" t="s">
        <v>995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1549</v>
      </c>
      <c r="C555" s="5" t="s">
        <v>1550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1551</v>
      </c>
      <c r="C556" s="5" t="s">
        <v>1552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1553</v>
      </c>
      <c r="C557" s="5" t="s">
        <v>1554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1555</v>
      </c>
      <c r="C558" s="5" t="s">
        <v>1556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1557</v>
      </c>
      <c r="C559" s="5" t="s">
        <v>1558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1559</v>
      </c>
      <c r="C560" s="5" t="s">
        <v>1560</v>
      </c>
      <c r="D560" s="5" t="s">
        <v>1123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1561</v>
      </c>
      <c r="C561" s="5" t="s">
        <v>1562</v>
      </c>
      <c r="D561" s="5" t="s">
        <v>1127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1563</v>
      </c>
      <c r="C562" s="5" t="s">
        <v>1564</v>
      </c>
      <c r="D562" s="5" t="s">
        <v>1129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1565</v>
      </c>
      <c r="C563" s="5" t="s">
        <v>1566</v>
      </c>
      <c r="D563" s="5" t="s">
        <v>1125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1567</v>
      </c>
      <c r="C564" s="5" t="s">
        <v>1568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1569</v>
      </c>
      <c r="C565" s="5" t="s">
        <v>1570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996</v>
      </c>
      <c r="C566" s="5" t="s">
        <v>996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1571</v>
      </c>
      <c r="C567" s="5" t="s">
        <v>1572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1573</v>
      </c>
      <c r="C568" s="5" t="s">
        <v>1574</v>
      </c>
      <c r="D568" s="5" t="s">
        <v>1126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1575</v>
      </c>
      <c r="C569" s="5" t="s">
        <v>1576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1577</v>
      </c>
      <c r="C570" s="5" t="s">
        <v>1578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1579</v>
      </c>
      <c r="C571" s="5" t="s">
        <v>913</v>
      </c>
      <c r="D571" s="5" t="s">
        <v>2571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1581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1582</v>
      </c>
      <c r="C573" s="5" t="s">
        <v>1583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1584</v>
      </c>
      <c r="C574" s="5" t="s">
        <v>1585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1586</v>
      </c>
      <c r="C575" s="5" t="s">
        <v>1587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1588</v>
      </c>
      <c r="C576" s="5" t="s">
        <v>1589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1590</v>
      </c>
      <c r="C577" s="5" t="s">
        <v>1591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1592</v>
      </c>
      <c r="C578" s="5" t="s">
        <v>1593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1594</v>
      </c>
      <c r="C579" s="5" t="s">
        <v>1595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1596</v>
      </c>
      <c r="C580" s="5" t="s">
        <v>1597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1598</v>
      </c>
      <c r="C581" s="5" t="s">
        <v>1599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997</v>
      </c>
      <c r="C582" s="5" t="s">
        <v>998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1600</v>
      </c>
      <c r="C583" s="5" t="s">
        <v>1601</v>
      </c>
      <c r="D583" s="5" t="s">
        <v>1130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1602</v>
      </c>
      <c r="C584" s="5" t="s">
        <v>1603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1604</v>
      </c>
      <c r="C585" s="5" t="s">
        <v>1605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1606</v>
      </c>
      <c r="C586" s="5" t="s">
        <v>1607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1608</v>
      </c>
      <c r="C587" s="5" t="s">
        <v>1609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1610</v>
      </c>
      <c r="C588" s="5" t="s">
        <v>1611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846</v>
      </c>
      <c r="C589" s="5" t="s">
        <v>847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1612</v>
      </c>
      <c r="C590" s="5" t="s">
        <v>1613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1614</v>
      </c>
      <c r="C591" s="5" t="s">
        <v>1615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1616</v>
      </c>
      <c r="C592" s="5" t="s">
        <v>1617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1618</v>
      </c>
      <c r="C593" s="5" t="s">
        <v>1619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1001</v>
      </c>
      <c r="C594" s="5" t="s">
        <v>1002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1620</v>
      </c>
      <c r="C595" s="5" t="s">
        <v>1621</v>
      </c>
      <c r="D595" s="5" t="s">
        <v>1125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1622</v>
      </c>
      <c r="C596" s="5" t="s">
        <v>1623</v>
      </c>
      <c r="D596" s="5" t="s">
        <v>955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1624</v>
      </c>
      <c r="C597" s="5" t="s">
        <v>1625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1626</v>
      </c>
      <c r="C598" s="5" t="s">
        <v>1627</v>
      </c>
      <c r="D598" s="5" t="s">
        <v>1125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1628</v>
      </c>
      <c r="C599" s="5" t="s">
        <v>1629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1003</v>
      </c>
      <c r="C600" s="5" t="s">
        <v>1004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1630</v>
      </c>
      <c r="C601" s="5" t="s">
        <v>1631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1632</v>
      </c>
      <c r="C602" s="5" t="s">
        <v>1633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1634</v>
      </c>
      <c r="C603" s="5" t="s">
        <v>1635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1636</v>
      </c>
      <c r="C604" s="5" t="s">
        <v>1637</v>
      </c>
      <c r="D604" s="5" t="s">
        <v>1638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1123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1641</v>
      </c>
      <c r="C606" s="5" t="s">
        <v>1642</v>
      </c>
      <c r="D606" s="5" t="s">
        <v>1123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1005</v>
      </c>
      <c r="C607" s="5" t="s">
        <v>1006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1643</v>
      </c>
      <c r="C608" s="5" t="s">
        <v>1644</v>
      </c>
      <c r="D608" s="5" t="s">
        <v>1125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1645</v>
      </c>
      <c r="C609" s="5" t="s">
        <v>1646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1647</v>
      </c>
      <c r="C610" s="5" t="s">
        <v>1648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1649</v>
      </c>
      <c r="C611" s="5" t="s">
        <v>1650</v>
      </c>
      <c r="D611" s="5" t="s">
        <v>2575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1651</v>
      </c>
      <c r="C612" s="5" t="s">
        <v>1652</v>
      </c>
      <c r="D612" s="5" t="s">
        <v>1125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1653</v>
      </c>
      <c r="C613" s="5" t="s">
        <v>1654</v>
      </c>
      <c r="D613" s="5" t="s">
        <v>1129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1655</v>
      </c>
      <c r="C614" s="5" t="s">
        <v>1656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1657</v>
      </c>
      <c r="C615" s="5" t="s">
        <v>1658</v>
      </c>
      <c r="D615" s="5" t="s">
        <v>1125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1659</v>
      </c>
      <c r="C616" s="5" t="s">
        <v>1660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1661</v>
      </c>
      <c r="C617" s="5" t="s">
        <v>1662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1663</v>
      </c>
      <c r="C618" s="5" t="s">
        <v>1664</v>
      </c>
      <c r="D618" s="5" t="s">
        <v>1123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1665</v>
      </c>
      <c r="C619" s="5" t="s">
        <v>1666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1667</v>
      </c>
      <c r="C620" s="5" t="s">
        <v>1668</v>
      </c>
      <c r="D620" s="5" t="s">
        <v>2572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1669</v>
      </c>
      <c r="C621" s="5" t="s">
        <v>1670</v>
      </c>
      <c r="D621" s="5" t="s">
        <v>1125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1671</v>
      </c>
      <c r="C622" s="5" t="s">
        <v>1672</v>
      </c>
      <c r="D622" s="5" t="s">
        <v>1129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1673</v>
      </c>
      <c r="C623" s="5" t="s">
        <v>1674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1675</v>
      </c>
      <c r="C624" s="5" t="s">
        <v>1676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1677</v>
      </c>
      <c r="C625" s="5" t="s">
        <v>1678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1679</v>
      </c>
      <c r="C626" s="5" t="s">
        <v>1680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1681</v>
      </c>
      <c r="C627" s="5" t="s">
        <v>1682</v>
      </c>
      <c r="D627" s="5" t="s">
        <v>955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1683</v>
      </c>
      <c r="C628" s="5" t="s">
        <v>1684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1685</v>
      </c>
      <c r="C629" s="5" t="s">
        <v>1686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1687</v>
      </c>
      <c r="C630" s="5" t="s">
        <v>1688</v>
      </c>
      <c r="D630" s="5" t="s">
        <v>1130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1689</v>
      </c>
      <c r="C631" s="5" t="s">
        <v>1690</v>
      </c>
      <c r="D631" s="5" t="s">
        <v>1127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1691</v>
      </c>
      <c r="C632" s="5" t="s">
        <v>1692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1693</v>
      </c>
      <c r="C633" s="5" t="s">
        <v>1694</v>
      </c>
      <c r="D633" s="5" t="s">
        <v>1130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1695</v>
      </c>
      <c r="C634" s="5" t="s">
        <v>1696</v>
      </c>
      <c r="D634" s="5" t="s">
        <v>1129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906</v>
      </c>
      <c r="C635" s="5" t="s">
        <v>907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1697</v>
      </c>
      <c r="C636" s="5" t="s">
        <v>1698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1699</v>
      </c>
      <c r="C637" s="5" t="s">
        <v>1700</v>
      </c>
      <c r="D637" s="5" t="s">
        <v>1129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1701</v>
      </c>
      <c r="C638" s="5" t="s">
        <v>1702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1703</v>
      </c>
      <c r="C639" s="5" t="s">
        <v>1704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1009</v>
      </c>
      <c r="C640" s="5" t="s">
        <v>1010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1705</v>
      </c>
      <c r="C641" s="5" t="s">
        <v>1706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1707</v>
      </c>
      <c r="C642" s="5" t="s">
        <v>1708</v>
      </c>
      <c r="D642" s="5" t="s">
        <v>1125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1709</v>
      </c>
      <c r="C643" s="5" t="s">
        <v>1710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1711</v>
      </c>
      <c r="C644" s="5" t="s">
        <v>1712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1713</v>
      </c>
      <c r="C645" s="5" t="s">
        <v>1714</v>
      </c>
      <c r="D645" s="5" t="s">
        <v>1124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1715</v>
      </c>
      <c r="C646" s="5" t="s">
        <v>1716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1717</v>
      </c>
      <c r="C647" s="5" t="s">
        <v>1718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1719</v>
      </c>
      <c r="C648" s="5" t="s">
        <v>1720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1721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1723</v>
      </c>
      <c r="D650" s="5" t="s">
        <v>2576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1724</v>
      </c>
      <c r="C651" s="5" t="s">
        <v>1725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1726</v>
      </c>
      <c r="C652" s="5" t="s">
        <v>1727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1728</v>
      </c>
      <c r="C653" s="5" t="s">
        <v>1729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1013</v>
      </c>
      <c r="C654" s="5" t="s">
        <v>1014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1730</v>
      </c>
      <c r="C655" s="5" t="s">
        <v>1731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1732</v>
      </c>
      <c r="C656" s="5" t="s">
        <v>1733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1734</v>
      </c>
      <c r="C657" s="5" t="s">
        <v>1735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1736</v>
      </c>
      <c r="C658" s="5" t="s">
        <v>1737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1738</v>
      </c>
      <c r="C659" s="5" t="s">
        <v>1739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1740</v>
      </c>
      <c r="C660" s="5" t="s">
        <v>1741</v>
      </c>
      <c r="D660" s="5" t="s">
        <v>1126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1742</v>
      </c>
      <c r="C661" s="5" t="s">
        <v>1743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1744</v>
      </c>
      <c r="C662" s="5" t="s">
        <v>1745</v>
      </c>
      <c r="D662" s="5" t="s">
        <v>1124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1746</v>
      </c>
      <c r="C663" s="5" t="s">
        <v>1747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1748</v>
      </c>
      <c r="C664" s="5" t="s">
        <v>1749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1750</v>
      </c>
      <c r="C665" s="5" t="s">
        <v>1751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1752</v>
      </c>
      <c r="C666" s="5" t="s">
        <v>1753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1754</v>
      </c>
      <c r="C667" s="5" t="s">
        <v>1755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1756</v>
      </c>
      <c r="C668" s="5" t="s">
        <v>1757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1758</v>
      </c>
      <c r="C669" s="5" t="s">
        <v>1759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1760</v>
      </c>
      <c r="C670" s="5" t="s">
        <v>1761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1762</v>
      </c>
      <c r="C671" s="5" t="s">
        <v>1763</v>
      </c>
      <c r="D671" s="5" t="s">
        <v>1123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1764</v>
      </c>
      <c r="C672" s="5" t="s">
        <v>1765</v>
      </c>
      <c r="D672" s="5" t="s">
        <v>1129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1766</v>
      </c>
      <c r="C673" s="5" t="s">
        <v>1767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1019</v>
      </c>
      <c r="C674" s="5" t="s">
        <v>1020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1768</v>
      </c>
      <c r="C675" s="5" t="s">
        <v>1769</v>
      </c>
      <c r="D675" s="5" t="s">
        <v>2575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1770</v>
      </c>
      <c r="C676" s="5" t="s">
        <v>1771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1772</v>
      </c>
      <c r="C677" s="5" t="s">
        <v>1773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1774</v>
      </c>
      <c r="C678" s="5" t="s">
        <v>886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1776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1777</v>
      </c>
      <c r="C680" s="5" t="s">
        <v>1778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1779</v>
      </c>
      <c r="C681" s="5" t="s">
        <v>1780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1781</v>
      </c>
      <c r="C682" s="5" t="s">
        <v>1782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1783</v>
      </c>
      <c r="C683" s="5" t="s">
        <v>1784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1785</v>
      </c>
      <c r="C684" s="5" t="s">
        <v>1786</v>
      </c>
      <c r="D684" s="5" t="s">
        <v>1123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1787</v>
      </c>
      <c r="C685" s="5" t="s">
        <v>1788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1027</v>
      </c>
      <c r="C686" s="5" t="s">
        <v>1028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1789</v>
      </c>
      <c r="C687" s="5" t="s">
        <v>1790</v>
      </c>
      <c r="D687" s="5" t="s">
        <v>2569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1791</v>
      </c>
      <c r="C688" s="5" t="s">
        <v>1792</v>
      </c>
      <c r="D688" s="5" t="s">
        <v>955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1793</v>
      </c>
      <c r="C689" s="5" t="s">
        <v>1794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1795</v>
      </c>
      <c r="C690" s="5" t="s">
        <v>1796</v>
      </c>
      <c r="D690" s="5" t="s">
        <v>1123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1029</v>
      </c>
      <c r="C691" s="5" t="s">
        <v>1030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1797</v>
      </c>
      <c r="C692" s="5" t="s">
        <v>1798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1799</v>
      </c>
      <c r="C693" s="5" t="s">
        <v>1800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1801</v>
      </c>
      <c r="C694" s="5" t="s">
        <v>1802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1803</v>
      </c>
      <c r="C695" s="5" t="s">
        <v>1804</v>
      </c>
      <c r="D695" s="5" t="s">
        <v>1123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1805</v>
      </c>
      <c r="C696" s="5" t="s">
        <v>1806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1807</v>
      </c>
      <c r="C697" s="5" t="s">
        <v>1808</v>
      </c>
      <c r="D697" s="5" t="s">
        <v>1130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1031</v>
      </c>
      <c r="C698" s="5" t="s">
        <v>1032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1809</v>
      </c>
      <c r="C699" s="5" t="s">
        <v>1810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1811</v>
      </c>
      <c r="C700" s="5" t="s">
        <v>1812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1813</v>
      </c>
      <c r="C701" s="5" t="s">
        <v>1814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1815</v>
      </c>
      <c r="C702" s="5" t="s">
        <v>1816</v>
      </c>
      <c r="D702" s="5" t="s">
        <v>1130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1817</v>
      </c>
      <c r="C703" s="5" t="s">
        <v>1818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1819</v>
      </c>
      <c r="C704" s="5" t="s">
        <v>1820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1821</v>
      </c>
      <c r="C705" s="5" t="s">
        <v>1822</v>
      </c>
      <c r="D705" s="5" t="s">
        <v>1123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1823</v>
      </c>
      <c r="C706" s="5" t="s">
        <v>1824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1825</v>
      </c>
      <c r="C707" s="5" t="s">
        <v>1826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1827</v>
      </c>
      <c r="C708" s="5" t="s">
        <v>1828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1829</v>
      </c>
      <c r="C709" s="5" t="s">
        <v>1830</v>
      </c>
      <c r="D709" s="5" t="s">
        <v>2579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1831</v>
      </c>
      <c r="C710" s="5" t="s">
        <v>1832</v>
      </c>
      <c r="D710" s="5" t="s">
        <v>1129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1833</v>
      </c>
      <c r="C711" s="5" t="s">
        <v>1834</v>
      </c>
      <c r="D711" s="5" t="s">
        <v>1125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1835</v>
      </c>
      <c r="C712" s="5" t="s">
        <v>1836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1837</v>
      </c>
      <c r="C713" s="5" t="s">
        <v>1838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1839</v>
      </c>
      <c r="C714" s="5" t="s">
        <v>1840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1841</v>
      </c>
      <c r="C715" s="5" t="s">
        <v>1842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1843</v>
      </c>
      <c r="C716" s="5" t="s">
        <v>1844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1845</v>
      </c>
      <c r="C717" s="5" t="s">
        <v>1846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1847</v>
      </c>
      <c r="C718" s="5" t="s">
        <v>1848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1849</v>
      </c>
      <c r="C719" s="5" t="s">
        <v>1850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1851</v>
      </c>
      <c r="C720" s="5" t="s">
        <v>1852</v>
      </c>
      <c r="D720" s="5" t="s">
        <v>1130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1853</v>
      </c>
      <c r="C721" s="5" t="s">
        <v>1854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1855</v>
      </c>
      <c r="C722" s="5" t="s">
        <v>1856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1857</v>
      </c>
      <c r="C723" s="5" t="s">
        <v>1858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1859</v>
      </c>
      <c r="C724" s="5" t="s">
        <v>1860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1861</v>
      </c>
      <c r="C725" s="5" t="s">
        <v>1862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1863</v>
      </c>
      <c r="C726" s="5" t="s">
        <v>1864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1865</v>
      </c>
      <c r="C727" s="5" t="s">
        <v>1866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1867</v>
      </c>
      <c r="C728" s="5" t="s">
        <v>1868</v>
      </c>
      <c r="D728" s="5" t="s">
        <v>1129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1869</v>
      </c>
      <c r="C729" s="5" t="s">
        <v>1870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1871</v>
      </c>
      <c r="C730" s="5" t="s">
        <v>1872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1035</v>
      </c>
      <c r="C731" s="5" t="s">
        <v>1036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1873</v>
      </c>
      <c r="C732" s="5" t="s">
        <v>1874</v>
      </c>
      <c r="D732" s="5" t="s">
        <v>955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1875</v>
      </c>
      <c r="C733" s="5" t="s">
        <v>1876</v>
      </c>
      <c r="D733" s="5" t="s">
        <v>1126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1877</v>
      </c>
      <c r="C734" s="5" t="s">
        <v>1878</v>
      </c>
      <c r="D734" s="5" t="s">
        <v>955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1879</v>
      </c>
      <c r="C735" s="5" t="s">
        <v>1880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1881</v>
      </c>
      <c r="C736" s="5" t="s">
        <v>1882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1883</v>
      </c>
      <c r="C737" s="5" t="s">
        <v>1884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1885</v>
      </c>
      <c r="C738" s="5" t="s">
        <v>1886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1887</v>
      </c>
      <c r="C739" s="5" t="s">
        <v>1888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1889</v>
      </c>
      <c r="C740" s="5" t="s">
        <v>1890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1891</v>
      </c>
      <c r="C741" s="5" t="s">
        <v>1892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1893</v>
      </c>
      <c r="C742" s="5" t="s">
        <v>1894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1895</v>
      </c>
      <c r="C743" s="5" t="s">
        <v>1896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1897</v>
      </c>
      <c r="C744" s="5" t="s">
        <v>1898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1899</v>
      </c>
      <c r="C745" s="5" t="s">
        <v>1900</v>
      </c>
      <c r="D745" s="5" t="s">
        <v>1127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1901</v>
      </c>
      <c r="C746" s="5" t="s">
        <v>1902</v>
      </c>
      <c r="D746" s="5" t="s">
        <v>1129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1903</v>
      </c>
      <c r="C747" s="5" t="s">
        <v>1904</v>
      </c>
      <c r="D747" s="5" t="s">
        <v>1123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1905</v>
      </c>
      <c r="C748" s="5" t="s">
        <v>1906</v>
      </c>
      <c r="D748" s="5" t="s">
        <v>2572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1907</v>
      </c>
      <c r="C749" s="5" t="s">
        <v>1908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1909</v>
      </c>
      <c r="C750" s="5" t="s">
        <v>1910</v>
      </c>
      <c r="D750" s="5" t="s">
        <v>2569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1911</v>
      </c>
      <c r="C751" s="5" t="s">
        <v>1912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1913</v>
      </c>
      <c r="C752" s="5" t="s">
        <v>1914</v>
      </c>
      <c r="D752" s="5" t="s">
        <v>1129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1915</v>
      </c>
      <c r="C753" s="5" t="s">
        <v>1916</v>
      </c>
      <c r="D753" s="5" t="s">
        <v>955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1917</v>
      </c>
      <c r="C754" s="5" t="s">
        <v>1918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1919</v>
      </c>
      <c r="C755" s="5" t="s">
        <v>1920</v>
      </c>
      <c r="D755" s="5" t="s">
        <v>1127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1921</v>
      </c>
      <c r="C756" s="5" t="s">
        <v>1922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1923</v>
      </c>
      <c r="C757" s="5" t="s">
        <v>1924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1925</v>
      </c>
      <c r="C758" s="5" t="s">
        <v>1926</v>
      </c>
      <c r="D758" s="5" t="s">
        <v>1129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1927</v>
      </c>
      <c r="C759" s="5" t="s">
        <v>1928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1929</v>
      </c>
      <c r="C760" s="5" t="s">
        <v>1930</v>
      </c>
      <c r="D760" s="5" t="s">
        <v>1129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1931</v>
      </c>
      <c r="C761" s="5" t="s">
        <v>1932</v>
      </c>
      <c r="D761" s="5" t="s">
        <v>1125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1933</v>
      </c>
      <c r="C762" s="5" t="s">
        <v>1934</v>
      </c>
      <c r="D762" s="5" t="s">
        <v>2576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1935</v>
      </c>
      <c r="C763" s="5" t="s">
        <v>1936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1937</v>
      </c>
      <c r="C764" s="5" t="s">
        <v>1938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1939</v>
      </c>
      <c r="C765" s="5" t="s">
        <v>1940</v>
      </c>
      <c r="D765" s="5" t="s">
        <v>1130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1941</v>
      </c>
      <c r="C766" s="5" t="s">
        <v>1942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1943</v>
      </c>
      <c r="C767" s="5" t="s">
        <v>1944</v>
      </c>
      <c r="D767" s="5" t="s">
        <v>2575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1945</v>
      </c>
      <c r="C768" s="5" t="s">
        <v>1946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1947</v>
      </c>
      <c r="C769" s="5" t="s">
        <v>1948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1949</v>
      </c>
      <c r="C770" s="5" t="s">
        <v>1950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1951</v>
      </c>
      <c r="C771" s="5" t="s">
        <v>1952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1953</v>
      </c>
      <c r="C772" s="5" t="s">
        <v>1954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1955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1957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1041</v>
      </c>
      <c r="C775" s="5" t="s">
        <v>1042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1043</v>
      </c>
      <c r="C776" s="5" t="s">
        <v>1044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1958</v>
      </c>
      <c r="C777" s="5" t="s">
        <v>1959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1960</v>
      </c>
      <c r="C778" s="5" t="s">
        <v>1961</v>
      </c>
      <c r="D778" s="5" t="s">
        <v>1125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1962</v>
      </c>
      <c r="C779" s="5" t="s">
        <v>1963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1964</v>
      </c>
      <c r="C780" s="5" t="s">
        <v>1965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1966</v>
      </c>
      <c r="C781" s="5" t="s">
        <v>1967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1968</v>
      </c>
      <c r="C782" s="5" t="s">
        <v>1969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1970</v>
      </c>
      <c r="C783" s="5" t="s">
        <v>1971</v>
      </c>
      <c r="D783" s="5" t="s">
        <v>1123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1972</v>
      </c>
      <c r="C784" s="5" t="s">
        <v>1973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1974</v>
      </c>
      <c r="C785" s="5" t="s">
        <v>1975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1976</v>
      </c>
      <c r="C786" s="5" t="s">
        <v>1977</v>
      </c>
      <c r="D786" s="5" t="s">
        <v>1125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1978</v>
      </c>
      <c r="C787" s="5" t="s">
        <v>1979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1980</v>
      </c>
      <c r="C788" s="5" t="s">
        <v>1981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1982</v>
      </c>
      <c r="C789" s="5" t="s">
        <v>1983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1984</v>
      </c>
      <c r="C790" s="5" t="s">
        <v>1985</v>
      </c>
      <c r="D790" s="5" t="s">
        <v>1125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1986</v>
      </c>
      <c r="C791" s="5" t="s">
        <v>1987</v>
      </c>
      <c r="D791" s="5" t="s">
        <v>1129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1988</v>
      </c>
      <c r="C792" s="5" t="s">
        <v>1989</v>
      </c>
      <c r="D792" s="5" t="s">
        <v>1129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1990</v>
      </c>
      <c r="C793" s="5" t="s">
        <v>1991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1992</v>
      </c>
      <c r="C794" s="5" t="s">
        <v>1993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1994</v>
      </c>
      <c r="C795" s="5" t="s">
        <v>1995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1996</v>
      </c>
      <c r="C796" s="5" t="s">
        <v>1997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1998</v>
      </c>
      <c r="C797" s="5" t="s">
        <v>1999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2000</v>
      </c>
      <c r="C798" s="5" t="s">
        <v>2001</v>
      </c>
      <c r="D798" s="5" t="s">
        <v>2569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2002</v>
      </c>
      <c r="C799" s="5" t="s">
        <v>2003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2004</v>
      </c>
      <c r="C800" s="5" t="s">
        <v>2005</v>
      </c>
      <c r="D800" s="5" t="s">
        <v>1129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2006</v>
      </c>
      <c r="C801" s="5" t="s">
        <v>2007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2008</v>
      </c>
      <c r="C802" s="5" t="s">
        <v>2009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2010</v>
      </c>
      <c r="C803" s="5" t="s">
        <v>2011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2012</v>
      </c>
      <c r="C804" s="5" t="s">
        <v>2013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2014</v>
      </c>
      <c r="C805" s="5" t="s">
        <v>2015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2016</v>
      </c>
      <c r="C806" s="5" t="s">
        <v>2017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2018</v>
      </c>
      <c r="C807" s="5" t="s">
        <v>2019</v>
      </c>
      <c r="D807" s="5" t="s">
        <v>1127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2020</v>
      </c>
      <c r="C808" s="5" t="s">
        <v>2021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2022</v>
      </c>
      <c r="C809" s="5" t="s">
        <v>2023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2024</v>
      </c>
      <c r="C810" s="5" t="s">
        <v>2025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2026</v>
      </c>
      <c r="C811" s="5" t="s">
        <v>2027</v>
      </c>
      <c r="D811" s="5" t="s">
        <v>1125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2028</v>
      </c>
      <c r="C812" s="5" t="s">
        <v>2029</v>
      </c>
      <c r="D812" s="5" t="s">
        <v>1130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2030</v>
      </c>
      <c r="C813" s="5" t="s">
        <v>2031</v>
      </c>
      <c r="D813" s="5" t="s">
        <v>2578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2032</v>
      </c>
      <c r="C814" s="5" t="s">
        <v>2033</v>
      </c>
      <c r="D814" s="5" t="s">
        <v>1129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2034</v>
      </c>
      <c r="C815" s="5" t="s">
        <v>2035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2036</v>
      </c>
      <c r="C816" s="5" t="s">
        <v>2037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2038</v>
      </c>
      <c r="C817" s="5" t="s">
        <v>2039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2040</v>
      </c>
      <c r="C818" s="5" t="s">
        <v>2041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2042</v>
      </c>
      <c r="C819" s="5" t="s">
        <v>2043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2044</v>
      </c>
      <c r="C820" s="5" t="s">
        <v>2045</v>
      </c>
      <c r="D820" s="5" t="s">
        <v>1125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2046</v>
      </c>
      <c r="C821" s="5" t="s">
        <v>2047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2048</v>
      </c>
      <c r="C822" s="5" t="s">
        <v>2049</v>
      </c>
      <c r="D822" s="5" t="s">
        <v>2570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2050</v>
      </c>
      <c r="C823" s="5" t="s">
        <v>2051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2052</v>
      </c>
      <c r="C824" s="5" t="s">
        <v>2053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2054</v>
      </c>
      <c r="C825" s="5" t="s">
        <v>2055</v>
      </c>
      <c r="D825" s="5" t="s">
        <v>1126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2056</v>
      </c>
      <c r="C826" s="5" t="s">
        <v>2057</v>
      </c>
      <c r="D826" s="5" t="s">
        <v>1123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2058</v>
      </c>
      <c r="C827" s="5" t="s">
        <v>2059</v>
      </c>
      <c r="D827" s="5" t="s">
        <v>1123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2060</v>
      </c>
      <c r="C828" s="5" t="s">
        <v>2061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2062</v>
      </c>
      <c r="C829" s="5" t="s">
        <v>2063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2064</v>
      </c>
      <c r="C830" s="5" t="s">
        <v>2065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2066</v>
      </c>
      <c r="C831" s="5" t="s">
        <v>2067</v>
      </c>
      <c r="D831" s="5" t="s">
        <v>1129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2068</v>
      </c>
      <c r="C832" s="5" t="s">
        <v>2069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2070</v>
      </c>
      <c r="C833" s="5" t="s">
        <v>2071</v>
      </c>
      <c r="D833" s="5" t="s">
        <v>2577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2072</v>
      </c>
      <c r="C834" s="5" t="s">
        <v>2073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2074</v>
      </c>
      <c r="C835" s="5" t="s">
        <v>2075</v>
      </c>
      <c r="D835" s="5" t="s">
        <v>1129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2076</v>
      </c>
      <c r="C836" s="5" t="s">
        <v>2077</v>
      </c>
      <c r="D836" s="5" t="s">
        <v>2569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2078</v>
      </c>
      <c r="C837" s="5" t="s">
        <v>2079</v>
      </c>
      <c r="D837" s="5" t="s">
        <v>2576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2080</v>
      </c>
      <c r="C838" s="5" t="s">
        <v>2081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2082</v>
      </c>
      <c r="C839" s="5" t="s">
        <v>2083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2084</v>
      </c>
      <c r="C840" s="5" t="s">
        <v>2085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2086</v>
      </c>
      <c r="C841" s="5" t="s">
        <v>2087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2088</v>
      </c>
      <c r="C842" s="5" t="s">
        <v>2089</v>
      </c>
      <c r="D842" s="5" t="s">
        <v>1130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2090</v>
      </c>
      <c r="C843" s="5" t="s">
        <v>2091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2092</v>
      </c>
      <c r="C844" s="5" t="s">
        <v>2093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2094</v>
      </c>
      <c r="C845" s="5" t="s">
        <v>2095</v>
      </c>
      <c r="D845" s="5" t="s">
        <v>1123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2096</v>
      </c>
      <c r="C846" s="5" t="s">
        <v>2097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2098</v>
      </c>
      <c r="C847" s="5" t="s">
        <v>2099</v>
      </c>
      <c r="D847" s="5" t="s">
        <v>1123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1055</v>
      </c>
      <c r="C848" s="5" t="s">
        <v>1056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2100</v>
      </c>
      <c r="C849" s="5" t="s">
        <v>2101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2102</v>
      </c>
      <c r="C850" s="5" t="s">
        <v>2103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2104</v>
      </c>
      <c r="C851" s="5" t="s">
        <v>2105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2106</v>
      </c>
      <c r="C852" s="5" t="s">
        <v>2107</v>
      </c>
      <c r="D852" s="5" t="s">
        <v>1129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2108</v>
      </c>
      <c r="C853" s="5" t="s">
        <v>2109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2110</v>
      </c>
      <c r="C854" s="5" t="s">
        <v>2111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2112</v>
      </c>
      <c r="C855" s="5" t="s">
        <v>2113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2114</v>
      </c>
      <c r="C856" s="5" t="s">
        <v>2115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2116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s">
        <v>2118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2119</v>
      </c>
      <c r="C859" s="5" t="s">
        <v>2120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2121</v>
      </c>
      <c r="C860" s="5" t="s">
        <v>2122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2123</v>
      </c>
      <c r="C861" s="5" t="s">
        <v>2124</v>
      </c>
      <c r="D861" s="5" t="s">
        <v>1123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2125</v>
      </c>
      <c r="C862" s="5" t="s">
        <v>2126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2127</v>
      </c>
      <c r="C863" s="5" t="s">
        <v>2128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2129</v>
      </c>
      <c r="C864" s="5" t="s">
        <v>2130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2131</v>
      </c>
      <c r="C865" s="5" t="s">
        <v>2132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2133</v>
      </c>
      <c r="C866" s="5" t="s">
        <v>2134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2135</v>
      </c>
      <c r="C867" s="5" t="s">
        <v>2136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2137</v>
      </c>
      <c r="C868" s="5" t="s">
        <v>2138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2139</v>
      </c>
      <c r="C869" s="5" t="s">
        <v>2140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2141</v>
      </c>
      <c r="C870" s="5" t="s">
        <v>2142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2143</v>
      </c>
      <c r="C871" s="5" t="s">
        <v>2144</v>
      </c>
      <c r="D871" s="5" t="s">
        <v>1125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2145</v>
      </c>
      <c r="C872" s="5" t="s">
        <v>2146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2147</v>
      </c>
      <c r="C873" s="5" t="s">
        <v>2148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2149</v>
      </c>
      <c r="C874" s="5" t="s">
        <v>2150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2151</v>
      </c>
      <c r="C875" s="5" t="s">
        <v>2152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2153</v>
      </c>
      <c r="C876" s="5" t="s">
        <v>2154</v>
      </c>
      <c r="D876" s="5" t="s">
        <v>2569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2155</v>
      </c>
      <c r="C877" s="5" t="s">
        <v>2156</v>
      </c>
      <c r="D877" s="5" t="s">
        <v>2574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2157</v>
      </c>
      <c r="C878" s="5" t="s">
        <v>2158</v>
      </c>
      <c r="D878" s="5" t="s">
        <v>1129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2159</v>
      </c>
      <c r="C879" s="5" t="s">
        <v>2160</v>
      </c>
      <c r="D879" s="5" t="s">
        <v>1125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2161</v>
      </c>
      <c r="C880" s="5" t="s">
        <v>2162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2163</v>
      </c>
      <c r="C881" s="5" t="s">
        <v>2164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2165</v>
      </c>
      <c r="C882" s="5" t="s">
        <v>2166</v>
      </c>
      <c r="D882" s="5" t="s">
        <v>1125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2167</v>
      </c>
      <c r="C883" s="5" t="s">
        <v>2168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2169</v>
      </c>
      <c r="C884" s="5" t="s">
        <v>2170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2171</v>
      </c>
      <c r="C885" s="5" t="s">
        <v>2172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2173</v>
      </c>
      <c r="C886" s="5" t="s">
        <v>2174</v>
      </c>
      <c r="D886" s="5" t="s">
        <v>2569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1061</v>
      </c>
      <c r="C887" s="5" t="s">
        <v>1062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2175</v>
      </c>
      <c r="C888" s="5" t="s">
        <v>2176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2177</v>
      </c>
      <c r="C889" s="5" t="s">
        <v>2178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2179</v>
      </c>
      <c r="C890" s="5" t="s">
        <v>2180</v>
      </c>
      <c r="D890" s="5" t="s">
        <v>1130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2181</v>
      </c>
      <c r="C891" s="5" t="s">
        <v>2182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2183</v>
      </c>
      <c r="C892" s="5" t="s">
        <v>2184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2185</v>
      </c>
      <c r="C893" s="5" t="s">
        <v>2186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2187</v>
      </c>
      <c r="C894" s="5" t="s">
        <v>2188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2189</v>
      </c>
      <c r="C895" s="5" t="s">
        <v>2190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2191</v>
      </c>
      <c r="C896" s="5" t="s">
        <v>2192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2193</v>
      </c>
      <c r="C897" s="5" t="s">
        <v>2194</v>
      </c>
      <c r="D897" s="5" t="s">
        <v>1125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2195</v>
      </c>
      <c r="C898" s="5" t="s">
        <v>2196</v>
      </c>
      <c r="D898" s="5" t="s">
        <v>1130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2197</v>
      </c>
      <c r="C899" s="5" t="s">
        <v>2198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2199</v>
      </c>
      <c r="C900" s="5" t="s">
        <v>2200</v>
      </c>
      <c r="D900" s="5" t="s">
        <v>2575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2201</v>
      </c>
      <c r="C901" s="5" t="s">
        <v>2202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2203</v>
      </c>
      <c r="C902" s="5" t="s">
        <v>2204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2205</v>
      </c>
      <c r="C903" s="5" t="s">
        <v>2206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2207</v>
      </c>
      <c r="C904" s="5" t="s">
        <v>2208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2209</v>
      </c>
      <c r="C905" s="5" t="s">
        <v>2210</v>
      </c>
      <c r="D905" s="5" t="s">
        <v>1125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2211</v>
      </c>
      <c r="C906" s="5" t="s">
        <v>2212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2213</v>
      </c>
      <c r="C907" s="5" t="s">
        <v>2214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2215</v>
      </c>
      <c r="C908" s="5" t="s">
        <v>2216</v>
      </c>
      <c r="D908" s="5" t="s">
        <v>1130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2217</v>
      </c>
      <c r="C909" s="5" t="s">
        <v>2218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2219</v>
      </c>
      <c r="C910" s="5" t="s">
        <v>2220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2221</v>
      </c>
      <c r="C911" s="5" t="s">
        <v>2222</v>
      </c>
      <c r="D911" s="5" t="s">
        <v>1130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2223</v>
      </c>
      <c r="C912" s="5" t="s">
        <v>2224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2225</v>
      </c>
      <c r="C913" s="5" t="s">
        <v>2226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2227</v>
      </c>
      <c r="C914" s="5" t="s">
        <v>2228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2229</v>
      </c>
      <c r="C915" s="5" t="s">
        <v>2230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2231</v>
      </c>
      <c r="C916" s="5" t="s">
        <v>2232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2233</v>
      </c>
      <c r="C917" s="5" t="s">
        <v>2234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2235</v>
      </c>
      <c r="C918" s="5" t="s">
        <v>2236</v>
      </c>
      <c r="D918" s="5" t="s">
        <v>2574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2237</v>
      </c>
      <c r="C919" s="5" t="s">
        <v>2238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2239</v>
      </c>
      <c r="C920" s="5" t="s">
        <v>2240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2241</v>
      </c>
      <c r="C921" s="5" t="s">
        <v>2242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2243</v>
      </c>
      <c r="C922" s="5" t="s">
        <v>2244</v>
      </c>
      <c r="D922" s="5" t="s">
        <v>1129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2245</v>
      </c>
      <c r="C923" s="5" t="s">
        <v>2246</v>
      </c>
      <c r="D923" s="5" t="s">
        <v>1125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2247</v>
      </c>
      <c r="C924" s="5" t="s">
        <v>2248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2249</v>
      </c>
      <c r="C925" s="5" t="s">
        <v>2250</v>
      </c>
      <c r="D925" s="5" t="s">
        <v>1129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2251</v>
      </c>
      <c r="C926" s="5" t="s">
        <v>2252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2253</v>
      </c>
      <c r="C927" s="5" t="s">
        <v>2254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2255</v>
      </c>
      <c r="C928" s="5" t="s">
        <v>2256</v>
      </c>
      <c r="D928" s="5" t="s">
        <v>2572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2257</v>
      </c>
      <c r="C929" s="5" t="s">
        <v>2258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2259</v>
      </c>
      <c r="C930" s="5" t="s">
        <v>2260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2261</v>
      </c>
      <c r="C931" s="5" t="s">
        <v>2262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2263</v>
      </c>
      <c r="C932" s="5" t="s">
        <v>2264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2265</v>
      </c>
      <c r="C933" s="5" t="s">
        <v>2266</v>
      </c>
      <c r="D933" s="5" t="s">
        <v>2574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2267</v>
      </c>
      <c r="C934" s="5" t="s">
        <v>2268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2269</v>
      </c>
      <c r="C935" s="5" t="s">
        <v>2270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1073</v>
      </c>
      <c r="C936" s="5" t="s">
        <v>1074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2271</v>
      </c>
      <c r="C937" s="5" t="s">
        <v>2272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2273</v>
      </c>
      <c r="C938" s="5" t="s">
        <v>2274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2275</v>
      </c>
      <c r="C939" s="5" t="s">
        <v>2276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2277</v>
      </c>
      <c r="C940" s="5" t="s">
        <v>2278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2279</v>
      </c>
      <c r="C941" s="5" t="s">
        <v>2280</v>
      </c>
      <c r="D941" s="5" t="s">
        <v>1130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2281</v>
      </c>
      <c r="C942" s="5" t="s">
        <v>2282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2283</v>
      </c>
      <c r="C943" s="5" t="s">
        <v>2284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2285</v>
      </c>
      <c r="C944" s="5" t="s">
        <v>2286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2287</v>
      </c>
      <c r="C945" s="5" t="s">
        <v>2288</v>
      </c>
      <c r="D945" s="5" t="s">
        <v>1124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2289</v>
      </c>
      <c r="C946" s="5" t="s">
        <v>2290</v>
      </c>
      <c r="D946" s="5" t="s">
        <v>1130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2291</v>
      </c>
      <c r="C947" s="5" t="s">
        <v>2292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2293</v>
      </c>
      <c r="C948" s="5" t="s">
        <v>2294</v>
      </c>
      <c r="D948" s="5" t="s">
        <v>1129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2295</v>
      </c>
      <c r="C949" s="5" t="s">
        <v>2296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2297</v>
      </c>
      <c r="C950" s="5" t="s">
        <v>2298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1077</v>
      </c>
      <c r="C951" s="5" t="s">
        <v>1078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2299</v>
      </c>
      <c r="C952" s="5" t="s">
        <v>2300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2301</v>
      </c>
      <c r="C953" s="5" t="s">
        <v>2302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2303</v>
      </c>
      <c r="C954" s="5" t="s">
        <v>2304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2305</v>
      </c>
      <c r="C955" s="5" t="s">
        <v>2306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2307</v>
      </c>
      <c r="C956" s="5" t="s">
        <v>2308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2309</v>
      </c>
      <c r="C957" s="5" t="s">
        <v>2310</v>
      </c>
      <c r="D957" s="5" t="s">
        <v>1130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2311</v>
      </c>
      <c r="C958" s="5" t="s">
        <v>2312</v>
      </c>
      <c r="D958" s="5" t="s">
        <v>1130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2313</v>
      </c>
      <c r="C959" s="5" t="s">
        <v>2314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2315</v>
      </c>
      <c r="C960" s="5" t="s">
        <v>2316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2317</v>
      </c>
      <c r="C961" s="5" t="s">
        <v>2318</v>
      </c>
      <c r="D961" s="5" t="s">
        <v>1126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1081</v>
      </c>
      <c r="C962" s="5" t="s">
        <v>1082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1083</v>
      </c>
      <c r="C963" s="5" t="s">
        <v>1084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2319</v>
      </c>
      <c r="C964" s="5" t="s">
        <v>2320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2321</v>
      </c>
      <c r="C965" s="5" t="s">
        <v>2322</v>
      </c>
      <c r="D965" s="5" t="s">
        <v>1130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2323</v>
      </c>
      <c r="C966" s="5" t="s">
        <v>2324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2325</v>
      </c>
      <c r="C967" s="5" t="s">
        <v>2326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2327</v>
      </c>
      <c r="C968" s="5" t="s">
        <v>2328</v>
      </c>
      <c r="D968" s="5" t="s">
        <v>2573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2329</v>
      </c>
      <c r="C969" s="5" t="s">
        <v>2330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2331</v>
      </c>
      <c r="C970" s="5" t="s">
        <v>2332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2333</v>
      </c>
      <c r="C971" s="5" t="s">
        <v>2334</v>
      </c>
      <c r="D971" s="5" t="s">
        <v>2572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2335</v>
      </c>
      <c r="C972" s="5" t="s">
        <v>2336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2337</v>
      </c>
      <c r="C973" s="5" t="s">
        <v>2338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2339</v>
      </c>
      <c r="C974" s="5" t="s">
        <v>2340</v>
      </c>
      <c r="D974" s="5" t="s">
        <v>1125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2341</v>
      </c>
      <c r="C975" s="5" t="s">
        <v>2342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2343</v>
      </c>
      <c r="C976" s="5" t="s">
        <v>2344</v>
      </c>
      <c r="D976" s="5" t="s">
        <v>1127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2345</v>
      </c>
      <c r="C977" s="5" t="s">
        <v>2346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2347</v>
      </c>
      <c r="C978" s="5" t="s">
        <v>2348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2349</v>
      </c>
      <c r="C979" s="5" t="s">
        <v>2349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2351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2352</v>
      </c>
      <c r="C981" s="5" t="s">
        <v>2353</v>
      </c>
      <c r="D981" s="5" t="s">
        <v>1125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1091</v>
      </c>
      <c r="C982" s="5" t="s">
        <v>1092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2354</v>
      </c>
      <c r="C983" s="5" t="s">
        <v>2355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2356</v>
      </c>
      <c r="C984" s="5" t="s">
        <v>2357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2358</v>
      </c>
      <c r="C985" s="5" t="s">
        <v>2359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2360</v>
      </c>
      <c r="C986" s="5" t="s">
        <v>2361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2362</v>
      </c>
      <c r="C987" s="5" t="s">
        <v>2363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2364</v>
      </c>
      <c r="C988" s="5" t="s">
        <v>2365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2366</v>
      </c>
      <c r="C989" s="5" t="s">
        <v>2367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2368</v>
      </c>
      <c r="C990" s="5" t="s">
        <v>2369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2370</v>
      </c>
      <c r="C991" s="5" t="s">
        <v>2371</v>
      </c>
      <c r="D991" s="5" t="s">
        <v>1123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2372</v>
      </c>
      <c r="C992" s="5" t="s">
        <v>2373</v>
      </c>
      <c r="D992" s="5" t="s">
        <v>1125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1097</v>
      </c>
      <c r="C993" s="5" t="s">
        <v>1098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2374</v>
      </c>
      <c r="C994" s="5" t="s">
        <v>2375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2376</v>
      </c>
      <c r="C995" s="5" t="s">
        <v>2377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2378</v>
      </c>
      <c r="C996" s="5" t="s">
        <v>2379</v>
      </c>
      <c r="D996" s="5" t="s">
        <v>2571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2380</v>
      </c>
      <c r="C997" s="5" t="s">
        <v>2381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2382</v>
      </c>
      <c r="C998" s="5" t="s">
        <v>2383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2384</v>
      </c>
      <c r="C999" s="5" t="s">
        <v>2385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2386</v>
      </c>
      <c r="C1000" s="5" t="s">
        <v>2387</v>
      </c>
      <c r="D1000" s="5" t="s">
        <v>1130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2388</v>
      </c>
      <c r="C1001" s="5" t="s">
        <v>2389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2390</v>
      </c>
      <c r="C1002" s="5" t="s">
        <v>2391</v>
      </c>
      <c r="D1002" s="5" t="s">
        <v>1130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2392</v>
      </c>
      <c r="C1003" s="5" t="s">
        <v>2393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2394</v>
      </c>
      <c r="C1004" s="5" t="s">
        <v>2395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2396</v>
      </c>
      <c r="C1005" s="5" t="s">
        <v>2397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2398</v>
      </c>
      <c r="C1006" s="5" t="s">
        <v>2399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2400</v>
      </c>
      <c r="C1007" s="5" t="s">
        <v>2401</v>
      </c>
      <c r="D1007" s="5" t="s">
        <v>1125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2402</v>
      </c>
      <c r="C1008" s="5" t="s">
        <v>2403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2404</v>
      </c>
      <c r="C1009" s="5" t="s">
        <v>2405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2406</v>
      </c>
      <c r="C1010" s="5" t="s">
        <v>2407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2408</v>
      </c>
      <c r="C1011" s="5" t="s">
        <v>2409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2410</v>
      </c>
      <c r="C1012" s="5" t="s">
        <v>2411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2412</v>
      </c>
      <c r="C1013" s="5" t="s">
        <v>2413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2414</v>
      </c>
      <c r="C1014" s="5" t="s">
        <v>2415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2416</v>
      </c>
      <c r="C1015" s="5" t="s">
        <v>2417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2418</v>
      </c>
      <c r="C1016" s="5" t="s">
        <v>2419</v>
      </c>
      <c r="D1016" s="5" t="s">
        <v>955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2420</v>
      </c>
      <c r="C1017" s="5" t="s">
        <v>2421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2422</v>
      </c>
      <c r="C1018" s="5" t="s">
        <v>2423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2424</v>
      </c>
      <c r="C1019" s="5" t="s">
        <v>2425</v>
      </c>
      <c r="D1019" s="5" t="s">
        <v>1125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2426</v>
      </c>
      <c r="C1020" s="5" t="s">
        <v>2427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2428</v>
      </c>
      <c r="C1021" s="5" t="s">
        <v>2429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2430</v>
      </c>
      <c r="C1022" s="5" t="s">
        <v>2431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2432</v>
      </c>
      <c r="C1023" s="5" t="s">
        <v>2433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2434</v>
      </c>
      <c r="C1024" s="5" t="s">
        <v>2435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2436</v>
      </c>
      <c r="C1025" s="5" t="s">
        <v>2437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2438</v>
      </c>
      <c r="C1026" s="5" t="s">
        <v>2439</v>
      </c>
      <c r="D1026" s="5" t="s">
        <v>1129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2440</v>
      </c>
      <c r="C1027" s="5" t="s">
        <v>2441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2442</v>
      </c>
      <c r="C1028" s="5" t="s">
        <v>2443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2444</v>
      </c>
      <c r="C1029" s="5" t="s">
        <v>2445</v>
      </c>
      <c r="D1029" s="5" t="s">
        <v>1125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2446</v>
      </c>
      <c r="C1030" s="5" t="s">
        <v>2447</v>
      </c>
      <c r="D1030" s="5" t="s">
        <v>1129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2448</v>
      </c>
      <c r="C1031" s="5" t="s">
        <v>2449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2450</v>
      </c>
      <c r="C1032" s="5" t="s">
        <v>2451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2452</v>
      </c>
      <c r="C1033" s="5" t="s">
        <v>2453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2454</v>
      </c>
      <c r="C1034" s="5" t="s">
        <v>2455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2456</v>
      </c>
      <c r="C1035" s="5" t="s">
        <v>2457</v>
      </c>
      <c r="D1035" s="5" t="s">
        <v>1123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2458</v>
      </c>
      <c r="C1036" s="5" t="s">
        <v>2459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2460</v>
      </c>
      <c r="C1037" s="5" t="s">
        <v>2461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2462</v>
      </c>
      <c r="C1038" s="5" t="s">
        <v>2463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2464</v>
      </c>
      <c r="C1039" s="5" t="s">
        <v>2465</v>
      </c>
      <c r="D1039" s="5" t="s">
        <v>1123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2466</v>
      </c>
      <c r="C1040" s="5" t="s">
        <v>2467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2468</v>
      </c>
      <c r="C1041" s="5" t="s">
        <v>2469</v>
      </c>
      <c r="D1041" s="5" t="s">
        <v>1130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2470</v>
      </c>
      <c r="C1042" s="5" t="s">
        <v>2471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2472</v>
      </c>
      <c r="C1043" s="5" t="s">
        <v>2473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2474</v>
      </c>
      <c r="C1044" s="5" t="s">
        <v>2475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2476</v>
      </c>
      <c r="C1045" s="5" t="s">
        <v>2477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1105</v>
      </c>
      <c r="C1046" s="5" t="s">
        <v>1106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1107</v>
      </c>
      <c r="C1047" s="5" t="s">
        <v>1108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2478</v>
      </c>
      <c r="C1048" s="5" t="s">
        <v>2479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2480</v>
      </c>
      <c r="C1049" s="5" t="s">
        <v>2481</v>
      </c>
      <c r="D1049" s="5" t="s">
        <v>1130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2482</v>
      </c>
      <c r="C1050" s="5" t="s">
        <v>2483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2484</v>
      </c>
      <c r="C1051" s="5" t="s">
        <v>2485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2486</v>
      </c>
      <c r="C1052" s="5" t="s">
        <v>2487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2488</v>
      </c>
      <c r="C1053" s="5" t="s">
        <v>2489</v>
      </c>
      <c r="D1053" s="5" t="s">
        <v>1125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2490</v>
      </c>
      <c r="C1054" s="5" t="s">
        <v>2491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2492</v>
      </c>
      <c r="C1055" s="5" t="s">
        <v>2493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2494</v>
      </c>
      <c r="C1056" s="5" t="s">
        <v>2495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2496</v>
      </c>
      <c r="C1057" s="5" t="s">
        <v>2497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2498</v>
      </c>
      <c r="C1058" s="5" t="s">
        <v>2499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2500</v>
      </c>
      <c r="C1059" s="5" t="s">
        <v>2501</v>
      </c>
      <c r="D1059" s="5" t="s">
        <v>1129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2502</v>
      </c>
      <c r="C1060" s="5" t="s">
        <v>2502</v>
      </c>
      <c r="D1060" s="5" t="s">
        <v>1129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1109</v>
      </c>
      <c r="C1061" s="5" t="s">
        <v>1110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1111</v>
      </c>
      <c r="C1062" s="5" t="s">
        <v>1112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2503</v>
      </c>
      <c r="C1063" s="5" t="s">
        <v>2504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2505</v>
      </c>
      <c r="C1064" s="5" t="s">
        <v>2506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2507</v>
      </c>
      <c r="C1065" s="5" t="s">
        <v>2508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2509</v>
      </c>
      <c r="C1066" s="5" t="s">
        <v>2510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2511</v>
      </c>
      <c r="C1067" s="5" t="s">
        <v>2512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2513</v>
      </c>
      <c r="C1068" s="5" t="s">
        <v>2514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2515</v>
      </c>
      <c r="C1069" s="5" t="s">
        <v>2516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1113</v>
      </c>
      <c r="C1070" s="5" t="s">
        <v>1114</v>
      </c>
      <c r="D1070" s="5" t="s">
        <v>1131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2517</v>
      </c>
      <c r="C1071" s="5" t="s">
        <v>2518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2519</v>
      </c>
      <c r="C1072" s="5" t="s">
        <v>2520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2521</v>
      </c>
      <c r="C1073" s="5" t="s">
        <v>2522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2523</v>
      </c>
      <c r="C1074" s="5" t="s">
        <v>2524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2525</v>
      </c>
      <c r="C1075" s="5" t="s">
        <v>2526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2527</v>
      </c>
      <c r="C1076" s="5" t="s">
        <v>2528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2529</v>
      </c>
      <c r="C1077" s="5" t="s">
        <v>2530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2531</v>
      </c>
      <c r="C1078" s="5" t="s">
        <v>2532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2533</v>
      </c>
      <c r="C1079" s="5" t="s">
        <v>2534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2535</v>
      </c>
      <c r="C1080" s="5" t="s">
        <v>2536</v>
      </c>
      <c r="D1080" s="5" t="s">
        <v>1125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2537</v>
      </c>
      <c r="C1081" s="5" t="s">
        <v>2538</v>
      </c>
      <c r="D1081" s="5" t="s">
        <v>1125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2539</v>
      </c>
      <c r="C1082" s="5" t="s">
        <v>2540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2541</v>
      </c>
      <c r="C1083" s="5" t="s">
        <v>2542</v>
      </c>
      <c r="D1083" s="5" t="s">
        <v>1131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2543</v>
      </c>
      <c r="C1084" s="5" t="s">
        <v>2544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2545</v>
      </c>
      <c r="C1085" s="5" t="s">
        <v>2546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2547</v>
      </c>
      <c r="C1086" s="5" t="s">
        <v>2548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2549</v>
      </c>
      <c r="C1087" s="5" t="s">
        <v>2550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2551</v>
      </c>
      <c r="C1088" s="5" t="s">
        <v>2552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2553</v>
      </c>
      <c r="C1089" s="5" t="s">
        <v>2554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2555</v>
      </c>
      <c r="C1090" s="5" t="s">
        <v>2556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2557</v>
      </c>
      <c r="C1091" s="5" t="s">
        <v>2558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2559</v>
      </c>
      <c r="C1092" s="5" t="s">
        <v>2560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2561</v>
      </c>
      <c r="C1093" s="5" t="s">
        <v>2562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2563</v>
      </c>
      <c r="C1094" s="5" t="s">
        <v>2564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2565</v>
      </c>
      <c r="C1095" s="5" t="s">
        <v>2566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2" si="23">+A1095+1</f>
        <v>1093</v>
      </c>
      <c r="B1096" s="5" t="s">
        <v>2567</v>
      </c>
      <c r="C1096" s="5" t="s">
        <v>2568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1121</v>
      </c>
      <c r="C1097" s="5" t="s">
        <v>1122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2593</v>
      </c>
      <c r="C1098" s="5" t="s">
        <v>2594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6" t="s">
        <v>2583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2705</v>
      </c>
      <c r="C1099" s="5" t="s">
        <v>2706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1503</v>
      </c>
      <c r="C1100" s="5" t="s">
        <v>1504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5" t="s">
        <v>2583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3149</v>
      </c>
      <c r="C1101" s="40" t="s">
        <v>3148</v>
      </c>
      <c r="D1101" s="40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1" t="s">
        <v>2708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13">
        <f t="shared" si="23"/>
        <v>1099</v>
      </c>
      <c r="B1102" s="14" t="s">
        <v>810</v>
      </c>
      <c r="C1102" s="52" t="s">
        <v>3153</v>
      </c>
      <c r="D1102" s="52" t="s">
        <v>45</v>
      </c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  <hyperlink ref="B1102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B12" sqref="B12"/>
    </sheetView>
  </sheetViews>
  <sheetFormatPr defaultRowHeight="13.5" x14ac:dyDescent="0.25"/>
  <cols>
    <col min="1" max="1" width="4" style="7" customWidth="1"/>
    <col min="2" max="2" width="24" style="7" customWidth="1"/>
    <col min="3" max="3" width="10.7109375" style="7" bestFit="1" customWidth="1"/>
    <col min="4" max="16384" width="9.140625" style="7"/>
  </cols>
  <sheetData>
    <row r="1" spans="1:18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3154</v>
      </c>
      <c r="G3" s="9" t="s">
        <v>3</v>
      </c>
      <c r="H3" s="9" t="s">
        <v>4</v>
      </c>
      <c r="I3" s="9" t="s">
        <v>5</v>
      </c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14" t="s">
        <v>8</v>
      </c>
      <c r="C4" s="5" t="s">
        <v>428</v>
      </c>
      <c r="D4" s="54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14" t="s">
        <v>10</v>
      </c>
      <c r="C5" s="5" t="s">
        <v>35</v>
      </c>
      <c r="D5" s="54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1" si="0">+A5+1</f>
        <v>3</v>
      </c>
      <c r="B6" s="14" t="s">
        <v>13</v>
      </c>
      <c r="C6" s="5" t="s">
        <v>53</v>
      </c>
      <c r="D6" s="54" t="s">
        <v>1126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14" t="s">
        <v>16</v>
      </c>
      <c r="C7" s="54" t="s">
        <v>60</v>
      </c>
      <c r="D7" s="54" t="s">
        <v>59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14" t="s">
        <v>58</v>
      </c>
      <c r="C8" s="5" t="s">
        <v>58</v>
      </c>
      <c r="D8" s="54" t="s">
        <v>46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14" t="s">
        <v>64</v>
      </c>
      <c r="C9" s="5" t="s">
        <v>64</v>
      </c>
      <c r="D9" s="54" t="s">
        <v>45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14" t="s">
        <v>772</v>
      </c>
      <c r="C10" s="5" t="s">
        <v>69</v>
      </c>
      <c r="D10" s="54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14" t="s">
        <v>23</v>
      </c>
      <c r="C11" s="5" t="s">
        <v>166</v>
      </c>
      <c r="D11" s="54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14" t="s">
        <v>27</v>
      </c>
      <c r="C12" s="5" t="s">
        <v>110</v>
      </c>
      <c r="D12" s="54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14" t="s">
        <v>72</v>
      </c>
      <c r="C13" s="5" t="s">
        <v>73</v>
      </c>
      <c r="D13" s="54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773</v>
      </c>
      <c r="C14" s="5" t="s">
        <v>81</v>
      </c>
      <c r="D14" s="54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4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774</v>
      </c>
      <c r="C16" s="5" t="s">
        <v>775</v>
      </c>
      <c r="D16" s="54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776</v>
      </c>
      <c r="C17" s="5" t="s">
        <v>94</v>
      </c>
      <c r="D17" s="54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777</v>
      </c>
      <c r="C18" s="5" t="s">
        <v>280</v>
      </c>
      <c r="D18" s="54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4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778</v>
      </c>
      <c r="D20" s="54" t="s">
        <v>59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779</v>
      </c>
      <c r="D21" s="54" t="s">
        <v>87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780</v>
      </c>
      <c r="C22" s="5" t="s">
        <v>108</v>
      </c>
      <c r="D22" s="54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781</v>
      </c>
      <c r="C23" s="5" t="s">
        <v>782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783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784</v>
      </c>
      <c r="C25" s="5" t="s">
        <v>785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786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787</v>
      </c>
      <c r="C27" s="5" t="s">
        <v>788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789</v>
      </c>
      <c r="C28" s="5" t="s">
        <v>790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791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792</v>
      </c>
      <c r="C30" s="5" t="s">
        <v>793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794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795</v>
      </c>
      <c r="C32" s="5" t="s">
        <v>796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797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798</v>
      </c>
      <c r="C34" s="5" t="s">
        <v>799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800</v>
      </c>
      <c r="C35" s="5" t="s">
        <v>801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802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803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806</v>
      </c>
      <c r="C40" s="5" t="s">
        <v>807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13">
        <f t="shared" si="0"/>
        <v>38</v>
      </c>
      <c r="B41" s="14" t="s">
        <v>810</v>
      </c>
      <c r="C41" s="52" t="s">
        <v>3153</v>
      </c>
      <c r="D41" s="52" t="s">
        <v>45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13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13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 t="s">
        <v>808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 t="s">
        <v>809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1:18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</row>
    <row r="71" spans="1:18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1:18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958</v>
      </c>
      <c r="B1" s="5"/>
      <c r="C1" s="5" t="s">
        <v>3143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2711</v>
      </c>
      <c r="C4" s="5" t="s">
        <v>2712</v>
      </c>
      <c r="D4" s="5" t="s">
        <v>3094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2583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2713</v>
      </c>
      <c r="C5" s="5" t="s">
        <v>2714</v>
      </c>
      <c r="D5" s="5" t="s">
        <v>3095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2715</v>
      </c>
      <c r="C6" s="5" t="s">
        <v>2716</v>
      </c>
      <c r="D6" s="5" t="s">
        <v>3094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2717</v>
      </c>
      <c r="C7" s="5" t="s">
        <v>2718</v>
      </c>
      <c r="D7" s="5" t="s">
        <v>3094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2719</v>
      </c>
      <c r="C8" s="5" t="s">
        <v>2720</v>
      </c>
      <c r="D8" s="5" t="s">
        <v>3096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2721</v>
      </c>
      <c r="C9" s="5" t="s">
        <v>2722</v>
      </c>
      <c r="D9" s="5" t="s">
        <v>3097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2723</v>
      </c>
      <c r="C10" s="5" t="s">
        <v>2724</v>
      </c>
      <c r="D10" s="5" t="s">
        <v>3098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2725</v>
      </c>
      <c r="C11" s="5" t="s">
        <v>2726</v>
      </c>
      <c r="D11" s="5" t="s">
        <v>3094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2727</v>
      </c>
      <c r="C12" s="5" t="s">
        <v>2728</v>
      </c>
      <c r="D12" s="5" t="s">
        <v>3094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2729</v>
      </c>
      <c r="C13" s="5" t="s">
        <v>2730</v>
      </c>
      <c r="D13" s="5" t="s">
        <v>3095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3141</v>
      </c>
      <c r="C14" s="5" t="s">
        <v>3142</v>
      </c>
      <c r="D14" s="5" t="s">
        <v>3097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2731</v>
      </c>
      <c r="C15" s="5" t="s">
        <v>2732</v>
      </c>
      <c r="D15" s="5" t="s">
        <v>3097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2733</v>
      </c>
      <c r="C16" s="5" t="s">
        <v>2734</v>
      </c>
      <c r="D16" s="5" t="s">
        <v>3099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2735</v>
      </c>
      <c r="C17" s="5" t="s">
        <v>2736</v>
      </c>
      <c r="D17" s="5" t="s">
        <v>3100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2737</v>
      </c>
      <c r="C18" s="5" t="s">
        <v>2738</v>
      </c>
      <c r="D18" s="5" t="s">
        <v>3101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2739</v>
      </c>
      <c r="C19" s="5" t="s">
        <v>2740</v>
      </c>
      <c r="D19" s="5" t="s">
        <v>3094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2741</v>
      </c>
      <c r="C20" s="5" t="s">
        <v>2742</v>
      </c>
      <c r="D20" s="5" t="s">
        <v>3102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2743</v>
      </c>
      <c r="C21" s="5" t="s">
        <v>2744</v>
      </c>
      <c r="D21" s="5" t="s">
        <v>3103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2745</v>
      </c>
      <c r="C22" s="5" t="s">
        <v>2746</v>
      </c>
      <c r="D22" s="5" t="s">
        <v>3104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2747</v>
      </c>
      <c r="C23" s="5" t="s">
        <v>2748</v>
      </c>
      <c r="D23" s="5" t="s">
        <v>3094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2749</v>
      </c>
      <c r="C24" s="5" t="s">
        <v>2750</v>
      </c>
      <c r="D24" s="5" t="s">
        <v>3105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2751</v>
      </c>
      <c r="C25" s="5" t="s">
        <v>2752</v>
      </c>
      <c r="D25" s="5" t="s">
        <v>3106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2753</v>
      </c>
      <c r="C26" s="5" t="s">
        <v>2754</v>
      </c>
      <c r="D26" s="5" t="s">
        <v>3107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2755</v>
      </c>
      <c r="C27" s="5" t="s">
        <v>2756</v>
      </c>
      <c r="D27" s="5" t="s">
        <v>3108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2757</v>
      </c>
      <c r="C28" s="5" t="s">
        <v>2758</v>
      </c>
      <c r="D28" s="5" t="s">
        <v>3095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2759</v>
      </c>
      <c r="C29" s="5" t="s">
        <v>2760</v>
      </c>
      <c r="D29" s="5" t="s">
        <v>3109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2761</v>
      </c>
      <c r="C30" s="5" t="s">
        <v>2762</v>
      </c>
      <c r="D30" s="5" t="s">
        <v>3109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2763</v>
      </c>
      <c r="C31" s="5" t="s">
        <v>2764</v>
      </c>
      <c r="D31" s="5" t="s">
        <v>3110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2765</v>
      </c>
      <c r="C32" s="5" t="s">
        <v>2766</v>
      </c>
      <c r="D32" s="5" t="s">
        <v>3095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2767</v>
      </c>
      <c r="C33" s="5" t="s">
        <v>2768</v>
      </c>
      <c r="D33" s="5" t="s">
        <v>3104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2769</v>
      </c>
      <c r="C34" s="5" t="s">
        <v>2770</v>
      </c>
      <c r="D34" s="5" t="s">
        <v>3111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2771</v>
      </c>
      <c r="C35" s="5" t="s">
        <v>2772</v>
      </c>
      <c r="D35" s="5" t="s">
        <v>3108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2773</v>
      </c>
      <c r="C36" s="5" t="s">
        <v>2774</v>
      </c>
      <c r="D36" s="5" t="s">
        <v>3094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2775</v>
      </c>
      <c r="C37" s="5" t="s">
        <v>2775</v>
      </c>
      <c r="D37" s="5" t="s">
        <v>3111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2776</v>
      </c>
      <c r="C38" s="5" t="s">
        <v>2777</v>
      </c>
      <c r="D38" s="5" t="s">
        <v>3112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2778</v>
      </c>
      <c r="C39" s="5" t="s">
        <v>2779</v>
      </c>
      <c r="D39" s="5" t="s">
        <v>3113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2780</v>
      </c>
      <c r="C40" s="5" t="s">
        <v>2781</v>
      </c>
      <c r="D40" s="5" t="s">
        <v>3114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2782</v>
      </c>
      <c r="C41" s="5" t="s">
        <v>2783</v>
      </c>
      <c r="D41" s="5" t="s">
        <v>3111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2784</v>
      </c>
      <c r="C42" s="5" t="s">
        <v>2785</v>
      </c>
      <c r="D42" s="5" t="s">
        <v>3115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2786</v>
      </c>
      <c r="C43" s="5" t="s">
        <v>496</v>
      </c>
      <c r="D43" s="5" t="s">
        <v>3094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2787</v>
      </c>
      <c r="C44" s="5" t="s">
        <v>2788</v>
      </c>
      <c r="D44" s="5" t="s">
        <v>3116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2789</v>
      </c>
      <c r="C45" s="5" t="s">
        <v>2790</v>
      </c>
      <c r="D45" s="5" t="s">
        <v>3116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2791</v>
      </c>
      <c r="C46" s="5" t="s">
        <v>2792</v>
      </c>
      <c r="D46" s="5" t="s">
        <v>3117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2793</v>
      </c>
      <c r="C47" s="5" t="s">
        <v>2794</v>
      </c>
      <c r="D47" s="5" t="s">
        <v>3095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2795</v>
      </c>
      <c r="C48" s="5" t="s">
        <v>2796</v>
      </c>
      <c r="D48" s="5" t="s">
        <v>3100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2797</v>
      </c>
      <c r="C49" s="5" t="s">
        <v>2798</v>
      </c>
      <c r="D49" s="5" t="s">
        <v>3103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2799</v>
      </c>
      <c r="C50" s="5" t="s">
        <v>2800</v>
      </c>
      <c r="D50" s="5" t="s">
        <v>3094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2801</v>
      </c>
      <c r="C51" s="5" t="s">
        <v>2802</v>
      </c>
      <c r="D51" s="5" t="s">
        <v>3110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2803</v>
      </c>
      <c r="C52" s="5" t="s">
        <v>2804</v>
      </c>
      <c r="D52" s="5" t="s">
        <v>3117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2805</v>
      </c>
      <c r="C53" s="5" t="s">
        <v>2806</v>
      </c>
      <c r="D53" s="5" t="s">
        <v>3109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2807</v>
      </c>
      <c r="C54" s="5" t="s">
        <v>2808</v>
      </c>
      <c r="D54" s="5" t="s">
        <v>3118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2809</v>
      </c>
      <c r="C55" s="5" t="s">
        <v>2810</v>
      </c>
      <c r="D55" s="5" t="s">
        <v>3119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2811</v>
      </c>
      <c r="C56" s="5" t="s">
        <v>2812</v>
      </c>
      <c r="D56" s="5" t="s">
        <v>3104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2813</v>
      </c>
      <c r="C57" s="5" t="s">
        <v>2814</v>
      </c>
      <c r="D57" s="5" t="s">
        <v>3118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2815</v>
      </c>
      <c r="C58" s="5" t="s">
        <v>2816</v>
      </c>
      <c r="D58" s="5" t="s">
        <v>3109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2817</v>
      </c>
      <c r="C59" s="5" t="s">
        <v>2818</v>
      </c>
      <c r="D59" s="5" t="s">
        <v>3098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2819</v>
      </c>
      <c r="C60" s="5" t="s">
        <v>2820</v>
      </c>
      <c r="D60" s="5" t="s">
        <v>3098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2821</v>
      </c>
      <c r="C61" s="5" t="s">
        <v>2822</v>
      </c>
      <c r="D61" s="5" t="s">
        <v>3107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2823</v>
      </c>
      <c r="C62" s="5" t="s">
        <v>2824</v>
      </c>
      <c r="D62" s="5" t="s">
        <v>3120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2825</v>
      </c>
      <c r="C63" s="5" t="s">
        <v>2826</v>
      </c>
      <c r="D63" s="5" t="s">
        <v>3103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2827</v>
      </c>
      <c r="C64" s="5" t="s">
        <v>2828</v>
      </c>
      <c r="D64" s="5" t="s">
        <v>3113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2829</v>
      </c>
      <c r="C65" s="5" t="s">
        <v>2830</v>
      </c>
      <c r="D65" s="5" t="s">
        <v>3121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2831</v>
      </c>
      <c r="C66" s="5" t="s">
        <v>2832</v>
      </c>
      <c r="D66" s="5" t="s">
        <v>3107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2833</v>
      </c>
      <c r="C67" s="5" t="s">
        <v>2834</v>
      </c>
      <c r="D67" s="5" t="s">
        <v>3094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2835</v>
      </c>
      <c r="C68" s="5" t="s">
        <v>2836</v>
      </c>
      <c r="D68" s="5" t="s">
        <v>3098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2837</v>
      </c>
      <c r="C69" s="5" t="s">
        <v>2838</v>
      </c>
      <c r="D69" s="5" t="s">
        <v>3122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2839</v>
      </c>
      <c r="C70" s="5" t="s">
        <v>2840</v>
      </c>
      <c r="D70" s="5" t="s">
        <v>3121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2841</v>
      </c>
      <c r="C71" s="5" t="s">
        <v>2842</v>
      </c>
      <c r="D71" s="5" t="s">
        <v>3114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2843</v>
      </c>
      <c r="C72" s="5" t="s">
        <v>2844</v>
      </c>
      <c r="D72" s="5" t="s">
        <v>3094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2845</v>
      </c>
      <c r="C73" s="5" t="s">
        <v>2846</v>
      </c>
      <c r="D73" s="5" t="s">
        <v>3094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2847</v>
      </c>
      <c r="C74" s="5" t="s">
        <v>2848</v>
      </c>
      <c r="D74" s="5" t="s">
        <v>3123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2849</v>
      </c>
      <c r="C75" s="5" t="s">
        <v>2850</v>
      </c>
      <c r="D75" s="5" t="s">
        <v>1638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2851</v>
      </c>
      <c r="C76" s="5" t="s">
        <v>2852</v>
      </c>
      <c r="D76" s="5" t="s">
        <v>3124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2853</v>
      </c>
      <c r="C77" s="5" t="s">
        <v>2854</v>
      </c>
      <c r="D77" s="5" t="s">
        <v>3125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2855</v>
      </c>
      <c r="C78" s="5" t="s">
        <v>2856</v>
      </c>
      <c r="D78" s="5" t="s">
        <v>3121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2857</v>
      </c>
      <c r="C79" s="5" t="s">
        <v>618</v>
      </c>
      <c r="D79" s="5" t="s">
        <v>3094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2858</v>
      </c>
      <c r="C80" s="5" t="s">
        <v>2859</v>
      </c>
      <c r="D80" s="5" t="s">
        <v>3120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2860</v>
      </c>
      <c r="C81" s="5" t="s">
        <v>2861</v>
      </c>
      <c r="D81" s="5" t="s">
        <v>3111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2862</v>
      </c>
      <c r="C82" s="5" t="s">
        <v>2863</v>
      </c>
      <c r="D82" s="5" t="s">
        <v>3094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2864</v>
      </c>
      <c r="C83" s="5" t="s">
        <v>2865</v>
      </c>
      <c r="D83" s="5" t="s">
        <v>3120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2866</v>
      </c>
      <c r="C84" s="5" t="s">
        <v>2867</v>
      </c>
      <c r="D84" s="5" t="s">
        <v>3106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2868</v>
      </c>
      <c r="C85" s="5" t="s">
        <v>2869</v>
      </c>
      <c r="D85" s="5" t="s">
        <v>3126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2870</v>
      </c>
      <c r="C86" s="5" t="s">
        <v>2871</v>
      </c>
      <c r="D86" s="5" t="s">
        <v>3120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2872</v>
      </c>
      <c r="C87" s="5" t="s">
        <v>2873</v>
      </c>
      <c r="D87" s="5" t="s">
        <v>3127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3096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2874</v>
      </c>
      <c r="C89" s="5" t="s">
        <v>2875</v>
      </c>
      <c r="D89" s="5" t="s">
        <v>3104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2876</v>
      </c>
      <c r="C90" s="5" t="s">
        <v>2877</v>
      </c>
      <c r="D90" s="5" t="s">
        <v>3128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2878</v>
      </c>
      <c r="C91" s="5" t="s">
        <v>2879</v>
      </c>
      <c r="D91" s="5" t="s">
        <v>3098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2880</v>
      </c>
      <c r="C92" s="5" t="s">
        <v>2881</v>
      </c>
      <c r="D92" s="5" t="s">
        <v>3098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2882</v>
      </c>
      <c r="C93" s="5" t="s">
        <v>2883</v>
      </c>
      <c r="D93" s="5" t="s">
        <v>3114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2884</v>
      </c>
      <c r="C94" s="5" t="s">
        <v>2885</v>
      </c>
      <c r="D94" s="5" t="s">
        <v>3128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2886</v>
      </c>
      <c r="C95" s="5" t="s">
        <v>2887</v>
      </c>
      <c r="D95" s="5" t="s">
        <v>3129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2888</v>
      </c>
      <c r="C96" s="5" t="s">
        <v>2889</v>
      </c>
      <c r="D96" s="5" t="s">
        <v>3126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3094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2890</v>
      </c>
      <c r="C98" s="5" t="s">
        <v>2891</v>
      </c>
      <c r="D98" s="5" t="s">
        <v>3094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2892</v>
      </c>
      <c r="C99" s="5" t="s">
        <v>2892</v>
      </c>
      <c r="D99" s="5" t="s">
        <v>3115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2893</v>
      </c>
      <c r="C100" s="5" t="s">
        <v>2894</v>
      </c>
      <c r="D100" s="5" t="s">
        <v>3130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2895</v>
      </c>
      <c r="C101" s="5" t="s">
        <v>2896</v>
      </c>
      <c r="D101" s="5" t="s">
        <v>3114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2897</v>
      </c>
      <c r="C102" s="5" t="s">
        <v>2898</v>
      </c>
      <c r="D102" s="5" t="s">
        <v>3105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2899</v>
      </c>
      <c r="C103" s="5" t="s">
        <v>2900</v>
      </c>
      <c r="D103" s="5" t="s">
        <v>3096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2901</v>
      </c>
      <c r="C104" s="5" t="s">
        <v>2902</v>
      </c>
      <c r="D104" s="5" t="s">
        <v>3109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2903</v>
      </c>
      <c r="C105" s="5" t="s">
        <v>2904</v>
      </c>
      <c r="D105" s="5" t="s">
        <v>3096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1249</v>
      </c>
      <c r="C106" s="5" t="s">
        <v>1250</v>
      </c>
      <c r="D106" s="5" t="s">
        <v>3094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2905</v>
      </c>
      <c r="C107" s="5" t="s">
        <v>2906</v>
      </c>
      <c r="D107" s="5" t="s">
        <v>3094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2907</v>
      </c>
      <c r="C108" s="5" t="s">
        <v>2908</v>
      </c>
      <c r="D108" s="5" t="s">
        <v>3094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2909</v>
      </c>
      <c r="C109" s="5" t="s">
        <v>2910</v>
      </c>
      <c r="D109" s="5" t="s">
        <v>3094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2911</v>
      </c>
      <c r="C110" s="5" t="s">
        <v>2912</v>
      </c>
      <c r="D110" s="5" t="s">
        <v>3131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2913</v>
      </c>
      <c r="C111" s="5" t="s">
        <v>2914</v>
      </c>
      <c r="D111" s="5" t="s">
        <v>3114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2915</v>
      </c>
      <c r="C112" s="5" t="s">
        <v>2916</v>
      </c>
      <c r="D112" s="5" t="s">
        <v>3119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2917</v>
      </c>
      <c r="C113" s="5" t="s">
        <v>2918</v>
      </c>
      <c r="D113" s="5" t="s">
        <v>3123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2919</v>
      </c>
      <c r="C114" s="5" t="s">
        <v>2920</v>
      </c>
      <c r="D114" s="5" t="s">
        <v>3132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2921</v>
      </c>
      <c r="C115" s="5" t="s">
        <v>2922</v>
      </c>
      <c r="D115" s="5" t="s">
        <v>3101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2923</v>
      </c>
      <c r="C116" s="5" t="s">
        <v>2924</v>
      </c>
      <c r="D116" s="5" t="s">
        <v>3133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2925</v>
      </c>
      <c r="C117" s="5" t="s">
        <v>2926</v>
      </c>
      <c r="D117" s="5" t="s">
        <v>3106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2927</v>
      </c>
      <c r="C118" s="5" t="s">
        <v>2928</v>
      </c>
      <c r="D118" s="5" t="s">
        <v>3117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2929</v>
      </c>
      <c r="C119" s="5" t="s">
        <v>2930</v>
      </c>
      <c r="D119" s="5" t="s">
        <v>3114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2931</v>
      </c>
      <c r="C120" s="5" t="s">
        <v>2932</v>
      </c>
      <c r="D120" s="5" t="s">
        <v>3094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2933</v>
      </c>
      <c r="C121" s="5" t="s">
        <v>2934</v>
      </c>
      <c r="D121" s="5" t="s">
        <v>3100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2935</v>
      </c>
      <c r="C122" s="5" t="s">
        <v>2936</v>
      </c>
      <c r="D122" s="5" t="s">
        <v>3114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2937</v>
      </c>
      <c r="C123" s="5" t="s">
        <v>2938</v>
      </c>
      <c r="D123" s="5" t="s">
        <v>3133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2939</v>
      </c>
      <c r="C124" s="5" t="s">
        <v>2940</v>
      </c>
      <c r="D124" s="5" t="s">
        <v>3099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2941</v>
      </c>
      <c r="C125" s="5" t="s">
        <v>2942</v>
      </c>
      <c r="D125" s="5" t="s">
        <v>3134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2943</v>
      </c>
      <c r="C126" s="5" t="s">
        <v>2944</v>
      </c>
      <c r="D126" s="5" t="s">
        <v>3109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2945</v>
      </c>
      <c r="C127" s="5" t="s">
        <v>2946</v>
      </c>
      <c r="D127" s="5" t="s">
        <v>3131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2947</v>
      </c>
      <c r="C128" s="5" t="s">
        <v>2948</v>
      </c>
      <c r="D128" s="5" t="s">
        <v>3135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2949</v>
      </c>
      <c r="C129" s="5" t="s">
        <v>2950</v>
      </c>
      <c r="D129" s="5" t="s">
        <v>3109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2951</v>
      </c>
      <c r="C130" s="5" t="s">
        <v>2952</v>
      </c>
      <c r="D130" s="5" t="s">
        <v>3124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2953</v>
      </c>
      <c r="C131" s="5" t="s">
        <v>2954</v>
      </c>
      <c r="D131" s="5" t="s">
        <v>3136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2955</v>
      </c>
      <c r="C132" s="5" t="s">
        <v>2956</v>
      </c>
      <c r="D132" s="5" t="s">
        <v>3111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2957</v>
      </c>
      <c r="C133" s="5" t="s">
        <v>2958</v>
      </c>
      <c r="D133" s="5" t="s">
        <v>3124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2959</v>
      </c>
      <c r="C134" s="5" t="s">
        <v>2960</v>
      </c>
      <c r="D134" s="5" t="s">
        <v>3094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1302</v>
      </c>
      <c r="C135" s="5" t="s">
        <v>1303</v>
      </c>
      <c r="D135" s="5" t="s">
        <v>3102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2961</v>
      </c>
      <c r="C136" s="5" t="s">
        <v>2962</v>
      </c>
      <c r="D136" s="5" t="s">
        <v>3129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2963</v>
      </c>
      <c r="C137" s="5" t="s">
        <v>2964</v>
      </c>
      <c r="D137" s="5" t="s">
        <v>3102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2965</v>
      </c>
      <c r="C138" s="5" t="s">
        <v>2966</v>
      </c>
      <c r="D138" s="5" t="s">
        <v>3094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2967</v>
      </c>
      <c r="C139" s="5" t="s">
        <v>2968</v>
      </c>
      <c r="D139" s="5" t="s">
        <v>3094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2969</v>
      </c>
      <c r="C140" s="5" t="s">
        <v>2970</v>
      </c>
      <c r="D140" s="5" t="s">
        <v>3094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2971</v>
      </c>
      <c r="C141" s="5" t="s">
        <v>2972</v>
      </c>
      <c r="D141" s="5" t="s">
        <v>3129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2973</v>
      </c>
      <c r="C142" s="5" t="s">
        <v>2974</v>
      </c>
      <c r="D142" s="5" t="s">
        <v>3094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2975</v>
      </c>
      <c r="C143" s="5" t="s">
        <v>2976</v>
      </c>
      <c r="D143" s="5" t="s">
        <v>3116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2977</v>
      </c>
      <c r="C144" s="5" t="s">
        <v>2978</v>
      </c>
      <c r="D144" s="5" t="s">
        <v>3103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2979</v>
      </c>
      <c r="C145" s="5" t="s">
        <v>2980</v>
      </c>
      <c r="D145" s="5" t="s">
        <v>3109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2981</v>
      </c>
      <c r="C146" s="5" t="s">
        <v>2982</v>
      </c>
      <c r="D146" s="5" t="s">
        <v>3098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2983</v>
      </c>
      <c r="C147" s="5" t="s">
        <v>2984</v>
      </c>
      <c r="D147" s="5" t="s">
        <v>3096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1362</v>
      </c>
      <c r="C148" s="5" t="s">
        <v>1363</v>
      </c>
      <c r="D148" s="5" t="s">
        <v>3102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2985</v>
      </c>
      <c r="C149" s="5" t="s">
        <v>2986</v>
      </c>
      <c r="D149" s="5" t="s">
        <v>3137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2987</v>
      </c>
      <c r="C150" s="5" t="s">
        <v>2988</v>
      </c>
      <c r="D150" s="5" t="s">
        <v>3138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2989</v>
      </c>
      <c r="C151" s="5" t="s">
        <v>2990</v>
      </c>
      <c r="D151" s="5" t="s">
        <v>3094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2991</v>
      </c>
      <c r="C152" s="5" t="s">
        <v>2992</v>
      </c>
      <c r="D152" s="5" t="s">
        <v>3094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2993</v>
      </c>
      <c r="C153" s="5" t="s">
        <v>2994</v>
      </c>
      <c r="D153" s="5" t="s">
        <v>3106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2995</v>
      </c>
      <c r="C154" s="5" t="s">
        <v>2996</v>
      </c>
      <c r="D154" s="5" t="s">
        <v>3106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2997</v>
      </c>
      <c r="C155" s="5" t="s">
        <v>2998</v>
      </c>
      <c r="D155" s="5" t="s">
        <v>3125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1612</v>
      </c>
      <c r="C156" s="5" t="s">
        <v>1613</v>
      </c>
      <c r="D156" s="5" t="s">
        <v>3098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2999</v>
      </c>
      <c r="C157" s="5" t="s">
        <v>3000</v>
      </c>
      <c r="D157" s="5" t="s">
        <v>3100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3001</v>
      </c>
      <c r="C158" s="5" t="s">
        <v>3002</v>
      </c>
      <c r="D158" s="5" t="s">
        <v>3094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3003</v>
      </c>
      <c r="C159" s="5" t="s">
        <v>3004</v>
      </c>
      <c r="D159" s="5" t="s">
        <v>3112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3005</v>
      </c>
      <c r="C160" s="5" t="s">
        <v>3006</v>
      </c>
      <c r="D160" s="5" t="s">
        <v>3117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3007</v>
      </c>
      <c r="C161" s="5" t="s">
        <v>3008</v>
      </c>
      <c r="D161" s="5" t="s">
        <v>3094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3009</v>
      </c>
      <c r="C162" s="5" t="s">
        <v>3010</v>
      </c>
      <c r="D162" s="5" t="s">
        <v>3094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3011</v>
      </c>
      <c r="C163" s="5" t="s">
        <v>3012</v>
      </c>
      <c r="D163" s="5" t="s">
        <v>3104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3013</v>
      </c>
      <c r="C164" s="5" t="s">
        <v>3014</v>
      </c>
      <c r="D164" s="5" t="s">
        <v>3129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3015</v>
      </c>
      <c r="C165" s="5" t="s">
        <v>3016</v>
      </c>
      <c r="D165" s="5" t="s">
        <v>3104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3017</v>
      </c>
      <c r="C166" s="5" t="s">
        <v>3018</v>
      </c>
      <c r="D166" s="5" t="s">
        <v>3097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3019</v>
      </c>
      <c r="C167" s="5" t="s">
        <v>3020</v>
      </c>
      <c r="D167" s="5" t="s">
        <v>3098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3021</v>
      </c>
      <c r="C168" s="5" t="s">
        <v>3022</v>
      </c>
      <c r="D168" s="5" t="s">
        <v>3105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3023</v>
      </c>
      <c r="C169" s="5" t="s">
        <v>3024</v>
      </c>
      <c r="D169" s="5" t="s">
        <v>3129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3025</v>
      </c>
      <c r="C170" s="5" t="s">
        <v>3026</v>
      </c>
      <c r="D170" s="5" t="s">
        <v>3094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3027</v>
      </c>
      <c r="C171" s="5" t="s">
        <v>3028</v>
      </c>
      <c r="D171" s="5" t="s">
        <v>3094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3029</v>
      </c>
      <c r="C172" s="5" t="s">
        <v>3030</v>
      </c>
      <c r="D172" s="5" t="s">
        <v>3136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3031</v>
      </c>
      <c r="C173" s="5" t="s">
        <v>3032</v>
      </c>
      <c r="D173" s="5" t="s">
        <v>3094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1879</v>
      </c>
      <c r="C174" s="5" t="s">
        <v>1880</v>
      </c>
      <c r="D174" s="5" t="s">
        <v>3094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3033</v>
      </c>
      <c r="C175" s="5" t="s">
        <v>3034</v>
      </c>
      <c r="D175" s="5" t="s">
        <v>1638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3035</v>
      </c>
      <c r="C176" s="5" t="s">
        <v>3036</v>
      </c>
      <c r="D176" s="5" t="s">
        <v>3094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3037</v>
      </c>
      <c r="C177" s="5" t="s">
        <v>3038</v>
      </c>
      <c r="D177" s="5" t="s">
        <v>3098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3039</v>
      </c>
      <c r="C178" s="5" t="s">
        <v>3040</v>
      </c>
      <c r="D178" s="5" t="s">
        <v>3117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3041</v>
      </c>
      <c r="C179" s="5" t="s">
        <v>3042</v>
      </c>
      <c r="D179" s="5" t="s">
        <v>3129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3043</v>
      </c>
      <c r="C180" s="5" t="s">
        <v>3044</v>
      </c>
      <c r="D180" s="5" t="s">
        <v>3098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3045</v>
      </c>
      <c r="C181" s="5" t="s">
        <v>3046</v>
      </c>
      <c r="D181" s="5" t="s">
        <v>3106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3047</v>
      </c>
      <c r="C182" s="5" t="s">
        <v>3048</v>
      </c>
      <c r="D182" s="5" t="s">
        <v>3094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3049</v>
      </c>
      <c r="C183" s="5" t="s">
        <v>3050</v>
      </c>
      <c r="D183" s="5" t="s">
        <v>3139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3051</v>
      </c>
      <c r="C184" s="5" t="s">
        <v>3052</v>
      </c>
      <c r="D184" s="5" t="s">
        <v>3098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3053</v>
      </c>
      <c r="C185" s="5" t="s">
        <v>3054</v>
      </c>
      <c r="D185" s="5" t="s">
        <v>3094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3055</v>
      </c>
      <c r="C186" s="5" t="s">
        <v>3056</v>
      </c>
      <c r="D186" s="5" t="s">
        <v>3098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3057</v>
      </c>
      <c r="C187" s="5" t="s">
        <v>3058</v>
      </c>
      <c r="D187" s="5" t="s">
        <v>3129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3059</v>
      </c>
      <c r="C188" s="5" t="s">
        <v>3060</v>
      </c>
      <c r="D188" s="5" t="s">
        <v>3098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3061</v>
      </c>
      <c r="C189" s="5" t="s">
        <v>3062</v>
      </c>
      <c r="D189" s="5" t="s">
        <v>3105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3063</v>
      </c>
      <c r="C190" s="5" t="s">
        <v>3064</v>
      </c>
      <c r="D190" s="5" t="s">
        <v>3111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2056</v>
      </c>
      <c r="C191" s="5" t="s">
        <v>2057</v>
      </c>
      <c r="D191" s="5" t="s">
        <v>3111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3065</v>
      </c>
      <c r="C192" s="5" t="s">
        <v>3066</v>
      </c>
      <c r="D192" s="5" t="s">
        <v>3115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3067</v>
      </c>
      <c r="C193" s="5" t="s">
        <v>3068</v>
      </c>
      <c r="D193" s="5" t="s">
        <v>3118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3069</v>
      </c>
      <c r="C194" s="5" t="s">
        <v>3070</v>
      </c>
      <c r="D194" s="5" t="s">
        <v>3140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3071</v>
      </c>
      <c r="C195" s="5" t="s">
        <v>3072</v>
      </c>
      <c r="D195" s="5" t="s">
        <v>3112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3073</v>
      </c>
      <c r="C196" s="5" t="s">
        <v>3074</v>
      </c>
      <c r="D196" s="5" t="s">
        <v>3098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3075</v>
      </c>
      <c r="C197" s="5" t="s">
        <v>3076</v>
      </c>
      <c r="D197" s="5" t="s">
        <v>3139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3077</v>
      </c>
      <c r="C198" s="5" t="s">
        <v>3078</v>
      </c>
      <c r="D198" s="5" t="s">
        <v>3096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3079</v>
      </c>
      <c r="C199" s="5" t="s">
        <v>3080</v>
      </c>
      <c r="D199" s="5" t="s">
        <v>3104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2104</v>
      </c>
      <c r="C200" s="5" t="s">
        <v>2105</v>
      </c>
      <c r="D200" s="5" t="s">
        <v>3096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2153</v>
      </c>
      <c r="C201" s="5" t="s">
        <v>2154</v>
      </c>
      <c r="D201" s="5" t="s">
        <v>3118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3081</v>
      </c>
      <c r="C202" s="5" t="s">
        <v>3082</v>
      </c>
      <c r="D202" s="5" t="s">
        <v>3135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2235</v>
      </c>
      <c r="C203" s="5" t="s">
        <v>2236</v>
      </c>
      <c r="D203" s="5" t="s">
        <v>3108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3083</v>
      </c>
      <c r="C204" s="5" t="s">
        <v>3084</v>
      </c>
      <c r="D204" s="5" t="s">
        <v>3118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3085</v>
      </c>
      <c r="C205" s="5" t="s">
        <v>3086</v>
      </c>
      <c r="D205" s="5" t="s">
        <v>3096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3087</v>
      </c>
      <c r="C206" s="5" t="s">
        <v>3088</v>
      </c>
      <c r="D206" s="5" t="s">
        <v>3139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3089</v>
      </c>
      <c r="C207" s="5" t="s">
        <v>3090</v>
      </c>
      <c r="D207" s="5" t="s">
        <v>3098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2352</v>
      </c>
      <c r="C208" s="5" t="s">
        <v>2353</v>
      </c>
      <c r="D208" s="5" t="s">
        <v>3129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2452</v>
      </c>
      <c r="C209" s="5" t="s">
        <v>2453</v>
      </c>
      <c r="D209" s="5" t="s">
        <v>3098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3091</v>
      </c>
      <c r="C210" s="5" t="s">
        <v>3092</v>
      </c>
      <c r="D210" s="5" t="s">
        <v>3094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2482</v>
      </c>
      <c r="C211" s="5" t="s">
        <v>3093</v>
      </c>
      <c r="D211" s="5" t="s">
        <v>3096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45.76</v>
      </c>
      <c r="F13" s="15">
        <f>+[49]Main!$I$4</f>
        <v>40365.147359679999</v>
      </c>
      <c r="G13" s="15">
        <f>+[49]Main!$I$6-[49]Main!$I$5</f>
        <v>67</v>
      </c>
      <c r="H13" s="15">
        <f t="shared" si="0"/>
        <v>40432.147359679999</v>
      </c>
      <c r="I13" s="43" t="s">
        <v>3147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2586</v>
      </c>
      <c r="C15" s="5" t="s">
        <v>2587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2602</v>
      </c>
      <c r="C20" s="5" t="s">
        <v>2603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1133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2590</v>
      </c>
      <c r="C50" s="5" t="s">
        <v>2591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2589</v>
      </c>
      <c r="C51" s="5" t="s">
        <v>2592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2596</v>
      </c>
      <c r="C52" s="5" t="s">
        <v>2595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2583</v>
      </c>
      <c r="J52" s="5"/>
      <c r="K52" s="5"/>
      <c r="L52" s="5"/>
      <c r="M52" s="5"/>
      <c r="N52" s="5"/>
      <c r="O52" s="5"/>
      <c r="P52" s="5">
        <v>2008</v>
      </c>
      <c r="Q52" s="5" t="s">
        <v>2598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2599</v>
      </c>
      <c r="C53" s="5" t="s">
        <v>2604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2584</v>
      </c>
      <c r="C54" s="5" t="s">
        <v>2585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2710</v>
      </c>
      <c r="C55" s="5" t="s">
        <v>2709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808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2703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2704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2600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2601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811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960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961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962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963</v>
      </c>
      <c r="C11" s="5" t="s">
        <v>964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965</v>
      </c>
      <c r="C15" s="5" t="s">
        <v>966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967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968</v>
      </c>
      <c r="C21" s="5" t="s">
        <v>403</v>
      </c>
      <c r="D21" s="5" t="s">
        <v>1124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969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970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971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972</v>
      </c>
      <c r="C28" s="5" t="s">
        <v>586</v>
      </c>
      <c r="D28" s="5" t="s">
        <v>1125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973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974</v>
      </c>
      <c r="C32" s="5" t="s">
        <v>975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976</v>
      </c>
      <c r="C33" s="5" t="s">
        <v>977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978</v>
      </c>
      <c r="C34" s="5" t="s">
        <v>979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980</v>
      </c>
      <c r="C35" s="5" t="s">
        <v>981</v>
      </c>
      <c r="D35" s="5" t="s">
        <v>1126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982</v>
      </c>
      <c r="C36" s="5" t="s">
        <v>983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984</v>
      </c>
      <c r="C37" s="5" t="s">
        <v>985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986</v>
      </c>
      <c r="C38" s="5" t="s">
        <v>987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988</v>
      </c>
      <c r="C39" s="5" t="s">
        <v>989</v>
      </c>
      <c r="D39" s="5" t="s">
        <v>1123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990</v>
      </c>
      <c r="C40" s="5" t="s">
        <v>991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992</v>
      </c>
      <c r="C41" s="5" t="s">
        <v>993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994</v>
      </c>
      <c r="C42" s="5" t="s">
        <v>995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996</v>
      </c>
      <c r="C43" s="5" t="s">
        <v>996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997</v>
      </c>
      <c r="C44" s="5" t="s">
        <v>998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999</v>
      </c>
      <c r="C45" s="5" t="s">
        <v>1000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1001</v>
      </c>
      <c r="C46" s="5" t="s">
        <v>1002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1003</v>
      </c>
      <c r="C47" s="5" t="s">
        <v>1004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1005</v>
      </c>
      <c r="C48" s="5" t="s">
        <v>1006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1007</v>
      </c>
      <c r="C49" s="5" t="s">
        <v>1008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1009</v>
      </c>
      <c r="C50" s="5" t="s">
        <v>1010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1011</v>
      </c>
      <c r="C51" s="5" t="s">
        <v>1012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1013</v>
      </c>
      <c r="C52" s="5" t="s">
        <v>1014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1015</v>
      </c>
      <c r="C53" s="5" t="s">
        <v>1016</v>
      </c>
      <c r="D53" s="5" t="s">
        <v>1127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1017</v>
      </c>
      <c r="C54" s="5" t="s">
        <v>1018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1019</v>
      </c>
      <c r="C55" s="5" t="s">
        <v>1020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1021</v>
      </c>
      <c r="C56" s="5" t="s">
        <v>1022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1023</v>
      </c>
      <c r="C57" s="5" t="s">
        <v>1024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1025</v>
      </c>
      <c r="C58" s="5" t="s">
        <v>1026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1027</v>
      </c>
      <c r="C59" s="5" t="s">
        <v>1028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1029</v>
      </c>
      <c r="C60" s="5" t="s">
        <v>1030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1031</v>
      </c>
      <c r="C61" s="5" t="s">
        <v>1032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1033</v>
      </c>
      <c r="C62" s="5" t="s">
        <v>1034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1035</v>
      </c>
      <c r="C63" s="5" t="s">
        <v>1036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1037</v>
      </c>
      <c r="C64" s="5" t="s">
        <v>1038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1039</v>
      </c>
      <c r="C65" s="5" t="s">
        <v>1040</v>
      </c>
      <c r="D65" s="5" t="s">
        <v>1123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1041</v>
      </c>
      <c r="C66" s="5" t="s">
        <v>1042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1043</v>
      </c>
      <c r="C67" s="5" t="s">
        <v>1044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1045</v>
      </c>
      <c r="C68" s="5" t="s">
        <v>1046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1047</v>
      </c>
      <c r="C69" s="5" t="s">
        <v>1048</v>
      </c>
      <c r="D69" s="5" t="s">
        <v>1128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1049</v>
      </c>
      <c r="C70" s="5" t="s">
        <v>1050</v>
      </c>
      <c r="D70" s="5" t="s">
        <v>1129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1051</v>
      </c>
      <c r="C71" s="5" t="s">
        <v>1052</v>
      </c>
      <c r="D71" s="5" t="s">
        <v>1124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1053</v>
      </c>
      <c r="C72" s="5" t="s">
        <v>1054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1055</v>
      </c>
      <c r="C73" s="5" t="s">
        <v>1056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1057</v>
      </c>
      <c r="C74" s="5" t="s">
        <v>1058</v>
      </c>
      <c r="D74" s="5" t="s">
        <v>1130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1059</v>
      </c>
      <c r="C75" s="5" t="s">
        <v>1060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1061</v>
      </c>
      <c r="C76" s="5" t="s">
        <v>1062</v>
      </c>
      <c r="D76" s="5" t="s">
        <v>1128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1063</v>
      </c>
      <c r="C77" s="5" t="s">
        <v>1064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1065</v>
      </c>
      <c r="C78" s="5" t="s">
        <v>1066</v>
      </c>
      <c r="D78" s="5" t="s">
        <v>1130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1067</v>
      </c>
      <c r="C79" s="5" t="s">
        <v>1068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1069</v>
      </c>
      <c r="C80" s="5" t="s">
        <v>1070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1071</v>
      </c>
      <c r="C81" s="5" t="s">
        <v>1072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1073</v>
      </c>
      <c r="C82" s="5" t="s">
        <v>1074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1075</v>
      </c>
      <c r="C83" s="5" t="s">
        <v>1076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1077</v>
      </c>
      <c r="C84" s="5" t="s">
        <v>1078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1079</v>
      </c>
      <c r="C85" s="5" t="s">
        <v>1080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1081</v>
      </c>
      <c r="C86" s="5" t="s">
        <v>1082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1083</v>
      </c>
      <c r="C87" s="5" t="s">
        <v>1084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1085</v>
      </c>
      <c r="C88" s="5" t="s">
        <v>1086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1087</v>
      </c>
      <c r="C89" s="5" t="s">
        <v>1088</v>
      </c>
      <c r="D89" s="5" t="s">
        <v>1130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1089</v>
      </c>
      <c r="C90" s="5" t="s">
        <v>1090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1091</v>
      </c>
      <c r="C91" s="5" t="s">
        <v>1092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1093</v>
      </c>
      <c r="C92" s="5" t="s">
        <v>1094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1095</v>
      </c>
      <c r="C93" s="5" t="s">
        <v>1096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1097</v>
      </c>
      <c r="C94" s="5" t="s">
        <v>1098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1099</v>
      </c>
      <c r="C95" s="5" t="s">
        <v>1100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1101</v>
      </c>
      <c r="C96" s="5" t="s">
        <v>1102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1103</v>
      </c>
      <c r="C97" s="5" t="s">
        <v>1104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1105</v>
      </c>
      <c r="C98" s="5" t="s">
        <v>1106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1107</v>
      </c>
      <c r="C99" s="5" t="s">
        <v>1108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1109</v>
      </c>
      <c r="C100" s="5" t="s">
        <v>1110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1111</v>
      </c>
      <c r="C101" s="5" t="s">
        <v>1112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1113</v>
      </c>
      <c r="C102" s="5" t="s">
        <v>1114</v>
      </c>
      <c r="D102" s="5" t="s">
        <v>1131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1115</v>
      </c>
      <c r="C103" s="5" t="s">
        <v>1116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1117</v>
      </c>
      <c r="C104" s="5" t="s">
        <v>1118</v>
      </c>
      <c r="D104" s="5" t="s">
        <v>1125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1119</v>
      </c>
      <c r="C105" s="5" t="s">
        <v>1120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1121</v>
      </c>
      <c r="C106" s="5" t="s">
        <v>1122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2606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2605</v>
      </c>
      <c r="C6" s="5" t="s">
        <v>1262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2607</v>
      </c>
      <c r="C7" s="5" t="s">
        <v>1542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2608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2609</v>
      </c>
      <c r="C16" s="5" t="s">
        <v>2610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808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2611</v>
      </c>
      <c r="C19" s="5" t="s">
        <v>808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2612</v>
      </c>
      <c r="C20" s="5" t="s">
        <v>808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2613</v>
      </c>
      <c r="C21" s="5" t="s">
        <v>808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2614</v>
      </c>
      <c r="C22" s="5" t="s">
        <v>808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2615</v>
      </c>
      <c r="C23" s="5" t="s">
        <v>808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2616</v>
      </c>
      <c r="C24" s="5" t="s">
        <v>808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2617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2618</v>
      </c>
      <c r="C27" s="5" t="s">
        <v>2619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2620</v>
      </c>
      <c r="C28" s="5" t="s">
        <v>2621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2622</v>
      </c>
      <c r="C29" s="5" t="s">
        <v>2623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2624</v>
      </c>
      <c r="C30" s="5" t="s">
        <v>2625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2626</v>
      </c>
      <c r="C31" s="5" t="s">
        <v>2627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2628</v>
      </c>
      <c r="C32" s="5" t="s">
        <v>2629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2630</v>
      </c>
      <c r="C33" s="5" t="s">
        <v>2631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2632</v>
      </c>
      <c r="C34" s="5" t="s">
        <v>2633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2634</v>
      </c>
      <c r="C35" s="5" t="s">
        <v>2635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2636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2637</v>
      </c>
      <c r="C37" s="5" t="s">
        <v>2638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2639</v>
      </c>
      <c r="C38" s="5" t="s">
        <v>2640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2641</v>
      </c>
      <c r="C39" s="5" t="s">
        <v>2638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2642</v>
      </c>
      <c r="C40" s="5" t="s">
        <v>2643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2644</v>
      </c>
      <c r="C41" s="5" t="s">
        <v>2645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2646</v>
      </c>
      <c r="C42" s="5" t="s">
        <v>2647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2648</v>
      </c>
      <c r="C43" s="5" t="s">
        <v>2640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2649</v>
      </c>
      <c r="C45" s="5" t="s">
        <v>2650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2651</v>
      </c>
      <c r="C46" s="5" t="s">
        <v>2652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2653</v>
      </c>
      <c r="C47" s="5" t="s">
        <v>2654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2655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2656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2657</v>
      </c>
      <c r="C50" s="5" t="s">
        <v>2658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2659</v>
      </c>
      <c r="C51" s="5" t="s">
        <v>2660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2661</v>
      </c>
      <c r="C52" s="5" t="s">
        <v>2662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2664</v>
      </c>
      <c r="C54" s="5" t="s">
        <v>2665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2666</v>
      </c>
      <c r="C55" s="5" t="s">
        <v>2667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2668</v>
      </c>
      <c r="C56" s="5" t="s">
        <v>2669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2670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2672</v>
      </c>
      <c r="C59" s="2" t="s">
        <v>2673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2674</v>
      </c>
      <c r="C60" s="5" t="s">
        <v>2675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2677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2678</v>
      </c>
      <c r="C63" s="5" t="s">
        <v>2679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2680</v>
      </c>
      <c r="C64" s="5" t="s">
        <v>2681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2682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2683</v>
      </c>
      <c r="C66" s="5" t="s">
        <v>2684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2685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2686</v>
      </c>
      <c r="C68" s="2" t="s">
        <v>2687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2688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2689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2690</v>
      </c>
      <c r="C71" s="5" t="s">
        <v>2691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2693</v>
      </c>
      <c r="C73" s="5" t="s">
        <v>2694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2695</v>
      </c>
      <c r="C74" s="5" t="s">
        <v>2696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2697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2698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2699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2700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2701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2702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812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813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814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815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816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817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818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819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820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821</v>
      </c>
      <c r="C24" s="5" t="s">
        <v>822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823</v>
      </c>
      <c r="C25" s="5" t="s">
        <v>824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825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827</v>
      </c>
      <c r="C30" s="5" t="s">
        <v>828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829</v>
      </c>
      <c r="C34" s="5" t="s">
        <v>830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831</v>
      </c>
      <c r="C35" s="5" t="s">
        <v>832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833</v>
      </c>
      <c r="C36" s="5" t="s">
        <v>834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835</v>
      </c>
      <c r="C37" s="5" t="s">
        <v>836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837</v>
      </c>
      <c r="C38" s="5" t="s">
        <v>838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839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840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841</v>
      </c>
      <c r="C42" s="5" t="s">
        <v>842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843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844</v>
      </c>
      <c r="C44" s="5" t="s">
        <v>845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846</v>
      </c>
      <c r="C45" s="5" t="s">
        <v>847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849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850</v>
      </c>
      <c r="C49" s="5" t="s">
        <v>851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852</v>
      </c>
      <c r="C50" s="5" t="s">
        <v>853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854</v>
      </c>
      <c r="C51" s="5" t="s">
        <v>855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856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857</v>
      </c>
      <c r="C54" s="5" t="s">
        <v>858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859</v>
      </c>
      <c r="C56" s="5" t="s">
        <v>860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861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862</v>
      </c>
      <c r="C58" s="5" t="s">
        <v>863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864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865</v>
      </c>
      <c r="C60" s="5" t="s">
        <v>866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867</v>
      </c>
      <c r="C63" s="5" t="s">
        <v>868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869</v>
      </c>
      <c r="C64" s="5" t="s">
        <v>870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871</v>
      </c>
      <c r="C65" s="5" t="s">
        <v>872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873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874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875</v>
      </c>
      <c r="C68" s="5" t="s">
        <v>876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877</v>
      </c>
      <c r="C69" s="5" t="s">
        <v>878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879</v>
      </c>
      <c r="C70" s="5" t="s">
        <v>880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881</v>
      </c>
      <c r="C71" s="5" t="s">
        <v>882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883</v>
      </c>
      <c r="C72" s="5" t="s">
        <v>884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885</v>
      </c>
      <c r="C73" s="5" t="s">
        <v>886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887</v>
      </c>
      <c r="C74" s="5" t="s">
        <v>887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808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888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889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890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892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2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2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893</v>
      </c>
      <c r="C6" s="5" t="s">
        <v>894</v>
      </c>
      <c r="D6" s="5" t="s">
        <v>768</v>
      </c>
      <c r="E6" s="5"/>
      <c r="F6" s="15"/>
      <c r="G6" s="15"/>
      <c r="H6" s="32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895</v>
      </c>
      <c r="C7" s="5" t="s">
        <v>896</v>
      </c>
      <c r="D7" s="5" t="s">
        <v>768</v>
      </c>
      <c r="E7" s="5"/>
      <c r="F7" s="15"/>
      <c r="G7" s="15"/>
      <c r="H7" s="32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897</v>
      </c>
      <c r="D8" s="5" t="s">
        <v>955</v>
      </c>
      <c r="E8" s="5"/>
      <c r="F8" s="15"/>
      <c r="G8" s="15"/>
      <c r="H8" s="32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898</v>
      </c>
      <c r="D9" s="5" t="s">
        <v>955</v>
      </c>
      <c r="E9" s="5"/>
      <c r="F9" s="15"/>
      <c r="G9" s="15"/>
      <c r="H9" s="32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2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899</v>
      </c>
      <c r="C11" s="5" t="s">
        <v>900</v>
      </c>
      <c r="D11" s="5" t="s">
        <v>45</v>
      </c>
      <c r="E11" s="5"/>
      <c r="F11" s="15"/>
      <c r="G11" s="15"/>
      <c r="H11" s="32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901</v>
      </c>
      <c r="C12" s="5" t="s">
        <v>902</v>
      </c>
      <c r="D12" s="5" t="s">
        <v>45</v>
      </c>
      <c r="E12" s="5"/>
      <c r="F12" s="15"/>
      <c r="G12" s="15"/>
      <c r="H12" s="32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903</v>
      </c>
      <c r="C13" s="5" t="s">
        <v>904</v>
      </c>
      <c r="D13" s="5" t="s">
        <v>45</v>
      </c>
      <c r="E13" s="5"/>
      <c r="F13" s="15"/>
      <c r="G13" s="15"/>
      <c r="H13" s="32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905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2">
        <f>+F14+G14</f>
        <v>12316.145337450002</v>
      </c>
      <c r="I14" s="31" t="s">
        <v>2583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2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906</v>
      </c>
      <c r="C16" s="5" t="s">
        <v>907</v>
      </c>
      <c r="D16" s="5" t="s">
        <v>45</v>
      </c>
      <c r="E16" s="5"/>
      <c r="F16" s="15"/>
      <c r="G16" s="15"/>
      <c r="H16" s="32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908</v>
      </c>
      <c r="C17" s="5" t="s">
        <v>909</v>
      </c>
      <c r="D17" s="5" t="s">
        <v>45</v>
      </c>
      <c r="E17" s="5"/>
      <c r="F17" s="15"/>
      <c r="G17" s="15"/>
      <c r="H17" s="32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2">
        <f>+F18+G18</f>
        <v>3218.92225168</v>
      </c>
      <c r="I18" s="31" t="s">
        <v>2583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910</v>
      </c>
      <c r="C19" s="5" t="s">
        <v>911</v>
      </c>
      <c r="D19" s="5" t="s">
        <v>45</v>
      </c>
      <c r="E19" s="5"/>
      <c r="F19" s="15"/>
      <c r="G19" s="15"/>
      <c r="H19" s="32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912</v>
      </c>
      <c r="C20" s="5" t="s">
        <v>913</v>
      </c>
      <c r="D20" s="5" t="s">
        <v>45</v>
      </c>
      <c r="E20" s="5"/>
      <c r="F20" s="15"/>
      <c r="G20" s="15"/>
      <c r="H20" s="32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914</v>
      </c>
      <c r="C21" s="5"/>
      <c r="D21" s="5" t="s">
        <v>45</v>
      </c>
      <c r="E21" s="5"/>
      <c r="F21" s="15"/>
      <c r="G21" s="15"/>
      <c r="H21" s="32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915</v>
      </c>
      <c r="C22" s="5"/>
      <c r="D22" s="5" t="s">
        <v>45</v>
      </c>
      <c r="E22" s="5"/>
      <c r="F22" s="15"/>
      <c r="G22" s="15"/>
      <c r="H22" s="32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0" t="s">
        <v>3149</v>
      </c>
      <c r="C23" s="40" t="s">
        <v>3148</v>
      </c>
      <c r="D23" s="40" t="s">
        <v>3150</v>
      </c>
      <c r="E23" s="5"/>
      <c r="F23" s="15"/>
      <c r="G23" s="15"/>
      <c r="H23" s="32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2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808</v>
      </c>
      <c r="C25" s="5"/>
      <c r="D25" s="5"/>
      <c r="E25" s="5"/>
      <c r="F25" s="15"/>
      <c r="G25" s="15"/>
      <c r="H25" s="32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916</v>
      </c>
      <c r="C26" s="5"/>
      <c r="D26" s="5"/>
      <c r="E26" s="5"/>
      <c r="F26" s="15"/>
      <c r="G26" s="15"/>
      <c r="H26" s="32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917</v>
      </c>
      <c r="C27" s="5"/>
      <c r="D27" s="5"/>
      <c r="E27" s="5"/>
      <c r="F27" s="15"/>
      <c r="G27" s="15"/>
      <c r="H27" s="32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918</v>
      </c>
      <c r="C28" s="5" t="s">
        <v>919</v>
      </c>
      <c r="D28" s="5"/>
      <c r="E28" s="5"/>
      <c r="F28" s="15"/>
      <c r="G28" s="15"/>
      <c r="H28" s="32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920</v>
      </c>
      <c r="C29" s="5"/>
      <c r="D29" s="5"/>
      <c r="E29" s="5"/>
      <c r="F29" s="15"/>
      <c r="G29" s="15"/>
      <c r="H29" s="32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921</v>
      </c>
      <c r="C30" s="5"/>
      <c r="D30" s="5"/>
      <c r="E30" s="5"/>
      <c r="F30" s="15"/>
      <c r="G30" s="15"/>
      <c r="H30" s="32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922</v>
      </c>
      <c r="C31" s="5"/>
      <c r="D31" s="5"/>
      <c r="E31" s="5"/>
      <c r="F31" s="15"/>
      <c r="G31" s="15"/>
      <c r="H31" s="32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923</v>
      </c>
      <c r="C32" s="5"/>
      <c r="D32" s="5"/>
      <c r="E32" s="5"/>
      <c r="F32" s="15"/>
      <c r="G32" s="15"/>
      <c r="H32" s="32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924</v>
      </c>
      <c r="C33" s="5"/>
      <c r="D33" s="5"/>
      <c r="E33" s="5"/>
      <c r="F33" s="15"/>
      <c r="G33" s="15"/>
      <c r="H33" s="32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925</v>
      </c>
      <c r="C34" s="5"/>
      <c r="D34" s="5"/>
      <c r="E34" s="5"/>
      <c r="F34" s="15"/>
      <c r="G34" s="15"/>
      <c r="H34" s="32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926</v>
      </c>
      <c r="C35" s="5"/>
      <c r="D35" s="5"/>
      <c r="E35" s="5"/>
      <c r="F35" s="15"/>
      <c r="G35" s="15"/>
      <c r="H35" s="32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928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929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932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933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934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935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936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937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939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940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941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942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944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945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946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947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948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949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951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952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2026-05-08T16:33:27Z</dcterms:modified>
</cp:coreProperties>
</file>