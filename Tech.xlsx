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2EFC626-4DDA-4881-ABD9-259179967BA7}" xr6:coauthVersionLast="47" xr6:coauthVersionMax="47" xr10:uidLastSave="{00000000-0000-0000-0000-000000000000}"/>
  <bookViews>
    <workbookView xWindow="225" yWindow="39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6" l="1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H1100" i="1" s="1"/>
  <c r="E1100" i="1"/>
  <c r="H1101" i="1" l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<sst xmlns="http://schemas.openxmlformats.org/spreadsheetml/2006/main" count="5053" uniqueCount="3154">
  <si>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</si>
  <si>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</si>
  <si>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</si>
  <si>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</si>
  <si>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</si>
  <si>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</si>
  <si>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</si>
  <si>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</si>
  <si>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</si>
  <si>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</si>
  <si>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</si>
  <si>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</si>
  <si>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</si>
  <si>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</si>
  <si>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</si>
  <si>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</si>
  <si>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</si>
  <si>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</si>
  <si>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</si>
  <si>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</si>
  <si>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</si>
  <si>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</si>
  <si>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</si>
  <si>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</si>
  <si>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</si>
  <si>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</si>
  <si>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</si>
  <si>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</si>
  <si>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</si>
  <si>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</si>
  <si>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</si>
  <si>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</si>
  <si>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</si>
  <si>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</si>
  <si>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</si>
  <si>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</si>
  <si>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</si>
  <si>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</si>
  <si>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</si>
  <si>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</si>
  <si>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</si>
  <si>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</si>
  <si>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</si>
  <si>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</si>
  <si>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</si>
  <si>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</si>
  <si>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</si>
  <si>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</si>
  <si>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</si>
  <si>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</si>
  <si>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</si>
  <si>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</si>
  <si>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</si>
  <si>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</si>
  <si>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</si>
  <si>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</si>
  <si>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</si>
  <si>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</si>
  <si>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</si>
  <si>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</si>
  <si>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</si>
  <si>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</si>
  <si>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</si>
  <si>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</si>
  <si>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</si>
  <si>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</si>
  <si>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</si>
  <si>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</si>
  <si>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</si>
  <si>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</si>
  <si>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</si>
  <si>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</si>
  <si>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</si>
  <si>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</si>
  <si>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</si>
  <si>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</si>
  <si>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</si>
  <si>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</si>
  <si>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</si>
  <si>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</si>
  <si>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</si>
  <si>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</si>
  <si>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</si>
  <si>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</si>
  <si>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</si>
  <si>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</si>
  <si>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</si>
  <si>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</si>
  <si>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</si>
  <si>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</si>
  <si>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</si>
  <si>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</si>
  <si>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</si>
  <si>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</si>
  <si>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</si>
  <si>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</si>
  <si>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</si>
  <si>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</si>
  <si>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</si>
  <si>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</si>
  <si>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</si>
  <si>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</si>
  <si>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</si>
  <si>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</si>
  <si>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</si>
  <si>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</si>
  <si>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</si>
  <si>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</si>
  <si>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</si>
  <si>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</si>
  <si>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</si>
  <si>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</si>
  <si>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</si>
  <si>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</si>
  <si>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</si>
  <si>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</si>
  <si>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</si>
  <si>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</si>
  <si>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</si>
  <si>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</si>
  <si>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</si>
  <si>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</si>
  <si>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</si>
  <si>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</si>
  <si>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</si>
  <si>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</si>
  <si>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</si>
  <si>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</si>
  <si>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</si>
  <si>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</si>
  <si>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</si>
  <si>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</si>
  <si>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</si>
  <si>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</si>
  <si>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</si>
  <si>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</si>
  <si>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</si>
  <si>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</si>
  <si>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</si>
  <si>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</si>
  <si>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</si>
  <si>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</si>
  <si>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</si>
  <si>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</si>
  <si>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</si>
  <si>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</si>
  <si>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</si>
  <si>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</si>
  <si>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</si>
  <si>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</si>
  <si>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</si>
  <si>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</si>
  <si>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</si>
  <si>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</si>
  <si>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</si>
  <si>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</si>
  <si>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</si>
  <si>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</si>
  <si>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</si>
  <si>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</si>
  <si>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</si>
  <si>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</si>
  <si>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</si>
  <si>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</si>
  <si>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</si>
  <si>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</si>
  <si>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</si>
  <si>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</si>
  <si>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</si>
  <si>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</si>
  <si>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</si>
  <si>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</si>
  <si>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</si>
  <si>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</si>
  <si>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</si>
  <si>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</si>
  <si>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</si>
  <si>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</si>
  <si>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</si>
  <si>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</si>
  <si>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</si>
  <si>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</si>
  <si>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</si>
  <si>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</si>
  <si>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</si>
  <si>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</si>
  <si>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</si>
  <si>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</si>
  <si>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</si>
  <si>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</si>
  <si>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</si>
  <si>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</si>
  <si>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</si>
  <si>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</si>
  <si>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</si>
  <si>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</si>
  <si>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</si>
  <si>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</si>
  <si>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</si>
  <si>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</si>
  <si>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</si>
  <si>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</si>
  <si>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</si>
  <si>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</si>
  <si>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</si>
  <si>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</si>
  <si>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</si>
  <si>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</si>
  <si>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</si>
  <si>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</si>
  <si>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</si>
  <si>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</si>
  <si>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</si>
  <si>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</si>
  <si>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</si>
  <si>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</si>
  <si>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</si>
  <si>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</si>
  <si>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</si>
  <si>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</si>
  <si>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</si>
  <si>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</si>
  <si>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</si>
  <si>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</si>
  <si>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</si>
  <si>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</si>
  <si>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</si>
  <si>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</si>
  <si>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</si>
  <si>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</si>
  <si>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</si>
  <si>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</si>
  <si>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</si>
  <si>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</si>
  <si>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</si>
  <si>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</si>
  <si>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</si>
  <si>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</si>
  <si>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</si>
  <si>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</si>
  <si>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</si>
  <si>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</si>
  <si>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</si>
  <si>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</si>
  <si>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</si>
  <si>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</si>
  <si>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</si>
  <si>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</si>
  <si>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</si>
  <si>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</si>
  <si>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</si>
  <si>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</si>
  <si>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</si>
  <si>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</si>
  <si>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</si>
  <si>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</si>
  <si>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</si>
  <si>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</si>
  <si>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</si>
  <si>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</si>
  <si>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</si>
  <si>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</si>
  <si>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</si>
  <si>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</si>
  <si>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</si>
  <si>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</si>
  <si>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</si>
  <si>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</si>
  <si>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</si>
  <si>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</si>
  <si>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</si>
  <si>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</si>
  <si>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</si>
  <si>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</si>
  <si>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</si>
  <si>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</si>
  <si>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</si>
  <si>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</si>
  <si>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</si>
  <si>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</si>
  <si>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</si>
  <si>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</si>
  <si>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</si>
  <si>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</si>
  <si>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</si>
  <si>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</si>
  <si>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</si>
  <si>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</si>
  <si>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</si>
  <si>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</si>
  <si>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</si>
  <si>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</si>
  <si>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</si>
  <si>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</si>
  <si>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</si>
  <si>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</si>
  <si>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</si>
  <si>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</si>
  <si>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</si>
  <si>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</si>
  <si>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</si>
  <si>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</si>
  <si>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</si>
  <si>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</si>
  <si>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</si>
  <si>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</si>
  <si>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</si>
  <si>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</si>
  <si>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</si>
  <si>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</si>
  <si>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</si>
  <si>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</si>
  <si>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</si>
  <si>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</si>
  <si>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</si>
  <si>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</si>
  <si>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</si>
  <si>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</si>
  <si>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</si>
  <si>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</si>
  <si>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</si>
  <si>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</si>
  <si>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</si>
  <si>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</si>
  <si>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</si>
  <si>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</si>
  <si>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</si>
  <si>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</si>
  <si>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</si>
  <si>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</si>
  <si>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</si>
  <si>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</si>
  <si>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</si>
  <si>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</si>
  <si>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</si>
  <si>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</si>
  <si>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</si>
  <si>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</si>
  <si>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</si>
  <si>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</si>
  <si>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</si>
  <si>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</si>
  <si>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</si>
  <si>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</si>
  <si>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</si>
  <si>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</si>
  <si>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</si>
  <si>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</si>
  <si>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</si>
  <si>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</si>
  <si>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</si>
  <si>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</si>
  <si>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</si>
  <si>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</si>
  <si>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</si>
  <si>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</si>
  <si>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</si>
  <si>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</si>
  <si>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</si>
  <si>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</si>
  <si>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</si>
  <si>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</si>
  <si>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</si>
  <si>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</si>
  <si>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</si>
  <si>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</si>
  <si>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</si>
  <si>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</si>
  <si>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</si>
  <si>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</si>
  <si>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</si>
  <si>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</si>
  <si>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</si>
  <si>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</si>
  <si>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</si>
  <si>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</si>
  <si>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</si>
  <si>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</si>
  <si>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</si>
  <si>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</si>
  <si>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</si>
  <si>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</si>
  <si>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</si>
  <si>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</si>
  <si>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</si>
  <si>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</si>
  <si>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</si>
  <si>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</si>
  <si>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</si>
  <si>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</si>
  <si>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</si>
  <si>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</si>
  <si>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</si>
  <si>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</si>
  <si>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</si>
  <si>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</si>
  <si>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</si>
  <si>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</si>
  <si>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</si>
  <si>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</si>
  <si>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</si>
  <si>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</si>
  <si>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</si>
  <si>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</si>
  <si>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</si>
  <si>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</si>
  <si>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</si>
  <si>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</si>
  <si>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</si>
  <si>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</si>
  <si>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</si>
  <si>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</si>
  <si>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</si>
  <si>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</si>
  <si>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</si>
  <si>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</si>
  <si>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</si>
  <si>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</si>
  <si>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</si>
  <si>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</si>
  <si>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</si>
  <si>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</si>
  <si>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</si>
  <si>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</si>
  <si>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</si>
  <si>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</si>
  <si>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</si>
  <si>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</si>
  <si>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</si>
  <si>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</si>
  <si>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</si>
  <si>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</si>
  <si>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</si>
  <si>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</si>
  <si>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</si>
  <si>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</si>
  <si>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</si>
  <si>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</si>
  <si>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</si>
  <si>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</si>
  <si>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</si>
  <si>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</si>
  <si>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</si>
  <si>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</si>
  <si>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</si>
  <si>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</si>
  <si>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</si>
  <si>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</si>
  <si>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</si>
  <si>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</si>
  <si>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</si>
  <si>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</si>
  <si>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</si>
  <si>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</si>
  <si>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</si>
  <si>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</si>
  <si>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</si>
  <si>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</si>
  <si>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</si>
  <si>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</si>
  <si>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</si>
  <si>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</si>
  <si>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</si>
  <si>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</si>
  <si>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</si>
  <si>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</si>
  <si>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</si>
  <si>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</si>
  <si>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</si>
  <si>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</si>
  <si>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</si>
  <si>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</si>
  <si>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</si>
  <si>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</si>
  <si>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</si>
  <si>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</si>
  <si>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</si>
  <si>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</si>
  <si>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</si>
  <si>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</si>
  <si>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</si>
  <si>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</si>
  <si>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</si>
  <si>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</si>
  <si>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</si>
  <si>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</si>
  <si>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</si>
  <si>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</si>
  <si>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</si>
  <si>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</si>
  <si>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</si>
  <si>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</si>
  <si>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</si>
  <si>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</si>
  <si>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</si>
  <si>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</si>
  <si>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</si>
  <si>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</si>
  <si>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</si>
  <si>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</si>
  <si>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</si>
  <si>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</si>
  <si>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</si>
  <si>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</si>
  <si>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</si>
  <si>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</si>
  <si>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</si>
  <si>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</si>
  <si>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</si>
  <si>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</si>
  <si>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</si>
  <si>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</si>
  <si>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</si>
  <si>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</si>
  <si>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</si>
  <si>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</si>
  <si>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</si>
  <si>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</si>
  <si>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</si>
  <si>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</si>
  <si>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</si>
  <si>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</si>
  <si>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</si>
  <si>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</si>
  <si>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</si>
  <si>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</si>
  <si>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</si>
  <si>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</si>
  <si>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</si>
  <si>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</si>
  <si>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</si>
  <si>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</si>
  <si>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</si>
  <si>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</si>
  <si>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</si>
  <si>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</si>
  <si>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</si>
  <si>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</si>
  <si>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</si>
  <si>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</si>
  <si>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</si>
  <si>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</si>
  <si>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</si>
  <si>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</si>
  <si>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</si>
  <si>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</si>
  <si>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</si>
  <si>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</si>
  <si>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</si>
  <si>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</si>
  <si>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</si>
  <si>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</si>
  <si>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</si>
  <si>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</si>
  <si>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</si>
  <si>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</si>
  <si>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</si>
  <si>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</si>
  <si>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</si>
  <si>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</si>
  <si>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</si>
  <si>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</si>
  <si>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</si>
  <si>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</si>
  <si>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</si>
  <si>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</si>
  <si>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</si>
  <si>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</si>
  <si>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</si>
  <si>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</si>
  <si>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</si>
  <si>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</si>
  <si>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</si>
  <si>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</si>
  <si>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</si>
  <si>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</si>
  <si>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</si>
  <si>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</si>
  <si>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</si>
  <si>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</si>
  <si>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</si>
  <si>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</si>
  <si>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</si>
  <si>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</si>
  <si>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</si>
  <si>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</si>
  <si>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</si>
  <si>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</si>
  <si>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</si>
  <si>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</si>
  <si>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</si>
  <si>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</si>
  <si>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</si>
  <si>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</si>
  <si>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</si>
  <si>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</si>
  <si>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</si>
  <si>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</si>
  <si>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</si>
  <si>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</si>
  <si>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</si>
  <si>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</si>
  <si>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</si>
  <si>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</si>
  <si>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</si>
  <si>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</si>
  <si>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</si>
  <si>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</si>
  <si>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</si>
  <si>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</si>
  <si>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</si>
  <si>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</si>
  <si>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</si>
  <si>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</si>
  <si>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</si>
  <si>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</si>
  <si>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</si>
  <si>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</si>
  <si>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</si>
  <si>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</si>
  <si>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</si>
  <si>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</si>
  <si>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</si>
  <si>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</si>
  <si>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</si>
  <si>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</si>
  <si>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</si>
  <si>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</si>
  <si>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</si>
  <si>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</si>
  <si>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</si>
  <si>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</si>
  <si>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</si>
  <si>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</si>
  <si>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</si>
  <si>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</si>
  <si>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</si>
  <si>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</si>
  <si>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</si>
  <si>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</si>
  <si>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</si>
  <si>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</si>
  <si>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</si>
  <si>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</si>
  <si>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</si>
  <si>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</si>
  <si>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</si>
  <si>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</si>
  <si>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</si>
  <si>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</si>
  <si>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</si>
  <si>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</si>
  <si>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</si>
  <si>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</si>
  <si>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</si>
  <si>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</si>
  <si>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</si>
  <si>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</si>
  <si>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</si>
  <si>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</si>
  <si>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</si>
  <si>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</si>
  <si>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</si>
  <si>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</si>
  <si>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</si>
  <si>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</si>
  <si>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</si>
  <si>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</si>
  <si>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</si>
  <si>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</si>
  <si>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</si>
  <si>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</si>
  <si>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</si>
  <si>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</si>
  <si>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</si>
  <si>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</si>
  <si>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</si>
  <si>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</si>
  <si>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</si>
  <si>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</si>
  <si>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</si>
  <si>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</si>
  <si>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</si>
  <si>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</si>
  <si>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</si>
  <si>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</si>
  <si>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</si>
  <si>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</si>
  <si>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</si>
  <si>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</si>
  <si>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</si>
  <si>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</si>
  <si>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</si>
  <si>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</si>
  <si>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</si>
  <si>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</si>
  <si>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</si>
  <si>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</si>
  <si>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</si>
  <si>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</si>
  <si>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</si>
  <si>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</si>
  <si>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</si>
  <si>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</si>
  <si>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</si>
  <si>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</si>
  <si>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</si>
  <si>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</si>
  <si>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</si>
  <si>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</si>
  <si>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</si>
  <si>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</si>
  <si>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</si>
  <si>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</si>
  <si>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</si>
  <si>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</si>
  <si>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</si>
  <si>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</si>
  <si>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</si>
  <si>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</si>
  <si>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</si>
  <si>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</si>
  <si>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</si>
  <si>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</si>
  <si>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</si>
  <si>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</si>
  <si>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</si>
  <si>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</si>
  <si>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</si>
  <si>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</si>
  <si>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</si>
  <si>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</si>
  <si>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</si>
  <si>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</si>
  <si>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</si>
  <si>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</si>
  <si>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</si>
  <si>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</si>
  <si>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</si>
  <si>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</si>
  <si>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</si>
  <si>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</si>
  <si>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</si>
  <si>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</si>
  <si>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</si>
  <si>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</si>
  <si>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</si>
  <si>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</si>
  <si>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</si>
  <si>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</si>
  <si>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</si>
  <si>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</si>
  <si>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</si>
  <si>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</si>
  <si>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</si>
  <si>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</si>
  <si>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</si>
  <si>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</si>
  <si>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</si>
  <si>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</si>
  <si>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</si>
  <si>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</si>
  <si>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</si>
  <si>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</si>
  <si>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</si>
  <si>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</si>
  <si>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</si>
  <si>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</si>
  <si>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</si>
  <si>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</si>
  <si>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</si>
  <si>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</si>
  <si>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</si>
  <si>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</si>
  <si>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</si>
  <si>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</si>
  <si>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</si>
  <si>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</si>
  <si>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</si>
  <si>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</si>
  <si>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</si>
  <si>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</si>
  <si>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</si>
  <si>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</si>
  <si>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</si>
  <si>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</si>
  <si>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</si>
  <si>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</si>
  <si>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</si>
  <si>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</si>
  <si>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</si>
  <si>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</si>
  <si>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</si>
  <si>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</si>
  <si>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</si>
  <si>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</si>
  <si>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</si>
  <si>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</si>
  <si>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</si>
  <si>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</si>
  <si>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</si>
  <si>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</si>
  <si>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</si>
  <si>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</si>
  <si>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</si>
  <si>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</si>
  <si>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</si>
  <si>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</si>
  <si>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</si>
  <si>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</si>
  <si>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</si>
  <si>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</si>
  <si>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</si>
  <si>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</si>
  <si>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</si>
  <si>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</si>
  <si>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</si>
  <si>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</si>
  <si>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</si>
  <si>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</si>
  <si>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</si>
  <si>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</si>
  <si>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</si>
  <si>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</si>
  <si>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</si>
  <si>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</si>
  <si>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</si>
  <si>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</si>
  <si>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</si>
  <si>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</si>
  <si>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</si>
  <si>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</si>
  <si>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</si>
  <si>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</si>
  <si>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</si>
  <si>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</si>
  <si>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</si>
  <si>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</si>
  <si>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</si>
  <si>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</si>
  <si>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</si>
  <si>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</si>
  <si>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</si>
  <si>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</si>
  <si>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</si>
  <si>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</si>
  <si>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</si>
  <si>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</si>
  <si>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</si>
  <si>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</si>
  <si>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</si>
  <si>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</si>
  <si>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</si>
  <si>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</si>
  <si>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</si>
  <si>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</si>
  <si>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</si>
  <si>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</si>
  <si>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</si>
  <si>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</si>
  <si>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</si>
  <si>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</si>
  <si>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</si>
  <si>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</si>
  <si>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</si>
  <si>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</si>
  <si>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</si>
  <si>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</si>
  <si>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</si>
  <si>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</si>
  <si>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</si>
  <si>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</si>
  <si>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</si>
  <si>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</si>
  <si>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</si>
  <si>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</si>
  <si>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</si>
  <si>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</si>
  <si>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</si>
  <si>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</si>
  <si>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</si>
  <si>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</si>
  <si>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</si>
  <si>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</si>
  <si>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</si>
  <si>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</si>
  <si>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</si>
  <si>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</si>
  <si>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</si>
  <si>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</si>
  <si>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</si>
  <si>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</si>
  <si>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</si>
  <si>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</si>
  <si>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</si>
  <si>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</si>
  <si>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</si>
  <si>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</si>
  <si>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</si>
  <si>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</si>
  <si>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</si>
  <si>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</si>
  <si>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</si>
  <si>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</si>
  <si>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</si>
  <si>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</si>
  <si>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</si>
  <si>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</si>
  <si>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</si>
  <si>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</si>
  <si>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</si>
  <si>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</si>
  <si>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</si>
  <si>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</si>
  <si>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</si>
  <si>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</si>
  <si>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</si>
  <si>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</si>
  <si>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</si>
  <si>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</si>
  <si>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</si>
  <si>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</si>
  <si>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</si>
  <si>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</si>
  <si>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</si>
  <si>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</si>
  <si>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</si>
  <si>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</si>
  <si>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</si>
  <si>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</si>
  <si>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</si>
  <si>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</si>
  <si>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</si>
  <si>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</si>
  <si>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</si>
  <si>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</si>
  <si>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</si>
  <si>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</si>
  <si>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</si>
  <si>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</si>
  <si>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</si>
  <si>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</si>
  <si>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</si>
  <si>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</si>
  <si>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</si>
  <si>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</si>
  <si>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</si>
  <si>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</si>
  <si>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</si>
  <si>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</si>
  <si>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</si>
  <si>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</si>
  <si>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</si>
  <si>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</si>
  <si>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</si>
  <si>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</si>
  <si>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</si>
  <si>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</si>
  <si>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</si>
  <si>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</si>
  <si>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</si>
  <si>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</si>
  <si>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</si>
  <si>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</si>
  <si>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</si>
  <si>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</si>
  <si>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</si>
  <si>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</si>
  <si>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</si>
  <si>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</si>
  <si>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</si>
  <si>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</si>
  <si>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</si>
  <si>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</si>
  <si>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</si>
  <si>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</si>
  <si>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</si>
  <si>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</si>
  <si>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</si>
  <si>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</si>
  <si>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</si>
  <si>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</si>
  <si>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</si>
  <si>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</si>
  <si>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</si>
  <si>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</si>
  <si>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</si>
  <si>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</si>
  <si>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</si>
  <si>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</si>
  <si>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</si>
  <si>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</si>
  <si>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</si>
  <si>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</si>
  <si>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</si>
  <si>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</si>
  <si>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</si>
  <si>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</si>
  <si>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</si>
  <si>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</si>
  <si>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</si>
  <si>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</si>
  <si>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</si>
  <si>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</si>
  <si>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</si>
  <si>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</si>
  <si>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</si>
  <si>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</si>
  <si>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</si>
  <si>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</si>
  <si>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</si>
  <si>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</si>
  <si>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</si>
  <si>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</si>
  <si>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</si>
  <si>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</si>
  <si>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</si>
  <si>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</si>
  <si>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</si>
  <si>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</si>
  <si>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</si>
  <si>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</si>
  <si>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</si>
  <si>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</si>
  <si>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</si>
  <si>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</si>
  <si>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</si>
  <si>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</si>
  <si>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</si>
  <si>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</si>
  <si>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</si>
  <si>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</si>
  <si>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</si>
  <si>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</si>
  <si>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</si>
  <si>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</si>
  <si>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</si>
  <si>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</si>
  <si>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</si>
  <si>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</si>
  <si>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</si>
  <si>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</si>
  <si>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</si>
  <si>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</si>
  <si>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</si>
  <si>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</si>
  <si>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</si>
  <si>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</si>
  <si>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</si>
  <si>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</si>
  <si>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</si>
  <si>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</si>
  <si>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</si>
  <si>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</si>
  <si>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</si>
  <si>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</si>
  <si>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</si>
  <si>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</si>
  <si>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</si>
  <si>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</si>
  <si>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</si>
  <si>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</si>
  <si>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</si>
  <si>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</si>
  <si>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</si>
  <si>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</si>
  <si>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</si>
  <si>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</si>
  <si>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</si>
  <si>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</si>
  <si>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</si>
  <si>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</si>
  <si>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</si>
  <si>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</si>
  <si>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</si>
  <si>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</si>
  <si>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</si>
  <si>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</si>
  <si>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</si>
  <si>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</si>
  <si>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</si>
  <si>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</si>
  <si>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</si>
  <si>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</si>
  <si>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</si>
  <si>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</si>
  <si>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</si>
  <si>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</si>
  <si>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</si>
  <si>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</si>
  <si>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</si>
  <si>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</si>
  <si>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</si>
  <si>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</si>
  <si>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</si>
  <si>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</si>
  <si>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</si>
  <si>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</si>
  <si>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</si>
  <si>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</si>
  <si>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</si>
  <si>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</si>
  <si>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</si>
  <si>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</si>
  <si>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</si>
  <si>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</si>
  <si>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</si>
  <si>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</si>
  <si>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</si>
  <si>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</si>
  <si>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</si>
  <si>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</si>
  <si>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</si>
  <si>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</si>
  <si>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</si>
  <si>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</si>
  <si>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</si>
  <si>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</si>
  <si>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</si>
  <si>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</si>
  <si>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</si>
  <si>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</si>
  <si>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</si>
  <si>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</si>
  <si>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</si>
  <si>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</si>
  <si>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</si>
  <si>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</si>
  <si>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</si>
  <si>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</si>
  <si>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</si>
  <si>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</si>
  <si>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</si>
  <si>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</si>
  <si>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</si>
  <si>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</si>
  <si>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</si>
  <si>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</si>
  <si>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</si>
  <si>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</si>
  <si>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</si>
  <si>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</si>
  <si>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</si>
  <si>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</si>
  <si>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</si>
  <si>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</si>
  <si>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</si>
  <si>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</si>
  <si>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</si>
  <si>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</si>
  <si>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</si>
  <si>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</si>
  <si>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</si>
  <si>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</si>
  <si>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</si>
  <si>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</si>
  <si>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</si>
  <si>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</si>
  <si>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</si>
  <si>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</si>
  <si>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</si>
  <si>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</si>
  <si>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</si>
  <si>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</si>
  <si>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</si>
  <si>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</si>
  <si>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</si>
  <si>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</si>
  <si>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</si>
  <si>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</si>
  <si>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</si>
  <si>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</si>
  <si>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</si>
  <si>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</si>
  <si>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</si>
  <si>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</si>
  <si>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</si>
  <si>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</si>
  <si>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</si>
  <si>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</si>
  <si>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</si>
  <si>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</si>
  <si>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</si>
  <si>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</si>
  <si>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</si>
  <si>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</si>
  <si>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</si>
  <si>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</si>
  <si>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</si>
  <si>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</si>
  <si>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</si>
  <si>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</si>
  <si>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</si>
  <si>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</si>
  <si>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</si>
  <si>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</si>
  <si>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</si>
  <si>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</si>
  <si>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</si>
  <si>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</si>
  <si>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</si>
  <si>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</si>
  <si>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</si>
  <si>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</si>
  <si>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</si>
  <si>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</si>
  <si>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</si>
  <si>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</si>
  <si>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</si>
  <si>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</si>
  <si>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</si>
  <si>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</si>
  <si>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</si>
  <si>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</si>
  <si>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</si>
  <si>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</si>
  <si>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</si>
  <si>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</si>
  <si>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</si>
  <si>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</si>
  <si>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</si>
  <si>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</si>
  <si>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</si>
  <si>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</si>
  <si>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</si>
  <si>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</si>
  <si>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</si>
  <si>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</si>
  <si>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</si>
  <si>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</si>
  <si>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</si>
  <si>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</si>
  <si>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</si>
  <si>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</si>
  <si>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</si>
  <si>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</si>
  <si>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</si>
  <si>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</si>
  <si>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</si>
  <si>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</si>
  <si>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</si>
  <si>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</si>
  <si>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</si>
  <si>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</si>
  <si>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</si>
  <si>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</si>
  <si>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</si>
  <si>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</si>
  <si>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</si>
  <si>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</si>
  <si>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</si>
  <si>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</si>
  <si>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</si>
  <si>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</si>
  <si>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</si>
  <si>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</si>
  <si>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</si>
  <si>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</si>
  <si>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</si>
  <si>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</si>
  <si>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</si>
  <si>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</si>
  <si>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</si>
  <si>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</si>
  <si>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</si>
  <si>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</si>
  <si>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</si>
  <si>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</si>
  <si>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</si>
  <si>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</si>
  <si>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</si>
  <si>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</si>
  <si>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</si>
  <si>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</si>
  <si>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</si>
  <si>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</si>
  <si>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</si>
  <si>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</si>
  <si>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</si>
  <si>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</si>
  <si>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</si>
  <si>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</si>
  <si>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</si>
  <si>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</si>
  <si>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</si>
  <si>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</si>
  <si>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</si>
  <si>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</si>
  <si>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</si>
  <si>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</si>
  <si>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</si>
  <si>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</si>
  <si>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</si>
  <si>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</si>
  <si>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</si>
  <si>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</si>
  <si>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</si>
  <si>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</si>
  <si>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</si>
  <si>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</si>
  <si>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</si>
  <si>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</si>
  <si>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</si>
  <si>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</si>
  <si>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</si>
  <si>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</si>
  <si>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</si>
  <si>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</si>
  <si>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</si>
  <si>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</si>
  <si>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</si>
  <si>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</si>
  <si>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</si>
  <si>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</si>
  <si>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</si>
  <si>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</si>
  <si>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</si>
  <si>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</si>
  <si>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</si>
  <si>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</si>
  <si>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</si>
  <si>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</si>
  <si>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</si>
  <si>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</si>
  <si>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</si>
  <si>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</si>
  <si>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</si>
  <si>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</si>
  <si>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</si>
  <si>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</si>
  <si>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</si>
  <si>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</si>
  <si>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</si>
  <si>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</si>
  <si>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</si>
  <si>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</si>
  <si>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</si>
  <si>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</si>
  <si>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</si>
  <si>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</si>
  <si>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</si>
  <si>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</si>
  <si>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</si>
  <si>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</si>
  <si>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</si>
  <si>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</si>
  <si>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</si>
  <si>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</si>
  <si>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</si>
  <si>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</si>
  <si>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</si>
  <si>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</si>
  <si>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</si>
  <si>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</si>
  <si>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</si>
  <si>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</si>
  <si>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</si>
  <si>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</si>
  <si>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</si>
  <si>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</si>
  <si>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</si>
  <si>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</si>
  <si>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</si>
  <si>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</si>
  <si>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</si>
  <si>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</si>
  <si>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</si>
  <si>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</si>
  <si>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</si>
  <si>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</si>
  <si>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</si>
  <si>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</si>
  <si>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</si>
  <si>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</si>
  <si>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</si>
  <si>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</si>
  <si>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</si>
  <si>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</si>
  <si>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</si>
  <si>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</si>
  <si>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</si>
  <si>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</si>
  <si>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</si>
  <si>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</si>
  <si>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</si>
  <si>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</si>
  <si>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</si>
  <si>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</si>
  <si>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</si>
  <si>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</si>
  <si>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</si>
  <si>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</si>
  <si>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</si>
  <si>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</si>
  <si>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</si>
  <si>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</si>
  <si>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</si>
  <si>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</si>
  <si>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</si>
  <si>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</si>
  <si>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</si>
  <si>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</si>
  <si>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</si>
  <si>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</si>
  <si>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</si>
  <si>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</si>
  <si>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</si>
  <si>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</si>
  <si>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</si>
  <si>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</si>
  <si>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</si>
  <si>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</si>
  <si>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</si>
  <si>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</si>
  <si>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</si>
  <si>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</si>
  <si>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</si>
  <si>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</si>
  <si>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</si>
  <si>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</si>
  <si>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</si>
  <si>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</si>
  <si>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</si>
  <si>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</si>
  <si>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</si>
  <si>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</si>
  <si>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</si>
  <si>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</si>
  <si>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</si>
  <si>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</si>
  <si>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</si>
  <si>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</si>
  <si>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</si>
  <si>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</si>
  <si>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</si>
  <si>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</si>
  <si>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</si>
  <si>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</si>
  <si>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</si>
  <si>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</si>
  <si>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</si>
  <si>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</si>
  <si>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</si>
  <si>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</si>
  <si>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</si>
  <si>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</si>
  <si>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</si>
  <si>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</si>
  <si>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</si>
  <si>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</si>
  <si>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</si>
  <si>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</si>
  <si>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</si>
  <si>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</si>
  <si>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</si>
  <si>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</si>
  <si>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</si>
  <si>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</si>
  <si>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</si>
  <si>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</si>
  <si>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</si>
  <si>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</si>
  <si>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</si>
  <si>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</si>
  <si>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</si>
  <si>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</si>
  <si>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</si>
  <si>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</si>
  <si>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</si>
  <si>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</si>
  <si>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</si>
  <si>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</si>
  <si>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</si>
  <si>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</si>
  <si>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</si>
  <si>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</si>
  <si>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</si>
  <si>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</si>
  <si>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</si>
  <si>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</si>
  <si>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</si>
  <si>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</si>
  <si>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</si>
  <si>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</si>
  <si>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</si>
  <si>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</si>
  <si>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</si>
  <si>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</si>
  <si>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</si>
  <si>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</si>
  <si>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</si>
  <si>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</si>
  <si>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</si>
  <si>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</si>
  <si>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</si>
  <si>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</si>
  <si>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</si>
  <si>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</si>
  <si>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</si>
  <si>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</si>
  <si>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</si>
  <si>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</si>
  <si>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</si>
  <si>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</si>
  <si>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</si>
  <si>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</si>
  <si>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</si>
  <si>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</si>
  <si>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</si>
  <si>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</si>
  <si>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</si>
  <si>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</si>
  <si>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</si>
  <si>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</si>
  <si>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</si>
  <si>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</si>
  <si>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</si>
  <si>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</si>
  <si>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</si>
  <si>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</si>
  <si>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</si>
  <si>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</si>
  <si>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</si>
  <si>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</si>
  <si>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</si>
  <si>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</si>
  <si>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</si>
  <si>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</si>
  <si>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</si>
  <si>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</si>
  <si>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</si>
  <si>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</si>
  <si>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</si>
  <si>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</si>
  <si>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</si>
  <si>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</si>
  <si>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</si>
  <si>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</si>
  <si>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</si>
  <si>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</si>
  <si>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</si>
  <si>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</si>
  <si>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</si>
  <si>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</si>
  <si>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</si>
  <si>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</si>
  <si>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</si>
  <si>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</si>
  <si>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</si>
  <si>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</si>
  <si>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</si>
  <si>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</si>
  <si>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</si>
  <si>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</si>
  <si>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</si>
  <si>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</si>
  <si>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</si>
  <si>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</si>
  <si>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</si>
  <si>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</si>
  <si>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</si>
  <si>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</si>
  <si>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</si>
  <si>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</si>
  <si>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</si>
  <si>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</si>
  <si>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</si>
  <si>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</si>
  <si>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</si>
  <si>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</si>
  <si>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</si>
  <si>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</si>
  <si>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</si>
  <si>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</si>
  <si>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</si>
  <si>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</si>
  <si>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</si>
  <si>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</si>
  <si>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</si>
  <si>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</si>
  <si>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</si>
  <si>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</si>
  <si>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</si>
  <si>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</si>
  <si>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</si>
  <si>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</si>
  <si>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</si>
  <si>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</si>
  <si>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</si>
  <si>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</si>
  <si>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</si>
  <si>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</si>
  <si>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</si>
  <si>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</si>
  <si>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</si>
  <si>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</si>
  <si>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</si>
  <si>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</si>
  <si>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</si>
  <si>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</si>
  <si>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</si>
  <si>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</si>
  <si>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</si>
  <si>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</si>
  <si>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</si>
  <si>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</si>
  <si>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</si>
  <si>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</si>
  <si>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</si>
  <si>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</si>
  <si>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</si>
  <si>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</si>
  <si>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</si>
  <si>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</si>
  <si>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</si>
  <si>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</si>
  <si>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</si>
  <si>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</si>
  <si>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</si>
  <si>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</si>
  <si>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</si>
  <si>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</si>
  <si>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</si>
  <si>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</si>
  <si>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</si>
  <si>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</si>
  <si>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</si>
  <si>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</si>
  <si>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</si>
  <si>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</si>
  <si>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</si>
  <si>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</si>
  <si>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</si>
  <si>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</si>
  <si>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</si>
  <si>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</si>
  <si>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</si>
  <si>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</si>
  <si>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</si>
  <si>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</si>
  <si>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</si>
  <si>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</si>
  <si>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</si>
  <si>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</si>
  <si>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</si>
  <si>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</si>
  <si>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</si>
  <si>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</si>
  <si>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</si>
  <si>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</si>
  <si>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</si>
  <si>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</si>
  <si>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</si>
  <si>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</si>
  <si>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</si>
  <si>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</si>
  <si>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</si>
  <si>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</si>
  <si>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</si>
  <si>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</si>
  <si>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</si>
  <si>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</si>
  <si>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</si>
  <si>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</si>
  <si>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</si>
  <si>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</si>
  <si>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</si>
  <si>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</si>
  <si>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</si>
  <si>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</si>
  <si>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</si>
  <si>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</si>
  <si>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</si>
  <si>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</si>
  <si>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</si>
  <si>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</si>
  <si>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</si>
  <si>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</si>
  <si>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</si>
  <si>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</si>
  <si>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</si>
  <si>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</si>
  <si>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</si>
  <si>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</si>
  <si>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</si>
  <si>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</si>
  <si>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</si>
  <si>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</si>
  <si>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</si>
  <si>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</si>
  <si>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</si>
  <si>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</si>
  <si>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</si>
  <si>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</si>
  <si>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</si>
  <si>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</si>
  <si>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</si>
  <si>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</si>
  <si>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</si>
  <si>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</si>
  <si>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</si>
  <si>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</si>
  <si>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</si>
  <si>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</si>
  <si>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</si>
  <si>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</si>
  <si>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</si>
  <si>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</si>
  <si>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</si>
  <si>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</si>
  <si>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</si>
  <si>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</si>
  <si>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</si>
  <si>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</si>
  <si>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</si>
  <si>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</si>
  <si>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</si>
  <si>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</si>
  <si>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</si>
  <si>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</si>
  <si>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</si>
  <si>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</si>
  <si>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</si>
  <si>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</si>
  <si>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</si>
  <si>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</si>
  <si>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</si>
  <si>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</si>
  <si>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</si>
  <si>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</si>
  <si>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</si>
  <si>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</si>
  <si>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</si>
  <si>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</si>
  <si>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</si>
  <si>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</si>
  <si>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</si>
  <si>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</si>
  <si>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</si>
  <si>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</si>
  <si>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</si>
  <si>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</si>
  <si>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</si>
  <si>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</si>
  <si>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</si>
  <si>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</si>
  <si>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</si>
  <si>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</si>
  <si>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</si>
  <si>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</si>
  <si>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</si>
  <si>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</si>
  <si>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</si>
  <si>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</si>
  <si>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</si>
  <si>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</si>
  <si>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</si>
  <si>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</si>
  <si>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</si>
  <si>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</si>
  <si>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</si>
  <si>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</si>
  <si>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</si>
  <si>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</si>
  <si>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</si>
  <si>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</si>
  <si>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</si>
  <si>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</si>
  <si>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</si>
  <si>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</si>
  <si>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</si>
  <si>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</si>
  <si>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</si>
  <si>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</si>
  <si>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</si>
  <si>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</si>
  <si>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</si>
  <si>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</si>
  <si>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</si>
  <si>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</si>
  <si>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</si>
  <si>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</si>
  <si>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</si>
  <si>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</si>
  <si>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</si>
  <si>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</si>
  <si>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</si>
  <si>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</si>
  <si>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</si>
  <si>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</si>
  <si>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</si>
  <si>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</si>
  <si>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</si>
  <si>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</si>
  <si>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</si>
  <si>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</si>
  <si>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</si>
  <si>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</si>
  <si>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</si>
  <si>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</si>
  <si>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</si>
  <si>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</si>
  <si>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</si>
  <si>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</si>
  <si>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</si>
  <si>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</si>
  <si>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</si>
  <si>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</si>
  <si>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</si>
  <si>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</si>
  <si>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</si>
  <si>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</si>
  <si>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</si>
  <si>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</si>
  <si>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</si>
  <si>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</si>
  <si>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</si>
  <si>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</si>
  <si>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</si>
  <si>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</si>
  <si>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</si>
  <si>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</si>
  <si>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</si>
  <si>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</si>
  <si>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</si>
  <si>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</si>
  <si>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</si>
  <si>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</si>
  <si>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</si>
  <si>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</si>
  <si>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</si>
  <si>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</si>
  <si>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</si>
  <si>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</si>
  <si>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</si>
  <si>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</si>
  <si>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</si>
  <si>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</si>
  <si>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</si>
  <si>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</si>
  <si>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</si>
  <si>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</si>
  <si>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</si>
  <si>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</si>
  <si>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</si>
  <si>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</si>
  <si>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</si>
  <si>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</si>
  <si>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</si>
  <si>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</si>
  <si>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</si>
  <si>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</si>
  <si>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</si>
  <si>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</si>
  <si>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</si>
  <si>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</si>
  <si>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</si>
  <si>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</si>
  <si>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</si>
  <si>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</si>
  <si>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</si>
  <si>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</si>
  <si>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</si>
  <si>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</si>
  <si>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</si>
  <si>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</si>
  <si>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</si>
  <si>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</si>
  <si>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</si>
  <si>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</si>
  <si>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</si>
  <si>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</si>
  <si>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</si>
  <si>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</si>
  <si>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</si>
  <si>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</si>
  <si>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</si>
  <si>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</si>
  <si>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</si>
  <si>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</si>
  <si>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</si>
  <si>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</si>
  <si>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</si>
  <si>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</si>
  <si>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</si>
  <si>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</si>
  <si>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</si>
  <si>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</si>
  <si>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</si>
  <si>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</si>
  <si>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</si>
  <si>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</si>
  <si>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</si>
  <si>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</si>
  <si>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</si>
  <si>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</si>
  <si>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</si>
  <si>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</si>
  <si>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</si>
  <si>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</si>
  <si>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</si>
  <si>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</si>
  <si>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</si>
  <si>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</si>
  <si>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</si>
  <si>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</si>
  <si>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</si>
  <si>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</si>
  <si>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</si>
  <si>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</si>
  <si>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</si>
  <si>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</si>
  <si>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</si>
  <si>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</si>
  <si>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</si>
  <si>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</si>
  <si>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</si>
  <si>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</si>
  <si>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</si>
  <si>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</si>
  <si>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</si>
  <si>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</si>
  <si>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</si>
  <si>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</si>
  <si>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</si>
  <si>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</si>
  <si>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</si>
  <si>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</si>
  <si>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</si>
  <si>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</si>
  <si>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</si>
  <si>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</si>
  <si>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</si>
  <si>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</si>
  <si>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</si>
  <si>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</si>
  <si>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</si>
  <si>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</si>
  <si>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</si>
  <si>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</si>
  <si>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</si>
  <si>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</si>
  <si>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</si>
  <si>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</si>
  <si>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</si>
  <si>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</si>
  <si>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</si>
  <si>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</si>
  <si>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</si>
  <si>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</si>
  <si>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</si>
  <si>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</si>
  <si>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</si>
  <si>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</si>
  <si>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</si>
  <si>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</si>
  <si>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</si>
  <si>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</si>
  <si>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</si>
  <si>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</si>
  <si>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</si>
  <si>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</si>
  <si>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</si>
  <si>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</si>
  <si>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</si>
  <si>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</si>
  <si>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</si>
  <si>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</si>
  <si>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</si>
  <si>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</si>
  <si>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</si>
  <si>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</si>
  <si>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</si>
  <si>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</si>
  <si>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</si>
  <si>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</si>
  <si>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</si>
  <si>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</si>
  <si>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</si>
  <si>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</si>
  <si>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</si>
  <si>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</si>
  <si>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</si>
  <si>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</si>
  <si>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</si>
  <si>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</si>
  <si>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</si>
  <si>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</si>
  <si>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</si>
  <si>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</si>
  <si>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</si>
  <si>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</si>
  <si>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</si>
  <si>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</si>
  <si>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</si>
  <si>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</si>
  <si>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</si>
  <si>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</si>
  <si>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</si>
  <si>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</si>
  <si>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</si>
  <si>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</si>
  <si>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</si>
  <si>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</si>
  <si>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</si>
  <si>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</si>
  <si>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</si>
  <si>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</si>
  <si>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</si>
  <si>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</si>
  <si>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</si>
  <si>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</si>
  <si>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</si>
  <si>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</si>
  <si>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</si>
  <si>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</si>
  <si>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</si>
  <si>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</si>
  <si>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</si>
  <si>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</si>
  <si>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</si>
  <si>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</si>
  <si>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</si>
  <si>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</si>
  <si>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</si>
  <si>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</si>
  <si>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</si>
  <si>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</si>
  <si>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</si>
  <si>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</si>
  <si>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</si>
  <si>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</si>
  <si>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</si>
  <si>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</si>
  <si>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</si>
  <si>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</si>
  <si>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</si>
  <si>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</si>
  <si>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</si>
  <si>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</si>
  <si>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</si>
  <si>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</si>
  <si>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</si>
  <si>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</si>
  <si>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</si>
  <si>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</si>
  <si>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</si>
  <si>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</si>
  <si>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</si>
  <si>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</si>
  <si>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</si>
  <si>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</si>
  <si>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</si>
  <si>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</si>
  <si>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</si>
  <si>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</si>
  <si>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</si>
  <si>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</si>
  <si>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</si>
  <si>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</si>
  <si>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</si>
  <si>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</si>
  <si>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</si>
  <si>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</si>
  <si>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</si>
  <si>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</si>
  <si>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</si>
  <si>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</si>
  <si>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</si>
  <si>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</si>
  <si>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</si>
  <si>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</si>
  <si>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</si>
  <si>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</si>
  <si>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</si>
  <si>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</si>
  <si>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</si>
  <si>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</si>
  <si>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</si>
  <si>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</si>
  <si>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</si>
  <si>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</si>
  <si>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</si>
  <si>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</si>
  <si>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</si>
  <si>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</si>
  <si>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</si>
  <si>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</si>
  <si>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</si>
  <si>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</si>
  <si>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</si>
  <si>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</si>
  <si>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</si>
  <si>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</si>
  <si>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</si>
  <si>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</si>
  <si>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</si>
  <si>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</si>
  <si>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</si>
  <si>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</si>
  <si>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</si>
  <si>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</si>
  <si>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</si>
  <si>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</si>
  <si>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</si>
  <si>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</si>
  <si>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</si>
  <si>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</si>
  <si>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</si>
  <si>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</si>
  <si>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</si>
  <si>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</si>
  <si>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</si>
  <si>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</si>
  <si>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</si>
  <si>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</si>
  <si>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</si>
  <si>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</si>
  <si>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</si>
  <si>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</si>
  <si>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</si>
  <si>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</si>
  <si>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</si>
  <si>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</si>
  <si>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</si>
  <si>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</si>
  <si>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</si>
  <si>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</si>
  <si>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</si>
  <si>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</si>
  <si>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</si>
  <si>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</si>
  <si>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</si>
  <si>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</si>
  <si>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</si>
  <si>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</si>
  <si>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</si>
  <si>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</si>
  <si>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</si>
  <si>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</si>
  <si>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</si>
  <si>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</si>
  <si>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</si>
  <si>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</si>
  <si>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</si>
  <si>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</si>
  <si>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</si>
  <si>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</si>
  <si>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</si>
  <si>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</si>
  <si>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</si>
  <si>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</si>
  <si>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</si>
  <si>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</si>
  <si>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</si>
  <si>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</si>
  <si>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</si>
  <si>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</si>
  <si>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</si>
  <si>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</si>
  <si>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</si>
  <si>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</si>
  <si>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</si>
  <si>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</si>
  <si>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</si>
  <si>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</si>
  <si>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</si>
  <si>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</si>
  <si>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</si>
  <si>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</si>
  <si>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</si>
  <si>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</si>
  <si>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</si>
  <si>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</si>
  <si>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</si>
  <si>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</si>
  <si>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</si>
  <si>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</si>
  <si>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</si>
  <si>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</si>
  <si>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</si>
  <si>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</si>
  <si>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</si>
  <si>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</si>
  <si>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</si>
  <si>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</si>
  <si>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</si>
  <si>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</si>
  <si>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</si>
  <si>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</si>
  <si>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</si>
  <si>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</si>
  <si>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</si>
  <si>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</si>
  <si>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</si>
  <si>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</si>
  <si>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</si>
  <si>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</si>
  <si>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</si>
  <si>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</si>
  <si>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</si>
  <si>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</si>
  <si>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</si>
  <si>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</si>
  <si>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</si>
  <si>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</si>
  <si>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</si>
  <si>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</si>
  <si>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</si>
  <si>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</si>
  <si>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</si>
  <si>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</si>
  <si>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</si>
  <si>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</si>
  <si>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</si>
  <si>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</si>
  <si>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</si>
  <si>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</si>
  <si>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</si>
  <si>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</si>
  <si>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</si>
  <si>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</si>
  <si>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</si>
  <si>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</si>
  <si>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</si>
  <si>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</si>
  <si>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</si>
  <si>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</si>
  <si>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</si>
  <si>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</si>
  <si>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</si>
  <si>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</si>
  <si>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</si>
  <si>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</si>
  <si>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</si>
  <si>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</si>
  <si>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</si>
  <si>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</si>
  <si>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</si>
  <si>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</si>
  <si>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</si>
  <si>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</si>
  <si>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</si>
  <si>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</si>
  <si>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</si>
  <si>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</si>
  <si>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</si>
  <si>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</si>
  <si>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</si>
  <si>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</si>
  <si>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</si>
  <si>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</si>
  <si>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</si>
  <si>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</si>
  <si>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</si>
  <si>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</si>
  <si>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</si>
  <si>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</si>
  <si>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</si>
  <si>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</si>
  <si>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</si>
  <si>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</si>
  <si>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</si>
  <si>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</si>
  <si>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</si>
  <si>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</si>
  <si>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</si>
  <si>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</si>
  <si>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</si>
  <si>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</si>
  <si>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</si>
  <si>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</si>
  <si>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</si>
  <si>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</si>
  <si>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</si>
  <si>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</si>
  <si>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</si>
  <si>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</si>
  <si>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</si>
  <si>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</si>
  <si>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</si>
  <si>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</si>
  <si>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</si>
  <si>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</si>
  <si>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</si>
  <si>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</si>
  <si>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</si>
  <si>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</si>
  <si>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</si>
  <si>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</si>
  <si>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</si>
  <si>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</si>
  <si>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</si>
  <si>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</si>
  <si>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</si>
  <si>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</si>
  <si>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</si>
  <si>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</si>
  <si>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</si>
  <si>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</si>
  <si>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</si>
  <si>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</si>
  <si>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</si>
  <si>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</si>
  <si>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</si>
  <si>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</si>
  <si>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</si>
  <si>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</si>
  <si>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</si>
  <si>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</si>
  <si>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</si>
  <si>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</si>
  <si>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</si>
  <si>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</si>
  <si>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</si>
  <si>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</si>
  <si>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</si>
  <si>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</si>
  <si>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</si>
  <si>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</si>
  <si>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</si>
  <si>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</si>
  <si>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</si>
  <si>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</si>
  <si>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</si>
  <si>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</si>
  <si>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</si>
  <si>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</si>
  <si>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</si>
  <si>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</si>
  <si>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</si>
  <si>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</si>
  <si>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</si>
  <si>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</si>
  <si>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</si>
  <si>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</si>
  <si>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</si>
  <si>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</si>
  <si>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</si>
  <si>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</si>
  <si>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</si>
  <si>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</si>
  <si>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</si>
  <si>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</si>
  <si>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</si>
  <si>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</si>
  <si>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</si>
  <si>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</si>
  <si>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</si>
  <si>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</si>
  <si>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</si>
  <si>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</si>
  <si>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</si>
  <si>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</si>
  <si>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</si>
  <si>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</si>
  <si>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</si>
  <si>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</si>
  <si>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</si>
  <si>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</si>
  <si>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</si>
  <si>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</si>
  <si>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</si>
  <si>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</si>
  <si>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</si>
  <si>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</si>
  <si>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</si>
  <si>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</si>
  <si>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</si>
  <si>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</si>
  <si>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</si>
  <si>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</si>
  <si>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</si>
  <si>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</si>
  <si>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</si>
  <si>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</si>
  <si>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</si>
  <si>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</si>
  <si>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</si>
  <si>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</si>
  <si>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</si>
  <si>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</si>
  <si>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</si>
  <si>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</si>
  <si>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</si>
  <si>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</si>
  <si>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</si>
  <si>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</si>
  <si>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</si>
  <si>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</si>
  <si>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</si>
  <si>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</si>
  <si>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</si>
  <si>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</si>
  <si>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</si>
  <si>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</si>
  <si>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</si>
  <si>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</si>
  <si>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</si>
  <si>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</si>
  <si>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</si>
  <si>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</si>
  <si>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</si>
  <si>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</si>
  <si>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</si>
  <si>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</si>
  <si>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</si>
  <si>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</si>
  <si>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</si>
  <si>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</si>
  <si>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</si>
  <si>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</si>
  <si>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</si>
  <si>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</si>
  <si>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</si>
  <si>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</si>
  <si>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</si>
  <si>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</si>
  <si>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</si>
  <si>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</si>
  <si>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</si>
  <si>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</si>
  <si>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</si>
  <si>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</si>
  <si>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</si>
  <si>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</si>
  <si>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</si>
  <si>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</si>
  <si>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</si>
  <si>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</si>
  <si>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</si>
  <si>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</si>
  <si>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</si>
  <si>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</si>
  <si>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</si>
  <si>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</si>
  <si>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</si>
  <si>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</si>
  <si>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</si>
  <si>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</si>
  <si>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</si>
  <si>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</si>
  <si>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</si>
  <si>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</si>
  <si>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</si>
  <si>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</si>
  <si>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</si>
  <si>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</si>
  <si>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</si>
  <si>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</si>
  <si>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</si>
  <si>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</si>
  <si>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</si>
  <si>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</si>
  <si>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</si>
  <si>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</si>
  <si>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</si>
  <si>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</si>
  <si>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</si>
  <si>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</si>
  <si>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</si>
  <si>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</si>
  <si>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</si>
  <si>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</si>
  <si>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</si>
  <si>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</si>
  <si>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</si>
  <si>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</si>
  <si>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</si>
  <si>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</si>
  <si>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</si>
  <si>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</si>
  <si>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</si>
  <si>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</si>
  <si>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</si>
  <si>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</si>
  <si>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</si>
  <si>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</si>
  <si>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</si>
  <si>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</si>
  <si>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</si>
  <si>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</si>
  <si>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</si>
  <si>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</si>
  <si>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</si>
  <si>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</si>
  <si>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</si>
  <si>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</si>
  <si>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</si>
  <si>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</si>
  <si>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</si>
  <si>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</si>
  <si>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</si>
  <si>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</si>
  <si>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</si>
  <si>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</si>
  <si>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</si>
  <si>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</si>
  <si>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</si>
  <si>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</si>
  <si>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</si>
  <si>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</si>
  <si>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</si>
  <si>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</si>
  <si>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</si>
  <si>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</si>
  <si>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</si>
  <si>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</si>
  <si>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</si>
  <si>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</si>
  <si>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</si>
  <si>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</si>
  <si>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</si>
  <si>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</si>
  <si>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</si>
  <si>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</si>
  <si>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</si>
  <si>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</si>
  <si>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</si>
  <si>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</si>
  <si>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</si>
  <si>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</si>
  <si>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</si>
  <si>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</si>
  <si>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</si>
  <si>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</si>
  <si>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</si>
  <si>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</si>
  <si>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</si>
  <si>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</si>
  <si>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</si>
  <si>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</si>
  <si>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</si>
  <si>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</si>
  <si>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</si>
  <si>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</si>
  <si>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</si>
  <si>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</si>
  <si>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</si>
  <si>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</si>
  <si>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</si>
  <si>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</si>
  <si>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</si>
  <si>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</si>
  <si>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</si>
  <si>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</si>
  <si>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</si>
  <si>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</si>
  <si>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</si>
  <si>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</si>
  <si>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</si>
  <si>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</si>
  <si>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</si>
  <si>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</si>
  <si>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</si>
  <si>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</si>
  <si>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</si>
  <si>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</si>
  <si>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</si>
  <si>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</si>
  <si>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</si>
  <si>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</si>
  <si>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</si>
  <si>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</si>
  <si>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</si>
  <si>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</si>
  <si>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</si>
  <si>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</si>
  <si>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</si>
  <si>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</si>
  <si>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</si>
  <si>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</si>
  <si>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</si>
  <si>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</si>
  <si>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</si>
  <si>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</si>
  <si>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</si>
  <si>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</si>
  <si>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</si>
  <si>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</si>
  <si>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</si>
  <si>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</si>
  <si>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</si>
  <si>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</si>
  <si>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</si>
  <si>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</si>
  <si>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</si>
  <si>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</si>
  <si>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</si>
  <si>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</si>
  <si>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</si>
  <si>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</si>
  <si>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</si>
  <si>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</si>
  <si>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</si>
  <si>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</si>
  <si>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</si>
  <si>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</si>
  <si>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</si>
  <si>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</si>
  <si>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</si>
  <si>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</si>
  <si>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</si>
  <si>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</si>
  <si>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</si>
  <si>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</si>
  <si>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</si>
  <si>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</si>
  <si>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</si>
  <si>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</si>
  <si>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</si>
  <si>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</si>
  <si>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</si>
  <si>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</si>
  <si>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</si>
  <si>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</si>
  <si>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</si>
  <si>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</si>
  <si>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</si>
  <si>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</si>
  <si>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</si>
  <si>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</si>
  <si>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</si>
  <si>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</si>
  <si>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</si>
  <si>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</si>
  <si>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</si>
  <si>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</si>
  <si>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</si>
  <si>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</si>
  <si>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</si>
  <si>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</si>
  <si>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</si>
  <si>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</si>
  <si>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</si>
  <si>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</si>
  <si>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</si>
  <si>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</si>
  <si>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</si>
  <si>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</si>
  <si>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</si>
  <si>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</si>
  <si>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</si>
  <si>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</si>
  <si>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</si>
  <si>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</si>
  <si>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</si>
  <si>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</si>
  <si>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</si>
  <si>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</si>
  <si>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</si>
  <si>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</si>
  <si>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</si>
  <si>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</si>
  <si>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</si>
  <si>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</si>
  <si>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</si>
  <si>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</si>
  <si>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</si>
  <si>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</si>
  <si>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</si>
  <si>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</si>
  <si>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</si>
  <si>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</si>
  <si>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</si>
  <si>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</si>
  <si>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</si>
  <si>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</si>
  <si>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</si>
  <si>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</si>
  <si>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</si>
  <si>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</si>
  <si>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</si>
  <si>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</si>
  <si>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</si>
  <si>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</si>
  <si>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</si>
  <si>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</si>
  <si>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</si>
  <si>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</si>
  <si>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</si>
  <si>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</si>
  <si>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</si>
  <si>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</si>
  <si>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</si>
  <si>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</si>
  <si>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</si>
  <si>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</si>
  <si>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</si>
  <si>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</si>
  <si>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</si>
  <si>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</si>
  <si>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</si>
  <si>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</si>
  <si>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</si>
  <si>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</si>
  <si>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</si>
  <si>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</si>
  <si>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</si>
  <si>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</si>
  <si>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</si>
  <si>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</si>
  <si>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</si>
  <si>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</si>
  <si>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</si>
  <si>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</si>
  <si>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</si>
  <si>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</si>
  <si>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</si>
  <si>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</si>
  <si>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</si>
  <si>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</si>
  <si>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</si>
  <si>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</si>
  <si>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</si>
  <si>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</si>
  <si>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</si>
  <si>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</si>
  <si>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</si>
  <si>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</si>
  <si>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</si>
  <si>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</si>
  <si>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</si>
  <si>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</si>
  <si>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</si>
  <si>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</si>
  <si>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</si>
  <si>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</si>
  <si>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</si>
  <si>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</si>
  <si>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</si>
  <si>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</si>
  <si>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</si>
  <si>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</si>
  <si>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</si>
  <si>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</si>
  <si>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</si>
  <si>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</si>
  <si>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</si>
  <si>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</si>
  <si>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</si>
  <si>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</si>
  <si>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</si>
  <si>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</si>
  <si>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</si>
  <si>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</si>
  <si>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</si>
  <si>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</si>
  <si>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</si>
  <si>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</si>
  <si>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</si>
  <si>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</si>
  <si>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</si>
  <si>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</si>
  <si>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</si>
  <si>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</si>
  <si>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</si>
  <si>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</si>
  <si>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</si>
  <si>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</si>
  <si>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</si>
  <si>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</si>
  <si>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</si>
  <si>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</si>
  <si>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</si>
  <si>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</si>
  <si>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</si>
  <si>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</si>
  <si>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</si>
  <si>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</si>
  <si>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</si>
  <si>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</si>
  <si>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</si>
  <si>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</si>
  <si>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</si>
  <si>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</si>
  <si>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</si>
  <si>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</si>
  <si>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</si>
  <si>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</si>
  <si>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</si>
  <si>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</si>
  <si>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</si>
  <si>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</si>
  <si>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</si>
  <si>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</si>
  <si>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</si>
  <si>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</si>
  <si>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</si>
  <si>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</si>
  <si>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</si>
  <si>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</si>
  <si>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</si>
  <si>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</si>
  <si>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</si>
  <si>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</si>
  <si>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</si>
  <si>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</si>
  <si>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</si>
  <si>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</si>
  <si>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</si>
  <si>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</si>
  <si>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</si>
  <si>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</si>
  <si>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</si>
  <si>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</si>
  <si>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</si>
  <si>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</si>
  <si>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</si>
  <si>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</si>
  <si>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</si>
  <si>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</si>
  <si>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</si>
  <si>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</si>
  <si>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</si>
  <si>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</si>
  <si>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</si>
  <si>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</si>
  <si>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</si>
  <si>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</si>
  <si>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</si>
  <si>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</si>
  <si>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</si>
  <si>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</si>
  <si>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</si>
  <si>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</si>
  <si>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</si>
  <si>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</si>
  <si>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</si>
  <si>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</si>
  <si>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</si>
  <si>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</si>
  <si>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</si>
  <si>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</si>
  <si>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</si>
  <si>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</si>
  <si>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</si>
  <si>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</si>
  <si>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</si>
  <si>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</si>
  <si>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</si>
  <si>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</si>
  <si>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</si>
  <si>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</si>
  <si>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</si>
  <si>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</si>
  <si>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</si>
  <si>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</si>
  <si>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</si>
  <si>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</si>
  <si>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</si>
  <si>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</si>
  <si>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</si>
  <si>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</si>
  <si>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</si>
  <si>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</si>
  <si>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</si>
  <si>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</si>
  <si>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</si>
  <si>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</si>
  <si>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</si>
  <si>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</si>
  <si>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</si>
  <si>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</si>
  <si>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</si>
  <si>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</si>
  <si>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</si>
  <si>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</si>
  <si>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</si>
  <si>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</si>
  <si>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</si>
  <si>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</si>
  <si>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</si>
  <si>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</si>
  <si>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</si>
  <si>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</si>
  <si>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</si>
  <si>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</si>
  <si>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</si>
  <si>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</si>
  <si>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</si>
  <si>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</si>
  <si>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</si>
  <si>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</si>
  <si>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</si>
  <si>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</si>
  <si>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</si>
  <si>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</si>
  <si>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</si>
  <si>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</si>
  <si>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</si>
  <si>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</si>
  <si>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</si>
  <si>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</si>
  <si>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</si>
  <si>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</si>
  <si>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</si>
  <si>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</si>
  <si>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</si>
  <si>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</si>
  <si>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</si>
  <si>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</si>
  <si>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</si>
  <si>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</si>
  <si>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</si>
  <si>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</si>
  <si>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</si>
  <si>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</si>
  <si>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</si>
  <si>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</si>
  <si>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</si>
  <si>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</si>
  <si>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</si>
  <si>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</si>
  <si>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</si>
  <si>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</si>
  <si>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</si>
  <si>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</si>
  <si>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</si>
  <si>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</si>
  <si>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</si>
  <si>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</si>
  <si>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</si>
  <si>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</si>
  <si>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</si>
  <si>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</si>
  <si>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</si>
  <si>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</si>
  <si>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</si>
  <si>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</si>
  <si>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</si>
  <si>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</si>
  <si>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</si>
  <si>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</si>
  <si>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</si>
  <si>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</si>
  <si>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</si>
  <si>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</si>
  <si>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</si>
  <si>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</si>
  <si>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</si>
  <si>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</si>
  <si>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</si>
  <si>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</si>
  <si>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</si>
  <si>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</si>
  <si>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</si>
  <si>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</si>
  <si>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</si>
  <si>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</si>
  <si>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</si>
  <si>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</si>
  <si>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</si>
  <si>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</si>
  <si>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</si>
  <si>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</si>
  <si>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</si>
  <si>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</si>
  <si>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</si>
  <si>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</si>
  <si>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</si>
  <si>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</si>
  <si>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</si>
  <si>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</si>
  <si>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</si>
  <si>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</si>
  <si>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</si>
  <si>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</si>
  <si>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</si>
  <si>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</si>
  <si>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</si>
  <si>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</si>
  <si>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</si>
  <si>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</si>
  <si>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</si>
  <si>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</si>
  <si>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</si>
  <si>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</si>
  <si>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</si>
  <si>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</si>
  <si>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</si>
  <si>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</si>
  <si>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</si>
  <si>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</si>
  <si>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</si>
  <si>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</si>
  <si>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</si>
  <si>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</si>
  <si>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</si>
  <si>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</si>
  <si>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</si>
  <si>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</si>
  <si>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</si>
  <si>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</si>
  <si>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</si>
  <si>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</si>
  <si>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</si>
  <si>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</si>
  <si>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</si>
  <si>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</si>
  <si>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</si>
  <si>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</si>
  <si>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</si>
  <si>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</si>
  <si>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</si>
  <si>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</si>
  <si>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</si>
  <si>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</si>
  <si>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</si>
  <si>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</si>
  <si>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</si>
  <si>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</si>
  <si>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</si>
  <si>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</si>
  <si>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</si>
  <si>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</si>
  <si>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</si>
  <si>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</si>
  <si>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</si>
  <si>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</si>
  <si>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</si>
  <si>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</si>
  <si>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</si>
  <si>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</si>
  <si>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</si>
  <si>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</si>
  <si>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</si>
  <si>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</si>
  <si>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</si>
  <si>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</si>
  <si>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</si>
  <si>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</si>
  <si>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</si>
  <si>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</si>
  <si>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</si>
  <si>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</si>
  <si>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</si>
  <si>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</si>
  <si>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</si>
  <si>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</si>
  <si>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</si>
  <si>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</si>
  <si>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</si>
  <si>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</si>
  <si>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</si>
  <si>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</si>
  <si>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</si>
  <si>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</si>
  <si>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</si>
  <si>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</si>
  <si>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</si>
  <si>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</si>
  <si>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</si>
  <si>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</si>
  <si>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</si>
  <si>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</si>
  <si>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</si>
  <si>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</si>
  <si>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</si>
  <si>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</si>
  <si>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</si>
  <si>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</si>
  <si>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</si>
  <si>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</si>
  <si>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</si>
  <si>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</si>
  <si>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</si>
  <si>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</si>
  <si>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</si>
  <si>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</si>
  <si>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</si>
  <si>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</si>
  <si>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</si>
  <si>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</si>
  <si>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</si>
  <si>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</si>
  <si>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</si>
  <si>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</si>
  <si>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</si>
  <si>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</si>
  <si>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</si>
  <si>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</si>
  <si>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</si>
  <si>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</si>
  <si>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</si>
  <si>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</si>
  <si>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</si>
  <si>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</si>
  <si>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</si>
  <si>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</si>
  <si>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</si>
  <si>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</si>
  <si>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</si>
  <si>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</si>
  <si>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</si>
  <si>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</si>
  <si>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</si>
  <si>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</si>
  <si>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</si>
  <si>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</si>
  <si>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</si>
  <si>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</si>
  <si>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</si>
  <si>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</si>
  <si>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</si>
  <si>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</si>
  <si>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</si>
  <si>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</si>
  <si>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</si>
  <si>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</si>
  <si>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</si>
  <si>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</si>
  <si>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</si>
  <si>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</si>
  <si>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</si>
  <si>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</si>
  <si>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</si>
  <si>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</si>
  <si>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</si>
  <si>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</si>
  <si>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</si>
  <si>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</si>
  <si>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</si>
  <si>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</si>
  <si>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</si>
  <si>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</si>
  <si>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</si>
  <si>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</si>
  <si>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</si>
  <si>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</si>
  <si>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</si>
  <si>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</si>
  <si>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</si>
  <si>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</si>
  <si>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</si>
  <si>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</si>
  <si>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</si>
  <si>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</si>
  <si>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</si>
  <si>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</si>
  <si>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</si>
  <si>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</si>
  <si>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</si>
  <si>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</si>
  <si>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</si>
  <si>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</si>
  <si>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</si>
  <si>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</si>
  <si>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</si>
  <si>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</si>
  <si>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</si>
  <si>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</si>
  <si>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Q326</t>
  </si>
  <si>
    <t>FQ226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</si>
</sst>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7" fillId="0" borderId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4" applyNumberFormat="0" applyFill="0" applyAlignment="0" applyProtection="0"/>
    <xf numFmtId="0" fontId="32" fillId="0" borderId="5" applyNumberFormat="0" applyFill="0" applyAlignment="0" applyProtection="0"/>
    <xf numFmtId="0" fontId="33" fillId="0" borderId="6" applyNumberFormat="0" applyFill="0" applyAlignment="0" applyProtection="0"/>
    <xf numFmtId="0" fontId="33" fillId="0" borderId="0" applyNumberFormat="0" applyFill="0" applyBorder="0" applyAlignment="0" applyProtection="0"/>
    <xf numFmtId="0" fontId="34" fillId="3" borderId="0" applyNumberFormat="0" applyBorder="0" applyAlignment="0" applyProtection="0"/>
    <xf numFmtId="0" fontId="35" fillId="4" borderId="0" applyNumberFormat="0" applyBorder="0" applyAlignment="0" applyProtection="0"/>
    <xf numFmtId="0" fontId="36" fillId="5" borderId="0" applyNumberFormat="0" applyBorder="0" applyAlignment="0" applyProtection="0"/>
    <xf numFmtId="0" fontId="37" fillId="6" borderId="7" applyNumberFormat="0" applyAlignment="0" applyProtection="0"/>
    <xf numFmtId="0" fontId="38" fillId="7" borderId="8" applyNumberFormat="0" applyAlignment="0" applyProtection="0"/>
    <xf numFmtId="0" fontId="39" fillId="7" borderId="7" applyNumberFormat="0" applyAlignment="0" applyProtection="0"/>
    <xf numFmtId="0" fontId="40" fillId="0" borderId="9" applyNumberFormat="0" applyFill="0" applyAlignment="0" applyProtection="0"/>
    <xf numFmtId="0" fontId="41" fillId="8" borderId="10" applyNumberFormat="0" applyAlignment="0" applyProtection="0"/>
    <xf numFmtId="0" fontId="42" fillId="0" borderId="0" applyNumberFormat="0" applyFill="0" applyBorder="0" applyAlignment="0" applyProtection="0"/>
    <xf numFmtId="0" fontId="29" fillId="9" borderId="11" applyNumberFormat="0" applyFont="0" applyAlignment="0" applyProtection="0"/>
    <xf numFmtId="0" fontId="43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44" fillId="10" borderId="0" applyNumberFormat="0" applyBorder="0" applyAlignment="0" applyProtection="0"/>
    <xf numFmtId="0" fontId="29" fillId="11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44" fillId="14" borderId="0" applyNumberFormat="0" applyBorder="0" applyAlignment="0" applyProtection="0"/>
    <xf numFmtId="0" fontId="29" fillId="15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44" fillId="18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44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44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44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3" borderId="0" applyNumberFormat="0" applyBorder="0" applyAlignment="0" applyProtection="0"/>
  </cellStyleXfs>
  <cellXfs count="48">
    <xf numFmtId="0" fontId="0" fillId="0" borderId="0" xfId="0"/>
    <xf numFmtId="0" fontId="26" fillId="0" borderId="0" xfId="0" applyFont="1"/>
    <xf numFmtId="0" fontId="27" fillId="0" borderId="0" xfId="0" applyFont="1"/>
    <xf numFmtId="0" fontId="28" fillId="0" borderId="0" xfId="0" applyFont="1"/>
    <xf numFmtId="0" fontId="45" fillId="0" borderId="0" xfId="0" applyFont="1"/>
    <xf numFmtId="0" fontId="24" fillId="0" borderId="0" xfId="0" applyFont="1"/>
    <xf numFmtId="0" fontId="24" fillId="0" borderId="0" xfId="0" applyFont="1" applyAlignment="1">
      <alignment horizontal="right"/>
    </xf>
    <xf numFmtId="0" fontId="46" fillId="0" borderId="0" xfId="0" applyFont="1"/>
    <xf numFmtId="0" fontId="27" fillId="2" borderId="1" xfId="0" applyFont="1" applyFill="1" applyBorder="1" applyAlignment="1">
      <alignment horizontal="center"/>
    </xf>
    <xf numFmtId="0" fontId="27" fillId="2" borderId="2" xfId="0" applyFont="1" applyFill="1" applyBorder="1"/>
    <xf numFmtId="0" fontId="27" fillId="2" borderId="2" xfId="0" applyFont="1" applyFill="1" applyBorder="1" applyAlignment="1">
      <alignment horizontal="center"/>
    </xf>
    <xf numFmtId="0" fontId="27" fillId="2" borderId="2" xfId="0" applyFont="1" applyFill="1" applyBorder="1" applyAlignment="1">
      <alignment horizontal="right"/>
    </xf>
    <xf numFmtId="0" fontId="24" fillId="2" borderId="3" xfId="0" applyFont="1" applyFill="1" applyBorder="1"/>
    <xf numFmtId="0" fontId="24" fillId="0" borderId="0" xfId="0" applyFont="1" applyAlignment="1">
      <alignment horizontal="center"/>
    </xf>
    <xf numFmtId="0" fontId="47" fillId="0" borderId="0" xfId="1"/>
    <xf numFmtId="164" fontId="24" fillId="0" borderId="0" xfId="0" applyNumberFormat="1" applyFont="1"/>
    <xf numFmtId="16" fontId="24" fillId="0" borderId="0" xfId="0" applyNumberFormat="1" applyFont="1"/>
    <xf numFmtId="0" fontId="48" fillId="0" borderId="0" xfId="0" applyFont="1"/>
    <xf numFmtId="0" fontId="24" fillId="0" borderId="0" xfId="0" quotePrefix="1" applyFont="1"/>
    <xf numFmtId="0" fontId="46" fillId="0" borderId="0" xfId="0" applyFont="1" applyAlignment="1">
      <alignment horizontal="right"/>
    </xf>
    <xf numFmtId="0" fontId="24" fillId="2" borderId="2" xfId="0" applyFont="1" applyFill="1" applyBorder="1"/>
    <xf numFmtId="0" fontId="27" fillId="2" borderId="3" xfId="0" applyFont="1" applyFill="1" applyBorder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164" fontId="14" fillId="0" borderId="0" xfId="0" applyNumberFormat="1" applyFont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179.37</v>
          </cell>
        </row>
        <row r="4">
          <cell r="I4">
            <v>4358691</v>
          </cell>
        </row>
        <row r="5">
          <cell r="I5">
            <v>60608</v>
          </cell>
        </row>
        <row r="6">
          <cell r="I6">
            <v>8467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357.2</v>
          </cell>
        </row>
        <row r="5">
          <cell r="G5">
            <v>1686828.7858583999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1740</v>
          </cell>
        </row>
        <row r="4">
          <cell r="H4">
            <v>45119940</v>
          </cell>
        </row>
        <row r="5">
          <cell r="H5">
            <v>3068594</v>
          </cell>
        </row>
        <row r="6">
          <cell r="H6">
            <v>993154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86.07</v>
          </cell>
        </row>
        <row r="5">
          <cell r="I5">
            <v>363401.49625049997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169.27</v>
          </cell>
        </row>
        <row r="5">
          <cell r="G5">
            <v>403444.26893326</v>
          </cell>
        </row>
        <row r="6">
          <cell r="G6">
            <v>6437.8170000000009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226.55</v>
          </cell>
        </row>
        <row r="4">
          <cell r="H4">
            <v>368832.810887</v>
          </cell>
        </row>
        <row r="5">
          <cell r="H5">
            <v>7243</v>
          </cell>
        </row>
        <row r="6">
          <cell r="H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7" activePane="bottomRight" state="frozen"/>
      <selection pane="topRight" activeCell="C1" sqref="C1"/>
      <selection pane="bottomLeft" activeCell="A3" sqref="A3"/>
      <selection pane="bottomRight" activeCell="J18" sqref="J1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179.37</v>
      </c>
      <c r="F4" s="15">
        <f>+[1]Main!$I$4</f>
        <v>4358691</v>
      </c>
      <c r="G4" s="15">
        <f>+[1]Main!$I$6-[1]Main!$I$5</f>
        <v>-52141</v>
      </c>
      <c r="H4" s="15">
        <f>F4+G4</f>
        <v>4306550</v>
      </c>
      <c r="I4" s="45" t="s">
        <v>3152</v>
      </c>
      <c r="J4" s="16">
        <v>46079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1" t="s">
        <v>3148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1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1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1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1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357.2</v>
      </c>
      <c r="F11" s="15">
        <f>+[8]Main!$G$5</f>
        <v>1686828.7858583999</v>
      </c>
      <c r="G11" s="15">
        <f>+[8]Main!$G$7-[8]Main!$G$6</f>
        <v>57810</v>
      </c>
      <c r="H11" s="15">
        <f t="shared" si="0"/>
        <v>1744638.7858583999</v>
      </c>
      <c r="I11" s="29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7" t="s">
        <v>3153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1740</v>
      </c>
      <c r="F13" s="15">
        <f>+[10]Main!$H$4*FX!C2</f>
        <v>1353598.2</v>
      </c>
      <c r="G13" s="15">
        <f>+([10]Main!$H$6-[10]Main!$H$5)*FX!C2</f>
        <v>-62263.199999999997</v>
      </c>
      <c r="H13" s="15">
        <f t="shared" si="0"/>
        <v>1291335</v>
      </c>
      <c r="I13" s="46" t="s">
        <v>2709</v>
      </c>
      <c r="J13" s="16">
        <v>46128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86.07</v>
      </c>
      <c r="F17" s="15">
        <f>+[14]Main!$I$5</f>
        <v>363401.49625049997</v>
      </c>
      <c r="G17" s="15">
        <f>+[14]Main!$I$7-[14]Main!$I$6</f>
        <v>5400.476999999999</v>
      </c>
      <c r="H17" s="15">
        <f t="shared" si="3"/>
        <v>368801.97325049998</v>
      </c>
      <c r="I17" s="41" t="s">
        <v>2709</v>
      </c>
      <c r="J17" s="16">
        <v>46129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169.27</v>
      </c>
      <c r="F18" s="15">
        <f>+[15]Main!$G$5</f>
        <v>403444.26893326</v>
      </c>
      <c r="G18" s="15">
        <f>+[15]Main!$G$7-[15]Main!$G$6</f>
        <v>-6437.8170000000009</v>
      </c>
      <c r="H18" s="15">
        <f t="shared" si="3"/>
        <v>397006.45193326002</v>
      </c>
      <c r="I18" s="23" t="s">
        <v>2584</v>
      </c>
      <c r="J18" s="16">
        <v>46055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8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226.55</v>
      </c>
      <c r="F22" s="15">
        <f>+[19]Main!$H$4</f>
        <v>368832.810887</v>
      </c>
      <c r="G22" s="15">
        <f>+[19]Main!$H$6-[19]Main!$H$5</f>
        <v>-4023</v>
      </c>
      <c r="H22" s="15">
        <f t="shared" si="4"/>
        <v>364809.810887</v>
      </c>
      <c r="I22" s="42" t="s">
        <v>2709</v>
      </c>
      <c r="J22" s="16">
        <v>46055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9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5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0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1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5" t="s">
        <v>3146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4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4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9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9" t="s">
        <v>3148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9" t="s">
        <v>3146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9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0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4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1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4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1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8" t="s">
        <v>3147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6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7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7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1127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1130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993</v>
      </c>
      <c r="C549" s="5" t="s">
        <v>994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1542</v>
      </c>
      <c r="C550" s="5" t="s">
        <v>1543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1124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995</v>
      </c>
      <c r="C554" s="5" t="s">
        <v>996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1550</v>
      </c>
      <c r="C555" s="5" t="s">
        <v>1551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1124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1128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1126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997</v>
      </c>
      <c r="C566" s="5" t="s">
        <v>997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1572</v>
      </c>
      <c r="C567" s="5" t="s">
        <v>1573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1127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914</v>
      </c>
      <c r="D571" s="5" t="s">
        <v>2572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1581</v>
      </c>
      <c r="C572" s="5" t="s">
        <v>1582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998</v>
      </c>
      <c r="C582" s="5" t="s">
        <v>999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1601</v>
      </c>
      <c r="C583" s="5" t="s">
        <v>1602</v>
      </c>
      <c r="D583" s="5" t="s">
        <v>1131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1603</v>
      </c>
      <c r="C584" s="5" t="s">
        <v>1604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1605</v>
      </c>
      <c r="C585" s="5" t="s">
        <v>1606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847</v>
      </c>
      <c r="C589" s="5" t="s">
        <v>848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1613</v>
      </c>
      <c r="C590" s="5" t="s">
        <v>1614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1002</v>
      </c>
      <c r="C594" s="5" t="s">
        <v>1003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1621</v>
      </c>
      <c r="C595" s="5" t="s">
        <v>1622</v>
      </c>
      <c r="D595" s="5" t="s">
        <v>1126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956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1126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1004</v>
      </c>
      <c r="C600" s="5" t="s">
        <v>1005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1631</v>
      </c>
      <c r="C601" s="5" t="s">
        <v>1632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1639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1640</v>
      </c>
      <c r="C605" s="5" t="s">
        <v>1641</v>
      </c>
      <c r="D605" s="5" t="s">
        <v>1124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1006</v>
      </c>
      <c r="C607" s="5" t="s">
        <v>1007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1644</v>
      </c>
      <c r="C608" s="5" t="s">
        <v>1645</v>
      </c>
      <c r="D608" s="5" t="s">
        <v>1126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2576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1126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1130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1126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1124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2573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1126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1130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956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1131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1128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1131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1130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907</v>
      </c>
      <c r="C635" s="5" t="s">
        <v>908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1698</v>
      </c>
      <c r="C636" s="5" t="s">
        <v>1699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1130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1010</v>
      </c>
      <c r="C640" s="5" t="s">
        <v>1011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1706</v>
      </c>
      <c r="C641" s="5" t="s">
        <v>1707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1126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1125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1722</v>
      </c>
      <c r="C649" s="5" t="s">
        <v>1722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1723</v>
      </c>
      <c r="C650" s="5" t="s">
        <v>1724</v>
      </c>
      <c r="D650" s="5" t="s">
        <v>2577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1014</v>
      </c>
      <c r="C654" s="5" t="s">
        <v>1015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1731</v>
      </c>
      <c r="C655" s="5" t="s">
        <v>1732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1127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1125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1124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1130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1020</v>
      </c>
      <c r="C674" s="5" t="s">
        <v>1021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1769</v>
      </c>
      <c r="C675" s="5" t="s">
        <v>1770</v>
      </c>
      <c r="D675" s="5" t="s">
        <v>2576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887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1776</v>
      </c>
      <c r="C679" s="5" t="s">
        <v>1777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1124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1028</v>
      </c>
      <c r="C686" s="5" t="s">
        <v>1029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1790</v>
      </c>
      <c r="C687" s="5" t="s">
        <v>1791</v>
      </c>
      <c r="D687" s="5" t="s">
        <v>2570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956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1124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1030</v>
      </c>
      <c r="C691" s="5" t="s">
        <v>1031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1798</v>
      </c>
      <c r="C692" s="5" t="s">
        <v>1799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1124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1131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1032</v>
      </c>
      <c r="C698" s="5" t="s">
        <v>1033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1810</v>
      </c>
      <c r="C699" s="5" t="s">
        <v>1811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1131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1124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2580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1130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1126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1836</v>
      </c>
      <c r="C712" s="5" t="s">
        <v>1837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1131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1130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1036</v>
      </c>
      <c r="C731" s="5" t="s">
        <v>1037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1874</v>
      </c>
      <c r="C732" s="5" t="s">
        <v>1875</v>
      </c>
      <c r="D732" s="5" t="s">
        <v>956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1127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956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1128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1124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2573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2570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1130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956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1128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1130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1130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1126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2577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1131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2576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1957</v>
      </c>
      <c r="C774" s="5" t="s">
        <v>1958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1042</v>
      </c>
      <c r="C775" s="5" t="s">
        <v>1043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1044</v>
      </c>
      <c r="C776" s="5" t="s">
        <v>1045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1959</v>
      </c>
      <c r="C777" s="5" t="s">
        <v>1960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1126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1124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1126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1126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1130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2570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1130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1128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1131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1126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1131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2579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1130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1126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2571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1127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1124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1130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2578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1130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2570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2577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2085</v>
      </c>
      <c r="C840" s="5" t="s">
        <v>2086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2087</v>
      </c>
      <c r="C841" s="5" t="s">
        <v>2088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1131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1124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1127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1124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1056</v>
      </c>
      <c r="C848" s="5" t="s">
        <v>1057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2101</v>
      </c>
      <c r="C849" s="5" t="s">
        <v>2102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1130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2118</v>
      </c>
      <c r="C858" s="5" t="s">
        <v>2119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1124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1126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2570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2575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1130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1126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1126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2570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1062</v>
      </c>
      <c r="C887" s="5" t="s">
        <v>1063</v>
      </c>
      <c r="D887" s="5" t="s">
        <v>2573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2176</v>
      </c>
      <c r="C888" s="5" t="s">
        <v>2177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1131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1126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1131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2576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2208</v>
      </c>
      <c r="C904" s="5" t="s">
        <v>2209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2210</v>
      </c>
      <c r="C905" s="5" t="s">
        <v>2211</v>
      </c>
      <c r="D905" s="5" t="s">
        <v>1126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1131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1131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2575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1130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1126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1130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2573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2575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1074</v>
      </c>
      <c r="C936" s="5" t="s">
        <v>1075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2272</v>
      </c>
      <c r="C937" s="5" t="s">
        <v>2273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1131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1125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1131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1130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1131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1078</v>
      </c>
      <c r="C951" s="5" t="s">
        <v>1079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2300</v>
      </c>
      <c r="C952" s="5" t="s">
        <v>2301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1131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1127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1082</v>
      </c>
      <c r="C962" s="5" t="s">
        <v>1083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2320</v>
      </c>
      <c r="C964" s="5" t="s">
        <v>2321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1131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2328</v>
      </c>
      <c r="C968" s="5" t="s">
        <v>2329</v>
      </c>
      <c r="D968" s="5" t="s">
        <v>2574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2330</v>
      </c>
      <c r="C969" s="5" t="s">
        <v>2331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2573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1126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1128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2350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2351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1126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1092</v>
      </c>
      <c r="C982" s="5" t="s">
        <v>1093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2355</v>
      </c>
      <c r="C983" s="5" t="s">
        <v>2356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1124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1098</v>
      </c>
      <c r="C993" s="5" t="s">
        <v>1099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2375</v>
      </c>
      <c r="C994" s="5" t="s">
        <v>2376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2572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1131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1131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1126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956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1126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1130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1126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1130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2453</v>
      </c>
      <c r="C1033" s="5" t="s">
        <v>2454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1124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1124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1131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1106</v>
      </c>
      <c r="C1046" s="5" t="s">
        <v>1107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2479</v>
      </c>
      <c r="C1048" s="5" t="s">
        <v>2480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1131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1126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1130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2503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1110</v>
      </c>
      <c r="C1061" s="5" t="s">
        <v>1111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2504</v>
      </c>
      <c r="C1063" s="5" t="s">
        <v>2505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1114</v>
      </c>
      <c r="C1070" s="5" t="s">
        <v>1115</v>
      </c>
      <c r="D1070" s="5" t="s">
        <v>1132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2518</v>
      </c>
      <c r="C1071" s="5" t="s">
        <v>2519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1126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1132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1" si="23">+A1095+1</f>
        <v>1093</v>
      </c>
      <c r="B1096" s="5" t="s">
        <v>2568</v>
      </c>
      <c r="C1096" s="5" t="s">
        <v>2569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1122</v>
      </c>
      <c r="C1097" s="5" t="s">
        <v>1123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2594</v>
      </c>
      <c r="C1098" s="5" t="s">
        <v>2595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7" t="s">
        <v>2584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2706</v>
      </c>
      <c r="C1099" s="5" t="s">
        <v>2707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1504</v>
      </c>
      <c r="C1100" s="5" t="s">
        <v>1505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6" t="s">
        <v>2584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3150</v>
      </c>
      <c r="C1101" s="43" t="s">
        <v>3149</v>
      </c>
      <c r="D1101" s="43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4" t="s">
        <v>2709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1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3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3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3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3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3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3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3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3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3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3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3">
        <f>+F14+G14</f>
        <v>12316.145337450002</v>
      </c>
      <c r="I14" s="32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3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3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3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3">
        <f>+F18+G18</f>
        <v>3218.92225168</v>
      </c>
      <c r="I18" s="32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3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3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3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3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3" t="s">
        <v>3150</v>
      </c>
      <c r="C23" s="43" t="s">
        <v>3149</v>
      </c>
      <c r="D23" s="43" t="s">
        <v>3151</v>
      </c>
      <c r="E23" s="5"/>
      <c r="F23" s="15"/>
      <c r="G23" s="15"/>
      <c r="H23" s="33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3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809</v>
      </c>
      <c r="C25" s="5"/>
      <c r="D25" s="5"/>
      <c r="E25" s="5"/>
      <c r="F25" s="15"/>
      <c r="G25" s="15"/>
      <c r="H25" s="33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917</v>
      </c>
      <c r="C26" s="5"/>
      <c r="D26" s="5"/>
      <c r="E26" s="5"/>
      <c r="F26" s="15"/>
      <c r="G26" s="15"/>
      <c r="H26" s="33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918</v>
      </c>
      <c r="C27" s="5"/>
      <c r="D27" s="5"/>
      <c r="E27" s="5"/>
      <c r="F27" s="15"/>
      <c r="G27" s="15"/>
      <c r="H27" s="33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919</v>
      </c>
      <c r="C28" s="5" t="s">
        <v>920</v>
      </c>
      <c r="D28" s="5"/>
      <c r="E28" s="5"/>
      <c r="F28" s="15"/>
      <c r="G28" s="15"/>
      <c r="H28" s="33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921</v>
      </c>
      <c r="C29" s="5"/>
      <c r="D29" s="5"/>
      <c r="E29" s="5"/>
      <c r="F29" s="15"/>
      <c r="G29" s="15"/>
      <c r="H29" s="33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922</v>
      </c>
      <c r="C30" s="5"/>
      <c r="D30" s="5"/>
      <c r="E30" s="5"/>
      <c r="F30" s="15"/>
      <c r="G30" s="15"/>
      <c r="H30" s="33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923</v>
      </c>
      <c r="C31" s="5"/>
      <c r="D31" s="5"/>
      <c r="E31" s="5"/>
      <c r="F31" s="15"/>
      <c r="G31" s="15"/>
      <c r="H31" s="33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924</v>
      </c>
      <c r="C32" s="5"/>
      <c r="D32" s="5"/>
      <c r="E32" s="5"/>
      <c r="F32" s="15"/>
      <c r="G32" s="15"/>
      <c r="H32" s="33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925</v>
      </c>
      <c r="C33" s="5"/>
      <c r="D33" s="5"/>
      <c r="E33" s="5"/>
      <c r="F33" s="15"/>
      <c r="G33" s="15"/>
      <c r="H33" s="33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926</v>
      </c>
      <c r="C34" s="5"/>
      <c r="D34" s="5"/>
      <c r="E34" s="5"/>
      <c r="F34" s="15"/>
      <c r="G34" s="15"/>
      <c r="H34" s="33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927</v>
      </c>
      <c r="C35" s="5"/>
      <c r="D35" s="5"/>
      <c r="E35" s="5"/>
      <c r="F35" s="15"/>
      <c r="G35" s="15"/>
      <c r="H35" s="33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928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929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930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931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932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937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938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939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940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941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942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943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946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947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948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953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2026-01-24T10:11:58Z</dcterms:modified>
</cp:coreProperties>
</file>