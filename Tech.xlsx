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5ED10E9E-6025-4F4D-A8A7-7E6A47E2D47B}" xr6:coauthVersionLast="47" xr6:coauthVersionMax="47" xr10:uidLastSave="{00000000-0000-0000-0000-000000000000}"/>
  <bookViews>
    <workbookView xWindow="-120" yWindow="-120" windowWidth="38640" windowHeight="2106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2" i="1" l="1"/>
  <c r="F292" i="1"/>
  <c r="E292" i="1"/>
  <c r="G1099" i="1"/>
  <c r="F1099" i="1"/>
  <c r="H1099" i="1" s="1"/>
  <c r="E1099" i="1"/>
  <c r="G1101" i="1"/>
  <c r="F1101" i="1"/>
  <c r="H1101" i="1" s="1"/>
  <c r="E1101" i="1"/>
  <c r="A41" i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H292" i="1" l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<sst xmlns="http://schemas.openxmlformats.org/spreadsheetml/2006/main" count="5049" uniqueCount="3150">
  <si>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</si>
  <si>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</si>
  <si>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</si>
  <si>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</si>
  <si>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</si>
  <si>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</si>
  <si>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</si>
  <si>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</si>
  <si>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</si>
  <si>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</si>
  <si>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</si>
  <si>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</si>
  <si>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</si>
  <si>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</si>
  <si>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</si>
  <si>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</si>
  <si>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</si>
  <si>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</si>
  <si>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</si>
  <si>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</si>
  <si>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</si>
  <si>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</si>
  <si>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</si>
  <si>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</si>
  <si>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</si>
  <si>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</si>
  <si>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</si>
  <si>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</si>
  <si>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</si>
  <si>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</si>
  <si>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</si>
  <si>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</si>
  <si>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</si>
  <si>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</si>
  <si>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</si>
  <si>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</si>
  <si>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</si>
  <si>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</si>
  <si>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</si>
  <si>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</si>
  <si>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</si>
  <si>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</si>
  <si>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</si>
  <si>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</si>
  <si>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</si>
  <si>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</si>
  <si>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</si>
  <si>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</si>
  <si>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</si>
  <si>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</si>
  <si>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</si>
  <si>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</si>
  <si>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</si>
  <si>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</si>
  <si>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</si>
  <si>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</si>
  <si>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</si>
  <si>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</si>
  <si>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</si>
  <si>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</si>
  <si>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</si>
  <si>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</si>
  <si>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</si>
  <si>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</si>
  <si>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</si>
  <si>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</si>
  <si>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</si>
  <si>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</si>
  <si>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</si>
  <si>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</si>
  <si>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</si>
  <si>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</si>
  <si>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</si>
  <si>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</si>
  <si>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</si>
  <si>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</si>
  <si>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</si>
  <si>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</si>
  <si>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</si>
  <si>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</si>
  <si>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</si>
  <si>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</si>
  <si>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</si>
  <si>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</si>
  <si>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</si>
  <si>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</si>
  <si>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</si>
  <si>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</si>
  <si>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</si>
  <si>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</si>
  <si>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</si>
  <si>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</si>
  <si>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</si>
  <si>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</si>
  <si>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</si>
  <si>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</si>
  <si>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</si>
  <si>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</si>
  <si>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</si>
  <si>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</si>
  <si>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</si>
  <si>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</si>
  <si>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</si>
  <si>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</si>
  <si>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</si>
  <si>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</si>
  <si>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</si>
  <si>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</si>
  <si>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</si>
  <si>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</si>
  <si>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</si>
  <si>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</si>
  <si>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</si>
  <si>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</si>
  <si>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</si>
  <si>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</si>
  <si>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</si>
  <si>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</si>
  <si>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</si>
  <si>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</si>
  <si>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</si>
  <si>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</si>
  <si>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</si>
  <si>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</si>
  <si>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</si>
  <si>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</si>
  <si>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</si>
  <si>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</si>
  <si>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</si>
  <si>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</si>
  <si>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</si>
  <si>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</si>
  <si>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</si>
  <si>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</si>
  <si>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</si>
  <si>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</si>
  <si>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</si>
  <si>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</si>
  <si>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</si>
  <si>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</si>
  <si>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</si>
  <si>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</si>
  <si>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</si>
  <si>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</si>
  <si>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</si>
  <si>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</si>
  <si>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</si>
  <si>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</si>
  <si>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</si>
  <si>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</si>
  <si>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</si>
  <si>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</si>
  <si>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</si>
  <si>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</si>
  <si>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</si>
  <si>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</si>
  <si>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</si>
  <si>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</si>
  <si>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</si>
  <si>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</si>
  <si>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</si>
  <si>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</si>
  <si>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</si>
  <si>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</si>
  <si>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</si>
  <si>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</si>
  <si>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</si>
  <si>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</si>
  <si>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</si>
  <si>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</si>
  <si>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</si>
  <si>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</si>
  <si>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</si>
  <si>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</si>
  <si>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</si>
  <si>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</si>
  <si>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</si>
  <si>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</si>
  <si>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</si>
  <si>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</si>
  <si>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</si>
  <si>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</si>
  <si>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</si>
  <si>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</si>
  <si>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</si>
  <si>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</si>
  <si>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</si>
  <si>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</si>
  <si>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</si>
  <si>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</si>
  <si>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</si>
  <si>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</si>
  <si>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</si>
  <si>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</si>
  <si>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</si>
  <si>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</si>
  <si>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</si>
  <si>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</si>
  <si>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</si>
  <si>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</si>
  <si>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</si>
  <si>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</si>
  <si>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</si>
  <si>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</si>
  <si>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</si>
  <si>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</si>
  <si>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</si>
  <si>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</si>
  <si>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</si>
  <si>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</si>
  <si>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</si>
  <si>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</si>
  <si>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</si>
  <si>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</si>
  <si>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</si>
  <si>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</si>
  <si>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</si>
  <si>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</si>
  <si>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</si>
  <si>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</si>
  <si>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</si>
  <si>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</si>
  <si>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</si>
  <si>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</si>
  <si>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</si>
  <si>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</si>
  <si>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</si>
  <si>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</si>
  <si>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</si>
  <si>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</si>
  <si>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</si>
  <si>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</si>
  <si>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</si>
  <si>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</si>
  <si>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</si>
  <si>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</si>
  <si>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</si>
  <si>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</si>
  <si>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</si>
  <si>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</si>
  <si>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</si>
  <si>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</si>
  <si>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</si>
  <si>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</si>
  <si>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</si>
  <si>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</si>
  <si>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</si>
  <si>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</si>
  <si>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</si>
  <si>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</si>
  <si>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</si>
  <si>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</si>
  <si>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</si>
  <si>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</si>
  <si>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</si>
  <si>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</si>
  <si>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</si>
  <si>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</si>
  <si>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</si>
  <si>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</si>
  <si>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</si>
  <si>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</si>
  <si>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</si>
  <si>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</si>
  <si>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</si>
  <si>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</si>
  <si>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</si>
  <si>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</si>
  <si>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</si>
  <si>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</si>
  <si>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</si>
  <si>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</si>
  <si>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</si>
  <si>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</si>
  <si>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</si>
  <si>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</si>
  <si>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</si>
  <si>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</si>
  <si>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</si>
  <si>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</si>
  <si>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</si>
  <si>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</si>
  <si>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</si>
  <si>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</si>
  <si>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</si>
  <si>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</si>
  <si>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</si>
  <si>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</si>
  <si>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</si>
  <si>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</si>
  <si>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</si>
  <si>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</si>
  <si>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</si>
  <si>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</si>
  <si>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</si>
  <si>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</si>
  <si>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</si>
  <si>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</si>
  <si>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</si>
  <si>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</si>
  <si>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</si>
  <si>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</si>
  <si>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</si>
  <si>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</si>
  <si>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</si>
  <si>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</si>
  <si>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</si>
  <si>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</si>
  <si>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</si>
  <si>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</si>
  <si>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</si>
  <si>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</si>
  <si>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</si>
  <si>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</si>
  <si>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</si>
  <si>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</si>
  <si>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</si>
  <si>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</si>
  <si>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</si>
  <si>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</si>
  <si>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</si>
  <si>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</si>
  <si>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</si>
  <si>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</si>
  <si>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</si>
  <si>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</si>
  <si>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</si>
  <si>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</si>
  <si>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</si>
  <si>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</si>
  <si>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</si>
  <si>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</si>
  <si>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</si>
  <si>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</si>
  <si>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</si>
  <si>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</si>
  <si>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</si>
  <si>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</si>
  <si>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</si>
  <si>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</si>
  <si>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</si>
  <si>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</si>
  <si>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</si>
  <si>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</si>
  <si>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</si>
  <si>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</si>
  <si>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</si>
  <si>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</si>
  <si>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</si>
  <si>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</si>
  <si>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</si>
  <si>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</si>
  <si>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</si>
  <si>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</si>
  <si>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</si>
  <si>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</si>
  <si>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</si>
  <si>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</si>
  <si>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</si>
  <si>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</si>
  <si>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</si>
  <si>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</si>
  <si>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</si>
  <si>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</si>
  <si>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</si>
  <si>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</si>
  <si>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</si>
  <si>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</si>
  <si>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</si>
  <si>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</si>
  <si>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</si>
  <si>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</si>
  <si>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</si>
  <si>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</si>
  <si>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</si>
  <si>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</si>
  <si>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</si>
  <si>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</si>
  <si>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</si>
  <si>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</si>
  <si>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</si>
  <si>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</si>
  <si>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</si>
  <si>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</si>
  <si>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</si>
  <si>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</si>
  <si>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</si>
  <si>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</si>
  <si>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</si>
  <si>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</si>
  <si>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</si>
  <si>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</si>
  <si>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</si>
  <si>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</si>
  <si>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</si>
  <si>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</si>
  <si>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</si>
  <si>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</si>
  <si>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</si>
  <si>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</si>
  <si>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</si>
  <si>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</si>
  <si>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</si>
  <si>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</si>
  <si>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</si>
  <si>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</si>
  <si>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</si>
  <si>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</si>
  <si>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</si>
  <si>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</si>
  <si>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</si>
  <si>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</si>
  <si>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</si>
  <si>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</si>
  <si>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</si>
  <si>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</si>
  <si>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</si>
  <si>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</si>
  <si>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</si>
  <si>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</si>
  <si>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</si>
  <si>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</si>
  <si>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</si>
  <si>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</si>
  <si>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</si>
  <si>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</si>
  <si>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</si>
  <si>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</si>
  <si>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</si>
  <si>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</si>
  <si>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</si>
  <si>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</si>
  <si>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</si>
  <si>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</si>
  <si>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</si>
  <si>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</si>
  <si>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</si>
  <si>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</si>
  <si>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</si>
  <si>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</si>
  <si>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</si>
  <si>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</si>
  <si>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</si>
  <si>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</si>
  <si>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</si>
  <si>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</si>
  <si>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</si>
  <si>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</si>
  <si>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</si>
  <si>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</si>
  <si>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</si>
  <si>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</si>
  <si>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</si>
  <si>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</si>
  <si>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</si>
  <si>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</si>
  <si>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</si>
  <si>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</si>
  <si>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</si>
  <si>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</si>
  <si>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</si>
  <si>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</si>
  <si>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</si>
  <si>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</si>
  <si>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</si>
  <si>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</si>
  <si>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</si>
  <si>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</si>
  <si>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</si>
  <si>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</si>
  <si>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</si>
  <si>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</si>
  <si>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</si>
  <si>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</si>
  <si>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</si>
  <si>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</si>
  <si>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</si>
  <si>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</si>
  <si>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</si>
  <si>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</si>
  <si>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</si>
  <si>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</si>
  <si>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</si>
  <si>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</si>
  <si>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</si>
  <si>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</si>
  <si>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</si>
  <si>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</si>
  <si>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</si>
  <si>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</si>
  <si>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</si>
  <si>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</si>
  <si>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</si>
  <si>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</si>
  <si>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</si>
  <si>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</si>
  <si>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</si>
  <si>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</si>
  <si>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</si>
  <si>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</si>
  <si>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</si>
  <si>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</si>
  <si>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</si>
  <si>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</si>
  <si>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</si>
  <si>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</si>
  <si>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</si>
  <si>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</si>
  <si>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</si>
  <si>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</si>
  <si>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</si>
  <si>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</si>
  <si>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</si>
  <si>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</si>
  <si>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</si>
  <si>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</si>
  <si>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</si>
  <si>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</si>
  <si>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</si>
  <si>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</si>
  <si>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</si>
  <si>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</si>
  <si>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</si>
  <si>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</si>
  <si>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</si>
  <si>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</si>
  <si>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</si>
  <si>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</si>
  <si>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</si>
  <si>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</si>
  <si>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</si>
  <si>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</si>
  <si>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</si>
  <si>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</si>
  <si>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</si>
  <si>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</si>
  <si>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</si>
  <si>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</si>
  <si>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</si>
  <si>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</si>
  <si>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</si>
  <si>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</si>
  <si>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</si>
  <si>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</si>
  <si>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</si>
  <si>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</si>
  <si>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</si>
  <si>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</si>
  <si>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</si>
  <si>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</si>
  <si>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</si>
  <si>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</si>
  <si>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</si>
  <si>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</si>
  <si>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</si>
  <si>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</si>
  <si>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</si>
  <si>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</si>
  <si>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</si>
  <si>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</si>
  <si>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</si>
  <si>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</si>
  <si>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</si>
  <si>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</si>
  <si>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</si>
  <si>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</si>
  <si>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</si>
  <si>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</si>
  <si>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</si>
  <si>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</si>
  <si>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</si>
  <si>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</si>
  <si>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</si>
  <si>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</si>
  <si>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</si>
  <si>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</si>
  <si>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</si>
  <si>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</si>
  <si>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</si>
  <si>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</si>
  <si>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</si>
  <si>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</si>
  <si>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</si>
  <si>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</si>
  <si>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</si>
  <si>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</si>
  <si>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</si>
  <si>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</si>
  <si>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</si>
  <si>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</si>
  <si>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</si>
  <si>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</si>
  <si>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</si>
  <si>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</si>
  <si>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</si>
  <si>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</si>
  <si>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</si>
  <si>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</si>
  <si>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</si>
  <si>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</si>
  <si>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</si>
  <si>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</si>
  <si>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</si>
  <si>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</si>
  <si>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</si>
  <si>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</si>
  <si>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</si>
  <si>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</si>
  <si>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</si>
  <si>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</si>
  <si>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</si>
  <si>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</si>
  <si>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</si>
  <si>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</si>
  <si>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</si>
  <si>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</si>
  <si>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</si>
  <si>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</si>
  <si>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</si>
  <si>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</si>
  <si>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</si>
  <si>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</si>
  <si>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</si>
  <si>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</si>
  <si>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</si>
  <si>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</si>
  <si>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</si>
  <si>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</si>
  <si>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</si>
  <si>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</si>
  <si>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</si>
  <si>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</si>
  <si>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</si>
  <si>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</si>
  <si>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</si>
  <si>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</si>
  <si>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</si>
  <si>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</si>
  <si>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</si>
  <si>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</si>
  <si>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</si>
  <si>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</si>
  <si>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</si>
  <si>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</si>
  <si>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</si>
  <si>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</si>
  <si>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</si>
  <si>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</si>
  <si>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</si>
  <si>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</si>
  <si>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</si>
  <si>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</si>
  <si>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</si>
  <si>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</si>
  <si>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</si>
  <si>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</si>
  <si>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</si>
  <si>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</si>
  <si>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</si>
  <si>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</si>
  <si>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</si>
  <si>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</si>
  <si>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</si>
  <si>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</si>
  <si>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</si>
  <si>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</si>
  <si>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</si>
  <si>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</si>
  <si>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</si>
  <si>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</si>
  <si>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</si>
  <si>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</si>
  <si>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</si>
  <si>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</si>
  <si>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</si>
  <si>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</si>
  <si>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</si>
  <si>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</si>
  <si>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</si>
  <si>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</si>
  <si>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</si>
  <si>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</si>
  <si>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</si>
  <si>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</si>
  <si>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</si>
  <si>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</si>
  <si>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</si>
  <si>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</si>
  <si>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</si>
  <si>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</si>
  <si>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</si>
  <si>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</si>
  <si>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</si>
  <si>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</si>
  <si>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</si>
  <si>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</si>
  <si>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</si>
  <si>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</si>
  <si>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</si>
  <si>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</si>
  <si>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</si>
  <si>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</si>
  <si>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</si>
  <si>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</si>
  <si>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</si>
  <si>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</si>
  <si>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</si>
  <si>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</si>
  <si>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</si>
  <si>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</si>
  <si>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</si>
  <si>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</si>
  <si>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</si>
  <si>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</si>
  <si>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</si>
  <si>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</si>
  <si>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</si>
  <si>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</si>
  <si>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</si>
  <si>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</si>
  <si>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</si>
  <si>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</si>
  <si>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</si>
  <si>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</si>
  <si>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</si>
  <si>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</si>
  <si>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</si>
  <si>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</si>
  <si>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</si>
  <si>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</si>
  <si>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</si>
  <si>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</si>
  <si>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</si>
  <si>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</si>
  <si>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</si>
  <si>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</si>
  <si>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</si>
  <si>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</si>
  <si>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</si>
  <si>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</si>
  <si>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</si>
  <si>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</si>
  <si>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</si>
  <si>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</si>
  <si>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</si>
  <si>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</si>
  <si>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</si>
  <si>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</si>
  <si>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</si>
  <si>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</si>
  <si>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</si>
  <si>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</si>
  <si>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</si>
  <si>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</si>
  <si>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</si>
  <si>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</si>
  <si>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</si>
  <si>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</si>
  <si>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</si>
  <si>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</si>
  <si>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</si>
  <si>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</si>
  <si>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</si>
  <si>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</si>
  <si>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</si>
  <si>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</si>
  <si>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</si>
  <si>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</si>
  <si>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</si>
  <si>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</si>
  <si>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</si>
  <si>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</si>
  <si>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</si>
  <si>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</si>
  <si>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</si>
  <si>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</si>
  <si>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</si>
  <si>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</si>
  <si>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</si>
  <si>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</si>
  <si>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</si>
  <si>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</si>
  <si>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</si>
  <si>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</si>
  <si>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</si>
  <si>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</si>
  <si>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</si>
  <si>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</si>
  <si>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</si>
  <si>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</si>
  <si>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</si>
  <si>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</si>
  <si>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</si>
  <si>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</si>
  <si>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</si>
  <si>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</si>
  <si>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</si>
  <si>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</si>
  <si>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</si>
  <si>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</si>
  <si>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</si>
  <si>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</si>
  <si>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</si>
  <si>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</si>
  <si>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</si>
  <si>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</si>
  <si>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</si>
  <si>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</si>
  <si>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</si>
  <si>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</si>
  <si>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</si>
  <si>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</si>
  <si>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</si>
  <si>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</si>
  <si>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</si>
  <si>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</si>
  <si>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</si>
  <si>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</si>
  <si>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</si>
  <si>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</si>
  <si>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</si>
  <si>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</si>
  <si>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</si>
  <si>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</si>
  <si>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</si>
  <si>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</si>
  <si>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</si>
  <si>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</si>
  <si>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</si>
  <si>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</si>
  <si>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</si>
  <si>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</si>
  <si>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</si>
  <si>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</si>
  <si>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</si>
  <si>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</si>
  <si>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</si>
  <si>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</si>
  <si>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</si>
  <si>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</si>
  <si>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</si>
  <si>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</si>
  <si>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</si>
  <si>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</si>
  <si>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</si>
  <si>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</si>
  <si>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</si>
  <si>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</si>
  <si>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</si>
  <si>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</si>
  <si>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</si>
  <si>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</si>
  <si>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</si>
  <si>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</si>
  <si>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</si>
  <si>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</si>
  <si>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</si>
  <si>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</si>
  <si>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</si>
  <si>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</si>
  <si>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</si>
  <si>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</si>
  <si>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</si>
  <si>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</si>
  <si>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</si>
  <si>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</si>
  <si>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</si>
  <si>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</si>
  <si>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</si>
  <si>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</si>
  <si>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</si>
  <si>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</si>
  <si>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</si>
  <si>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</si>
  <si>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</si>
  <si>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</si>
  <si>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</si>
  <si>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</si>
  <si>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</si>
  <si>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</si>
  <si>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</si>
  <si>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</si>
  <si>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</si>
  <si>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</si>
  <si>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</si>
  <si>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</si>
  <si>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</si>
  <si>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</si>
  <si>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</si>
  <si>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</si>
  <si>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</si>
  <si>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</si>
  <si>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</si>
  <si>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</si>
  <si>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</si>
  <si>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</si>
  <si>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</si>
  <si>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</si>
  <si>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</si>
  <si>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</si>
  <si>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</si>
  <si>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</si>
  <si>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</si>
  <si>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</si>
  <si>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</si>
  <si>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</si>
  <si>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</si>
  <si>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</si>
  <si>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</si>
  <si>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</si>
  <si>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</si>
  <si>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</si>
  <si>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</si>
  <si>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</si>
  <si>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</si>
  <si>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</si>
  <si>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</si>
  <si>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</si>
  <si>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</si>
  <si>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</si>
  <si>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</si>
  <si>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</si>
  <si>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</si>
  <si>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</si>
  <si>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</si>
  <si>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</si>
  <si>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</si>
  <si>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</si>
  <si>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</si>
  <si>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</si>
  <si>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</si>
  <si>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</si>
  <si>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</si>
  <si>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</si>
  <si>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</si>
  <si>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</si>
  <si>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</si>
  <si>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</si>
  <si>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</si>
  <si>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</si>
  <si>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</si>
  <si>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</si>
  <si>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</si>
  <si>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</si>
  <si>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</si>
  <si>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</si>
  <si>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</si>
  <si>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</si>
  <si>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</si>
  <si>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</si>
  <si>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</si>
  <si>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</si>
  <si>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</si>
  <si>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</si>
  <si>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</si>
  <si>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</si>
  <si>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</si>
  <si>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</si>
  <si>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</si>
  <si>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</si>
  <si>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</si>
  <si>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</si>
  <si>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</si>
  <si>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</si>
  <si>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</si>
  <si>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</si>
  <si>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</si>
  <si>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</si>
  <si>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</si>
  <si>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</si>
  <si>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</si>
  <si>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</si>
  <si>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</si>
  <si>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</si>
  <si>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</si>
  <si>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</si>
  <si>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</si>
  <si>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</si>
  <si>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</si>
  <si>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</si>
  <si>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</si>
  <si>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</si>
  <si>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</si>
  <si>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</si>
  <si>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</si>
  <si>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</si>
  <si>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</si>
  <si>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</si>
  <si>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</si>
  <si>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</si>
  <si>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</si>
  <si>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</si>
  <si>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</si>
  <si>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</si>
  <si>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</si>
  <si>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</si>
  <si>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</si>
  <si>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</si>
  <si>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</si>
  <si>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</si>
  <si>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</si>
  <si>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</si>
  <si>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</si>
  <si>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</si>
  <si>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</si>
  <si>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</si>
  <si>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</si>
  <si>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</si>
  <si>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</si>
  <si>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</si>
  <si>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</si>
  <si>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</si>
  <si>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</si>
  <si>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</si>
  <si>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</si>
  <si>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</si>
  <si>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</si>
  <si>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</si>
  <si>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</si>
  <si>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</si>
  <si>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</si>
  <si>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</si>
  <si>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</si>
  <si>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</si>
  <si>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</si>
  <si>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</si>
  <si>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</si>
  <si>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</si>
  <si>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</si>
  <si>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</si>
  <si>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</si>
  <si>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</si>
  <si>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</si>
  <si>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</si>
  <si>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</si>
  <si>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</si>
  <si>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</si>
  <si>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</si>
  <si>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</si>
  <si>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</si>
  <si>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</si>
  <si>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</si>
  <si>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</si>
  <si>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</si>
  <si>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</si>
  <si>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</si>
  <si>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</si>
  <si>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</si>
  <si>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</si>
  <si>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</si>
  <si>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</si>
  <si>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</si>
  <si>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</si>
  <si>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</si>
  <si>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</si>
  <si>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</si>
  <si>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</si>
  <si>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</si>
  <si>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</si>
  <si>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</si>
  <si>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</si>
  <si>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</si>
  <si>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</si>
  <si>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</si>
  <si>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</si>
  <si>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</si>
  <si>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</si>
  <si>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</si>
  <si>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</si>
  <si>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</si>
  <si>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</si>
  <si>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</si>
  <si>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</si>
  <si>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</si>
  <si>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</si>
  <si>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</si>
  <si>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</si>
  <si>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</si>
  <si>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</si>
  <si>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</si>
  <si>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</si>
  <si>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</si>
  <si>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</si>
  <si>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</si>
  <si>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</si>
  <si>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</si>
  <si>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</si>
  <si>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</si>
  <si>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</si>
  <si>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</si>
  <si>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</si>
  <si>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</si>
  <si>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</si>
  <si>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</si>
  <si>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</si>
  <si>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</si>
  <si>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</si>
  <si>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</si>
  <si>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</si>
  <si>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</si>
  <si>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</si>
  <si>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</si>
  <si>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</si>
  <si>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</si>
  <si>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</si>
  <si>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</si>
  <si>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</si>
  <si>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</si>
  <si>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</si>
  <si>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</si>
  <si>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</si>
  <si>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</si>
  <si>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</si>
  <si>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</si>
  <si>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</si>
  <si>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</si>
  <si>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</si>
  <si>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</si>
  <si>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</si>
  <si>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</si>
  <si>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</si>
  <si>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</si>
  <si>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</si>
  <si>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</si>
  <si>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</si>
  <si>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</si>
  <si>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</si>
  <si>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</si>
  <si>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</si>
  <si>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</si>
  <si>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</si>
  <si>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</si>
  <si>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</si>
  <si>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</si>
  <si>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</si>
  <si>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</si>
  <si>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</si>
  <si>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</si>
  <si>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</si>
  <si>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</si>
  <si>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</si>
  <si>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</si>
  <si>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</si>
  <si>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</si>
  <si>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</si>
  <si>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</si>
  <si>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</si>
  <si>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</si>
  <si>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</si>
  <si>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</si>
  <si>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</si>
  <si>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</si>
  <si>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</si>
  <si>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</si>
  <si>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</si>
  <si>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</si>
  <si>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</si>
  <si>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</si>
  <si>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</si>
  <si>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</si>
  <si>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</si>
  <si>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</si>
  <si>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</si>
  <si>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</si>
  <si>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</si>
  <si>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</si>
  <si>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</si>
  <si>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</si>
  <si>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</si>
  <si>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</si>
  <si>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</si>
  <si>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</si>
  <si>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</si>
  <si>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</si>
  <si>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</si>
  <si>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</si>
  <si>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</si>
  <si>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</si>
  <si>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</si>
  <si>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</si>
  <si>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</si>
  <si>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</si>
  <si>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</si>
  <si>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</si>
  <si>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</si>
  <si>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</si>
  <si>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</si>
  <si>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</si>
  <si>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</si>
  <si>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</si>
  <si>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</si>
  <si>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</si>
  <si>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</si>
  <si>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</si>
  <si>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</si>
  <si>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</si>
  <si>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</si>
  <si>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</si>
  <si>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</si>
  <si>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</si>
  <si>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</si>
  <si>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</si>
  <si>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</si>
  <si>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</si>
  <si>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</si>
  <si>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</si>
  <si>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</si>
  <si>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</si>
  <si>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</si>
  <si>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</si>
  <si>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</si>
  <si>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</si>
  <si>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</si>
  <si>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</si>
  <si>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</si>
  <si>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</si>
  <si>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</si>
  <si>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</si>
  <si>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</si>
  <si>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</si>
  <si>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</si>
  <si>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</si>
  <si>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</si>
  <si>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</si>
  <si>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</si>
  <si>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</si>
  <si>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</si>
  <si>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</si>
  <si>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</si>
  <si>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</si>
  <si>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</si>
  <si>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</si>
  <si>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</si>
  <si>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</si>
  <si>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</si>
  <si>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</si>
  <si>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</si>
  <si>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</si>
  <si>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</si>
  <si>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</si>
  <si>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</si>
  <si>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</si>
  <si>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</si>
  <si>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</si>
  <si>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</si>
  <si>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</si>
  <si>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</si>
  <si>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</si>
  <si>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</si>
  <si>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</si>
  <si>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</si>
  <si>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</si>
  <si>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</si>
  <si>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</si>
  <si>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</si>
  <si>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</si>
  <si>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</si>
  <si>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</si>
  <si>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</si>
  <si>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</si>
  <si>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</si>
  <si>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</si>
  <si>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</si>
  <si>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</si>
  <si>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</si>
  <si>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</si>
  <si>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</si>
  <si>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</si>
  <si>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</si>
  <si>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</si>
  <si>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</si>
  <si>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</si>
  <si>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</si>
  <si>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</si>
  <si>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</si>
  <si>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</si>
  <si>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</si>
  <si>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</si>
  <si>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</si>
  <si>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</si>
  <si>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</si>
  <si>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</si>
  <si>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</si>
  <si>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</si>
  <si>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</si>
  <si>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</si>
  <si>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</si>
  <si>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</si>
  <si>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</si>
  <si>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</si>
  <si>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</si>
  <si>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</si>
  <si>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</si>
  <si>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</si>
  <si>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</si>
  <si>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</si>
  <si>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</si>
  <si>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</si>
  <si>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</si>
  <si>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</si>
  <si>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</si>
  <si>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</si>
  <si>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</si>
  <si>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</si>
  <si>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</si>
  <si>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</si>
  <si>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</si>
  <si>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</si>
  <si>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</si>
  <si>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</si>
  <si>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</si>
  <si>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</si>
  <si>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</si>
  <si>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</si>
  <si>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</si>
  <si>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</si>
  <si>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</si>
  <si>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</si>
  <si>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</si>
  <si>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</si>
  <si>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</si>
  <si>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</si>
  <si>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</si>
  <si>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</si>
  <si>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</si>
  <si>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</si>
  <si>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</si>
  <si>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</si>
  <si>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</si>
  <si>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</si>
  <si>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</si>
  <si>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</si>
  <si>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</si>
  <si>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</si>
  <si>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</si>
  <si>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</si>
  <si>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</si>
  <si>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</si>
  <si>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</si>
  <si>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</si>
  <si>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</si>
  <si>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</si>
  <si>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</si>
  <si>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</si>
  <si>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</si>
  <si>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</si>
  <si>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</si>
  <si>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</si>
  <si>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</si>
  <si>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</si>
  <si>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</si>
  <si>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</si>
  <si>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</si>
  <si>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</si>
  <si>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</si>
  <si>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</si>
  <si>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</si>
  <si>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</si>
  <si>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</si>
  <si>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</si>
  <si>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</si>
  <si>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</si>
  <si>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</si>
  <si>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</si>
  <si>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</si>
  <si>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</si>
  <si>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</si>
  <si>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</si>
  <si>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</si>
  <si>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</si>
  <si>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</si>
  <si>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</si>
  <si>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</si>
  <si>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</si>
  <si>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</si>
  <si>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</si>
  <si>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</si>
  <si>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</si>
  <si>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</si>
  <si>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</si>
  <si>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</si>
  <si>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</si>
  <si>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</si>
  <si>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</si>
  <si>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</si>
  <si>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</si>
  <si>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</si>
  <si>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</si>
  <si>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</si>
  <si>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</si>
  <si>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</si>
  <si>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</si>
  <si>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</si>
  <si>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</si>
  <si>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</si>
  <si>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</si>
  <si>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</si>
  <si>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</si>
  <si>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</si>
  <si>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</si>
  <si>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</si>
  <si>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</si>
  <si>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</si>
  <si>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</si>
  <si>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</si>
  <si>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</si>
  <si>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</si>
  <si>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</si>
  <si>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</si>
  <si>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</si>
  <si>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</si>
  <si>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</si>
  <si>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</si>
  <si>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</si>
  <si>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</si>
  <si>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</si>
  <si>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</si>
  <si>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</si>
  <si>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</si>
  <si>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</si>
  <si>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</si>
  <si>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</si>
  <si>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</si>
  <si>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</si>
  <si>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</si>
  <si>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</si>
  <si>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</si>
  <si>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</si>
  <si>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</si>
  <si>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</si>
  <si>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</si>
  <si>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</si>
  <si>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</si>
  <si>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</si>
  <si>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</si>
  <si>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</si>
  <si>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</si>
  <si>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</si>
  <si>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</si>
  <si>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</si>
  <si>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</si>
  <si>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</si>
  <si>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</si>
  <si>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</si>
  <si>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</si>
  <si>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</si>
  <si>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</si>
  <si>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</si>
  <si>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</si>
  <si>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</si>
  <si>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</si>
  <si>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</si>
  <si>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</si>
  <si>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</si>
  <si>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</si>
  <si>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</si>
  <si>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</si>
  <si>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</si>
  <si>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</si>
  <si>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</si>
  <si>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</si>
  <si>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</si>
  <si>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</si>
  <si>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</si>
  <si>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</si>
  <si>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</si>
  <si>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</si>
  <si>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</si>
  <si>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</si>
  <si>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</si>
  <si>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</si>
  <si>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</si>
  <si>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</si>
  <si>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</si>
  <si>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</si>
  <si>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</si>
  <si>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</si>
  <si>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</si>
  <si>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</si>
  <si>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</si>
  <si>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</si>
  <si>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</si>
  <si>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</si>
  <si>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</si>
  <si>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</si>
  <si>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</si>
  <si>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</si>
  <si>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</si>
  <si>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</si>
  <si>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</si>
  <si>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</si>
  <si>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</si>
  <si>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</si>
  <si>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</si>
  <si>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</si>
  <si>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</si>
  <si>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</si>
  <si>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</si>
  <si>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</si>
  <si>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</si>
  <si>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</si>
  <si>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</si>
  <si>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</si>
  <si>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</si>
  <si>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</si>
  <si>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</si>
  <si>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</si>
  <si>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</si>
  <si>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</si>
  <si>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</si>
  <si>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</si>
  <si>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</si>
  <si>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</si>
  <si>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</si>
  <si>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</si>
  <si>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</si>
  <si>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</si>
  <si>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</si>
  <si>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</si>
  <si>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</si>
  <si>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</si>
  <si>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</si>
  <si>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</si>
  <si>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</si>
  <si>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</si>
  <si>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</si>
  <si>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</si>
  <si>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</si>
  <si>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</si>
  <si>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</si>
  <si>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</si>
  <si>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</si>
  <si>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</si>
  <si>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</si>
  <si>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</si>
  <si>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</si>
  <si>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</si>
  <si>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</si>
  <si>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</si>
  <si>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</si>
  <si>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</si>
  <si>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</si>
  <si>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</si>
  <si>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</si>
  <si>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</si>
  <si>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</si>
  <si>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</si>
  <si>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</si>
  <si>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</si>
  <si>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</si>
  <si>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</si>
  <si>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</si>
  <si>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</si>
  <si>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</si>
  <si>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</si>
  <si>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</si>
  <si>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</si>
  <si>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</si>
  <si>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</si>
  <si>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</si>
  <si>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</si>
  <si>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</si>
  <si>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</si>
  <si>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</si>
  <si>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</si>
  <si>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</si>
  <si>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</si>
  <si>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</si>
  <si>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</si>
  <si>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</si>
  <si>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</si>
  <si>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</si>
  <si>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</si>
  <si>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</si>
  <si>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</si>
  <si>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</si>
  <si>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</si>
  <si>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</si>
  <si>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</si>
  <si>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</si>
  <si>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</si>
  <si>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</si>
  <si>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</si>
  <si>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</si>
  <si>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</si>
  <si>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</si>
  <si>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</si>
  <si>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</si>
  <si>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</si>
  <si>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</si>
  <si>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</si>
  <si>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</si>
  <si>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</si>
  <si>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</si>
  <si>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</si>
  <si>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</si>
  <si>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</si>
  <si>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</si>
  <si>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</si>
  <si>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</si>
  <si>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</si>
  <si>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</si>
  <si>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</si>
  <si>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</si>
  <si>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</si>
  <si>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</si>
  <si>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</si>
  <si>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</si>
  <si>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</si>
  <si>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</si>
  <si>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</si>
  <si>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</si>
  <si>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</si>
  <si>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</si>
  <si>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</si>
  <si>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</si>
  <si>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</si>
  <si>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</si>
  <si>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</si>
  <si>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</si>
  <si>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</si>
  <si>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</si>
  <si>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</si>
  <si>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</si>
  <si>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</si>
  <si>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</si>
  <si>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</si>
  <si>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</si>
  <si>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</si>
  <si>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</si>
  <si>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</si>
  <si>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</si>
  <si>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</si>
  <si>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</si>
  <si>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</si>
  <si>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</si>
  <si>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</si>
  <si>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</si>
  <si>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</si>
  <si>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</si>
  <si>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</si>
  <si>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</si>
  <si>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</si>
  <si>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</si>
  <si>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</si>
  <si>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</si>
  <si>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</si>
  <si>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</si>
  <si>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</si>
  <si>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</si>
  <si>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</si>
  <si>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</si>
  <si>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</si>
  <si>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</si>
  <si>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</si>
  <si>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</si>
  <si>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</si>
  <si>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</si>
  <si>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</si>
  <si>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</si>
  <si>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</si>
  <si>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</si>
  <si>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</si>
  <si>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</si>
  <si>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</si>
  <si>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</si>
  <si>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</si>
  <si>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</si>
  <si>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</si>
  <si>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</si>
  <si>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</si>
  <si>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</si>
  <si>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</si>
  <si>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</si>
  <si>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</si>
  <si>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</si>
  <si>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</si>
  <si>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</si>
  <si>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</si>
  <si>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</si>
  <si>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</si>
  <si>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</si>
  <si>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</si>
  <si>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</si>
  <si>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</si>
  <si>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</si>
  <si>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</si>
  <si>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</si>
  <si>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</si>
  <si>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</si>
  <si>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</si>
  <si>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</si>
  <si>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</si>
  <si>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</si>
  <si>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</si>
  <si>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</si>
  <si>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</si>
  <si>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</si>
  <si>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</si>
  <si>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</si>
  <si>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</si>
  <si>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</si>
  <si>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</si>
  <si>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</si>
  <si>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</si>
  <si>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</si>
  <si>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</si>
  <si>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</si>
  <si>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</si>
  <si>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</si>
  <si>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</si>
  <si>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</si>
  <si>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</si>
  <si>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</si>
  <si>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</si>
  <si>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</si>
  <si>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</si>
  <si>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</si>
  <si>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</si>
  <si>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</si>
  <si>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</si>
  <si>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</si>
  <si>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</si>
  <si>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</si>
  <si>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</si>
  <si>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</si>
  <si>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</si>
  <si>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</si>
  <si>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</si>
  <si>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</si>
  <si>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</si>
  <si>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</si>
  <si>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</si>
  <si>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</si>
  <si>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</si>
  <si>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</si>
  <si>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</si>
  <si>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</si>
  <si>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</si>
  <si>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</si>
  <si>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</si>
  <si>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</si>
  <si>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</si>
  <si>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</si>
  <si>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</si>
  <si>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</si>
  <si>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</si>
  <si>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</si>
  <si>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</si>
  <si>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</si>
  <si>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</si>
  <si>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</si>
  <si>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</si>
  <si>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</si>
  <si>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</si>
  <si>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</si>
  <si>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</si>
  <si>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</si>
  <si>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</si>
  <si>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</si>
  <si>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</si>
  <si>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</si>
  <si>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</si>
  <si>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</si>
  <si>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</si>
  <si>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</si>
  <si>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</si>
  <si>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</si>
  <si>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</si>
  <si>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</si>
  <si>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</si>
  <si>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</si>
  <si>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</si>
  <si>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</si>
  <si>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</si>
  <si>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</si>
  <si>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</si>
  <si>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</si>
  <si>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</si>
  <si>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</si>
  <si>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</si>
  <si>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</si>
  <si>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</si>
  <si>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</si>
  <si>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</si>
  <si>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</si>
  <si>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</si>
  <si>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</si>
  <si>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</si>
  <si>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</si>
  <si>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</si>
  <si>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</si>
  <si>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</si>
  <si>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</si>
  <si>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</si>
  <si>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</si>
  <si>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</si>
  <si>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</si>
  <si>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</si>
  <si>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</si>
  <si>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</si>
  <si>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</si>
  <si>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</si>
  <si>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</si>
  <si>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</si>
  <si>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</si>
  <si>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</si>
  <si>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</si>
  <si>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</si>
  <si>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</si>
  <si>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</si>
  <si>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</si>
  <si>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</si>
  <si>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</si>
  <si>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</si>
  <si>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</si>
  <si>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</si>
  <si>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</si>
  <si>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</si>
  <si>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</si>
  <si>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</si>
  <si>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</si>
  <si>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</si>
  <si>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</si>
  <si>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</si>
  <si>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</si>
  <si>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</si>
  <si>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</si>
  <si>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</si>
  <si>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</si>
  <si>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</si>
  <si>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</si>
  <si>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</si>
  <si>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</si>
  <si>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</si>
  <si>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</si>
  <si>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</si>
  <si>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</si>
  <si>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</si>
  <si>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</si>
  <si>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</si>
  <si>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</si>
  <si>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</si>
  <si>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</si>
  <si>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</si>
  <si>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</si>
  <si>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</si>
  <si>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</si>
  <si>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</si>
  <si>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</si>
  <si>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</si>
  <si>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</si>
  <si>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</si>
  <si>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</si>
  <si>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</si>
  <si>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</si>
  <si>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</si>
  <si>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</si>
  <si>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</si>
  <si>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</si>
  <si>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</si>
  <si>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</si>
  <si>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</si>
  <si>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</si>
  <si>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</si>
  <si>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</si>
  <si>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</si>
  <si>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</si>
  <si>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</si>
  <si>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</si>
  <si>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</si>
  <si>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</si>
  <si>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</si>
  <si>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</si>
  <si>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</si>
  <si>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</si>
  <si>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</si>
  <si>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</si>
  <si>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</si>
  <si>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</si>
  <si>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</si>
  <si>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</si>
  <si>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</si>
  <si>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</si>
  <si>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</si>
  <si>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</si>
  <si>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</si>
  <si>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</si>
  <si>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</si>
  <si>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</si>
  <si>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</si>
  <si>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</si>
  <si>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</si>
  <si>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</si>
  <si>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</si>
  <si>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</si>
  <si>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</si>
  <si>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</si>
  <si>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</si>
  <si>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</si>
  <si>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</si>
  <si>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</si>
  <si>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</si>
  <si>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</si>
  <si>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</si>
  <si>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</si>
  <si>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</si>
  <si>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</si>
  <si>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</si>
  <si>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</si>
  <si>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</si>
  <si>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</si>
  <si>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</si>
  <si>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</si>
  <si>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</si>
  <si>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</si>
  <si>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</si>
  <si>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</si>
  <si>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</si>
  <si>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</si>
  <si>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</si>
  <si>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</si>
  <si>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</si>
  <si>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</si>
  <si>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</si>
  <si>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</si>
  <si>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</si>
  <si>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</si>
  <si>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</si>
  <si>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</si>
  <si>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</si>
  <si>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</si>
  <si>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</si>
  <si>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</si>
  <si>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</si>
  <si>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</si>
  <si>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</si>
  <si>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</si>
  <si>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</si>
  <si>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</si>
  <si>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</si>
  <si>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</si>
  <si>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</si>
  <si>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</si>
  <si>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</si>
  <si>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</si>
  <si>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</si>
  <si>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</si>
  <si>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</si>
  <si>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</si>
  <si>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</si>
  <si>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</si>
  <si>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</si>
  <si>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</si>
  <si>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</si>
  <si>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</si>
  <si>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</si>
  <si>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</si>
  <si>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</si>
  <si>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</si>
  <si>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</si>
  <si>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</si>
  <si>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</si>
  <si>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</si>
  <si>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</si>
  <si>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</si>
  <si>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</si>
  <si>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</si>
  <si>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</si>
  <si>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</si>
  <si>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</si>
  <si>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</si>
  <si>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</si>
  <si>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</si>
  <si>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</si>
  <si>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</si>
  <si>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</si>
  <si>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</si>
  <si>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</si>
  <si>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</si>
  <si>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</si>
  <si>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</si>
  <si>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</si>
  <si>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</si>
  <si>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</si>
  <si>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</si>
  <si>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</si>
  <si>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</si>
  <si>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</si>
  <si>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</si>
  <si>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</si>
  <si>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</si>
  <si>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</si>
  <si>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</si>
  <si>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</si>
  <si>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</si>
  <si>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</si>
  <si>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</si>
  <si>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</si>
  <si>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</si>
  <si>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</si>
  <si>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</si>
  <si>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</si>
  <si>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</si>
  <si>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</si>
  <si>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</si>
  <si>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</si>
  <si>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</si>
  <si>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</si>
  <si>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</si>
  <si>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</si>
  <si>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</si>
  <si>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</si>
  <si>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</si>
  <si>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</si>
  <si>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</si>
  <si>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</si>
  <si>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</si>
  <si>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</si>
  <si>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</si>
  <si>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</si>
  <si>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</si>
  <si>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</si>
  <si>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</si>
  <si>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</si>
  <si>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</si>
  <si>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</si>
  <si>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</si>
  <si>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</si>
  <si>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</si>
  <si>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</si>
  <si>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</si>
  <si>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</si>
  <si>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</si>
  <si>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</si>
  <si>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</si>
  <si>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</si>
  <si>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</si>
  <si>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</si>
  <si>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</si>
  <si>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</si>
  <si>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</si>
  <si>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</si>
  <si>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</si>
  <si>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</si>
  <si>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</si>
  <si>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</si>
  <si>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</si>
  <si>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</si>
  <si>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</si>
  <si>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</si>
  <si>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</si>
  <si>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</si>
  <si>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</si>
  <si>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</si>
  <si>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</si>
  <si>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</si>
  <si>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</si>
  <si>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</si>
  <si>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</si>
  <si>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</si>
  <si>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</si>
  <si>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</si>
  <si>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</si>
  <si>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</si>
  <si>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</si>
  <si>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</si>
  <si>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</si>
  <si>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</si>
  <si>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</si>
  <si>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</si>
  <si>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</si>
  <si>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</si>
  <si>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</si>
  <si>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</si>
  <si>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</si>
  <si>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</si>
  <si>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</si>
  <si>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</si>
  <si>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</si>
  <si>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</si>
  <si>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</si>
  <si>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</si>
  <si>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</si>
  <si>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</si>
  <si>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</si>
  <si>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</si>
  <si>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</si>
  <si>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</si>
  <si>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</si>
  <si>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</si>
  <si>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</si>
  <si>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</si>
  <si>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</si>
  <si>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</si>
  <si>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</si>
  <si>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</si>
  <si>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</si>
  <si>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</si>
  <si>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</si>
  <si>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</si>
  <si>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</si>
  <si>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</si>
  <si>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</si>
  <si>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</si>
  <si>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</si>
  <si>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</si>
  <si>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</si>
  <si>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</si>
  <si>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</si>
  <si>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</si>
  <si>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</si>
  <si>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</si>
  <si>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</si>
  <si>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</si>
  <si>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</si>
  <si>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</si>
  <si>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</si>
  <si>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</si>
  <si>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</si>
  <si>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</si>
  <si>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</si>
  <si>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</si>
  <si>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</si>
  <si>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</si>
  <si>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</si>
  <si>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</si>
  <si>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</si>
  <si>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</si>
  <si>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</si>
  <si>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</si>
  <si>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</si>
  <si>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</si>
  <si>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</si>
  <si>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</si>
  <si>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</si>
  <si>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</si>
  <si>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</si>
  <si>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</si>
  <si>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</si>
  <si>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</si>
  <si>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</si>
  <si>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</si>
  <si>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</si>
  <si>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</si>
  <si>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</si>
  <si>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</si>
  <si>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</si>
  <si>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</si>
  <si>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</si>
  <si>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</si>
  <si>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</si>
  <si>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</si>
  <si>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</si>
  <si>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</si>
  <si>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</si>
  <si>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</si>
  <si>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</si>
  <si>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</si>
  <si>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</si>
  <si>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</si>
  <si>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</si>
  <si>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</si>
  <si>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</si>
  <si>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</si>
  <si>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</si>
  <si>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</si>
  <si>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</si>
  <si>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</si>
  <si>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</si>
  <si>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</si>
  <si>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</si>
  <si>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</si>
  <si>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</si>
  <si>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</si>
  <si>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</si>
  <si>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</si>
  <si>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</si>
  <si>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</si>
  <si>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</si>
  <si>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</si>
  <si>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</si>
  <si>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</si>
  <si>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</si>
  <si>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</si>
  <si>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</si>
  <si>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</si>
  <si>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</si>
  <si>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</si>
  <si>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</si>
  <si>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</si>
  <si>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</si>
  <si>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</si>
  <si>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</si>
  <si>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</si>
  <si>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</si>
  <si>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</si>
  <si>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</si>
  <si>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</si>
  <si>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</si>
  <si>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</si>
  <si>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</si>
  <si>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</si>
  <si>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</si>
  <si>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</si>
  <si>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</si>
  <si>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</si>
  <si>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</si>
  <si>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</si>
  <si>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</si>
  <si>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</si>
  <si>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</si>
  <si>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</si>
  <si>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</si>
  <si>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</si>
  <si>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</si>
  <si>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</si>
  <si>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</si>
  <si>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</si>
  <si>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</si>
  <si>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</si>
  <si>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</si>
  <si>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</si>
  <si>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</si>
  <si>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</si>
  <si>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</si>
  <si>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</si>
  <si>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</si>
  <si>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</si>
  <si>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</si>
  <si>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</si>
  <si>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</si>
  <si>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</si>
  <si>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</si>
  <si>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</si>
  <si>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</si>
  <si>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</si>
  <si>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</si>
  <si>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</si>
  <si>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</si>
  <si>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</si>
  <si>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</si>
  <si>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</si>
  <si>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</si>
  <si>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</si>
  <si>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</si>
  <si>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</si>
  <si>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</si>
  <si>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</si>
  <si>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</si>
  <si>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</si>
  <si>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</si>
  <si>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</si>
  <si>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</si>
  <si>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</si>
  <si>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</si>
  <si>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</si>
  <si>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</si>
  <si>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</si>
  <si>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</si>
  <si>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</si>
  <si>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</si>
  <si>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</si>
  <si>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</si>
  <si>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</si>
  <si>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</si>
  <si>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</si>
  <si>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</si>
  <si>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</si>
  <si>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</si>
  <si>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</si>
  <si>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</si>
  <si>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</si>
  <si>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</si>
  <si>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</si>
  <si>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</si>
  <si>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</si>
  <si>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</si>
  <si>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</si>
  <si>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</si>
  <si>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</si>
  <si>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</si>
  <si>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</si>
  <si>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</si>
  <si>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</si>
  <si>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</si>
  <si>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</si>
  <si>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</si>
  <si>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</si>
  <si>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</si>
  <si>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</si>
  <si>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</si>
  <si>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</si>
  <si>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</si>
  <si>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</si>
  <si>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</si>
  <si>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</si>
  <si>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</si>
  <si>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</si>
  <si>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</si>
  <si>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</si>
  <si>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</si>
  <si>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</si>
  <si>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</si>
  <si>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</si>
  <si>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</si>
  <si>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</si>
  <si>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</si>
  <si>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</si>
  <si>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</si>
  <si>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</si>
  <si>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</si>
  <si>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</si>
  <si>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</si>
  <si>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</si>
  <si>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</si>
  <si>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</si>
  <si>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</si>
  <si>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</si>
  <si>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</si>
  <si>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</si>
  <si>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</si>
  <si>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</si>
  <si>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</si>
  <si>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</si>
  <si>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</si>
  <si>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</si>
  <si>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</si>
  <si>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</si>
  <si>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</si>
  <si>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</si>
  <si>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</si>
  <si>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</si>
  <si>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</si>
  <si>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</si>
  <si>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</si>
  <si>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</si>
  <si>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</si>
  <si>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</si>
  <si>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</si>
  <si>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</si>
  <si>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</si>
  <si>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</si>
  <si>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</si>
  <si>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</si>
  <si>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</si>
  <si>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</si>
  <si>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</si>
  <si>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</si>
  <si>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</si>
  <si>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</si>
  <si>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</si>
  <si>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</si>
  <si>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</si>
  <si>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</si>
  <si>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</si>
  <si>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</si>
  <si>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</si>
  <si>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</si>
  <si>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</si>
  <si>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</si>
  <si>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</si>
  <si>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</si>
  <si>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</si>
  <si>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</si>
  <si>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</si>
  <si>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</si>
  <si>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</si>
  <si>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</si>
  <si>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</si>
  <si>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</si>
  <si>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</si>
  <si>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</si>
  <si>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</si>
  <si>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</si>
  <si>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</si>
  <si>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</si>
  <si>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</si>
  <si>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</si>
  <si>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</si>
  <si>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</si>
  <si>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</si>
  <si>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</si>
  <si>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</si>
  <si>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</si>
  <si>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</si>
  <si>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</si>
  <si>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</si>
  <si>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</si>
  <si>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</si>
  <si>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</si>
  <si>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</si>
  <si>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</si>
  <si>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</si>
  <si>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</si>
  <si>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</si>
  <si>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</si>
  <si>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</si>
  <si>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</si>
  <si>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</si>
  <si>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</si>
  <si>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</si>
  <si>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</si>
  <si>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</si>
  <si>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</si>
  <si>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</si>
  <si>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</si>
  <si>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</si>
  <si>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</si>
  <si>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</si>
  <si>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</si>
  <si>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</si>
  <si>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</si>
  <si>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</si>
  <si>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</si>
  <si>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</si>
  <si>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</si>
  <si>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</si>
  <si>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</si>
  <si>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</si>
  <si>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</si>
  <si>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</si>
  <si>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</si>
  <si>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</si>
  <si>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</si>
  <si>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</si>
  <si>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</si>
  <si>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</si>
  <si>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</si>
  <si>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</si>
  <si>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</si>
  <si>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</si>
  <si>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</si>
  <si>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</si>
  <si>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</si>
  <si>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</si>
  <si>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</si>
  <si>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</si>
  <si>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</si>
  <si>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</si>
  <si>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</si>
  <si>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</si>
  <si>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</si>
  <si>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</si>
  <si>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</si>
  <si>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</si>
  <si>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</si>
  <si>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</si>
  <si>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</si>
  <si>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</si>
  <si>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</si>
  <si>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</si>
  <si>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</si>
  <si>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</si>
  <si>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</si>
  <si>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</si>
  <si>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</si>
  <si>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</si>
  <si>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</si>
  <si>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</si>
  <si>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</si>
  <si>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</si>
  <si>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</si>
  <si>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</si>
  <si>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</si>
  <si>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</si>
  <si>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</si>
  <si>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</si>
  <si>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</si>
  <si>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</si>
  <si>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</si>
  <si>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</si>
  <si>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</si>
  <si>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</si>
  <si>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</si>
  <si>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</si>
  <si>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</si>
  <si>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</si>
  <si>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</si>
  <si>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</si>
  <si>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</si>
  <si>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</si>
  <si>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</si>
  <si>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</si>
  <si>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</si>
  <si>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</si>
  <si>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</si>
  <si>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</si>
  <si>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</si>
  <si>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</si>
  <si>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</si>
  <si>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</si>
  <si>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</si>
  <si>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</si>
  <si>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</si>
  <si>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</si>
  <si>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</si>
  <si>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</si>
  <si>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</si>
  <si>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</si>
  <si>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</si>
  <si>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</si>
  <si>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</si>
  <si>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</si>
  <si>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</si>
  <si>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</si>
  <si>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</si>
  <si>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</si>
  <si>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</si>
  <si>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</si>
  <si>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</si>
  <si>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</si>
  <si>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</si>
  <si>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</si>
  <si>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</si>
  <si>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</si>
  <si>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</si>
  <si>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</si>
  <si>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</si>
  <si>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</si>
  <si>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</si>
  <si>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</si>
  <si>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</si>
  <si>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</si>
  <si>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</si>
  <si>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</si>
  <si>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</si>
  <si>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</si>
  <si>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</si>
  <si>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</si>
  <si>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</si>
  <si>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</si>
  <si>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</si>
  <si>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</si>
  <si>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</si>
  <si>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</si>
  <si>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</si>
  <si>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</si>
  <si>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</si>
  <si>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</si>
  <si>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</si>
  <si>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</si>
  <si>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</si>
  <si>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</si>
  <si>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</si>
  <si>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</si>
  <si>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</si>
  <si>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</si>
  <si>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</si>
  <si>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</si>
  <si>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</si>
  <si>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</si>
  <si>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</si>
  <si>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</si>
  <si>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</si>
  <si>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</si>
  <si>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</si>
  <si>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</si>
  <si>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</si>
  <si>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</si>
  <si>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</si>
  <si>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</si>
  <si>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</si>
  <si>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</si>
  <si>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</si>
  <si>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</si>
  <si>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</si>
  <si>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</si>
  <si>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</si>
  <si>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</si>
  <si>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</si>
  <si>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</si>
  <si>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</si>
  <si>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</si>
  <si>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</si>
  <si>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</si>
  <si>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</si>
  <si>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</si>
  <si>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</si>
  <si>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</si>
  <si>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</si>
  <si>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</si>
  <si>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</si>
  <si>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</si>
  <si>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</si>
  <si>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</si>
  <si>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</si>
  <si>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</si>
  <si>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</si>
  <si>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</si>
  <si>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</si>
  <si>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</si>
  <si>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</si>
  <si>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</si>
  <si>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</si>
  <si>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</si>
  <si>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</si>
  <si>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</si>
  <si>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</si>
  <si>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</si>
  <si>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</si>
  <si>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</si>
  <si>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</si>
  <si>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</si>
  <si>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</si>
  <si>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</si>
  <si>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</si>
  <si>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</si>
  <si>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</si>
  <si>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</si>
  <si>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</si>
  <si>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</si>
  <si>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</si>
  <si>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</si>
  <si>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</si>
  <si>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</si>
  <si>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</si>
  <si>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</si>
  <si>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</si>
  <si>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</si>
  <si>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</si>
  <si>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</si>
  <si>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</si>
  <si>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</si>
  <si>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</si>
  <si>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</si>
  <si>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</si>
  <si>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</si>
  <si>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</si>
  <si>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</si>
  <si>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</si>
  <si>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</si>
  <si>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</si>
  <si>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</si>
  <si>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</si>
  <si>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</si>
  <si>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</si>
  <si>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</si>
  <si>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</si>
  <si>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</si>
  <si>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</si>
  <si>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</si>
  <si>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</si>
  <si>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</si>
  <si>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</si>
  <si>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</si>
  <si>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</si>
  <si>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</si>
  <si>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</si>
  <si>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</si>
  <si>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</si>
  <si>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</si>
  <si>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</si>
  <si>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</si>
  <si>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</si>
  <si>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</si>
  <si>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</si>
  <si>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</si>
  <si>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</si>
  <si>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</si>
  <si>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</si>
  <si>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</si>
  <si>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</si>
  <si>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</si>
  <si>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</si>
  <si>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</si>
  <si>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</si>
  <si>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</si>
  <si>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</si>
  <si>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</si>
  <si>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</si>
  <si>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</si>
  <si>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</si>
  <si>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</si>
  <si>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</si>
  <si>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</si>
  <si>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</si>
  <si>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</si>
  <si>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</si>
  <si>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</si>
  <si>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</si>
  <si>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</si>
  <si>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</si>
  <si>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</si>
  <si>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</si>
  <si>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</si>
  <si>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</si>
  <si>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</si>
  <si>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</si>
  <si>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</si>
  <si>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</si>
  <si>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</si>
  <si>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</si>
  <si>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</si>
  <si>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</si>
  <si>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</si>
  <si>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</si>
  <si>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</si>
  <si>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</si>
  <si>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</si>
  <si>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</si>
  <si>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</si>
  <si>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</si>
  <si>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</si>
  <si>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</si>
  <si>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</si>
  <si>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</si>
  <si>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</si>
  <si>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</si>
  <si>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</si>
  <si>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</si>
  <si>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</si>
  <si>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</si>
  <si>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</si>
  <si>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</si>
  <si>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</si>
  <si>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</si>
  <si>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</si>
  <si>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</si>
  <si>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</si>
  <si>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</si>
  <si>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</si>
  <si>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</si>
  <si>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</si>
  <si>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</si>
  <si>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</si>
  <si>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</si>
  <si>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</si>
  <si>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</si>
  <si>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</si>
  <si>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</si>
  <si>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</si>
  <si>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</si>
  <si>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</si>
  <si>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</si>
  <si>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</si>
  <si>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</si>
  <si>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</si>
  <si>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</si>
  <si>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</si>
  <si>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</si>
  <si>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</si>
  <si>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</si>
  <si>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</si>
  <si>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</si>
  <si>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</si>
  <si>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</si>
  <si>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</si>
  <si>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</si>
  <si>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</si>
  <si>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</si>
  <si>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</si>
  <si>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</si>
  <si>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</si>
  <si>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</si>
  <si>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</si>
  <si>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</si>
  <si>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</si>
  <si>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</si>
  <si>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</si>
  <si>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</si>
  <si>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</si>
  <si>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</si>
  <si>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</si>
  <si>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</si>
  <si>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</si>
  <si>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</si>
  <si>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</si>
  <si>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</si>
  <si>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</si>
  <si>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</si>
  <si>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</si>
  <si>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</si>
  <si>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</si>
  <si>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</si>
  <si>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</si>
  <si>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</si>
  <si>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</si>
  <si>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</si>
  <si>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</si>
  <si>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</si>
  <si>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</si>
  <si>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</si>
  <si>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</si>
  <si>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</si>
  <si>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</si>
  <si>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</si>
  <si>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</si>
  <si>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</si>
  <si>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</si>
  <si>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</si>
  <si>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</si>
  <si>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</si>
  <si>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</si>
  <si>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</si>
  <si>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</si>
  <si>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</si>
  <si>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</si>
  <si>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</si>
  <si>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</si>
  <si>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</si>
  <si>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</si>
  <si>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</si>
  <si>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</si>
  <si>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</si>
  <si>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</si>
  <si>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</si>
  <si>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</si>
  <si>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</si>
  <si>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</si>
  <si>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</si>
  <si>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</si>
  <si>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</si>
  <si>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</si>
  <si>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</si>
  <si>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</si>
  <si>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</si>
  <si>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</si>
  <si>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</si>
  <si>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</si>
  <si>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</si>
  <si>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</si>
  <si>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</si>
  <si>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</si>
  <si>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</si>
  <si>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</si>
  <si>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</si>
  <si>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</si>
  <si>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</si>
  <si>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</si>
  <si>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</si>
  <si>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</si>
  <si>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</si>
  <si>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</si>
  <si>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</si>
  <si>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</si>
  <si>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</si>
  <si>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</si>
  <si>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</si>
  <si>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</si>
  <si>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</si>
  <si>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</si>
  <si>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</si>
  <si>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</si>
  <si>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</si>
  <si>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</si>
  <si>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</si>
  <si>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</si>
  <si>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</si>
  <si>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</si>
  <si>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</si>
  <si>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</si>
  <si>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</si>
  <si>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</si>
  <si>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</si>
  <si>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</si>
  <si>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</si>
  <si>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</si>
  <si>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</si>
  <si>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</si>
  <si>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</si>
  <si>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</si>
  <si>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</si>
  <si>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</si>
  <si>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</si>
  <si>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</si>
  <si>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</si>
  <si>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</si>
  <si>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</si>
  <si>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</si>
  <si>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</si>
  <si>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</si>
  <si>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</si>
  <si>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</si>
  <si>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</si>
  <si>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</si>
  <si>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</si>
  <si>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</si>
  <si>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</si>
  <si>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</si>
  <si>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</si>
  <si>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</si>
  <si>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</si>
  <si>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</si>
  <si>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</si>
  <si>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</si>
  <si>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</si>
  <si>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</si>
  <si>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</si>
  <si>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</si>
  <si>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</si>
  <si>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</si>
  <si>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</si>
  <si>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</si>
  <si>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</si>
  <si>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</si>
  <si>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</si>
  <si>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</si>
  <si>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</si>
  <si>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</si>
  <si>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</si>
  <si>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</si>
  <si>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</si>
  <si>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</si>
  <si>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</si>
  <si>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</si>
  <si>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</si>
  <si>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</si>
  <si>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</si>
  <si>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</si>
  <si>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</si>
  <si>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</si>
  <si>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</si>
  <si>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</si>
  <si>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</si>
  <si>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</si>
  <si>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</si>
  <si>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</si>
  <si>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</si>
  <si>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</si>
  <si>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</si>
  <si>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</si>
  <si>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</si>
  <si>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</si>
  <si>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</si>
  <si>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</si>
  <si>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</si>
  <si>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</si>
  <si>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</si>
  <si>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</si>
  <si>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</si>
  <si>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</si>
  <si>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</si>
  <si>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</si>
  <si>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</si>
  <si>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</si>
  <si>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</si>
  <si>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</si>
  <si>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</si>
  <si>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</si>
  <si>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</si>
  <si>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</si>
  <si>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</si>
  <si>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</si>
  <si>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</si>
  <si>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</si>
  <si>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</si>
  <si>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</si>
  <si>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</si>
  <si>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</si>
  <si>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</si>
  <si>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</si>
  <si>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</si>
  <si>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</si>
  <si>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</si>
  <si>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</si>
  <si>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</si>
  <si>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</si>
  <si>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</si>
  <si>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</si>
  <si>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</si>
  <si>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</si>
  <si>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</si>
  <si>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</si>
  <si>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</si>
  <si>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</si>
  <si>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</si>
  <si>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</si>
  <si>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</si>
  <si>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</si>
  <si>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</si>
  <si>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</si>
  <si>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</si>
  <si>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</si>
  <si>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</si>
  <si>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</si>
  <si>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</si>
  <si>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</si>
  <si>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</si>
  <si>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</si>
  <si>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</si>
  <si>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</si>
  <si>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</si>
  <si>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</si>
  <si>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</si>
  <si>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</si>
  <si>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</si>
  <si>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</si>
  <si>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</si>
  <si>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</si>
  <si>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</si>
  <si>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</si>
  <si>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</si>
  <si>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</si>
  <si>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</si>
  <si>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</si>
  <si>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</si>
  <si>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</si>
  <si>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</si>
  <si>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</si>
  <si>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</si>
  <si>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</si>
  <si>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</si>
  <si>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</si>
  <si>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</si>
  <si>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</si>
  <si>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</si>
  <si>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</si>
  <si>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</si>
  <si>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</si>
  <si>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</si>
  <si>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</si>
  <si>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</si>
  <si>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</si>
  <si>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</si>
  <si>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</si>
  <si>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</si>
  <si>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</si>
  <si>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</si>
  <si>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</si>
  <si>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</si>
  <si>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</si>
  <si>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</si>
  <si>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</si>
  <si>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</si>
  <si>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</si>
  <si>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</si>
  <si>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</si>
  <si>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</si>
  <si>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</si>
  <si>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</si>
  <si>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</si>
  <si>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</si>
  <si>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</si>
  <si>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</si>
  <si>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</si>
  <si>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</si>
  <si>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</si>
  <si>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</si>
  <si>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</si>
  <si>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</si>
  <si>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</si>
  <si>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</si>
  <si>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</si>
  <si>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</si>
  <si>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</si>
  <si>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</si>
  <si>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</si>
  <si>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</si>
  <si>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</si>
  <si>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</si>
  <si>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</si>
  <si>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</si>
  <si>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</si>
  <si>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</si>
  <si>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</si>
  <si>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</si>
  <si>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</si>
  <si>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</si>
  <si>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</si>
  <si>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</si>
  <si>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</si>
  <si>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</si>
  <si>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</si>
  <si>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</si>
  <si>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</si>
  <si>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</si>
  <si>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</si>
  <si>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</si>
  <si>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</si>
  <si>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</si>
  <si>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</si>
  <si>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</si>
  <si>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</si>
  <si>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</si>
  <si>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</si>
  <si>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</si>
  <si>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</si>
  <si>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</si>
  <si>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</si>
  <si>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</si>
  <si>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</si>
  <si>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</si>
  <si>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</si>
  <si>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</si>
  <si>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</si>
  <si>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</si>
  <si>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</si>
  <si>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</si>
  <si>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</si>
  <si>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</si>
  <si>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</si>
  <si>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</si>
  <si>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</si>
  <si>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</si>
  <si>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</si>
  <si>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</si>
  <si>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</si>
  <si>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</si>
  <si>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</si>
  <si>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</si>
  <si>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</si>
  <si>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</si>
  <si>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</si>
  <si>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</si>
  <si>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</si>
  <si>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</si>
  <si>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</si>
  <si>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</si>
  <si>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</si>
  <si>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</si>
  <si>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</si>
  <si>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</si>
  <si>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</si>
  <si>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</si>
  <si>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</si>
  <si>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</si>
  <si>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</si>
  <si>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</si>
  <si>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</si>
  <si>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</si>
  <si>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</si>
  <si>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</si>
  <si>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</si>
  <si>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</si>
  <si>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</si>
  <si>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</si>
  <si>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</si>
  <si>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</si>
  <si>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</si>
  <si>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</si>
  <si>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</si>
  <si>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</si>
  <si>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</si>
  <si>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</si>
  <si>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</si>
  <si>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</si>
  <si>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</si>
  <si>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</si>
  <si>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</si>
  <si>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</si>
  <si>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</si>
  <si>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</si>
  <si>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</si>
  <si>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</si>
  <si>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</si>
  <si>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</si>
  <si>
    <t>FQ325</t>
  </si>
  <si>
    <t>Acquired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</si>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</sst>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4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3" fillId="0" borderId="0" applyFill="0" applyBorder="0" applyAlignment="0" applyProtection="0"/>
    <xf numFmtId="0" fontId="26" fillId="0" borderId="0" applyNumberFormat="0" applyFill="0" applyBorder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9" fillId="0" borderId="6" applyNumberFormat="0" applyFill="0" applyAlignment="0" applyProtection="0"/>
    <xf numFmtId="0" fontId="29" fillId="0" borderId="0" applyNumberFormat="0" applyFill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0" applyNumberFormat="0" applyBorder="0" applyAlignment="0" applyProtection="0"/>
    <xf numFmtId="0" fontId="33" fillId="6" borderId="7" applyNumberFormat="0" applyAlignment="0" applyProtection="0"/>
    <xf numFmtId="0" fontId="34" fillId="7" borderId="8" applyNumberFormat="0" applyAlignment="0" applyProtection="0"/>
    <xf numFmtId="0" fontId="35" fillId="7" borderId="7" applyNumberFormat="0" applyAlignment="0" applyProtection="0"/>
    <xf numFmtId="0" fontId="36" fillId="0" borderId="9" applyNumberFormat="0" applyFill="0" applyAlignment="0" applyProtection="0"/>
    <xf numFmtId="0" fontId="37" fillId="8" borderId="10" applyNumberFormat="0" applyAlignment="0" applyProtection="0"/>
    <xf numFmtId="0" fontId="38" fillId="0" borderId="0" applyNumberFormat="0" applyFill="0" applyBorder="0" applyAlignment="0" applyProtection="0"/>
    <xf numFmtId="0" fontId="25" fillId="9" borderId="11" applyNumberFormat="0" applyFont="0" applyAlignment="0" applyProtection="0"/>
    <xf numFmtId="0" fontId="39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40" fillId="10" borderId="0" applyNumberFormat="0" applyBorder="0" applyAlignment="0" applyProtection="0"/>
    <xf numFmtId="0" fontId="25" fillId="11" borderId="0" applyNumberFormat="0" applyBorder="0" applyAlignment="0" applyProtection="0"/>
    <xf numFmtId="0" fontId="25" fillId="12" borderId="0" applyNumberFormat="0" applyBorder="0" applyAlignment="0" applyProtection="0"/>
    <xf numFmtId="0" fontId="25" fillId="13" borderId="0" applyNumberFormat="0" applyBorder="0" applyAlignment="0" applyProtection="0"/>
    <xf numFmtId="0" fontId="40" fillId="14" borderId="0" applyNumberFormat="0" applyBorder="0" applyAlignment="0" applyProtection="0"/>
    <xf numFmtId="0" fontId="25" fillId="15" borderId="0" applyNumberFormat="0" applyBorder="0" applyAlignment="0" applyProtection="0"/>
    <xf numFmtId="0" fontId="25" fillId="16" borderId="0" applyNumberFormat="0" applyBorder="0" applyAlignment="0" applyProtection="0"/>
    <xf numFmtId="0" fontId="25" fillId="17" borderId="0" applyNumberFormat="0" applyBorder="0" applyAlignment="0" applyProtection="0"/>
    <xf numFmtId="0" fontId="40" fillId="18" borderId="0" applyNumberFormat="0" applyBorder="0" applyAlignment="0" applyProtection="0"/>
    <xf numFmtId="0" fontId="25" fillId="19" borderId="0" applyNumberFormat="0" applyBorder="0" applyAlignment="0" applyProtection="0"/>
    <xf numFmtId="0" fontId="25" fillId="20" borderId="0" applyNumberFormat="0" applyBorder="0" applyAlignment="0" applyProtection="0"/>
    <xf numFmtId="0" fontId="25" fillId="21" borderId="0" applyNumberFormat="0" applyBorder="0" applyAlignment="0" applyProtection="0"/>
    <xf numFmtId="0" fontId="40" fillId="22" borderId="0" applyNumberFormat="0" applyBorder="0" applyAlignment="0" applyProtection="0"/>
    <xf numFmtId="0" fontId="25" fillId="23" borderId="0" applyNumberFormat="0" applyBorder="0" applyAlignment="0" applyProtection="0"/>
    <xf numFmtId="0" fontId="25" fillId="24" borderId="0" applyNumberFormat="0" applyBorder="0" applyAlignment="0" applyProtection="0"/>
    <xf numFmtId="0" fontId="25" fillId="25" borderId="0" applyNumberFormat="0" applyBorder="0" applyAlignment="0" applyProtection="0"/>
    <xf numFmtId="0" fontId="40" fillId="26" borderId="0" applyNumberFormat="0" applyBorder="0" applyAlignment="0" applyProtection="0"/>
    <xf numFmtId="0" fontId="25" fillId="27" borderId="0" applyNumberFormat="0" applyBorder="0" applyAlignment="0" applyProtection="0"/>
    <xf numFmtId="0" fontId="25" fillId="28" borderId="0" applyNumberFormat="0" applyBorder="0" applyAlignment="0" applyProtection="0"/>
    <xf numFmtId="0" fontId="25" fillId="29" borderId="0" applyNumberFormat="0" applyBorder="0" applyAlignment="0" applyProtection="0"/>
    <xf numFmtId="0" fontId="40" fillId="30" borderId="0" applyNumberFormat="0" applyBorder="0" applyAlignment="0" applyProtection="0"/>
    <xf numFmtId="0" fontId="25" fillId="31" borderId="0" applyNumberFormat="0" applyBorder="0" applyAlignment="0" applyProtection="0"/>
    <xf numFmtId="0" fontId="25" fillId="32" borderId="0" applyNumberFormat="0" applyBorder="0" applyAlignment="0" applyProtection="0"/>
    <xf numFmtId="0" fontId="25" fillId="33" borderId="0" applyNumberFormat="0" applyBorder="0" applyAlignment="0" applyProtection="0"/>
  </cellStyleXfs>
  <cellXfs count="44">
    <xf numFmtId="0" fontId="0" fillId="0" borderId="0" xfId="0"/>
    <xf numFmtId="0" fontId="22" fillId="0" borderId="0" xfId="0" applyFont="1"/>
    <xf numFmtId="0" fontId="23" fillId="0" borderId="0" xfId="0" applyFont="1"/>
    <xf numFmtId="0" fontId="24" fillId="0" borderId="0" xfId="0" applyFont="1"/>
    <xf numFmtId="0" fontId="41" fillId="0" borderId="0" xfId="0" applyFont="1"/>
    <xf numFmtId="0" fontId="20" fillId="0" borderId="0" xfId="0" applyFont="1"/>
    <xf numFmtId="0" fontId="20" fillId="0" borderId="0" xfId="0" applyFont="1" applyAlignment="1">
      <alignment horizontal="right"/>
    </xf>
    <xf numFmtId="0" fontId="42" fillId="0" borderId="0" xfId="0" applyFont="1"/>
    <xf numFmtId="0" fontId="23" fillId="2" borderId="1" xfId="0" applyFont="1" applyFill="1" applyBorder="1" applyAlignment="1">
      <alignment horizontal="center"/>
    </xf>
    <xf numFmtId="0" fontId="23" fillId="2" borderId="2" xfId="0" applyFont="1" applyFill="1" applyBorder="1"/>
    <xf numFmtId="0" fontId="23" fillId="2" borderId="2" xfId="0" applyFont="1" applyFill="1" applyBorder="1" applyAlignment="1">
      <alignment horizontal="center"/>
    </xf>
    <xf numFmtId="0" fontId="23" fillId="2" borderId="2" xfId="0" applyFont="1" applyFill="1" applyBorder="1" applyAlignment="1">
      <alignment horizontal="right"/>
    </xf>
    <xf numFmtId="0" fontId="20" fillId="2" borderId="3" xfId="0" applyFont="1" applyFill="1" applyBorder="1"/>
    <xf numFmtId="0" fontId="20" fillId="0" borderId="0" xfId="0" applyFont="1" applyAlignment="1">
      <alignment horizontal="center"/>
    </xf>
    <xf numFmtId="0" fontId="43" fillId="0" borderId="0" xfId="1"/>
    <xf numFmtId="164" fontId="20" fillId="0" borderId="0" xfId="0" applyNumberFormat="1" applyFont="1"/>
    <xf numFmtId="16" fontId="20" fillId="0" borderId="0" xfId="0" applyNumberFormat="1" applyFont="1"/>
    <xf numFmtId="0" fontId="44" fillId="0" borderId="0" xfId="0" applyFont="1"/>
    <xf numFmtId="0" fontId="20" fillId="0" borderId="0" xfId="0" quotePrefix="1" applyFont="1"/>
    <xf numFmtId="0" fontId="42" fillId="0" borderId="0" xfId="0" applyFont="1" applyAlignment="1">
      <alignment horizontal="right"/>
    </xf>
    <xf numFmtId="0" fontId="20" fillId="2" borderId="2" xfId="0" applyFont="1" applyFill="1" applyBorder="1"/>
    <xf numFmtId="0" fontId="23" fillId="2" borderId="3" xfId="0" applyFont="1" applyFill="1" applyBorder="1"/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16" fontId="12" fillId="0" borderId="0" xfId="0" applyNumberFormat="1" applyFont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164" fontId="9" fillId="0" borderId="0" xfId="0" applyNumberFormat="1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calcChain" Target="calcChain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203.4</v>
          </cell>
        </row>
        <row r="4">
          <cell r="I4">
            <v>4956044.4000000004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516.99</v>
          </cell>
        </row>
        <row r="4">
          <cell r="H4">
            <v>3842464.9238584503</v>
          </cell>
        </row>
        <row r="5">
          <cell r="H5">
            <v>102012</v>
          </cell>
        </row>
        <row r="6">
          <cell r="H6">
            <v>43208</v>
          </cell>
        </row>
      </sheetData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272.89999999999998</v>
          </cell>
        </row>
        <row r="5">
          <cell r="H5">
            <v>4032466.7336999993</v>
          </cell>
        </row>
        <row r="6">
          <cell r="H6">
            <v>54697</v>
          </cell>
        </row>
        <row r="7">
          <cell r="H7">
            <v>90678</v>
          </cell>
        </row>
      </sheetData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280.61</v>
          </cell>
        </row>
        <row r="4">
          <cell r="I4">
            <v>3386120.87</v>
          </cell>
        </row>
        <row r="5">
          <cell r="I5">
            <v>98496</v>
          </cell>
        </row>
        <row r="6">
          <cell r="I6">
            <v>21607</v>
          </cell>
        </row>
      </sheetData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245.94</v>
          </cell>
        </row>
        <row r="5">
          <cell r="I5">
            <v>2629151.7257453399</v>
          </cell>
        </row>
        <row r="6">
          <cell r="I6">
            <v>94197</v>
          </cell>
        </row>
        <row r="7">
          <cell r="I7">
            <v>50742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653.79999999999995</v>
          </cell>
        </row>
        <row r="4">
          <cell r="I4">
            <v>1647920.9429185998</v>
          </cell>
        </row>
        <row r="5">
          <cell r="I5">
            <v>44448</v>
          </cell>
        </row>
        <row r="6">
          <cell r="I6">
            <v>28834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449.31</v>
          </cell>
        </row>
        <row r="4">
          <cell r="K4">
            <v>1494323.8099247701</v>
          </cell>
        </row>
        <row r="5">
          <cell r="K5">
            <v>41647</v>
          </cell>
        </row>
        <row r="6">
          <cell r="K6">
            <v>7702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1123</v>
          </cell>
        </row>
        <row r="5">
          <cell r="I5">
            <v>475851.41108200001</v>
          </cell>
        </row>
        <row r="6">
          <cell r="I6">
            <v>9324.3919999999998</v>
          </cell>
        </row>
        <row r="7">
          <cell r="I7">
            <v>14463.02</v>
          </cell>
        </row>
      </sheetData>
      <sheetData sheetId="1" refreshError="1"/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211.32</v>
          </cell>
        </row>
        <row r="4">
          <cell r="H4">
            <v>342939.32835948002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68.06</v>
          </cell>
        </row>
        <row r="4">
          <cell r="I4">
            <v>63680.471921180004</v>
          </cell>
        </row>
        <row r="5">
          <cell r="I5">
            <v>10755</v>
          </cell>
        </row>
        <row r="6">
          <cell r="I6">
            <v>11276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92.17</v>
          </cell>
        </row>
        <row r="4">
          <cell r="H4">
            <v>42121.69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8.59</v>
          </cell>
        </row>
        <row r="4">
          <cell r="I4">
            <v>14515.661741940001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18" sqref="J18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203.4</v>
      </c>
      <c r="F4" s="15">
        <f>+[1]Main!$I$4</f>
        <v>4956044.4000000004</v>
      </c>
      <c r="G4" s="15">
        <f>+[1]Main!$I$6-[1]Main!$I$5</f>
        <v>-48325</v>
      </c>
      <c r="H4" s="15">
        <f>F4+G4</f>
        <v>4907719.4000000004</v>
      </c>
      <c r="I4" s="6" t="s">
        <v>2584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516.99</v>
      </c>
      <c r="F5" s="15">
        <f>+[2]Main!$H$4</f>
        <v>3842464.9238584503</v>
      </c>
      <c r="G5" s="15">
        <f>+[2]Main!$H$6-[2]Main!$H$5</f>
        <v>-58804</v>
      </c>
      <c r="H5" s="15">
        <f>F5+G5</f>
        <v>3783660.9238584503</v>
      </c>
      <c r="I5" s="6" t="s">
        <v>2708</v>
      </c>
      <c r="J5" s="16">
        <v>46050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272.89999999999998</v>
      </c>
      <c r="F6" s="15">
        <f>+[3]Main!$H$5</f>
        <v>4032466.7336999993</v>
      </c>
      <c r="G6" s="15">
        <f>+[3]Main!$H$6-[3]Main!$H$7</f>
        <v>-35981</v>
      </c>
      <c r="H6" s="15">
        <f t="shared" ref="H6:H14" si="0">F6+G6</f>
        <v>3996485.7336999993</v>
      </c>
      <c r="I6" s="43" t="s">
        <v>3149</v>
      </c>
      <c r="J6" s="16">
        <v>46051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280.61</v>
      </c>
      <c r="F7" s="15">
        <f>+[4]Main!$I$4</f>
        <v>3386120.87</v>
      </c>
      <c r="G7" s="15">
        <f>+[4]Main!$I$6-[4]Main!$I$5</f>
        <v>-76889</v>
      </c>
      <c r="H7" s="15">
        <f t="shared" si="0"/>
        <v>3309231.87</v>
      </c>
      <c r="I7" s="43" t="s">
        <v>2709</v>
      </c>
      <c r="J7" s="16">
        <v>46057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245.94</v>
      </c>
      <c r="F8" s="15">
        <f>+[5]Main!$I$5</f>
        <v>2629151.7257453399</v>
      </c>
      <c r="G8" s="15">
        <f>+[5]Main!$I$7-[5]Main!$I$6</f>
        <v>-43455</v>
      </c>
      <c r="H8" s="15">
        <f t="shared" si="0"/>
        <v>2585696.7257453399</v>
      </c>
      <c r="I8" s="43" t="s">
        <v>2709</v>
      </c>
      <c r="J8" s="16">
        <v>46057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653.79999999999995</v>
      </c>
      <c r="F9" s="15">
        <f>+[6]Main!$I$4</f>
        <v>1647920.9429185998</v>
      </c>
      <c r="G9" s="15">
        <f>+[6]Main!$I$6-[6]Main!$I$5</f>
        <v>-15614</v>
      </c>
      <c r="H9" s="15">
        <f t="shared" si="0"/>
        <v>1632306.9429185998</v>
      </c>
      <c r="I9" s="43" t="s">
        <v>2709</v>
      </c>
      <c r="J9" s="16">
        <v>46050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449.31</v>
      </c>
      <c r="F10" s="15">
        <f>+[7]Main!$K$4</f>
        <v>1494323.8099247701</v>
      </c>
      <c r="G10" s="15">
        <f>+[7]Main!$K$6-[7]Main!$K$5</f>
        <v>-33945</v>
      </c>
      <c r="H10" s="15">
        <f t="shared" si="0"/>
        <v>1460378.8099247701</v>
      </c>
      <c r="I10" s="43" t="s">
        <v>2709</v>
      </c>
      <c r="J10" s="16">
        <v>46050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3146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2584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1123</v>
      </c>
      <c r="F17" s="15">
        <f>+[14]Main!$I$5</f>
        <v>475851.41108200001</v>
      </c>
      <c r="G17" s="15">
        <f>+[14]Main!$I$7-[14]Main!$I$6</f>
        <v>5138.6280000000006</v>
      </c>
      <c r="H17" s="15">
        <f t="shared" si="3"/>
        <v>480990.03908200003</v>
      </c>
      <c r="I17" s="43" t="s">
        <v>2709</v>
      </c>
      <c r="J17" s="16">
        <v>46043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2584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211.32</v>
      </c>
      <c r="F22" s="15">
        <f>+[19]Main!$H$4</f>
        <v>342939.32835948002</v>
      </c>
      <c r="G22" s="15">
        <f>+[19]Main!$H$6-[19]Main!$H$5</f>
        <v>-2824</v>
      </c>
      <c r="H22" s="15">
        <f t="shared" si="4"/>
        <v>340115.32835948002</v>
      </c>
      <c r="I22" s="29" t="s">
        <v>2584</v>
      </c>
      <c r="J22" s="31">
        <v>45958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7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42" t="s">
        <v>2584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3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7" t="s">
        <v>3147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6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6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41" t="s">
        <v>2584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41" t="s">
        <v>3149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41" t="s">
        <v>3147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30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2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6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3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208</v>
      </c>
      <c r="F48" s="15">
        <f>+[42]Main!$I$4</f>
        <v>116748.10035200001</v>
      </c>
      <c r="G48" s="15">
        <f>+[42]Main!$I$6-[42]Main!$I$5</f>
        <v>23604</v>
      </c>
      <c r="H48" s="15">
        <f t="shared" si="5"/>
        <v>140352.10035200001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6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68.06</v>
      </c>
      <c r="F58" s="15">
        <f>+[49]Main!$I$4</f>
        <v>63680.471921180004</v>
      </c>
      <c r="G58" s="15">
        <f>+[49]Main!$I$6-[49]Main!$I$5</f>
        <v>521</v>
      </c>
      <c r="H58" s="15">
        <f t="shared" si="6"/>
        <v>64201.471921180004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3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40" t="s">
        <v>3148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92.17</v>
      </c>
      <c r="F107" s="15">
        <f>+[67]Main!$H$4</f>
        <v>42121.69</v>
      </c>
      <c r="G107" s="15">
        <f>+[67]Main!$H$6-[67]Main!$H$5</f>
        <v>2998</v>
      </c>
      <c r="H107" s="15">
        <f>+F107+G107</f>
        <v>45119.69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8.59</v>
      </c>
      <c r="F155" s="15">
        <f>+[74]Main!$I$4</f>
        <v>14515.661741940001</v>
      </c>
      <c r="G155" s="15">
        <f>+[74]Main!$I$6-[74]Main!$I$5</f>
        <v>682.92700000000013</v>
      </c>
      <c r="H155" s="15">
        <f>+F155+G155</f>
        <v>15198.588741940001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9" t="s">
        <v>2584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1504</v>
      </c>
      <c r="C531" s="5" t="s">
        <v>1505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1506</v>
      </c>
      <c r="C532" s="5" t="s">
        <v>1507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1508</v>
      </c>
      <c r="C533" s="5" t="s">
        <v>1509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1510</v>
      </c>
      <c r="C534" s="5" t="s">
        <v>1511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1512</v>
      </c>
      <c r="C535" s="5" t="s">
        <v>1513</v>
      </c>
      <c r="D535" s="5" t="s">
        <v>508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1514</v>
      </c>
      <c r="C536" s="5" t="s">
        <v>1515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1516</v>
      </c>
      <c r="C537" s="5" t="s">
        <v>1517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1518</v>
      </c>
      <c r="C538" s="5" t="s">
        <v>1519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1520</v>
      </c>
      <c r="C539" s="5" t="s">
        <v>1521</v>
      </c>
      <c r="D539" s="5" t="s">
        <v>1127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1522</v>
      </c>
      <c r="C540" s="5" t="s">
        <v>1523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1524</v>
      </c>
      <c r="C541" s="5" t="s">
        <v>1525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1526</v>
      </c>
      <c r="C542" s="5" t="s">
        <v>1527</v>
      </c>
      <c r="D542" s="5" t="s">
        <v>508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1528</v>
      </c>
      <c r="C543" s="5" t="s">
        <v>1529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1530</v>
      </c>
      <c r="C544" s="5" t="s">
        <v>1531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1532</v>
      </c>
      <c r="C545" s="5" t="s">
        <v>1533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1534</v>
      </c>
      <c r="C546" s="5" t="s">
        <v>1535</v>
      </c>
      <c r="D546" s="5" t="s">
        <v>1130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1536</v>
      </c>
      <c r="C547" s="5" t="s">
        <v>1537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1538</v>
      </c>
      <c r="C548" s="5" t="s">
        <v>1539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1540</v>
      </c>
      <c r="C549" s="5" t="s">
        <v>1541</v>
      </c>
      <c r="D549" s="5" t="s">
        <v>508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993</v>
      </c>
      <c r="C550" s="5" t="s">
        <v>994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1542</v>
      </c>
      <c r="C551" s="5" t="s">
        <v>1543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1544</v>
      </c>
      <c r="C552" s="5" t="s">
        <v>1545</v>
      </c>
      <c r="D552" s="5" t="s">
        <v>1124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1546</v>
      </c>
      <c r="C553" s="5" t="s">
        <v>1547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1548</v>
      </c>
      <c r="C554" s="5" t="s">
        <v>1549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995</v>
      </c>
      <c r="C555" s="5" t="s">
        <v>996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1550</v>
      </c>
      <c r="C556" s="5" t="s">
        <v>1551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1552</v>
      </c>
      <c r="C557" s="5" t="s">
        <v>1553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1554</v>
      </c>
      <c r="C558" s="5" t="s">
        <v>1555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1556</v>
      </c>
      <c r="C559" s="5" t="s">
        <v>1557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1558</v>
      </c>
      <c r="C560" s="5" t="s">
        <v>1559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1560</v>
      </c>
      <c r="C561" s="5" t="s">
        <v>1561</v>
      </c>
      <c r="D561" s="5" t="s">
        <v>1124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1562</v>
      </c>
      <c r="C562" s="5" t="s">
        <v>1563</v>
      </c>
      <c r="D562" s="5" t="s">
        <v>1128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1564</v>
      </c>
      <c r="C563" s="5" t="s">
        <v>1565</v>
      </c>
      <c r="D563" s="5" t="s">
        <v>1130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1566</v>
      </c>
      <c r="C564" s="5" t="s">
        <v>1567</v>
      </c>
      <c r="D564" s="5" t="s">
        <v>1126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1568</v>
      </c>
      <c r="C565" s="5" t="s">
        <v>1569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1570</v>
      </c>
      <c r="C566" s="5" t="s">
        <v>1571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997</v>
      </c>
      <c r="C567" s="5" t="s">
        <v>997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1572</v>
      </c>
      <c r="C568" s="5" t="s">
        <v>1573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1574</v>
      </c>
      <c r="C569" s="5" t="s">
        <v>1575</v>
      </c>
      <c r="D569" s="5" t="s">
        <v>1127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1576</v>
      </c>
      <c r="C570" s="5" t="s">
        <v>1577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1578</v>
      </c>
      <c r="C571" s="5" t="s">
        <v>1579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1580</v>
      </c>
      <c r="C572" s="5" t="s">
        <v>914</v>
      </c>
      <c r="D572" s="5" t="s">
        <v>2572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1581</v>
      </c>
      <c r="C573" s="5" t="s">
        <v>1582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1583</v>
      </c>
      <c r="C574" s="5" t="s">
        <v>1584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1585</v>
      </c>
      <c r="C575" s="5" t="s">
        <v>1586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1587</v>
      </c>
      <c r="C576" s="5" t="s">
        <v>1588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1589</v>
      </c>
      <c r="C577" s="5" t="s">
        <v>1590</v>
      </c>
      <c r="D577" s="5" t="s">
        <v>770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1591</v>
      </c>
      <c r="C578" s="5" t="s">
        <v>1592</v>
      </c>
      <c r="D578" s="5" t="s">
        <v>768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1593</v>
      </c>
      <c r="C579" s="5" t="s">
        <v>1594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1595</v>
      </c>
      <c r="C580" s="5" t="s">
        <v>1596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1597</v>
      </c>
      <c r="C581" s="5" t="s">
        <v>1598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1599</v>
      </c>
      <c r="C582" s="5" t="s">
        <v>1600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998</v>
      </c>
      <c r="C583" s="5" t="s">
        <v>999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1601</v>
      </c>
      <c r="C584" s="5" t="s">
        <v>1602</v>
      </c>
      <c r="D584" s="5" t="s">
        <v>1131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1603</v>
      </c>
      <c r="C585" s="5" t="s">
        <v>1604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1605</v>
      </c>
      <c r="C586" s="5" t="s">
        <v>1606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1607</v>
      </c>
      <c r="C587" s="5" t="s">
        <v>1608</v>
      </c>
      <c r="D587" s="5" t="s">
        <v>770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1609</v>
      </c>
      <c r="C588" s="5" t="s">
        <v>1610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1611</v>
      </c>
      <c r="C589" s="5" t="s">
        <v>1612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847</v>
      </c>
      <c r="C590" s="5" t="s">
        <v>848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1613</v>
      </c>
      <c r="C591" s="5" t="s">
        <v>1614</v>
      </c>
      <c r="D591" s="5" t="s">
        <v>770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1615</v>
      </c>
      <c r="C592" s="5" t="s">
        <v>1616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1617</v>
      </c>
      <c r="C593" s="5" t="s">
        <v>1618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1619</v>
      </c>
      <c r="C594" s="5" t="s">
        <v>1620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1002</v>
      </c>
      <c r="C595" s="5" t="s">
        <v>1003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1621</v>
      </c>
      <c r="C596" s="5" t="s">
        <v>1622</v>
      </c>
      <c r="D596" s="5" t="s">
        <v>1126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1623</v>
      </c>
      <c r="C597" s="5" t="s">
        <v>1624</v>
      </c>
      <c r="D597" s="5" t="s">
        <v>956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1625</v>
      </c>
      <c r="C598" s="5" t="s">
        <v>1626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1627</v>
      </c>
      <c r="C599" s="5" t="s">
        <v>1628</v>
      </c>
      <c r="D599" s="5" t="s">
        <v>1126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1629</v>
      </c>
      <c r="C600" s="5" t="s">
        <v>1630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1004</v>
      </c>
      <c r="C601" s="5" t="s">
        <v>1005</v>
      </c>
      <c r="D601" s="5" t="s">
        <v>536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1631</v>
      </c>
      <c r="C602" s="5" t="s">
        <v>1632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1633</v>
      </c>
      <c r="C603" s="5" t="s">
        <v>1634</v>
      </c>
      <c r="D603" s="5" t="s">
        <v>768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1635</v>
      </c>
      <c r="C604" s="5" t="s">
        <v>1636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1637</v>
      </c>
      <c r="C605" s="5" t="s">
        <v>1638</v>
      </c>
      <c r="D605" s="5" t="s">
        <v>1639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1640</v>
      </c>
      <c r="C606" s="5" t="s">
        <v>1641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1642</v>
      </c>
      <c r="C607" s="5" t="s">
        <v>1643</v>
      </c>
      <c r="D607" s="5" t="s">
        <v>1124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1006</v>
      </c>
      <c r="C608" s="5" t="s">
        <v>1007</v>
      </c>
      <c r="D608" s="5" t="s">
        <v>508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1644</v>
      </c>
      <c r="C609" s="5" t="s">
        <v>1645</v>
      </c>
      <c r="D609" s="5" t="s">
        <v>1126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1646</v>
      </c>
      <c r="C610" s="5" t="s">
        <v>1647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1648</v>
      </c>
      <c r="C611" s="5" t="s">
        <v>1649</v>
      </c>
      <c r="D611" s="5" t="s">
        <v>508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1650</v>
      </c>
      <c r="C612" s="5" t="s">
        <v>1651</v>
      </c>
      <c r="D612" s="5" t="s">
        <v>2576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1652</v>
      </c>
      <c r="C613" s="5" t="s">
        <v>1653</v>
      </c>
      <c r="D613" s="5" t="s">
        <v>1126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1654</v>
      </c>
      <c r="C614" s="5" t="s">
        <v>1655</v>
      </c>
      <c r="D614" s="5" t="s">
        <v>1130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1656</v>
      </c>
      <c r="C615" s="5" t="s">
        <v>1657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1658</v>
      </c>
      <c r="C616" s="5" t="s">
        <v>1659</v>
      </c>
      <c r="D616" s="5" t="s">
        <v>1126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1660</v>
      </c>
      <c r="C617" s="5" t="s">
        <v>1661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1662</v>
      </c>
      <c r="C618" s="5" t="s">
        <v>1663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1664</v>
      </c>
      <c r="C619" s="5" t="s">
        <v>1665</v>
      </c>
      <c r="D619" s="5" t="s">
        <v>1124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1666</v>
      </c>
      <c r="C620" s="5" t="s">
        <v>1667</v>
      </c>
      <c r="D620" s="5" t="s">
        <v>508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1668</v>
      </c>
      <c r="C621" s="5" t="s">
        <v>1669</v>
      </c>
      <c r="D621" s="5" t="s">
        <v>2573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1670</v>
      </c>
      <c r="C622" s="5" t="s">
        <v>1671</v>
      </c>
      <c r="D622" s="5" t="s">
        <v>1126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1672</v>
      </c>
      <c r="C623" s="5" t="s">
        <v>1673</v>
      </c>
      <c r="D623" s="5" t="s">
        <v>1130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1674</v>
      </c>
      <c r="C624" s="5" t="s">
        <v>1675</v>
      </c>
      <c r="D624" s="5" t="s">
        <v>770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1676</v>
      </c>
      <c r="C625" s="5" t="s">
        <v>1677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1678</v>
      </c>
      <c r="C626" s="5" t="s">
        <v>1679</v>
      </c>
      <c r="D626" s="5" t="s">
        <v>536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1680</v>
      </c>
      <c r="C627" s="5" t="s">
        <v>1681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1682</v>
      </c>
      <c r="C628" s="5" t="s">
        <v>1683</v>
      </c>
      <c r="D628" s="5" t="s">
        <v>956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1684</v>
      </c>
      <c r="C629" s="5" t="s">
        <v>1685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1686</v>
      </c>
      <c r="C630" s="5" t="s">
        <v>1687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1688</v>
      </c>
      <c r="C631" s="5" t="s">
        <v>1689</v>
      </c>
      <c r="D631" s="5" t="s">
        <v>1131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1690</v>
      </c>
      <c r="C632" s="5" t="s">
        <v>1691</v>
      </c>
      <c r="D632" s="5" t="s">
        <v>1128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1692</v>
      </c>
      <c r="C633" s="5" t="s">
        <v>1693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1694</v>
      </c>
      <c r="C634" s="5" t="s">
        <v>1695</v>
      </c>
      <c r="D634" s="5" t="s">
        <v>1131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1696</v>
      </c>
      <c r="C635" s="5" t="s">
        <v>1697</v>
      </c>
      <c r="D635" s="5" t="s">
        <v>1130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907</v>
      </c>
      <c r="C636" s="5" t="s">
        <v>908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1698</v>
      </c>
      <c r="C637" s="5" t="s">
        <v>1699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1700</v>
      </c>
      <c r="C638" s="5" t="s">
        <v>1701</v>
      </c>
      <c r="D638" s="5" t="s">
        <v>1130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1702</v>
      </c>
      <c r="C639" s="5" t="s">
        <v>1703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1704</v>
      </c>
      <c r="C640" s="5" t="s">
        <v>1705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1010</v>
      </c>
      <c r="C641" s="5" t="s">
        <v>1011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1706</v>
      </c>
      <c r="C642" s="5" t="s">
        <v>1707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1708</v>
      </c>
      <c r="C643" s="5" t="s">
        <v>1709</v>
      </c>
      <c r="D643" s="5" t="s">
        <v>1126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1710</v>
      </c>
      <c r="C644" s="5" t="s">
        <v>1711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1712</v>
      </c>
      <c r="C645" s="5" t="s">
        <v>1713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1714</v>
      </c>
      <c r="C646" s="5" t="s">
        <v>1715</v>
      </c>
      <c r="D646" s="5" t="s">
        <v>1125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1716</v>
      </c>
      <c r="C647" s="5" t="s">
        <v>1717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1718</v>
      </c>
      <c r="C648" s="5" t="s">
        <v>1719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1720</v>
      </c>
      <c r="C649" s="5" t="s">
        <v>1721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1722</v>
      </c>
      <c r="C650" s="5" t="s">
        <v>1722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1723</v>
      </c>
      <c r="C651" s="5" t="s">
        <v>1724</v>
      </c>
      <c r="D651" s="5" t="s">
        <v>2577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1725</v>
      </c>
      <c r="C652" s="5" t="s">
        <v>1726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1727</v>
      </c>
      <c r="C653" s="5" t="s">
        <v>1728</v>
      </c>
      <c r="D653" s="5" t="s">
        <v>770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1729</v>
      </c>
      <c r="C654" s="5" t="s">
        <v>1730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1014</v>
      </c>
      <c r="C655" s="5" t="s">
        <v>1015</v>
      </c>
      <c r="D655" s="5" t="s">
        <v>770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1731</v>
      </c>
      <c r="C656" s="5" t="s">
        <v>1732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1733</v>
      </c>
      <c r="C657" s="5" t="s">
        <v>1734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1735</v>
      </c>
      <c r="C658" s="5" t="s">
        <v>1736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1737</v>
      </c>
      <c r="C659" s="5" t="s">
        <v>1738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1739</v>
      </c>
      <c r="C660" s="5" t="s">
        <v>1740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1741</v>
      </c>
      <c r="C661" s="5" t="s">
        <v>1742</v>
      </c>
      <c r="D661" s="5" t="s">
        <v>1127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1743</v>
      </c>
      <c r="C662" s="5" t="s">
        <v>1744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1745</v>
      </c>
      <c r="C663" s="5" t="s">
        <v>1746</v>
      </c>
      <c r="D663" s="5" t="s">
        <v>1125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1747</v>
      </c>
      <c r="C664" s="5" t="s">
        <v>1748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1749</v>
      </c>
      <c r="C665" s="5" t="s">
        <v>1750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1751</v>
      </c>
      <c r="C666" s="5" t="s">
        <v>1752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1753</v>
      </c>
      <c r="C667" s="5" t="s">
        <v>1754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1755</v>
      </c>
      <c r="C668" s="5" t="s">
        <v>1756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1757</v>
      </c>
      <c r="C669" s="5" t="s">
        <v>1758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1759</v>
      </c>
      <c r="C670" s="5" t="s">
        <v>1760</v>
      </c>
      <c r="D670" s="5" t="s">
        <v>536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1761</v>
      </c>
      <c r="C671" s="5" t="s">
        <v>1762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1763</v>
      </c>
      <c r="C672" s="5" t="s">
        <v>1764</v>
      </c>
      <c r="D672" s="5" t="s">
        <v>1124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1765</v>
      </c>
      <c r="C673" s="5" t="s">
        <v>1766</v>
      </c>
      <c r="D673" s="5" t="s">
        <v>1130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1767</v>
      </c>
      <c r="C674" s="5" t="s">
        <v>1768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1020</v>
      </c>
      <c r="C675" s="5" t="s">
        <v>1021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1769</v>
      </c>
      <c r="C676" s="5" t="s">
        <v>1770</v>
      </c>
      <c r="D676" s="5" t="s">
        <v>2576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1771</v>
      </c>
      <c r="C677" s="5" t="s">
        <v>1772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1773</v>
      </c>
      <c r="C678" s="5" t="s">
        <v>1774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1775</v>
      </c>
      <c r="C679" s="5" t="s">
        <v>887</v>
      </c>
      <c r="D679" s="5" t="s">
        <v>768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1776</v>
      </c>
      <c r="C680" s="5" t="s">
        <v>1777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1778</v>
      </c>
      <c r="C681" s="5" t="s">
        <v>1779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1780</v>
      </c>
      <c r="C682" s="5" t="s">
        <v>1781</v>
      </c>
      <c r="D682" s="5" t="s">
        <v>768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1782</v>
      </c>
      <c r="C683" s="5" t="s">
        <v>1783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1784</v>
      </c>
      <c r="C684" s="5" t="s">
        <v>1785</v>
      </c>
      <c r="D684" s="5" t="s">
        <v>508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1786</v>
      </c>
      <c r="C685" s="5" t="s">
        <v>1787</v>
      </c>
      <c r="D685" s="5" t="s">
        <v>1124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1788</v>
      </c>
      <c r="C686" s="5" t="s">
        <v>1789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1028</v>
      </c>
      <c r="C687" s="5" t="s">
        <v>1029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1790</v>
      </c>
      <c r="C688" s="5" t="s">
        <v>1791</v>
      </c>
      <c r="D688" s="5" t="s">
        <v>2570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1792</v>
      </c>
      <c r="C689" s="5" t="s">
        <v>1793</v>
      </c>
      <c r="D689" s="5" t="s">
        <v>956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1794</v>
      </c>
      <c r="C690" s="5" t="s">
        <v>1795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1796</v>
      </c>
      <c r="C691" s="5" t="s">
        <v>1797</v>
      </c>
      <c r="D691" s="5" t="s">
        <v>1124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1030</v>
      </c>
      <c r="C692" s="5" t="s">
        <v>1031</v>
      </c>
      <c r="D692" s="5" t="s">
        <v>770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1798</v>
      </c>
      <c r="C693" s="5" t="s">
        <v>1799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1800</v>
      </c>
      <c r="C694" s="5" t="s">
        <v>1801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1802</v>
      </c>
      <c r="C695" s="5" t="s">
        <v>1803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1804</v>
      </c>
      <c r="C696" s="5" t="s">
        <v>1805</v>
      </c>
      <c r="D696" s="5" t="s">
        <v>1124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1806</v>
      </c>
      <c r="C697" s="5" t="s">
        <v>1807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1808</v>
      </c>
      <c r="C698" s="5" t="s">
        <v>1809</v>
      </c>
      <c r="D698" s="5" t="s">
        <v>1131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1032</v>
      </c>
      <c r="C699" s="5" t="s">
        <v>1033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1810</v>
      </c>
      <c r="C700" s="5" t="s">
        <v>1811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1812</v>
      </c>
      <c r="C701" s="5" t="s">
        <v>1813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1814</v>
      </c>
      <c r="C702" s="5" t="s">
        <v>1815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1816</v>
      </c>
      <c r="C703" s="5" t="s">
        <v>1817</v>
      </c>
      <c r="D703" s="5" t="s">
        <v>1131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1818</v>
      </c>
      <c r="C704" s="5" t="s">
        <v>1819</v>
      </c>
      <c r="D704" s="5" t="s">
        <v>770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1820</v>
      </c>
      <c r="C705" s="5" t="s">
        <v>1821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1822</v>
      </c>
      <c r="C706" s="5" t="s">
        <v>1823</v>
      </c>
      <c r="D706" s="5" t="s">
        <v>1124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1824</v>
      </c>
      <c r="C707" s="5" t="s">
        <v>1825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1826</v>
      </c>
      <c r="C708" s="5" t="s">
        <v>1827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1828</v>
      </c>
      <c r="C709" s="5" t="s">
        <v>1829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1830</v>
      </c>
      <c r="C710" s="5" t="s">
        <v>1831</v>
      </c>
      <c r="D710" s="5" t="s">
        <v>2580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1832</v>
      </c>
      <c r="C711" s="5" t="s">
        <v>1833</v>
      </c>
      <c r="D711" s="5" t="s">
        <v>1130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1834</v>
      </c>
      <c r="C712" s="5" t="s">
        <v>1835</v>
      </c>
      <c r="D712" s="5" t="s">
        <v>1126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1836</v>
      </c>
      <c r="C713" s="5" t="s">
        <v>1837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1838</v>
      </c>
      <c r="C714" s="5" t="s">
        <v>1839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1840</v>
      </c>
      <c r="C715" s="5" t="s">
        <v>1841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1842</v>
      </c>
      <c r="C716" s="5" t="s">
        <v>1843</v>
      </c>
      <c r="D716" s="5" t="s">
        <v>536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1844</v>
      </c>
      <c r="C717" s="5" t="s">
        <v>1845</v>
      </c>
      <c r="D717" s="5" t="s">
        <v>768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1846</v>
      </c>
      <c r="C718" s="5" t="s">
        <v>1847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1848</v>
      </c>
      <c r="C719" s="5" t="s">
        <v>1849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1850</v>
      </c>
      <c r="C720" s="5" t="s">
        <v>1851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1852</v>
      </c>
      <c r="C721" s="5" t="s">
        <v>1853</v>
      </c>
      <c r="D721" s="5" t="s">
        <v>1131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1854</v>
      </c>
      <c r="C722" s="5" t="s">
        <v>1855</v>
      </c>
      <c r="D722" s="5" t="s">
        <v>508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1856</v>
      </c>
      <c r="C723" s="5" t="s">
        <v>1857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1858</v>
      </c>
      <c r="C724" s="5" t="s">
        <v>1859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1860</v>
      </c>
      <c r="C725" s="5" t="s">
        <v>1861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1862</v>
      </c>
      <c r="C726" s="5" t="s">
        <v>1863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1864</v>
      </c>
      <c r="C727" s="5" t="s">
        <v>1865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1866</v>
      </c>
      <c r="C728" s="5" t="s">
        <v>1867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1868</v>
      </c>
      <c r="C729" s="5" t="s">
        <v>1869</v>
      </c>
      <c r="D729" s="5" t="s">
        <v>1130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1870</v>
      </c>
      <c r="C730" s="5" t="s">
        <v>1871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1872</v>
      </c>
      <c r="C731" s="5" t="s">
        <v>1873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1036</v>
      </c>
      <c r="C732" s="5" t="s">
        <v>1037</v>
      </c>
      <c r="D732" s="5" t="s">
        <v>536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1874</v>
      </c>
      <c r="C733" s="5" t="s">
        <v>1875</v>
      </c>
      <c r="D733" s="5" t="s">
        <v>956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1876</v>
      </c>
      <c r="C734" s="5" t="s">
        <v>1877</v>
      </c>
      <c r="D734" s="5" t="s">
        <v>1127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1878</v>
      </c>
      <c r="C735" s="5" t="s">
        <v>1879</v>
      </c>
      <c r="D735" s="5" t="s">
        <v>956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1880</v>
      </c>
      <c r="C736" s="5" t="s">
        <v>1881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1882</v>
      </c>
      <c r="C737" s="5" t="s">
        <v>1883</v>
      </c>
      <c r="D737" s="5" t="s">
        <v>768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1884</v>
      </c>
      <c r="C738" s="5" t="s">
        <v>1885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1886</v>
      </c>
      <c r="C739" s="5" t="s">
        <v>1887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1888</v>
      </c>
      <c r="C740" s="5" t="s">
        <v>1889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1890</v>
      </c>
      <c r="C741" s="5" t="s">
        <v>1891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1892</v>
      </c>
      <c r="C742" s="5" t="s">
        <v>1893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1894</v>
      </c>
      <c r="C743" s="5" t="s">
        <v>1895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1896</v>
      </c>
      <c r="C744" s="5" t="s">
        <v>1897</v>
      </c>
      <c r="D744" s="5" t="s">
        <v>768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1898</v>
      </c>
      <c r="C745" s="5" t="s">
        <v>1899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1900</v>
      </c>
      <c r="C746" s="5" t="s">
        <v>1901</v>
      </c>
      <c r="D746" s="5" t="s">
        <v>1128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1902</v>
      </c>
      <c r="C747" s="5" t="s">
        <v>1903</v>
      </c>
      <c r="D747" s="5" t="s">
        <v>1130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1904</v>
      </c>
      <c r="C748" s="5" t="s">
        <v>1905</v>
      </c>
      <c r="D748" s="5" t="s">
        <v>1124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1906</v>
      </c>
      <c r="C749" s="5" t="s">
        <v>1907</v>
      </c>
      <c r="D749" s="5" t="s">
        <v>2573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1908</v>
      </c>
      <c r="C750" s="5" t="s">
        <v>1909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1910</v>
      </c>
      <c r="C751" s="5" t="s">
        <v>1911</v>
      </c>
      <c r="D751" s="5" t="s">
        <v>2570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1912</v>
      </c>
      <c r="C752" s="5" t="s">
        <v>1913</v>
      </c>
      <c r="D752" s="5" t="s">
        <v>768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1914</v>
      </c>
      <c r="C753" s="5" t="s">
        <v>1915</v>
      </c>
      <c r="D753" s="5" t="s">
        <v>1130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1916</v>
      </c>
      <c r="C754" s="5" t="s">
        <v>1917</v>
      </c>
      <c r="D754" s="5" t="s">
        <v>956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1918</v>
      </c>
      <c r="C755" s="5" t="s">
        <v>1919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1920</v>
      </c>
      <c r="C756" s="5" t="s">
        <v>1921</v>
      </c>
      <c r="D756" s="5" t="s">
        <v>1128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1922</v>
      </c>
      <c r="C757" s="5" t="s">
        <v>1923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1924</v>
      </c>
      <c r="C758" s="5" t="s">
        <v>1925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1926</v>
      </c>
      <c r="C759" s="5" t="s">
        <v>1927</v>
      </c>
      <c r="D759" s="5" t="s">
        <v>1130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1928</v>
      </c>
      <c r="C760" s="5" t="s">
        <v>1929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1930</v>
      </c>
      <c r="C761" s="5" t="s">
        <v>1931</v>
      </c>
      <c r="D761" s="5" t="s">
        <v>1130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1932</v>
      </c>
      <c r="C762" s="5" t="s">
        <v>1933</v>
      </c>
      <c r="D762" s="5" t="s">
        <v>1126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1934</v>
      </c>
      <c r="C763" s="5" t="s">
        <v>1935</v>
      </c>
      <c r="D763" s="5" t="s">
        <v>2577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1936</v>
      </c>
      <c r="C764" s="5" t="s">
        <v>1937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1938</v>
      </c>
      <c r="C765" s="5" t="s">
        <v>1939</v>
      </c>
      <c r="D765" s="5" t="s">
        <v>508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1940</v>
      </c>
      <c r="C766" s="5" t="s">
        <v>1941</v>
      </c>
      <c r="D766" s="5" t="s">
        <v>1131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1942</v>
      </c>
      <c r="C767" s="5" t="s">
        <v>1943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1944</v>
      </c>
      <c r="C768" s="5" t="s">
        <v>1945</v>
      </c>
      <c r="D768" s="5" t="s">
        <v>2576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1946</v>
      </c>
      <c r="C769" s="5" t="s">
        <v>1947</v>
      </c>
      <c r="D769" s="5" t="s">
        <v>770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1948</v>
      </c>
      <c r="C770" s="5" t="s">
        <v>1949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1950</v>
      </c>
      <c r="C771" s="5" t="s">
        <v>1951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1952</v>
      </c>
      <c r="C772" s="5" t="s">
        <v>1953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1954</v>
      </c>
      <c r="C773" s="5" t="s">
        <v>1955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1956</v>
      </c>
      <c r="C774" s="5" t="s">
        <v>107</v>
      </c>
      <c r="D774" s="5" t="s">
        <v>768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1957</v>
      </c>
      <c r="C775" s="5" t="s">
        <v>1958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1042</v>
      </c>
      <c r="C776" s="5" t="s">
        <v>1043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1044</v>
      </c>
      <c r="C777" s="5" t="s">
        <v>1045</v>
      </c>
      <c r="D777" s="5" t="s">
        <v>508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1959</v>
      </c>
      <c r="C778" s="5" t="s">
        <v>1960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1961</v>
      </c>
      <c r="C779" s="5" t="s">
        <v>1962</v>
      </c>
      <c r="D779" s="5" t="s">
        <v>1126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1963</v>
      </c>
      <c r="C780" s="5" t="s">
        <v>1964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1965</v>
      </c>
      <c r="C781" s="5" t="s">
        <v>1966</v>
      </c>
      <c r="D781" s="5" t="s">
        <v>768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1967</v>
      </c>
      <c r="C782" s="5" t="s">
        <v>1968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1969</v>
      </c>
      <c r="C783" s="5" t="s">
        <v>1970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1971</v>
      </c>
      <c r="C784" s="5" t="s">
        <v>1972</v>
      </c>
      <c r="D784" s="5" t="s">
        <v>1124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1973</v>
      </c>
      <c r="C785" s="5" t="s">
        <v>1974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1975</v>
      </c>
      <c r="C786" s="5" t="s">
        <v>1976</v>
      </c>
      <c r="D786" s="5" t="s">
        <v>770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1977</v>
      </c>
      <c r="C787" s="5" t="s">
        <v>1978</v>
      </c>
      <c r="D787" s="5" t="s">
        <v>1126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1979</v>
      </c>
      <c r="C788" s="5" t="s">
        <v>1980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1981</v>
      </c>
      <c r="C789" s="5" t="s">
        <v>1982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1983</v>
      </c>
      <c r="C790" s="5" t="s">
        <v>1984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1985</v>
      </c>
      <c r="C791" s="5" t="s">
        <v>1986</v>
      </c>
      <c r="D791" s="5" t="s">
        <v>1126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1987</v>
      </c>
      <c r="C792" s="5" t="s">
        <v>1988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1989</v>
      </c>
      <c r="C793" s="5" t="s">
        <v>1990</v>
      </c>
      <c r="D793" s="5" t="s">
        <v>1130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1991</v>
      </c>
      <c r="C794" s="5" t="s">
        <v>1992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1993</v>
      </c>
      <c r="C795" s="5" t="s">
        <v>1994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1995</v>
      </c>
      <c r="C796" s="5" t="s">
        <v>1996</v>
      </c>
      <c r="D796" s="5" t="s">
        <v>508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1997</v>
      </c>
      <c r="C797" s="5" t="s">
        <v>1998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1999</v>
      </c>
      <c r="C798" s="5" t="s">
        <v>2000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2001</v>
      </c>
      <c r="C799" s="5" t="s">
        <v>2002</v>
      </c>
      <c r="D799" s="5" t="s">
        <v>2570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2003</v>
      </c>
      <c r="C800" s="5" t="s">
        <v>2004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2005</v>
      </c>
      <c r="C801" s="5" t="s">
        <v>2006</v>
      </c>
      <c r="D801" s="5" t="s">
        <v>1130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2007</v>
      </c>
      <c r="C802" s="5" t="s">
        <v>2008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2009</v>
      </c>
      <c r="C803" s="5" t="s">
        <v>2010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2011</v>
      </c>
      <c r="C804" s="5" t="s">
        <v>2012</v>
      </c>
      <c r="D804" s="5" t="s">
        <v>768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2013</v>
      </c>
      <c r="C805" s="5" t="s">
        <v>2014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2015</v>
      </c>
      <c r="C806" s="5" t="s">
        <v>2016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2017</v>
      </c>
      <c r="C807" s="5" t="s">
        <v>2018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2019</v>
      </c>
      <c r="C808" s="5" t="s">
        <v>2020</v>
      </c>
      <c r="D808" s="5" t="s">
        <v>1128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2021</v>
      </c>
      <c r="C809" s="5" t="s">
        <v>2022</v>
      </c>
      <c r="D809" s="5" t="s">
        <v>1131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2023</v>
      </c>
      <c r="C810" s="5" t="s">
        <v>2024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2025</v>
      </c>
      <c r="C811" s="5" t="s">
        <v>2026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2027</v>
      </c>
      <c r="C812" s="5" t="s">
        <v>2028</v>
      </c>
      <c r="D812" s="5" t="s">
        <v>1126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2029</v>
      </c>
      <c r="C813" s="5" t="s">
        <v>2030</v>
      </c>
      <c r="D813" s="5" t="s">
        <v>1131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2031</v>
      </c>
      <c r="C814" s="5" t="s">
        <v>2032</v>
      </c>
      <c r="D814" s="5" t="s">
        <v>2579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2033</v>
      </c>
      <c r="C815" s="5" t="s">
        <v>2034</v>
      </c>
      <c r="D815" s="5" t="s">
        <v>1130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2035</v>
      </c>
      <c r="C816" s="5" t="s">
        <v>2036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2037</v>
      </c>
      <c r="C817" s="5" t="s">
        <v>2038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2039</v>
      </c>
      <c r="C818" s="5" t="s">
        <v>2040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2041</v>
      </c>
      <c r="C819" s="5" t="s">
        <v>2042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2043</v>
      </c>
      <c r="C820" s="5" t="s">
        <v>2044</v>
      </c>
      <c r="D820" s="5" t="s">
        <v>770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2045</v>
      </c>
      <c r="C821" s="5" t="s">
        <v>2046</v>
      </c>
      <c r="D821" s="5" t="s">
        <v>1126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2047</v>
      </c>
      <c r="C822" s="5" t="s">
        <v>2048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2049</v>
      </c>
      <c r="C823" s="5" t="s">
        <v>2050</v>
      </c>
      <c r="D823" s="5" t="s">
        <v>2571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2051</v>
      </c>
      <c r="C824" s="5" t="s">
        <v>2052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2053</v>
      </c>
      <c r="C825" s="5" t="s">
        <v>2054</v>
      </c>
      <c r="D825" s="5" t="s">
        <v>508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2055</v>
      </c>
      <c r="C826" s="5" t="s">
        <v>2056</v>
      </c>
      <c r="D826" s="5" t="s">
        <v>1127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2057</v>
      </c>
      <c r="C827" s="5" t="s">
        <v>2058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2059</v>
      </c>
      <c r="C828" s="5" t="s">
        <v>2060</v>
      </c>
      <c r="D828" s="5" t="s">
        <v>1124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2061</v>
      </c>
      <c r="C829" s="5" t="s">
        <v>2062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2063</v>
      </c>
      <c r="C830" s="5" t="s">
        <v>2064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2065</v>
      </c>
      <c r="C831" s="5" t="s">
        <v>2066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2067</v>
      </c>
      <c r="C832" s="5" t="s">
        <v>2068</v>
      </c>
      <c r="D832" s="5" t="s">
        <v>1130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2069</v>
      </c>
      <c r="C833" s="5" t="s">
        <v>2070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2071</v>
      </c>
      <c r="C834" s="5" t="s">
        <v>2072</v>
      </c>
      <c r="D834" s="5" t="s">
        <v>2578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2073</v>
      </c>
      <c r="C835" s="5" t="s">
        <v>2074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2075</v>
      </c>
      <c r="C836" s="5" t="s">
        <v>2076</v>
      </c>
      <c r="D836" s="5" t="s">
        <v>1130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2077</v>
      </c>
      <c r="C837" s="5" t="s">
        <v>2078</v>
      </c>
      <c r="D837" s="5" t="s">
        <v>2570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2079</v>
      </c>
      <c r="C838" s="5" t="s">
        <v>2080</v>
      </c>
      <c r="D838" s="5" t="s">
        <v>2577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2081</v>
      </c>
      <c r="C839" s="5" t="s">
        <v>2082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2083</v>
      </c>
      <c r="C840" s="5" t="s">
        <v>2084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2085</v>
      </c>
      <c r="C841" s="5" t="s">
        <v>2086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2087</v>
      </c>
      <c r="C842" s="5" t="s">
        <v>2088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2089</v>
      </c>
      <c r="C843" s="5" t="s">
        <v>2090</v>
      </c>
      <c r="D843" s="5" t="s">
        <v>1131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2091</v>
      </c>
      <c r="C844" s="5" t="s">
        <v>2092</v>
      </c>
      <c r="D844" s="5" t="s">
        <v>536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2093</v>
      </c>
      <c r="C845" s="5" t="s">
        <v>2094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2095</v>
      </c>
      <c r="C846" s="5" t="s">
        <v>2096</v>
      </c>
      <c r="D846" s="5" t="s">
        <v>1124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2097</v>
      </c>
      <c r="C847" s="5" t="s">
        <v>2098</v>
      </c>
      <c r="D847" s="5" t="s">
        <v>1127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2099</v>
      </c>
      <c r="C848" s="5" t="s">
        <v>2100</v>
      </c>
      <c r="D848" s="5" t="s">
        <v>1124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1056</v>
      </c>
      <c r="C849" s="5" t="s">
        <v>1057</v>
      </c>
      <c r="D849" s="5" t="s">
        <v>768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2101</v>
      </c>
      <c r="C850" s="5" t="s">
        <v>2102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2103</v>
      </c>
      <c r="C851" s="5" t="s">
        <v>2104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2105</v>
      </c>
      <c r="C852" s="5" t="s">
        <v>2106</v>
      </c>
      <c r="D852" s="5" t="s">
        <v>508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2107</v>
      </c>
      <c r="C853" s="5" t="s">
        <v>2108</v>
      </c>
      <c r="D853" s="5" t="s">
        <v>1130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2109</v>
      </c>
      <c r="C854" s="5" t="s">
        <v>2110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2111</v>
      </c>
      <c r="C855" s="5" t="s">
        <v>2112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2113</v>
      </c>
      <c r="C856" s="5" t="s">
        <v>2114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2115</v>
      </c>
      <c r="C857" s="5" t="s">
        <v>2116</v>
      </c>
      <c r="D857" s="5" t="s">
        <v>536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2117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2118</v>
      </c>
      <c r="C859" s="5" t="s">
        <v>2119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2120</v>
      </c>
      <c r="C860" s="5" t="s">
        <v>2121</v>
      </c>
      <c r="D860" s="5" t="s">
        <v>508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2122</v>
      </c>
      <c r="C861" s="5" t="s">
        <v>2123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2124</v>
      </c>
      <c r="C862" s="5" t="s">
        <v>2125</v>
      </c>
      <c r="D862" s="5" t="s">
        <v>1124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2126</v>
      </c>
      <c r="C863" s="5" t="s">
        <v>2127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2128</v>
      </c>
      <c r="C864" s="5" t="s">
        <v>2129</v>
      </c>
      <c r="D864" s="5" t="s">
        <v>508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2130</v>
      </c>
      <c r="C865" s="5" t="s">
        <v>2131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2132</v>
      </c>
      <c r="C866" s="5" t="s">
        <v>2133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2134</v>
      </c>
      <c r="C867" s="5" t="s">
        <v>2135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2136</v>
      </c>
      <c r="C868" s="5" t="s">
        <v>2137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2138</v>
      </c>
      <c r="C869" s="5" t="s">
        <v>2139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2140</v>
      </c>
      <c r="C870" s="5" t="s">
        <v>2141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2142</v>
      </c>
      <c r="C871" s="5" t="s">
        <v>2143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2144</v>
      </c>
      <c r="C872" s="5" t="s">
        <v>2145</v>
      </c>
      <c r="D872" s="5" t="s">
        <v>1126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2146</v>
      </c>
      <c r="C873" s="5" t="s">
        <v>2147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2148</v>
      </c>
      <c r="C874" s="5" t="s">
        <v>2149</v>
      </c>
      <c r="D874" s="5" t="s">
        <v>508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2150</v>
      </c>
      <c r="C875" s="5" t="s">
        <v>2151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2152</v>
      </c>
      <c r="C876" s="5" t="s">
        <v>2153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2154</v>
      </c>
      <c r="C877" s="5" t="s">
        <v>2155</v>
      </c>
      <c r="D877" s="5" t="s">
        <v>2570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2156</v>
      </c>
      <c r="C878" s="5" t="s">
        <v>2157</v>
      </c>
      <c r="D878" s="5" t="s">
        <v>2575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2158</v>
      </c>
      <c r="C879" s="5" t="s">
        <v>2159</v>
      </c>
      <c r="D879" s="5" t="s">
        <v>1130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2160</v>
      </c>
      <c r="C880" s="5" t="s">
        <v>2161</v>
      </c>
      <c r="D880" s="5" t="s">
        <v>1126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2162</v>
      </c>
      <c r="C881" s="5" t="s">
        <v>2163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2164</v>
      </c>
      <c r="C882" s="5" t="s">
        <v>2165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2166</v>
      </c>
      <c r="C883" s="5" t="s">
        <v>2167</v>
      </c>
      <c r="D883" s="5" t="s">
        <v>1126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2168</v>
      </c>
      <c r="C884" s="5" t="s">
        <v>2169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2170</v>
      </c>
      <c r="C885" s="5" t="s">
        <v>2171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2172</v>
      </c>
      <c r="C886" s="5" t="s">
        <v>2173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2174</v>
      </c>
      <c r="C887" s="5" t="s">
        <v>2175</v>
      </c>
      <c r="D887" s="5" t="s">
        <v>2570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1062</v>
      </c>
      <c r="C888" s="5" t="s">
        <v>1063</v>
      </c>
      <c r="D888" s="5" t="s">
        <v>2573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2176</v>
      </c>
      <c r="C889" s="5" t="s">
        <v>2177</v>
      </c>
      <c r="D889" s="5" t="s">
        <v>768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2178</v>
      </c>
      <c r="C890" s="5" t="s">
        <v>2179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2180</v>
      </c>
      <c r="C891" s="5" t="s">
        <v>2181</v>
      </c>
      <c r="D891" s="5" t="s">
        <v>1131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2182</v>
      </c>
      <c r="C892" s="5" t="s">
        <v>2183</v>
      </c>
      <c r="D892" s="5" t="s">
        <v>601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2184</v>
      </c>
      <c r="C893" s="5" t="s">
        <v>2185</v>
      </c>
      <c r="D893" s="5" t="s">
        <v>768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2186</v>
      </c>
      <c r="C894" s="5" t="s">
        <v>2187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2188</v>
      </c>
      <c r="C895" s="5" t="s">
        <v>2189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2190</v>
      </c>
      <c r="C896" s="5" t="s">
        <v>2191</v>
      </c>
      <c r="D896" s="5" t="s">
        <v>768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2192</v>
      </c>
      <c r="C897" s="5" t="s">
        <v>2193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2194</v>
      </c>
      <c r="C898" s="5" t="s">
        <v>2195</v>
      </c>
      <c r="D898" s="5" t="s">
        <v>1126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2196</v>
      </c>
      <c r="C899" s="5" t="s">
        <v>2197</v>
      </c>
      <c r="D899" s="5" t="s">
        <v>1131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2198</v>
      </c>
      <c r="C900" s="5" t="s">
        <v>2199</v>
      </c>
      <c r="D900" s="5" t="s">
        <v>768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2200</v>
      </c>
      <c r="C901" s="5" t="s">
        <v>2201</v>
      </c>
      <c r="D901" s="5" t="s">
        <v>2576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2202</v>
      </c>
      <c r="C902" s="5" t="s">
        <v>2203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2204</v>
      </c>
      <c r="C903" s="5" t="s">
        <v>2205</v>
      </c>
      <c r="D903" s="5" t="s">
        <v>536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2206</v>
      </c>
      <c r="C904" s="5" t="s">
        <v>2207</v>
      </c>
      <c r="D904" s="5" t="s">
        <v>768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2208</v>
      </c>
      <c r="C905" s="5" t="s">
        <v>2209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2210</v>
      </c>
      <c r="C906" s="5" t="s">
        <v>2211</v>
      </c>
      <c r="D906" s="5" t="s">
        <v>1126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2212</v>
      </c>
      <c r="C907" s="5" t="s">
        <v>2213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2214</v>
      </c>
      <c r="C908" s="5" t="s">
        <v>2215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2216</v>
      </c>
      <c r="C909" s="5" t="s">
        <v>2217</v>
      </c>
      <c r="D909" s="5" t="s">
        <v>1131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2218</v>
      </c>
      <c r="C910" s="5" t="s">
        <v>2219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2220</v>
      </c>
      <c r="C911" s="5" t="s">
        <v>2221</v>
      </c>
      <c r="D911" s="5" t="s">
        <v>508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2222</v>
      </c>
      <c r="C912" s="5" t="s">
        <v>2223</v>
      </c>
      <c r="D912" s="5" t="s">
        <v>1131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2224</v>
      </c>
      <c r="C913" s="5" t="s">
        <v>2225</v>
      </c>
      <c r="D913" s="5" t="s">
        <v>536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2226</v>
      </c>
      <c r="C914" s="5" t="s">
        <v>2227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2228</v>
      </c>
      <c r="C915" s="5" t="s">
        <v>2229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2230</v>
      </c>
      <c r="C916" s="5" t="s">
        <v>2231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2232</v>
      </c>
      <c r="C917" s="5" t="s">
        <v>2233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2234</v>
      </c>
      <c r="C918" s="5" t="s">
        <v>2235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2236</v>
      </c>
      <c r="C919" s="5" t="s">
        <v>2237</v>
      </c>
      <c r="D919" s="5" t="s">
        <v>2575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2238</v>
      </c>
      <c r="C920" s="5" t="s">
        <v>2239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2240</v>
      </c>
      <c r="C921" s="5" t="s">
        <v>2241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2242</v>
      </c>
      <c r="C922" s="5" t="s">
        <v>2243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2244</v>
      </c>
      <c r="C923" s="5" t="s">
        <v>2245</v>
      </c>
      <c r="D923" s="5" t="s">
        <v>1130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2246</v>
      </c>
      <c r="C924" s="5" t="s">
        <v>2247</v>
      </c>
      <c r="D924" s="5" t="s">
        <v>1126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2248</v>
      </c>
      <c r="C925" s="5" t="s">
        <v>2249</v>
      </c>
      <c r="D925" s="5" t="s">
        <v>508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2250</v>
      </c>
      <c r="C926" s="5" t="s">
        <v>2251</v>
      </c>
      <c r="D926" s="5" t="s">
        <v>1130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2252</v>
      </c>
      <c r="C927" s="5" t="s">
        <v>2253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2254</v>
      </c>
      <c r="C928" s="5" t="s">
        <v>2255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2256</v>
      </c>
      <c r="C929" s="5" t="s">
        <v>2257</v>
      </c>
      <c r="D929" s="5" t="s">
        <v>2573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2258</v>
      </c>
      <c r="C930" s="5" t="s">
        <v>2259</v>
      </c>
      <c r="D930" s="5" t="s">
        <v>508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2260</v>
      </c>
      <c r="C931" s="5" t="s">
        <v>2261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2262</v>
      </c>
      <c r="C932" s="5" t="s">
        <v>2263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2264</v>
      </c>
      <c r="C933" s="5" t="s">
        <v>2265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2266</v>
      </c>
      <c r="C934" s="5" t="s">
        <v>2267</v>
      </c>
      <c r="D934" s="5" t="s">
        <v>2575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2268</v>
      </c>
      <c r="C935" s="5" t="s">
        <v>2269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2270</v>
      </c>
      <c r="C936" s="5" t="s">
        <v>2271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1074</v>
      </c>
      <c r="C937" s="5" t="s">
        <v>1075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2272</v>
      </c>
      <c r="C938" s="5" t="s">
        <v>2273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2274</v>
      </c>
      <c r="C939" s="5" t="s">
        <v>2275</v>
      </c>
      <c r="D939" s="5" t="s">
        <v>768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2276</v>
      </c>
      <c r="C940" s="5" t="s">
        <v>2277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2278</v>
      </c>
      <c r="C941" s="5" t="s">
        <v>2279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2280</v>
      </c>
      <c r="C942" s="5" t="s">
        <v>2281</v>
      </c>
      <c r="D942" s="5" t="s">
        <v>1131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2282</v>
      </c>
      <c r="C943" s="5" t="s">
        <v>2283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2284</v>
      </c>
      <c r="C944" s="5" t="s">
        <v>2285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2286</v>
      </c>
      <c r="C945" s="5" t="s">
        <v>2287</v>
      </c>
      <c r="D945" s="5" t="s">
        <v>508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2288</v>
      </c>
      <c r="C946" s="5" t="s">
        <v>2289</v>
      </c>
      <c r="D946" s="5" t="s">
        <v>1125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2290</v>
      </c>
      <c r="C947" s="5" t="s">
        <v>2291</v>
      </c>
      <c r="D947" s="5" t="s">
        <v>1131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2292</v>
      </c>
      <c r="C948" s="5" t="s">
        <v>2293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2294</v>
      </c>
      <c r="C949" s="5" t="s">
        <v>2295</v>
      </c>
      <c r="D949" s="5" t="s">
        <v>1130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2296</v>
      </c>
      <c r="C950" s="5" t="s">
        <v>2297</v>
      </c>
      <c r="D950" s="5" t="s">
        <v>1131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2298</v>
      </c>
      <c r="C951" s="5" t="s">
        <v>2299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1078</v>
      </c>
      <c r="C952" s="5" t="s">
        <v>1079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2300</v>
      </c>
      <c r="C953" s="5" t="s">
        <v>2301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2302</v>
      </c>
      <c r="C954" s="5" t="s">
        <v>2303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2304</v>
      </c>
      <c r="C955" s="5" t="s">
        <v>2305</v>
      </c>
      <c r="D955" s="5" t="s">
        <v>768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2306</v>
      </c>
      <c r="C956" s="5" t="s">
        <v>2307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2308</v>
      </c>
      <c r="C957" s="5" t="s">
        <v>2309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2310</v>
      </c>
      <c r="C958" s="5" t="s">
        <v>2311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2312</v>
      </c>
      <c r="C959" s="5" t="s">
        <v>2313</v>
      </c>
      <c r="D959" s="5" t="s">
        <v>1131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2314</v>
      </c>
      <c r="C960" s="5" t="s">
        <v>2315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2316</v>
      </c>
      <c r="C961" s="5" t="s">
        <v>2317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2318</v>
      </c>
      <c r="C962" s="5" t="s">
        <v>2319</v>
      </c>
      <c r="D962" s="5" t="s">
        <v>1127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1082</v>
      </c>
      <c r="C963" s="5" t="s">
        <v>1083</v>
      </c>
      <c r="D963" s="5" t="s">
        <v>508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1084</v>
      </c>
      <c r="C964" s="5" t="s">
        <v>1085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2320</v>
      </c>
      <c r="C965" s="5" t="s">
        <v>2321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2322</v>
      </c>
      <c r="C966" s="5" t="s">
        <v>2323</v>
      </c>
      <c r="D966" s="5" t="s">
        <v>1131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2324</v>
      </c>
      <c r="C967" s="5" t="s">
        <v>2325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2326</v>
      </c>
      <c r="C968" s="5" t="s">
        <v>2327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2328</v>
      </c>
      <c r="C969" s="5" t="s">
        <v>2329</v>
      </c>
      <c r="D969" s="5" t="s">
        <v>2574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2330</v>
      </c>
      <c r="C970" s="5" t="s">
        <v>2331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2332</v>
      </c>
      <c r="C971" s="5" t="s">
        <v>2333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2334</v>
      </c>
      <c r="C972" s="5" t="s">
        <v>2335</v>
      </c>
      <c r="D972" s="5" t="s">
        <v>2573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2336</v>
      </c>
      <c r="C973" s="5" t="s">
        <v>2337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2338</v>
      </c>
      <c r="C974" s="5" t="s">
        <v>2339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2340</v>
      </c>
      <c r="C975" s="5" t="s">
        <v>2341</v>
      </c>
      <c r="D975" s="5" t="s">
        <v>1126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2342</v>
      </c>
      <c r="C976" s="5" t="s">
        <v>2343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2344</v>
      </c>
      <c r="C977" s="5" t="s">
        <v>2345</v>
      </c>
      <c r="D977" s="5" t="s">
        <v>1128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2346</v>
      </c>
      <c r="C978" s="5" t="s">
        <v>2347</v>
      </c>
      <c r="D978" s="5" t="s">
        <v>770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2348</v>
      </c>
      <c r="C979" s="5" t="s">
        <v>2349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2350</v>
      </c>
      <c r="C980" s="5" t="s">
        <v>2350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2351</v>
      </c>
      <c r="C981" s="5" t="s">
        <v>2352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2353</v>
      </c>
      <c r="C982" s="5" t="s">
        <v>2354</v>
      </c>
      <c r="D982" s="5" t="s">
        <v>1126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1092</v>
      </c>
      <c r="C983" s="5" t="s">
        <v>1093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2355</v>
      </c>
      <c r="C984" s="5" t="s">
        <v>2356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2357</v>
      </c>
      <c r="C985" s="5" t="s">
        <v>2358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2359</v>
      </c>
      <c r="C986" s="5" t="s">
        <v>2360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2361</v>
      </c>
      <c r="C987" s="5" t="s">
        <v>2362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2363</v>
      </c>
      <c r="C988" s="5" t="s">
        <v>2364</v>
      </c>
      <c r="D988" s="5" t="s">
        <v>768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2365</v>
      </c>
      <c r="C989" s="5" t="s">
        <v>2366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2367</v>
      </c>
      <c r="C990" s="5" t="s">
        <v>2368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2369</v>
      </c>
      <c r="C991" s="5" t="s">
        <v>2370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2371</v>
      </c>
      <c r="C992" s="5" t="s">
        <v>2372</v>
      </c>
      <c r="D992" s="5" t="s">
        <v>1124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2373</v>
      </c>
      <c r="C993" s="5" t="s">
        <v>2374</v>
      </c>
      <c r="D993" s="5" t="s">
        <v>1126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1098</v>
      </c>
      <c r="C994" s="5" t="s">
        <v>1099</v>
      </c>
      <c r="D994" s="5" t="s">
        <v>508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2375</v>
      </c>
      <c r="C995" s="5" t="s">
        <v>2376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2377</v>
      </c>
      <c r="C996" s="5" t="s">
        <v>2378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2379</v>
      </c>
      <c r="C997" s="5" t="s">
        <v>2380</v>
      </c>
      <c r="D997" s="5" t="s">
        <v>2572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2381</v>
      </c>
      <c r="C998" s="5" t="s">
        <v>2382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2383</v>
      </c>
      <c r="C999" s="5" t="s">
        <v>2384</v>
      </c>
      <c r="D999" s="5" t="s">
        <v>768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2385</v>
      </c>
      <c r="C1000" s="5" t="s">
        <v>2386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2387</v>
      </c>
      <c r="C1001" s="5" t="s">
        <v>2388</v>
      </c>
      <c r="D1001" s="5" t="s">
        <v>1131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2389</v>
      </c>
      <c r="C1002" s="5" t="s">
        <v>2390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2391</v>
      </c>
      <c r="C1003" s="5" t="s">
        <v>2392</v>
      </c>
      <c r="D1003" s="5" t="s">
        <v>1131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2393</v>
      </c>
      <c r="C1004" s="5" t="s">
        <v>2394</v>
      </c>
      <c r="D1004" s="5" t="s">
        <v>768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2395</v>
      </c>
      <c r="C1005" s="5" t="s">
        <v>2396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2397</v>
      </c>
      <c r="C1006" s="5" t="s">
        <v>2398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2399</v>
      </c>
      <c r="C1007" s="5" t="s">
        <v>2400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2401</v>
      </c>
      <c r="C1008" s="5" t="s">
        <v>2402</v>
      </c>
      <c r="D1008" s="5" t="s">
        <v>1126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2403</v>
      </c>
      <c r="C1009" s="5" t="s">
        <v>2404</v>
      </c>
      <c r="D1009" s="5" t="s">
        <v>768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2405</v>
      </c>
      <c r="C1010" s="5" t="s">
        <v>2406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2407</v>
      </c>
      <c r="C1011" s="5" t="s">
        <v>2408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2409</v>
      </c>
      <c r="C1012" s="5" t="s">
        <v>2410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2411</v>
      </c>
      <c r="C1013" s="5" t="s">
        <v>2412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2413</v>
      </c>
      <c r="C1014" s="5" t="s">
        <v>2414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2415</v>
      </c>
      <c r="C1015" s="5" t="s">
        <v>2416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2417</v>
      </c>
      <c r="C1016" s="5" t="s">
        <v>2418</v>
      </c>
      <c r="D1016" s="5" t="s">
        <v>508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2419</v>
      </c>
      <c r="C1017" s="5" t="s">
        <v>2420</v>
      </c>
      <c r="D1017" s="5" t="s">
        <v>956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2421</v>
      </c>
      <c r="C1018" s="5" t="s">
        <v>2422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2423</v>
      </c>
      <c r="C1019" s="5" t="s">
        <v>2424</v>
      </c>
      <c r="D1019" s="5" t="s">
        <v>768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2425</v>
      </c>
      <c r="C1020" s="5" t="s">
        <v>2426</v>
      </c>
      <c r="D1020" s="5" t="s">
        <v>1126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2427</v>
      </c>
      <c r="C1021" s="5" t="s">
        <v>2428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2429</v>
      </c>
      <c r="C1022" s="5" t="s">
        <v>2430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2431</v>
      </c>
      <c r="C1023" s="5" t="s">
        <v>2432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2433</v>
      </c>
      <c r="C1024" s="5" t="s">
        <v>2434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2435</v>
      </c>
      <c r="C1025" s="5" t="s">
        <v>2436</v>
      </c>
      <c r="D1025" s="5" t="s">
        <v>768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2437</v>
      </c>
      <c r="C1026" s="5" t="s">
        <v>2438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2439</v>
      </c>
      <c r="C1027" s="5" t="s">
        <v>2440</v>
      </c>
      <c r="D1027" s="5" t="s">
        <v>1130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2441</v>
      </c>
      <c r="C1028" s="5" t="s">
        <v>2442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2443</v>
      </c>
      <c r="C1029" s="5" t="s">
        <v>2444</v>
      </c>
      <c r="D1029" s="5" t="s">
        <v>768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2445</v>
      </c>
      <c r="C1030" s="5" t="s">
        <v>2446</v>
      </c>
      <c r="D1030" s="5" t="s">
        <v>1126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2447</v>
      </c>
      <c r="C1031" s="5" t="s">
        <v>2448</v>
      </c>
      <c r="D1031" s="5" t="s">
        <v>1130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2449</v>
      </c>
      <c r="C1032" s="5" t="s">
        <v>2450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2451</v>
      </c>
      <c r="C1033" s="5" t="s">
        <v>2452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2453</v>
      </c>
      <c r="C1034" s="5" t="s">
        <v>2454</v>
      </c>
      <c r="D1034" s="5" t="s">
        <v>770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2455</v>
      </c>
      <c r="C1035" s="5" t="s">
        <v>2456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2457</v>
      </c>
      <c r="C1036" s="5" t="s">
        <v>2458</v>
      </c>
      <c r="D1036" s="5" t="s">
        <v>1124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2459</v>
      </c>
      <c r="C1037" s="5" t="s">
        <v>2460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2461</v>
      </c>
      <c r="C1038" s="5" t="s">
        <v>2462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2463</v>
      </c>
      <c r="C1039" s="5" t="s">
        <v>2464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2465</v>
      </c>
      <c r="C1040" s="5" t="s">
        <v>2466</v>
      </c>
      <c r="D1040" s="5" t="s">
        <v>1124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2467</v>
      </c>
      <c r="C1041" s="5" t="s">
        <v>2468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2469</v>
      </c>
      <c r="C1042" s="5" t="s">
        <v>2470</v>
      </c>
      <c r="D1042" s="5" t="s">
        <v>1131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2471</v>
      </c>
      <c r="C1043" s="5" t="s">
        <v>2472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2473</v>
      </c>
      <c r="C1044" s="5" t="s">
        <v>2474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2475</v>
      </c>
      <c r="C1045" s="5" t="s">
        <v>2476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2477</v>
      </c>
      <c r="C1046" s="5" t="s">
        <v>2478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1106</v>
      </c>
      <c r="C1047" s="5" t="s">
        <v>1107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1108</v>
      </c>
      <c r="C1048" s="5" t="s">
        <v>1109</v>
      </c>
      <c r="D1048" s="5" t="s">
        <v>768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2479</v>
      </c>
      <c r="C1049" s="5" t="s">
        <v>2480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2481</v>
      </c>
      <c r="C1050" s="5" t="s">
        <v>2482</v>
      </c>
      <c r="D1050" s="5" t="s">
        <v>1131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2483</v>
      </c>
      <c r="C1051" s="5" t="s">
        <v>2484</v>
      </c>
      <c r="D1051" s="5" t="s">
        <v>508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2485</v>
      </c>
      <c r="C1052" s="5" t="s">
        <v>2486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2487</v>
      </c>
      <c r="C1053" s="5" t="s">
        <v>2488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2489</v>
      </c>
      <c r="C1054" s="5" t="s">
        <v>2490</v>
      </c>
      <c r="D1054" s="5" t="s">
        <v>1126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2491</v>
      </c>
      <c r="C1055" s="5" t="s">
        <v>2492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2493</v>
      </c>
      <c r="C1056" s="5" t="s">
        <v>2494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2495</v>
      </c>
      <c r="C1057" s="5" t="s">
        <v>2496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2497</v>
      </c>
      <c r="C1058" s="5" t="s">
        <v>2498</v>
      </c>
      <c r="D1058" s="5" t="s">
        <v>768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2499</v>
      </c>
      <c r="C1059" s="5" t="s">
        <v>2500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2501</v>
      </c>
      <c r="C1060" s="5" t="s">
        <v>2502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2503</v>
      </c>
      <c r="C1061" s="5" t="s">
        <v>2503</v>
      </c>
      <c r="D1061" s="5" t="s">
        <v>1130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1110</v>
      </c>
      <c r="C1062" s="5" t="s">
        <v>1111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1112</v>
      </c>
      <c r="C1063" s="5" t="s">
        <v>1113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2504</v>
      </c>
      <c r="C1064" s="5" t="s">
        <v>2505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2506</v>
      </c>
      <c r="C1065" s="5" t="s">
        <v>2507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2508</v>
      </c>
      <c r="C1066" s="5" t="s">
        <v>2509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2510</v>
      </c>
      <c r="C1067" s="5" t="s">
        <v>2511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2512</v>
      </c>
      <c r="C1068" s="5" t="s">
        <v>2513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2514</v>
      </c>
      <c r="C1069" s="5" t="s">
        <v>2515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2516</v>
      </c>
      <c r="C1070" s="5" t="s">
        <v>2517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1114</v>
      </c>
      <c r="C1071" s="5" t="s">
        <v>1115</v>
      </c>
      <c r="D1071" s="5" t="s">
        <v>1132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2518</v>
      </c>
      <c r="C1072" s="5" t="s">
        <v>2519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2520</v>
      </c>
      <c r="C1073" s="5" t="s">
        <v>2521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2522</v>
      </c>
      <c r="C1074" s="5" t="s">
        <v>2523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2524</v>
      </c>
      <c r="C1075" s="5" t="s">
        <v>2525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2526</v>
      </c>
      <c r="C1076" s="5" t="s">
        <v>2527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2528</v>
      </c>
      <c r="C1077" s="5" t="s">
        <v>2529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2530</v>
      </c>
      <c r="C1078" s="5" t="s">
        <v>2531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2532</v>
      </c>
      <c r="C1079" s="5" t="s">
        <v>2533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2534</v>
      </c>
      <c r="C1080" s="5" t="s">
        <v>2535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2536</v>
      </c>
      <c r="C1081" s="5" t="s">
        <v>2537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2538</v>
      </c>
      <c r="C1082" s="5" t="s">
        <v>2539</v>
      </c>
      <c r="D1082" s="5" t="s">
        <v>1126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2540</v>
      </c>
      <c r="C1083" s="5" t="s">
        <v>2541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2542</v>
      </c>
      <c r="C1084" s="5" t="s">
        <v>2543</v>
      </c>
      <c r="D1084" s="5" t="s">
        <v>1132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2544</v>
      </c>
      <c r="C1085" s="5" t="s">
        <v>2545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2546</v>
      </c>
      <c r="C1086" s="5" t="s">
        <v>2547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2548</v>
      </c>
      <c r="C1087" s="5" t="s">
        <v>2549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2550</v>
      </c>
      <c r="C1088" s="5" t="s">
        <v>2551</v>
      </c>
      <c r="D1088" s="5" t="s">
        <v>768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2552</v>
      </c>
      <c r="C1089" s="5" t="s">
        <v>2553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2554</v>
      </c>
      <c r="C1090" s="5" t="s">
        <v>2555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2556</v>
      </c>
      <c r="C1091" s="5" t="s">
        <v>2557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2558</v>
      </c>
      <c r="C1092" s="5" t="s">
        <v>2559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2560</v>
      </c>
      <c r="C1093" s="5" t="s">
        <v>2561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2562</v>
      </c>
      <c r="C1094" s="5" t="s">
        <v>2563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2564</v>
      </c>
      <c r="C1095" s="5" t="s">
        <v>2565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2566</v>
      </c>
      <c r="C1096" s="5" t="s">
        <v>2567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2568</v>
      </c>
      <c r="C1097" s="5" t="s">
        <v>2569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1122</v>
      </c>
      <c r="C1098" s="5" t="s">
        <v>1123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2594</v>
      </c>
      <c r="C1099" s="5" t="s">
        <v>2595</v>
      </c>
      <c r="D1099" s="5" t="s">
        <v>45</v>
      </c>
      <c r="E1099" s="5">
        <f>+[81]Main!$I$2</f>
        <v>141.35</v>
      </c>
      <c r="F1099" s="15">
        <f>+[81]Main!$I$4</f>
        <v>69059.707043799994</v>
      </c>
      <c r="G1099" s="15">
        <f>+[81]Main!$I$6-[81]Main!$I$5</f>
        <v>9898.6180000000004</v>
      </c>
      <c r="H1099" s="15">
        <f>+F1099+G1099</f>
        <v>78958.325043799996</v>
      </c>
      <c r="I1099" s="39" t="s">
        <v>2584</v>
      </c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2706</v>
      </c>
      <c r="C1100" s="5" t="s">
        <v>2707</v>
      </c>
      <c r="D1100" s="5" t="s">
        <v>45</v>
      </c>
      <c r="E1100" s="5"/>
      <c r="F1100" s="15"/>
      <c r="G1100" s="15"/>
      <c r="H1100" s="1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1504</v>
      </c>
      <c r="C1101" s="5" t="s">
        <v>1505</v>
      </c>
      <c r="D1101" s="5" t="s">
        <v>45</v>
      </c>
      <c r="E1101" s="5">
        <f>+[82]Main!$I$2</f>
        <v>11.3</v>
      </c>
      <c r="F1101" s="15">
        <f>+[82]Main!$I$4</f>
        <v>1849.81</v>
      </c>
      <c r="G1101" s="15">
        <f>+[82]Main!$I$6-[82]Main!$I$5</f>
        <v>-775.1</v>
      </c>
      <c r="H1101" s="15">
        <f>+F1101+G1101</f>
        <v>1074.71</v>
      </c>
      <c r="I1101" s="38" t="s">
        <v>2584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15"/>
      <c r="G1233" s="15"/>
      <c r="H1233" s="1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2" r:id="rId85" xr:uid="{169337C6-DF90-4649-B61A-B3A727423BB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+[83]Main!$I$2</f>
        <v>251.74</v>
      </c>
      <c r="F4" s="15">
        <f>+[83]Main!$I$4</f>
        <v>283312.98862612003</v>
      </c>
      <c r="G4" s="15">
        <f>+[83]Main!$I$6-[83]Main!$I$5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4" sqref="J14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+[84]Main!$J$2</f>
        <v>334.9</v>
      </c>
      <c r="F4" s="15">
        <f>+[84]Main!$J$4</f>
        <v>622169.62413309992</v>
      </c>
      <c r="G4" s="15">
        <f>+[84]Main!$J$6-[84]Main!$J$5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+[85]Main!$I$2</f>
        <v>519.49</v>
      </c>
      <c r="F5" s="15">
        <f>+[85]Main!$I$4</f>
        <v>473623.45178194001</v>
      </c>
      <c r="G5" s="15">
        <f>+[85]Main!$I$6-[85]Main!$I$5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+[86]Main!$J$2</f>
        <v>494.32</v>
      </c>
      <c r="F7" s="15">
        <f>+[86]Main!$J$4</f>
        <v>151607.94399999999</v>
      </c>
      <c r="G7" s="15">
        <f>+[86]Main!$J$6-[86]Main!$J$5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208</v>
      </c>
      <c r="F8" s="15">
        <f>+[42]Main!$I$4</f>
        <v>116748.10035200001</v>
      </c>
      <c r="G8" s="15">
        <f>+[42]Main!$I$6-[42]Main!$I$5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+[87]Main!$I$2</f>
        <v>185.7</v>
      </c>
      <c r="F10" s="15">
        <f>+[87]Main!$I$4</f>
        <v>106522.39852469999</v>
      </c>
      <c r="G10" s="15">
        <f>+[87]Main!$I$6-[87]Main!$I$5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68.06</v>
      </c>
      <c r="F13" s="15">
        <f>+[49]Main!$I$4</f>
        <v>63680.471921180004</v>
      </c>
      <c r="G13" s="15">
        <f>+[49]Main!$I$6-[49]Main!$I$5</f>
        <v>521</v>
      </c>
      <c r="H13" s="15">
        <f t="shared" si="0"/>
        <v>64201.471921180004</v>
      </c>
      <c r="I13" s="43" t="s">
        <v>2709</v>
      </c>
      <c r="J13" s="16">
        <v>46056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+[88]Main!$I$2</f>
        <v>86.25</v>
      </c>
      <c r="F14" s="15">
        <f>+[88]Main!$I$4</f>
        <v>49517.989724999999</v>
      </c>
      <c r="G14" s="15">
        <f>+[88]Main!$I$6-[88]Main!$I$5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+[89]Main!$I$2</f>
        <v>220.4</v>
      </c>
      <c r="F15" s="15">
        <f>+[89]Main!$I$4</f>
        <v>45785.921346000003</v>
      </c>
      <c r="G15" s="15">
        <f>+[89]Main!$I$6-[89]Main!$I$5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+[90]Main!$J$2</f>
        <v>544.77</v>
      </c>
      <c r="F16" s="15">
        <f>+[90]Main!$J$4</f>
        <v>42149.669331149998</v>
      </c>
      <c r="G16" s="15">
        <f>+[90]Main!$J$6-[90]Main!$J$5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+[91]Main!$J$2</f>
        <v>208.42</v>
      </c>
      <c r="F20" s="15">
        <f>+[91]Main!$J$4</f>
        <v>22709.220190600001</v>
      </c>
      <c r="G20" s="15">
        <f>+[91]Main!$J$6-[91]Main!$J$5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+[92]Main!$K$2</f>
        <v>39.04</v>
      </c>
      <c r="F50" s="15">
        <f>+[92]Main!$K$4</f>
        <v>14227.016843519999</v>
      </c>
      <c r="G50" s="15">
        <f>+[92]Main!$K$6-[92]Main!$K$5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+[93]Main!$H$2</f>
        <v>34.51</v>
      </c>
      <c r="F52" s="15">
        <f>+[93]Main!$H$4</f>
        <v>5275.3449914199991</v>
      </c>
      <c r="G52" s="15">
        <f>+[93]Main!$H$6-[93]Main!$H$5</f>
        <v>1242.8240000000001</v>
      </c>
      <c r="H52" s="15">
        <f>+F52+G52</f>
        <v>6518.1689914199997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topLeftCell="A13" zoomScale="200" zoomScaleNormal="200" workbookViewId="0">
      <selection activeCell="I14" sqref="I1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+[94]Main!$I$2</f>
        <v>38.35</v>
      </c>
      <c r="F14" s="15">
        <f>+[94]Main!$I$4</f>
        <v>9227.8593374500015</v>
      </c>
      <c r="G14" s="15">
        <f>+[94]Main!$I$6-[94]Main!$I$5</f>
        <v>3088.2860000000001</v>
      </c>
      <c r="H14" s="35">
        <f>+F14+G14</f>
        <v>12316.145337450002</v>
      </c>
      <c r="I14" s="34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5">
        <f>+F18+G18</f>
        <v>3218.92225168</v>
      </c>
      <c r="I18" s="34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15"/>
      <c r="G23" s="15"/>
      <c r="H23" s="3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809</v>
      </c>
      <c r="C24" s="5"/>
      <c r="D24" s="5"/>
      <c r="E24" s="5"/>
      <c r="F24" s="15"/>
      <c r="G24" s="15"/>
      <c r="H24" s="3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917</v>
      </c>
      <c r="C25" s="5"/>
      <c r="D25" s="5"/>
      <c r="E25" s="5"/>
      <c r="F25" s="15"/>
      <c r="G25" s="15"/>
      <c r="H25" s="3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918</v>
      </c>
      <c r="C26" s="5"/>
      <c r="D26" s="5"/>
      <c r="E26" s="5"/>
      <c r="F26" s="15"/>
      <c r="G26" s="15"/>
      <c r="H26" s="3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919</v>
      </c>
      <c r="C27" s="5" t="s">
        <v>920</v>
      </c>
      <c r="D27" s="5"/>
      <c r="E27" s="5"/>
      <c r="F27" s="15"/>
      <c r="G27" s="15"/>
      <c r="H27" s="3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921</v>
      </c>
      <c r="C28" s="5"/>
      <c r="D28" s="5"/>
      <c r="E28" s="5"/>
      <c r="F28" s="15"/>
      <c r="G28" s="15"/>
      <c r="H28" s="3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922</v>
      </c>
      <c r="C29" s="5"/>
      <c r="D29" s="5"/>
      <c r="E29" s="5"/>
      <c r="F29" s="15"/>
      <c r="G29" s="15"/>
      <c r="H29" s="3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923</v>
      </c>
      <c r="C30" s="5"/>
      <c r="D30" s="5"/>
      <c r="E30" s="5"/>
      <c r="F30" s="15"/>
      <c r="G30" s="15"/>
      <c r="H30" s="3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924</v>
      </c>
      <c r="C31" s="5"/>
      <c r="D31" s="5"/>
      <c r="E31" s="5"/>
      <c r="F31" s="15"/>
      <c r="G31" s="15"/>
      <c r="H31" s="3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925</v>
      </c>
      <c r="C32" s="5"/>
      <c r="D32" s="5"/>
      <c r="E32" s="5"/>
      <c r="F32" s="15"/>
      <c r="G32" s="15"/>
      <c r="H32" s="3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926</v>
      </c>
      <c r="C33" s="5"/>
      <c r="D33" s="5"/>
      <c r="E33" s="5"/>
      <c r="F33" s="15"/>
      <c r="G33" s="15"/>
      <c r="H33" s="3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927</v>
      </c>
      <c r="C34" s="5"/>
      <c r="D34" s="5"/>
      <c r="E34" s="5"/>
      <c r="F34" s="15"/>
      <c r="G34" s="15"/>
      <c r="H34" s="3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928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930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931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933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934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935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937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938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939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940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941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942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943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944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945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946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947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948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949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950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951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954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2025-10-31T17:11:40Z</dcterms:modified>
</cp:coreProperties>
</file>